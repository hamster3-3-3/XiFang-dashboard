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4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1.xml" ContentType="application/vnd.openxmlformats-officedocument.spreadsheetml.worksheet+xml"/>
  <Override PartName="/xl/styles.xml" ContentType="application/vnd.openxmlformats-officedocument.spreadsheetml.styles+xml"/>
  <Override PartName="/xl/worksheets/sheet44.xml" ContentType="application/vnd.openxmlformats-officedocument.spreadsheetml.worksheet+xml"/>
  <Override PartName="/xl/worksheets/sheet45.xml" ContentType="application/vnd.openxmlformats-officedocument.spreadsheetml.worksheet+xml"/>
  <Override PartName="/xl/worksheets/sheet46.xml" ContentType="application/vnd.openxmlformats-officedocument.spreadsheetml.worksheet+xml"/>
  <Override PartName="/xl/worksheets/sheet47.xml" ContentType="application/vnd.openxmlformats-officedocument.spreadsheetml.worksheet+xml"/>
  <Override PartName="/xl/worksheets/sheet48.xml" ContentType="application/vnd.openxmlformats-officedocument.spreadsheetml.worksheet+xml"/>
  <Override PartName="/xl/worksheets/sheet43.xml" ContentType="application/vnd.openxmlformats-officedocument.spreadsheetml.worksheet+xml"/>
  <Override PartName="/xl/worksheets/sheet42.xml" ContentType="application/vnd.openxmlformats-officedocument.spreadsheetml.worksheet+xml"/>
  <Override PartName="/xl/worksheets/sheet41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worksheets/sheet39.xml" ContentType="application/vnd.openxmlformats-officedocument.spreadsheetml.worksheet+xml"/>
  <Override PartName="/xl/worksheets/sheet40.xml" ContentType="application/vnd.openxmlformats-officedocument.spreadsheetml.worksheet+xml"/>
  <Override PartName="/xl/worksheets/sheet49.xml" ContentType="application/vnd.openxmlformats-officedocument.spreadsheetml.worksheet+xml"/>
  <Override PartName="/xl/worksheets/sheet50.xml" ContentType="application/vnd.openxmlformats-officedocument.spreadsheetml.worksheet+xml"/>
  <Override PartName="/xl/worksheets/sheet51.xml" ContentType="application/vnd.openxmlformats-officedocument.spreadsheetml.worksheet+xml"/>
  <Override PartName="/xl/worksheets/sheet59.xml" ContentType="application/vnd.openxmlformats-officedocument.spreadsheetml.worksheet+xml"/>
  <Override PartName="/xl/worksheets/sheet60.xml" ContentType="application/vnd.openxmlformats-officedocument.spreadsheetml.worksheet+xml"/>
  <Override PartName="/xl/worksheets/sheet61.xml" ContentType="application/vnd.openxmlformats-officedocument.spreadsheetml.worksheet+xml"/>
  <Override PartName="/xl/worksheets/sheet62.xml" ContentType="application/vnd.openxmlformats-officedocument.spreadsheetml.worksheet+xml"/>
  <Override PartName="/xl/theme/theme1.xml" ContentType="application/vnd.openxmlformats-officedocument.theme+xml"/>
  <Override PartName="/xl/worksheets/sheet58.xml" ContentType="application/vnd.openxmlformats-officedocument.spreadsheetml.worksheet+xml"/>
  <Override PartName="/xl/worksheets/sheet57.xml" ContentType="application/vnd.openxmlformats-officedocument.spreadsheetml.worksheet+xml"/>
  <Override PartName="/xl/worksheets/sheet56.xml" ContentType="application/vnd.openxmlformats-officedocument.spreadsheetml.worksheet+xml"/>
  <Override PartName="/xl/worksheets/sheet52.xml" ContentType="application/vnd.openxmlformats-officedocument.spreadsheetml.worksheet+xml"/>
  <Override PartName="/xl/worksheets/sheet53.xml" ContentType="application/vnd.openxmlformats-officedocument.spreadsheetml.worksheet+xml"/>
  <Override PartName="/xl/worksheets/sheet54.xml" ContentType="application/vnd.openxmlformats-officedocument.spreadsheetml.worksheet+xml"/>
  <Override PartName="/xl/worksheets/sheet55.xml" ContentType="application/vnd.openxmlformats-officedocument.spreadsheetml.worksheet+xml"/>
  <Override PartName="/xl/worksheets/sheet35.xml" ContentType="application/vnd.openxmlformats-officedocument.spreadsheetml.worksheet+xml"/>
  <Override PartName="/xl/worksheets/sheet34.xml" ContentType="application/vnd.openxmlformats-officedocument.spreadsheetml.worksheet+xml"/>
  <Override PartName="/xl/worksheets/sheet33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2.xml" ContentType="application/vnd.openxmlformats-officedocument.spreadsheetml.worksheet+xml"/>
  <Override PartName="/xl/worksheets/sheet11.xml" ContentType="application/vnd.openxmlformats-officedocument.spreadsheetml.worksheet+xml"/>
  <Override PartName="/xl/worksheets/sheet10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sharedStrings.xml" ContentType="application/vnd.openxmlformats-officedocument.spreadsheetml.sharedStrings+xml"/>
  <Override PartName="/xl/worksheets/sheet18.xml" ContentType="application/vnd.openxmlformats-officedocument.spreadsheetml.worksheet+xml"/>
  <Override PartName="/xl/worksheets/sheet20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19.xml" ContentType="application/vnd.openxmlformats-officedocument.spreadsheetml.worksheet+xml"/>
  <Override PartName="/xl/worksheets/sheet27.xml" ContentType="application/vnd.openxmlformats-officedocument.spreadsheetml.worksheet+xml"/>
  <Override PartName="/xl/worksheets/sheet25.xml" ContentType="application/vnd.openxmlformats-officedocument.spreadsheetml.worksheet+xml"/>
  <Override PartName="/xl/worksheets/sheet21.xml" ContentType="application/vnd.openxmlformats-officedocument.spreadsheetml.worksheet+xml"/>
  <Override PartName="/xl/worksheets/sheet26.xml" ContentType="application/vnd.openxmlformats-officedocument.spreadsheetml.worksheet+xml"/>
  <Override PartName="/xl/worksheets/sheet22.xml" ContentType="application/vnd.openxmlformats-officedocument.spreadsheetml.worksheet+xml"/>
  <Override PartName="/xl/worksheets/sheet24.xml" ContentType="application/vnd.openxmlformats-officedocument.spreadsheetml.worksheet+xml"/>
  <Override PartName="/xl/worksheets/sheet23.xml" ContentType="application/vnd.openxmlformats-officedocument.spreadsheetml.worksheet+xml"/>
  <Override PartName="/docProps/app.xml" ContentType="application/vnd.openxmlformats-officedocument.extended-properties+xml"/>
  <Override PartName="/docProps/core.xml" ContentType="application/vnd.openxmlformats-package.core-propertie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53222"/>
  <mc:AlternateContent xmlns:mc="http://schemas.openxmlformats.org/markup-compatibility/2006">
    <mc:Choice Requires="x15">
      <x15ac:absPath xmlns:x15ac="http://schemas.microsoft.com/office/spreadsheetml/2010/11/ac" url="Z:\新豐\排程\人時生產日報\"/>
    </mc:Choice>
  </mc:AlternateContent>
  <bookViews>
    <workbookView xWindow="0" yWindow="0" windowWidth="19665" windowHeight="5190" activeTab="1"/>
  </bookViews>
  <sheets>
    <sheet name="1031" sheetId="78" r:id="rId1"/>
    <sheet name="1031 4度C" sheetId="79" r:id="rId2"/>
    <sheet name="1030" sheetId="76" r:id="rId3"/>
    <sheet name="1030 4度C" sheetId="77" r:id="rId4"/>
    <sheet name="1029" sheetId="74" r:id="rId5"/>
    <sheet name="1029 4度C" sheetId="75" r:id="rId6"/>
    <sheet name="1028" sheetId="72" r:id="rId7"/>
    <sheet name="1028 4度C" sheetId="73" r:id="rId8"/>
    <sheet name="1027" sheetId="70" r:id="rId9"/>
    <sheet name="1027 4度C" sheetId="71" r:id="rId10"/>
    <sheet name="1026" sheetId="64" r:id="rId11"/>
    <sheet name="1026 4度C" sheetId="65" r:id="rId12"/>
    <sheet name="1025" sheetId="62" r:id="rId13"/>
    <sheet name="1025 4度C" sheetId="63" r:id="rId14"/>
    <sheet name="1024" sheetId="58" r:id="rId15"/>
    <sheet name="1024 4度C" sheetId="59" r:id="rId16"/>
    <sheet name="1023" sheetId="56" r:id="rId17"/>
    <sheet name="1023 4度C" sheetId="57" r:id="rId18"/>
    <sheet name="1022" sheetId="54" r:id="rId19"/>
    <sheet name="1022 4度C" sheetId="55" r:id="rId20"/>
    <sheet name="1021" sheetId="52" r:id="rId21"/>
    <sheet name="1021 4度C" sheetId="53" r:id="rId22"/>
    <sheet name="1020" sheetId="50" r:id="rId23"/>
    <sheet name="1020 4度C" sheetId="51" r:id="rId24"/>
    <sheet name="1019" sheetId="48" r:id="rId25"/>
    <sheet name="1019 4度C" sheetId="49" r:id="rId26"/>
    <sheet name="1018" sheetId="46" r:id="rId27"/>
    <sheet name="1018 4度C" sheetId="47" r:id="rId28"/>
    <sheet name="1017" sheetId="42" r:id="rId29"/>
    <sheet name="1017 4度C" sheetId="43" r:id="rId30"/>
    <sheet name="1016" sheetId="38" r:id="rId31"/>
    <sheet name="1016 4度C" sheetId="39" r:id="rId32"/>
    <sheet name="1015" sheetId="34" r:id="rId33"/>
    <sheet name="1015 4度C" sheetId="35" r:id="rId34"/>
    <sheet name="1014" sheetId="32" r:id="rId35"/>
    <sheet name="1014 4度C" sheetId="33" r:id="rId36"/>
    <sheet name="1013" sheetId="28" r:id="rId37"/>
    <sheet name="1013 4度C" sheetId="29" r:id="rId38"/>
    <sheet name="1012" sheetId="25" r:id="rId39"/>
    <sheet name="1012 4度C" sheetId="26" r:id="rId40"/>
    <sheet name="1011" sheetId="23" r:id="rId41"/>
    <sheet name="1011 4度C" sheetId="24" r:id="rId42"/>
    <sheet name="1010" sheetId="21" r:id="rId43"/>
    <sheet name="1010 4度C" sheetId="22" r:id="rId44"/>
    <sheet name="1009" sheetId="19" r:id="rId45"/>
    <sheet name="1009 4度C" sheetId="20" r:id="rId46"/>
    <sheet name="1008" sheetId="17" r:id="rId47"/>
    <sheet name="1008 4度C" sheetId="18" r:id="rId48"/>
    <sheet name="1007" sheetId="15" r:id="rId49"/>
    <sheet name="1007 4度C" sheetId="16" r:id="rId50"/>
    <sheet name="1006" sheetId="13" r:id="rId51"/>
    <sheet name="1006 4度C" sheetId="14" r:id="rId52"/>
    <sheet name="1005" sheetId="11" r:id="rId53"/>
    <sheet name="1005 4度C" sheetId="12" r:id="rId54"/>
    <sheet name="1004" sheetId="9" r:id="rId55"/>
    <sheet name="1004 4度C" sheetId="10" r:id="rId56"/>
    <sheet name="1003" sheetId="7" r:id="rId57"/>
    <sheet name="1003 4度C" sheetId="8" r:id="rId58"/>
    <sheet name="1002" sheetId="3" r:id="rId59"/>
    <sheet name="1002 4度C" sheetId="4" r:id="rId60"/>
    <sheet name="1001" sheetId="5" r:id="rId61"/>
    <sheet name="1001 4度C" sheetId="6" r:id="rId62"/>
  </sheets>
  <definedNames>
    <definedName name="_xlnm._FilterDatabase" localSheetId="61" hidden="1">'1001 4度C'!$A$4:$AE$4</definedName>
    <definedName name="_xlnm._FilterDatabase" localSheetId="59" hidden="1">'1002 4度C'!$A$4:$AE$4</definedName>
    <definedName name="_xlnm._FilterDatabase" localSheetId="57" hidden="1">'1003 4度C'!$A$4:$AE$4</definedName>
    <definedName name="_xlnm._FilterDatabase" localSheetId="55" hidden="1">'1004 4度C'!$A$4:$AE$4</definedName>
    <definedName name="_xlnm._FilterDatabase" localSheetId="53" hidden="1">'1005 4度C'!$A$4:$AE$4</definedName>
    <definedName name="_xlnm._FilterDatabase" localSheetId="51" hidden="1">'1006 4度C'!$A$4:$AE$4</definedName>
    <definedName name="_xlnm._FilterDatabase" localSheetId="49" hidden="1">'1007 4度C'!$A$4:$AE$4</definedName>
    <definedName name="_xlnm._FilterDatabase" localSheetId="47" hidden="1">'1008 4度C'!$A$4:$AE$4</definedName>
    <definedName name="_xlnm._FilterDatabase" localSheetId="45" hidden="1">'1009 4度C'!$A$4:$AE$4</definedName>
    <definedName name="_xlnm._FilterDatabase" localSheetId="43" hidden="1">'1010 4度C'!$A$4:$AE$4</definedName>
    <definedName name="_xlnm._FilterDatabase" localSheetId="41" hidden="1">'1011 4度C'!$A$4:$AE$4</definedName>
    <definedName name="_xlnm._FilterDatabase" localSheetId="39" hidden="1">'1012 4度C'!$A$4:$AE$4</definedName>
    <definedName name="_xlnm._FilterDatabase" localSheetId="37" hidden="1">'1013 4度C'!$A$4:$AE$4</definedName>
    <definedName name="_xlnm._FilterDatabase" localSheetId="35" hidden="1">'1014 4度C'!$A$4:$AE$4</definedName>
    <definedName name="_xlnm._FilterDatabase" localSheetId="33" hidden="1">'1015 4度C'!$A$4:$AE$4</definedName>
    <definedName name="_xlnm._FilterDatabase" localSheetId="31" hidden="1">'1016 4度C'!$A$4:$AE$4</definedName>
    <definedName name="_xlnm._FilterDatabase" localSheetId="29" hidden="1">'1017 4度C'!$A$4:$AE$4</definedName>
    <definedName name="_xlnm._FilterDatabase" localSheetId="27" hidden="1">'1018 4度C'!$A$4:$AE$4</definedName>
    <definedName name="_xlnm._FilterDatabase" localSheetId="25" hidden="1">'1019 4度C'!$A$4:$AE$4</definedName>
    <definedName name="_xlnm._FilterDatabase" localSheetId="23" hidden="1">'1020 4度C'!$A$4:$AE$4</definedName>
    <definedName name="_xlnm._FilterDatabase" localSheetId="21" hidden="1">'1021 4度C'!$A$4:$AE$4</definedName>
    <definedName name="_xlnm._FilterDatabase" localSheetId="19" hidden="1">'1022 4度C'!$A$4:$AE$4</definedName>
    <definedName name="_xlnm._FilterDatabase" localSheetId="17" hidden="1">'1023 4度C'!$A$4:$AE$4</definedName>
    <definedName name="_xlnm._FilterDatabase" localSheetId="15" hidden="1">'1024 4度C'!$A$4:$AE$4</definedName>
    <definedName name="_xlnm._FilterDatabase" localSheetId="13" hidden="1">'1025 4度C'!$A$4:$AE$4</definedName>
    <definedName name="_xlnm._FilterDatabase" localSheetId="11" hidden="1">'1026 4度C'!$A$4:$AE$4</definedName>
    <definedName name="_xlnm._FilterDatabase" localSheetId="9" hidden="1">'1027 4度C'!$A$4:$AE$4</definedName>
    <definedName name="_xlnm._FilterDatabase" localSheetId="7" hidden="1">'1028 4度C'!$A$4:$AE$4</definedName>
    <definedName name="_xlnm._FilterDatabase" localSheetId="5" hidden="1">'1029 4度C'!$A$4:$AE$4</definedName>
    <definedName name="_xlnm._FilterDatabase" localSheetId="3" hidden="1">'1030 4度C'!$A$4:$AE$4</definedName>
    <definedName name="_xlnm._FilterDatabase" localSheetId="1" hidden="1">'1031 4度C'!$A$4:$AE$4</definedName>
  </definedNames>
  <calcPr calcId="152511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O65" i="79" l="1"/>
  <c r="K65" i="79"/>
  <c r="V64" i="79"/>
  <c r="M64" i="79" s="1"/>
  <c r="U64" i="79"/>
  <c r="O64" i="79"/>
  <c r="K64" i="79"/>
  <c r="G64" i="79"/>
  <c r="AB63" i="79"/>
  <c r="AA63" i="79"/>
  <c r="V63" i="79"/>
  <c r="U63" i="79"/>
  <c r="O63" i="79"/>
  <c r="M63" i="79"/>
  <c r="N63" i="79" s="1"/>
  <c r="K63" i="79"/>
  <c r="G63" i="79"/>
  <c r="V62" i="79"/>
  <c r="M62" i="79" s="1"/>
  <c r="U62" i="79"/>
  <c r="O62" i="79"/>
  <c r="K62" i="79"/>
  <c r="G62" i="79"/>
  <c r="V61" i="79"/>
  <c r="M61" i="79" s="1"/>
  <c r="U61" i="79"/>
  <c r="O61" i="79"/>
  <c r="K61" i="79"/>
  <c r="G61" i="79"/>
  <c r="V60" i="79"/>
  <c r="U60" i="79"/>
  <c r="O60" i="79"/>
  <c r="N60" i="79"/>
  <c r="Q60" i="79" s="1"/>
  <c r="M60" i="79"/>
  <c r="AB60" i="79" s="1"/>
  <c r="K60" i="79"/>
  <c r="G60" i="79"/>
  <c r="V59" i="79"/>
  <c r="U59" i="79"/>
  <c r="O59" i="79"/>
  <c r="M59" i="79"/>
  <c r="AB59" i="79" s="1"/>
  <c r="K59" i="79"/>
  <c r="G59" i="79"/>
  <c r="X58" i="79"/>
  <c r="W58" i="79"/>
  <c r="V58" i="79"/>
  <c r="M58" i="79" s="1"/>
  <c r="O58" i="79"/>
  <c r="K58" i="79"/>
  <c r="G58" i="79"/>
  <c r="O57" i="79"/>
  <c r="K57" i="79"/>
  <c r="V56" i="79"/>
  <c r="U56" i="79"/>
  <c r="O56" i="79"/>
  <c r="M56" i="79"/>
  <c r="AB56" i="79" s="1"/>
  <c r="K56" i="79"/>
  <c r="G56" i="79"/>
  <c r="AB55" i="79"/>
  <c r="V55" i="79"/>
  <c r="U55" i="79"/>
  <c r="O55" i="79"/>
  <c r="M55" i="79"/>
  <c r="AA55" i="79" s="1"/>
  <c r="K55" i="79"/>
  <c r="G55" i="79"/>
  <c r="V54" i="79"/>
  <c r="M54" i="79" s="1"/>
  <c r="U54" i="79"/>
  <c r="O54" i="79"/>
  <c r="K54" i="79"/>
  <c r="G54" i="79"/>
  <c r="V53" i="79"/>
  <c r="M53" i="79" s="1"/>
  <c r="U53" i="79"/>
  <c r="O53" i="79"/>
  <c r="K53" i="79"/>
  <c r="G53" i="79"/>
  <c r="V52" i="79"/>
  <c r="M52" i="79" s="1"/>
  <c r="O52" i="79"/>
  <c r="K52" i="79"/>
  <c r="G52" i="79"/>
  <c r="O51" i="79"/>
  <c r="K51" i="79"/>
  <c r="V50" i="79"/>
  <c r="U50" i="79"/>
  <c r="O50" i="79"/>
  <c r="N50" i="79"/>
  <c r="Q50" i="79" s="1"/>
  <c r="M50" i="79"/>
  <c r="AB50" i="79" s="1"/>
  <c r="K50" i="79"/>
  <c r="G50" i="79"/>
  <c r="V49" i="79"/>
  <c r="U49" i="79"/>
  <c r="O49" i="79"/>
  <c r="M49" i="79"/>
  <c r="AB49" i="79" s="1"/>
  <c r="K49" i="79"/>
  <c r="G49" i="79"/>
  <c r="V48" i="79"/>
  <c r="U48" i="79"/>
  <c r="O48" i="79"/>
  <c r="M48" i="79"/>
  <c r="AB48" i="79" s="1"/>
  <c r="K48" i="79"/>
  <c r="G48" i="79"/>
  <c r="V47" i="79"/>
  <c r="M47" i="79" s="1"/>
  <c r="U47" i="79"/>
  <c r="O47" i="79"/>
  <c r="K47" i="79"/>
  <c r="G47" i="79"/>
  <c r="V46" i="79"/>
  <c r="M46" i="79" s="1"/>
  <c r="O46" i="79"/>
  <c r="K46" i="79"/>
  <c r="G46" i="79"/>
  <c r="O45" i="79"/>
  <c r="K45" i="79"/>
  <c r="V44" i="79"/>
  <c r="M44" i="79" s="1"/>
  <c r="U44" i="79"/>
  <c r="O44" i="79"/>
  <c r="K44" i="79"/>
  <c r="G44" i="79"/>
  <c r="X43" i="79"/>
  <c r="W43" i="79"/>
  <c r="V43" i="79"/>
  <c r="M43" i="79" s="1"/>
  <c r="U43" i="79"/>
  <c r="O43" i="79"/>
  <c r="K43" i="79"/>
  <c r="G43" i="79"/>
  <c r="V42" i="79"/>
  <c r="M42" i="79" s="1"/>
  <c r="U42" i="79"/>
  <c r="O42" i="79"/>
  <c r="K42" i="79"/>
  <c r="G42" i="79"/>
  <c r="AB41" i="79"/>
  <c r="AA41" i="79"/>
  <c r="V41" i="79"/>
  <c r="U41" i="79"/>
  <c r="O41" i="79"/>
  <c r="M41" i="79"/>
  <c r="N41" i="79" s="1"/>
  <c r="K41" i="79"/>
  <c r="G41" i="79"/>
  <c r="V40" i="79"/>
  <c r="M40" i="79" s="1"/>
  <c r="U40" i="79"/>
  <c r="O40" i="79"/>
  <c r="K40" i="79"/>
  <c r="G40" i="79"/>
  <c r="V39" i="79"/>
  <c r="M39" i="79" s="1"/>
  <c r="U39" i="79"/>
  <c r="O39" i="79"/>
  <c r="K39" i="79"/>
  <c r="G39" i="79"/>
  <c r="V38" i="79"/>
  <c r="U38" i="79"/>
  <c r="O38" i="79"/>
  <c r="N38" i="79"/>
  <c r="Q38" i="79" s="1"/>
  <c r="M38" i="79"/>
  <c r="AB38" i="79" s="1"/>
  <c r="K38" i="79"/>
  <c r="G38" i="79"/>
  <c r="X37" i="79"/>
  <c r="W37" i="79"/>
  <c r="V37" i="79"/>
  <c r="M37" i="79" s="1"/>
  <c r="O37" i="79"/>
  <c r="K37" i="79"/>
  <c r="G37" i="79"/>
  <c r="O36" i="79"/>
  <c r="K36" i="79"/>
  <c r="V35" i="79"/>
  <c r="M35" i="79" s="1"/>
  <c r="U35" i="79"/>
  <c r="O35" i="79"/>
  <c r="K35" i="79"/>
  <c r="G35" i="79"/>
  <c r="V34" i="79"/>
  <c r="U34" i="79"/>
  <c r="O34" i="79"/>
  <c r="M34" i="79"/>
  <c r="AB34" i="79" s="1"/>
  <c r="K34" i="79"/>
  <c r="G34" i="79"/>
  <c r="AB33" i="79"/>
  <c r="V33" i="79"/>
  <c r="U33" i="79"/>
  <c r="O33" i="79"/>
  <c r="M33" i="79"/>
  <c r="AA33" i="79" s="1"/>
  <c r="K33" i="79"/>
  <c r="G33" i="79"/>
  <c r="V32" i="79"/>
  <c r="M32" i="79" s="1"/>
  <c r="U32" i="79"/>
  <c r="O32" i="79"/>
  <c r="K32" i="79"/>
  <c r="G32" i="79"/>
  <c r="AA31" i="79"/>
  <c r="X31" i="79"/>
  <c r="W31" i="79"/>
  <c r="V31" i="79"/>
  <c r="O31" i="79"/>
  <c r="M31" i="79"/>
  <c r="N31" i="79" s="1"/>
  <c r="K31" i="79"/>
  <c r="G31" i="79"/>
  <c r="O30" i="79"/>
  <c r="K30" i="79"/>
  <c r="AB29" i="79"/>
  <c r="AA29" i="79"/>
  <c r="V29" i="79"/>
  <c r="U29" i="79"/>
  <c r="O29" i="79"/>
  <c r="M29" i="79"/>
  <c r="N29" i="79" s="1"/>
  <c r="K29" i="79"/>
  <c r="G29" i="79"/>
  <c r="X28" i="79"/>
  <c r="W28" i="79"/>
  <c r="V28" i="79"/>
  <c r="M28" i="79" s="1"/>
  <c r="U28" i="79"/>
  <c r="O28" i="79"/>
  <c r="K28" i="79"/>
  <c r="G28" i="79"/>
  <c r="AB27" i="79"/>
  <c r="AA27" i="79"/>
  <c r="V27" i="79"/>
  <c r="U27" i="79"/>
  <c r="O27" i="79"/>
  <c r="M27" i="79"/>
  <c r="N27" i="79" s="1"/>
  <c r="K27" i="79"/>
  <c r="G27" i="79"/>
  <c r="V26" i="79"/>
  <c r="M26" i="79" s="1"/>
  <c r="U26" i="79"/>
  <c r="O26" i="79"/>
  <c r="K26" i="79"/>
  <c r="G26" i="79"/>
  <c r="V25" i="79"/>
  <c r="M25" i="79" s="1"/>
  <c r="U25" i="79"/>
  <c r="O25" i="79"/>
  <c r="K25" i="79"/>
  <c r="G25" i="79"/>
  <c r="AB24" i="79"/>
  <c r="X24" i="79"/>
  <c r="W24" i="79"/>
  <c r="V24" i="79"/>
  <c r="O24" i="79"/>
  <c r="M24" i="79"/>
  <c r="N24" i="79" s="1"/>
  <c r="K24" i="79"/>
  <c r="G24" i="79"/>
  <c r="O23" i="79"/>
  <c r="K23" i="79"/>
  <c r="V22" i="79"/>
  <c r="U22" i="79"/>
  <c r="O22" i="79"/>
  <c r="M22" i="79"/>
  <c r="AB22" i="79" s="1"/>
  <c r="K22" i="79"/>
  <c r="G22" i="79"/>
  <c r="V21" i="79"/>
  <c r="M21" i="79" s="1"/>
  <c r="U21" i="79"/>
  <c r="O21" i="79"/>
  <c r="K21" i="79"/>
  <c r="G21" i="79"/>
  <c r="V20" i="79"/>
  <c r="U20" i="79"/>
  <c r="O20" i="79"/>
  <c r="M20" i="79"/>
  <c r="AB20" i="79" s="1"/>
  <c r="K20" i="79"/>
  <c r="G20" i="79"/>
  <c r="AB19" i="79"/>
  <c r="V19" i="79"/>
  <c r="U19" i="79"/>
  <c r="O19" i="79"/>
  <c r="M19" i="79"/>
  <c r="AA19" i="79" s="1"/>
  <c r="K19" i="79"/>
  <c r="G19" i="79"/>
  <c r="AB18" i="79"/>
  <c r="V18" i="79"/>
  <c r="O18" i="79"/>
  <c r="M18" i="79"/>
  <c r="K18" i="79"/>
  <c r="G18" i="79"/>
  <c r="O17" i="79"/>
  <c r="K17" i="79"/>
  <c r="V16" i="79"/>
  <c r="M16" i="79" s="1"/>
  <c r="U16" i="79"/>
  <c r="O16" i="79"/>
  <c r="K16" i="79"/>
  <c r="G16" i="79"/>
  <c r="V15" i="79"/>
  <c r="M15" i="79" s="1"/>
  <c r="U15" i="79"/>
  <c r="O15" i="79"/>
  <c r="K15" i="79"/>
  <c r="G15" i="79"/>
  <c r="V14" i="79"/>
  <c r="U14" i="79"/>
  <c r="O14" i="79"/>
  <c r="N14" i="79"/>
  <c r="Q14" i="79" s="1"/>
  <c r="M14" i="79"/>
  <c r="AB14" i="79" s="1"/>
  <c r="K14" i="79"/>
  <c r="G14" i="79"/>
  <c r="V13" i="79"/>
  <c r="U13" i="79"/>
  <c r="O13" i="79"/>
  <c r="M13" i="79"/>
  <c r="AB13" i="79" s="1"/>
  <c r="K13" i="79"/>
  <c r="G13" i="79"/>
  <c r="X12" i="79"/>
  <c r="W12" i="79"/>
  <c r="V12" i="79"/>
  <c r="M12" i="79" s="1"/>
  <c r="O12" i="79"/>
  <c r="K12" i="79"/>
  <c r="G12" i="79"/>
  <c r="O11" i="79"/>
  <c r="K11" i="79"/>
  <c r="V10" i="79"/>
  <c r="U10" i="79"/>
  <c r="O10" i="79"/>
  <c r="M10" i="79"/>
  <c r="AB10" i="79" s="1"/>
  <c r="K10" i="79"/>
  <c r="G10" i="79"/>
  <c r="V9" i="79"/>
  <c r="O9" i="79"/>
  <c r="M9" i="79"/>
  <c r="AB9" i="79" s="1"/>
  <c r="K9" i="79"/>
  <c r="G9" i="79"/>
  <c r="O8" i="79"/>
  <c r="K8" i="79"/>
  <c r="AB7" i="79"/>
  <c r="AA7" i="79"/>
  <c r="V7" i="79"/>
  <c r="U7" i="79"/>
  <c r="O7" i="79"/>
  <c r="M7" i="79"/>
  <c r="N7" i="79" s="1"/>
  <c r="K7" i="79"/>
  <c r="G7" i="79"/>
  <c r="V6" i="79"/>
  <c r="M6" i="79" s="1"/>
  <c r="U6" i="79"/>
  <c r="O6" i="79"/>
  <c r="K6" i="79"/>
  <c r="G6" i="79"/>
  <c r="V5" i="79"/>
  <c r="M5" i="79" s="1"/>
  <c r="O5" i="79"/>
  <c r="K5" i="79"/>
  <c r="G5" i="79"/>
  <c r="F1" i="79" s="1"/>
  <c r="H2" i="79"/>
  <c r="H1" i="79"/>
  <c r="D1" i="79"/>
  <c r="M18" i="78"/>
  <c r="L18" i="78"/>
  <c r="K18" i="78"/>
  <c r="J18" i="78"/>
  <c r="I18" i="78"/>
  <c r="H18" i="78"/>
  <c r="G18" i="78"/>
  <c r="F18" i="78"/>
  <c r="E18" i="78"/>
  <c r="D18" i="78"/>
  <c r="M17" i="78"/>
  <c r="L17" i="78"/>
  <c r="K17" i="78"/>
  <c r="J17" i="78"/>
  <c r="I17" i="78"/>
  <c r="H17" i="78"/>
  <c r="G17" i="78"/>
  <c r="F17" i="78"/>
  <c r="E17" i="78"/>
  <c r="D17" i="78"/>
  <c r="M16" i="78"/>
  <c r="L16" i="78"/>
  <c r="K16" i="78"/>
  <c r="J16" i="78"/>
  <c r="I16" i="78"/>
  <c r="H16" i="78"/>
  <c r="G16" i="78"/>
  <c r="F16" i="78"/>
  <c r="E16" i="78"/>
  <c r="D16" i="78"/>
  <c r="M13" i="78"/>
  <c r="L13" i="78"/>
  <c r="K13" i="78"/>
  <c r="I6" i="78" s="1"/>
  <c r="J13" i="78"/>
  <c r="I13" i="78"/>
  <c r="H13" i="78"/>
  <c r="G13" i="78"/>
  <c r="F13" i="78"/>
  <c r="E13" i="78"/>
  <c r="D13" i="78"/>
  <c r="G6" i="78" s="1"/>
  <c r="F3" i="78"/>
  <c r="C3" i="78"/>
  <c r="N40" i="79" l="1"/>
  <c r="AB40" i="79"/>
  <c r="AA40" i="79"/>
  <c r="AB21" i="79"/>
  <c r="AA21" i="79"/>
  <c r="N21" i="79"/>
  <c r="N44" i="79"/>
  <c r="AB44" i="79"/>
  <c r="AA44" i="79"/>
  <c r="N5" i="79"/>
  <c r="M8" i="79"/>
  <c r="AB5" i="79"/>
  <c r="AA5" i="79"/>
  <c r="N28" i="79"/>
  <c r="AB28" i="79"/>
  <c r="AA28" i="79"/>
  <c r="N37" i="79"/>
  <c r="AB37" i="79"/>
  <c r="AA37" i="79"/>
  <c r="M45" i="79"/>
  <c r="P27" i="79"/>
  <c r="Q27" i="79"/>
  <c r="N58" i="79"/>
  <c r="AB58" i="79"/>
  <c r="AA58" i="79"/>
  <c r="M65" i="79"/>
  <c r="N39" i="79"/>
  <c r="AB39" i="79"/>
  <c r="AA39" i="79"/>
  <c r="F2" i="79"/>
  <c r="I3" i="78"/>
  <c r="N16" i="79"/>
  <c r="AB16" i="79"/>
  <c r="AA16" i="79"/>
  <c r="AB35" i="79"/>
  <c r="AA35" i="79"/>
  <c r="N35" i="79"/>
  <c r="N54" i="79"/>
  <c r="AB54" i="79"/>
  <c r="AA54" i="79"/>
  <c r="AB47" i="79"/>
  <c r="AA47" i="79"/>
  <c r="N47" i="79"/>
  <c r="N52" i="79"/>
  <c r="AB52" i="79"/>
  <c r="M57" i="79"/>
  <c r="AA52" i="79"/>
  <c r="N61" i="79"/>
  <c r="AB61" i="79"/>
  <c r="AA61" i="79"/>
  <c r="N26" i="79"/>
  <c r="AB26" i="79"/>
  <c r="AA26" i="79"/>
  <c r="P41" i="79"/>
  <c r="Q41" i="79"/>
  <c r="N62" i="79"/>
  <c r="AB62" i="79"/>
  <c r="AA62" i="79"/>
  <c r="N64" i="79"/>
  <c r="AB64" i="79"/>
  <c r="AA64" i="79"/>
  <c r="P24" i="79"/>
  <c r="Q24" i="79"/>
  <c r="N42" i="79"/>
  <c r="AB42" i="79"/>
  <c r="AA42" i="79"/>
  <c r="M23" i="79"/>
  <c r="N32" i="79"/>
  <c r="AB32" i="79"/>
  <c r="M36" i="79"/>
  <c r="AA32" i="79"/>
  <c r="N15" i="79"/>
  <c r="AB15" i="79"/>
  <c r="AA15" i="79"/>
  <c r="N43" i="79"/>
  <c r="AB43" i="79"/>
  <c r="AA43" i="79"/>
  <c r="N53" i="79"/>
  <c r="AB53" i="79"/>
  <c r="AA53" i="79"/>
  <c r="N6" i="79"/>
  <c r="AB6" i="79"/>
  <c r="AA6" i="79"/>
  <c r="Q31" i="79"/>
  <c r="P31" i="79"/>
  <c r="AB46" i="79"/>
  <c r="M51" i="79"/>
  <c r="AA46" i="79"/>
  <c r="N46" i="79"/>
  <c r="P29" i="79"/>
  <c r="Q29" i="79"/>
  <c r="P7" i="79"/>
  <c r="Q7" i="79"/>
  <c r="N12" i="79"/>
  <c r="AB12" i="79"/>
  <c r="M17" i="79"/>
  <c r="AA12" i="79"/>
  <c r="N25" i="79"/>
  <c r="AB25" i="79"/>
  <c r="AA25" i="79"/>
  <c r="P63" i="79"/>
  <c r="Q63" i="79"/>
  <c r="M11" i="79"/>
  <c r="N13" i="79"/>
  <c r="AB31" i="79"/>
  <c r="N49" i="79"/>
  <c r="N59" i="79"/>
  <c r="P14" i="79"/>
  <c r="N22" i="79"/>
  <c r="P38" i="79"/>
  <c r="N48" i="79"/>
  <c r="P50" i="79"/>
  <c r="P60" i="79"/>
  <c r="E6" i="78"/>
  <c r="F6" i="78"/>
  <c r="N9" i="79"/>
  <c r="N10" i="79"/>
  <c r="N20" i="79"/>
  <c r="N34" i="79"/>
  <c r="N56" i="79"/>
  <c r="N18" i="79"/>
  <c r="N19" i="79"/>
  <c r="AA24" i="79"/>
  <c r="N33" i="79"/>
  <c r="N55" i="79"/>
  <c r="AA14" i="79"/>
  <c r="M30" i="79"/>
  <c r="AA38" i="79"/>
  <c r="AA50" i="79"/>
  <c r="AA60" i="79"/>
  <c r="AA13" i="79"/>
  <c r="AA49" i="79"/>
  <c r="AA59" i="79"/>
  <c r="AA22" i="79"/>
  <c r="AA48" i="79"/>
  <c r="AA9" i="79"/>
  <c r="AA10" i="79"/>
  <c r="AA20" i="79"/>
  <c r="AA34" i="79"/>
  <c r="AA56" i="79"/>
  <c r="AA18" i="79"/>
  <c r="X28" i="77"/>
  <c r="W28" i="77"/>
  <c r="N17" i="79" l="1"/>
  <c r="AB17" i="79"/>
  <c r="AC12" i="79" s="1"/>
  <c r="AA17" i="79"/>
  <c r="Q64" i="79"/>
  <c r="P64" i="79"/>
  <c r="Q58" i="79"/>
  <c r="P58" i="79"/>
  <c r="AA8" i="79"/>
  <c r="N8" i="79"/>
  <c r="AB8" i="79"/>
  <c r="AC5" i="79" s="1"/>
  <c r="Q12" i="79"/>
  <c r="P12" i="79"/>
  <c r="AB36" i="79"/>
  <c r="AC31" i="79" s="1"/>
  <c r="AA36" i="79"/>
  <c r="N36" i="79"/>
  <c r="AB57" i="79"/>
  <c r="AC52" i="79" s="1"/>
  <c r="AA57" i="79"/>
  <c r="N57" i="79"/>
  <c r="Q5" i="79"/>
  <c r="P5" i="79"/>
  <c r="Q6" i="79"/>
  <c r="P6" i="79"/>
  <c r="Q59" i="79"/>
  <c r="P59" i="79"/>
  <c r="Q10" i="79"/>
  <c r="P10" i="79"/>
  <c r="Q9" i="79"/>
  <c r="P9" i="79"/>
  <c r="Q13" i="79"/>
  <c r="P13" i="79"/>
  <c r="Q32" i="79"/>
  <c r="P32" i="79"/>
  <c r="Q62" i="79"/>
  <c r="P62" i="79"/>
  <c r="Q52" i="79"/>
  <c r="P52" i="79"/>
  <c r="Q16" i="79"/>
  <c r="P16" i="79"/>
  <c r="AB45" i="79"/>
  <c r="AC37" i="79" s="1"/>
  <c r="AA45" i="79"/>
  <c r="N45" i="79"/>
  <c r="AB23" i="79"/>
  <c r="AC18" i="79" s="1"/>
  <c r="AA23" i="79"/>
  <c r="N23" i="79"/>
  <c r="Q47" i="79"/>
  <c r="P47" i="79"/>
  <c r="Q44" i="79"/>
  <c r="P44" i="79"/>
  <c r="Q15" i="79"/>
  <c r="P15" i="79"/>
  <c r="Q49" i="79"/>
  <c r="P49" i="79"/>
  <c r="Q53" i="79"/>
  <c r="P53" i="79"/>
  <c r="Q21" i="79"/>
  <c r="P21" i="79"/>
  <c r="Q55" i="79"/>
  <c r="P55" i="79"/>
  <c r="Q46" i="79"/>
  <c r="P46" i="79"/>
  <c r="Q37" i="79"/>
  <c r="P37" i="79"/>
  <c r="Q34" i="79"/>
  <c r="P34" i="79"/>
  <c r="AA30" i="79"/>
  <c r="N30" i="79"/>
  <c r="AB30" i="79"/>
  <c r="AC24" i="79" s="1"/>
  <c r="Q33" i="79"/>
  <c r="P33" i="79"/>
  <c r="Q42" i="79"/>
  <c r="P42" i="79"/>
  <c r="Q61" i="79"/>
  <c r="P61" i="79"/>
  <c r="Q20" i="79"/>
  <c r="P20" i="79"/>
  <c r="Q48" i="79"/>
  <c r="P48" i="79"/>
  <c r="N51" i="79"/>
  <c r="AB51" i="79"/>
  <c r="AC46" i="79" s="1"/>
  <c r="AA51" i="79"/>
  <c r="Q43" i="79"/>
  <c r="P43" i="79"/>
  <c r="Q26" i="79"/>
  <c r="P26" i="79"/>
  <c r="Q39" i="79"/>
  <c r="P39" i="79"/>
  <c r="Q56" i="79"/>
  <c r="P56" i="79"/>
  <c r="AB11" i="79"/>
  <c r="AC9" i="79" s="1"/>
  <c r="AA11" i="79"/>
  <c r="N11" i="79"/>
  <c r="Q19" i="79"/>
  <c r="P19" i="79"/>
  <c r="Q25" i="79"/>
  <c r="P25" i="79"/>
  <c r="Q54" i="79"/>
  <c r="P54" i="79"/>
  <c r="AB65" i="79"/>
  <c r="AC58" i="79" s="1"/>
  <c r="AA65" i="79"/>
  <c r="N65" i="79"/>
  <c r="Q28" i="79"/>
  <c r="P28" i="79"/>
  <c r="Q18" i="79"/>
  <c r="P18" i="79"/>
  <c r="Q22" i="79"/>
  <c r="P22" i="79"/>
  <c r="Q35" i="79"/>
  <c r="P35" i="79"/>
  <c r="Q40" i="79"/>
  <c r="P40" i="79"/>
  <c r="O74" i="77"/>
  <c r="K74" i="77"/>
  <c r="V73" i="77"/>
  <c r="U73" i="77"/>
  <c r="O73" i="77"/>
  <c r="M73" i="77"/>
  <c r="N73" i="77" s="1"/>
  <c r="K73" i="77"/>
  <c r="G73" i="77"/>
  <c r="AB72" i="77"/>
  <c r="X72" i="77"/>
  <c r="W72" i="77"/>
  <c r="V72" i="77"/>
  <c r="U72" i="77"/>
  <c r="O72" i="77"/>
  <c r="N72" i="77"/>
  <c r="Q72" i="77" s="1"/>
  <c r="M72" i="77"/>
  <c r="AA72" i="77" s="1"/>
  <c r="K72" i="77"/>
  <c r="G72" i="77"/>
  <c r="V71" i="77"/>
  <c r="U71" i="77"/>
  <c r="O71" i="77"/>
  <c r="M71" i="77"/>
  <c r="N71" i="77" s="1"/>
  <c r="K71" i="77"/>
  <c r="G71" i="77"/>
  <c r="AB70" i="77"/>
  <c r="V70" i="77"/>
  <c r="U70" i="77"/>
  <c r="O70" i="77"/>
  <c r="M70" i="77"/>
  <c r="N70" i="77" s="1"/>
  <c r="K70" i="77"/>
  <c r="G70" i="77"/>
  <c r="V69" i="77"/>
  <c r="M69" i="77" s="1"/>
  <c r="U69" i="77"/>
  <c r="O69" i="77"/>
  <c r="K69" i="77"/>
  <c r="G69" i="77"/>
  <c r="V68" i="77"/>
  <c r="M68" i="77" s="1"/>
  <c r="U68" i="77"/>
  <c r="O68" i="77"/>
  <c r="K68" i="77"/>
  <c r="G68" i="77"/>
  <c r="AB67" i="77"/>
  <c r="V67" i="77"/>
  <c r="U67" i="77"/>
  <c r="O67" i="77"/>
  <c r="M67" i="77"/>
  <c r="AA67" i="77" s="1"/>
  <c r="K67" i="77"/>
  <c r="G67" i="77"/>
  <c r="X66" i="77"/>
  <c r="W66" i="77"/>
  <c r="V66" i="77"/>
  <c r="M66" i="77" s="1"/>
  <c r="O66" i="77"/>
  <c r="K66" i="77"/>
  <c r="G66" i="77"/>
  <c r="O65" i="77"/>
  <c r="K65" i="77"/>
  <c r="V64" i="77"/>
  <c r="M64" i="77" s="1"/>
  <c r="U64" i="77"/>
  <c r="O64" i="77"/>
  <c r="K64" i="77"/>
  <c r="G64" i="77"/>
  <c r="AB63" i="77"/>
  <c r="V63" i="77"/>
  <c r="U63" i="77"/>
  <c r="Q63" i="77"/>
  <c r="O63" i="77"/>
  <c r="N63" i="77"/>
  <c r="P63" i="77" s="1"/>
  <c r="M63" i="77"/>
  <c r="AA63" i="77" s="1"/>
  <c r="K63" i="77"/>
  <c r="G63" i="77"/>
  <c r="V62" i="77"/>
  <c r="U62" i="77"/>
  <c r="O62" i="77"/>
  <c r="M62" i="77"/>
  <c r="AA62" i="77" s="1"/>
  <c r="K62" i="77"/>
  <c r="G62" i="77"/>
  <c r="V61" i="77"/>
  <c r="M61" i="77" s="1"/>
  <c r="U61" i="77"/>
  <c r="O61" i="77"/>
  <c r="K61" i="77"/>
  <c r="G61" i="77"/>
  <c r="V60" i="77"/>
  <c r="M60" i="77" s="1"/>
  <c r="O60" i="77"/>
  <c r="K60" i="77"/>
  <c r="G60" i="77"/>
  <c r="O59" i="77"/>
  <c r="K59" i="77"/>
  <c r="V58" i="77"/>
  <c r="M58" i="77" s="1"/>
  <c r="U58" i="77"/>
  <c r="O58" i="77"/>
  <c r="K58" i="77"/>
  <c r="G58" i="77"/>
  <c r="X57" i="77"/>
  <c r="W57" i="77"/>
  <c r="V57" i="77"/>
  <c r="M57" i="77" s="1"/>
  <c r="U57" i="77"/>
  <c r="O57" i="77"/>
  <c r="K57" i="77"/>
  <c r="G57" i="77"/>
  <c r="V56" i="77"/>
  <c r="M56" i="77" s="1"/>
  <c r="U56" i="77"/>
  <c r="O56" i="77"/>
  <c r="K56" i="77"/>
  <c r="G56" i="77"/>
  <c r="AB55" i="77"/>
  <c r="V55" i="77"/>
  <c r="U55" i="77"/>
  <c r="O55" i="77"/>
  <c r="M55" i="77"/>
  <c r="AA55" i="77" s="1"/>
  <c r="K55" i="77"/>
  <c r="G55" i="77"/>
  <c r="AA54" i="77"/>
  <c r="V54" i="77"/>
  <c r="U54" i="77"/>
  <c r="O54" i="77"/>
  <c r="M54" i="77"/>
  <c r="AB54" i="77" s="1"/>
  <c r="K54" i="77"/>
  <c r="G54" i="77"/>
  <c r="AA53" i="77"/>
  <c r="V53" i="77"/>
  <c r="O53" i="77"/>
  <c r="M53" i="77"/>
  <c r="K53" i="77"/>
  <c r="G53" i="77"/>
  <c r="O52" i="77"/>
  <c r="K52" i="77"/>
  <c r="V51" i="77"/>
  <c r="M51" i="77" s="1"/>
  <c r="U51" i="77"/>
  <c r="O51" i="77"/>
  <c r="K51" i="77"/>
  <c r="G51" i="77"/>
  <c r="V50" i="77"/>
  <c r="M50" i="77" s="1"/>
  <c r="U50" i="77"/>
  <c r="O50" i="77"/>
  <c r="K50" i="77"/>
  <c r="G50" i="77"/>
  <c r="V49" i="77"/>
  <c r="U49" i="77"/>
  <c r="O49" i="77"/>
  <c r="M49" i="77"/>
  <c r="N49" i="77" s="1"/>
  <c r="K49" i="77"/>
  <c r="G49" i="77"/>
  <c r="F1" i="77" s="1"/>
  <c r="X48" i="77"/>
  <c r="W48" i="77"/>
  <c r="V48" i="77"/>
  <c r="M48" i="77" s="1"/>
  <c r="U48" i="77"/>
  <c r="O48" i="77"/>
  <c r="K48" i="77"/>
  <c r="G48" i="77"/>
  <c r="V47" i="77"/>
  <c r="U47" i="77"/>
  <c r="O47" i="77"/>
  <c r="M47" i="77"/>
  <c r="N47" i="77" s="1"/>
  <c r="K47" i="77"/>
  <c r="G47" i="77"/>
  <c r="V46" i="77"/>
  <c r="M46" i="77" s="1"/>
  <c r="U46" i="77"/>
  <c r="O46" i="77"/>
  <c r="K46" i="77"/>
  <c r="G46" i="77"/>
  <c r="V45" i="77"/>
  <c r="M45" i="77" s="1"/>
  <c r="U45" i="77"/>
  <c r="O45" i="77"/>
  <c r="K45" i="77"/>
  <c r="G45" i="77"/>
  <c r="V44" i="77"/>
  <c r="M44" i="77" s="1"/>
  <c r="U44" i="77"/>
  <c r="O44" i="77"/>
  <c r="K44" i="77"/>
  <c r="G44" i="77"/>
  <c r="AB43" i="77"/>
  <c r="V43" i="77"/>
  <c r="U43" i="77"/>
  <c r="O43" i="77"/>
  <c r="M43" i="77"/>
  <c r="AA43" i="77" s="1"/>
  <c r="K43" i="77"/>
  <c r="G43" i="77"/>
  <c r="X42" i="77"/>
  <c r="W42" i="77"/>
  <c r="V42" i="77"/>
  <c r="M42" i="77" s="1"/>
  <c r="O42" i="77"/>
  <c r="K42" i="77"/>
  <c r="G42" i="77"/>
  <c r="O41" i="77"/>
  <c r="K41" i="77"/>
  <c r="V40" i="77"/>
  <c r="U40" i="77"/>
  <c r="O40" i="77"/>
  <c r="N40" i="77"/>
  <c r="Q40" i="77" s="1"/>
  <c r="M40" i="77"/>
  <c r="AB40" i="77" s="1"/>
  <c r="K40" i="77"/>
  <c r="G40" i="77"/>
  <c r="AB39" i="77"/>
  <c r="V39" i="77"/>
  <c r="U39" i="77"/>
  <c r="Q39" i="77"/>
  <c r="O39" i="77"/>
  <c r="N39" i="77"/>
  <c r="P39" i="77" s="1"/>
  <c r="M39" i="77"/>
  <c r="AA39" i="77" s="1"/>
  <c r="K39" i="77"/>
  <c r="G39" i="77"/>
  <c r="V38" i="77"/>
  <c r="U38" i="77"/>
  <c r="O38" i="77"/>
  <c r="M38" i="77"/>
  <c r="AA38" i="77" s="1"/>
  <c r="K38" i="77"/>
  <c r="G38" i="77"/>
  <c r="X37" i="77"/>
  <c r="W37" i="77"/>
  <c r="V37" i="77"/>
  <c r="U37" i="77"/>
  <c r="Q37" i="77"/>
  <c r="O37" i="77"/>
  <c r="N37" i="77"/>
  <c r="P37" i="77" s="1"/>
  <c r="M37" i="77"/>
  <c r="AB37" i="77" s="1"/>
  <c r="K37" i="77"/>
  <c r="G37" i="77"/>
  <c r="V36" i="77"/>
  <c r="U36" i="77"/>
  <c r="O36" i="77"/>
  <c r="M36" i="77"/>
  <c r="AA36" i="77" s="1"/>
  <c r="K36" i="77"/>
  <c r="G36" i="77"/>
  <c r="V35" i="77"/>
  <c r="M35" i="77" s="1"/>
  <c r="U35" i="77"/>
  <c r="O35" i="77"/>
  <c r="K35" i="77"/>
  <c r="G35" i="77"/>
  <c r="V34" i="77"/>
  <c r="M34" i="77" s="1"/>
  <c r="U34" i="77"/>
  <c r="O34" i="77"/>
  <c r="K34" i="77"/>
  <c r="G34" i="77"/>
  <c r="X33" i="77"/>
  <c r="W33" i="77"/>
  <c r="V33" i="77"/>
  <c r="O33" i="77"/>
  <c r="M33" i="77"/>
  <c r="N33" i="77" s="1"/>
  <c r="K33" i="77"/>
  <c r="G33" i="77"/>
  <c r="O32" i="77"/>
  <c r="K32" i="77"/>
  <c r="V31" i="77"/>
  <c r="M31" i="77" s="1"/>
  <c r="U31" i="77"/>
  <c r="O31" i="77"/>
  <c r="K31" i="77"/>
  <c r="G31" i="77"/>
  <c r="V30" i="77"/>
  <c r="M30" i="77" s="1"/>
  <c r="U30" i="77"/>
  <c r="O30" i="77"/>
  <c r="K30" i="77"/>
  <c r="G30" i="77"/>
  <c r="AB29" i="77"/>
  <c r="V29" i="77"/>
  <c r="U29" i="77"/>
  <c r="O29" i="77"/>
  <c r="M29" i="77"/>
  <c r="AA29" i="77" s="1"/>
  <c r="K29" i="77"/>
  <c r="G29" i="77"/>
  <c r="AA28" i="77"/>
  <c r="V28" i="77"/>
  <c r="U28" i="77"/>
  <c r="O28" i="77"/>
  <c r="M28" i="77"/>
  <c r="AB28" i="77" s="1"/>
  <c r="K28" i="77"/>
  <c r="G28" i="77"/>
  <c r="V27" i="77"/>
  <c r="M27" i="77" s="1"/>
  <c r="U27" i="77"/>
  <c r="O27" i="77"/>
  <c r="K27" i="77"/>
  <c r="G27" i="77"/>
  <c r="V26" i="77"/>
  <c r="U26" i="77"/>
  <c r="O26" i="77"/>
  <c r="N26" i="77"/>
  <c r="Q26" i="77" s="1"/>
  <c r="M26" i="77"/>
  <c r="AB26" i="77" s="1"/>
  <c r="K26" i="77"/>
  <c r="G26" i="77"/>
  <c r="AB25" i="77"/>
  <c r="V25" i="77"/>
  <c r="U25" i="77"/>
  <c r="Q25" i="77"/>
  <c r="O25" i="77"/>
  <c r="N25" i="77"/>
  <c r="P25" i="77" s="1"/>
  <c r="M25" i="77"/>
  <c r="AA25" i="77" s="1"/>
  <c r="K25" i="77"/>
  <c r="G25" i="77"/>
  <c r="X24" i="77"/>
  <c r="W24" i="77"/>
  <c r="V24" i="77"/>
  <c r="M24" i="77" s="1"/>
  <c r="O24" i="77"/>
  <c r="K24" i="77"/>
  <c r="G24" i="77"/>
  <c r="O23" i="77"/>
  <c r="K23" i="77"/>
  <c r="V22" i="77"/>
  <c r="M22" i="77" s="1"/>
  <c r="U22" i="77"/>
  <c r="O22" i="77"/>
  <c r="K22" i="77"/>
  <c r="G22" i="77"/>
  <c r="V21" i="77"/>
  <c r="U21" i="77"/>
  <c r="O21" i="77"/>
  <c r="M21" i="77"/>
  <c r="N21" i="77" s="1"/>
  <c r="K21" i="77"/>
  <c r="G21" i="77"/>
  <c r="V20" i="77"/>
  <c r="M20" i="77" s="1"/>
  <c r="U20" i="77"/>
  <c r="O20" i="77"/>
  <c r="K20" i="77"/>
  <c r="G20" i="77"/>
  <c r="V19" i="77"/>
  <c r="M19" i="77" s="1"/>
  <c r="U19" i="77"/>
  <c r="O19" i="77"/>
  <c r="K19" i="77"/>
  <c r="G19" i="77"/>
  <c r="V18" i="77"/>
  <c r="M18" i="77" s="1"/>
  <c r="O18" i="77"/>
  <c r="K18" i="77"/>
  <c r="G18" i="77"/>
  <c r="O17" i="77"/>
  <c r="K17" i="77"/>
  <c r="V16" i="77"/>
  <c r="U16" i="77"/>
  <c r="O16" i="77"/>
  <c r="N16" i="77"/>
  <c r="Q16" i="77" s="1"/>
  <c r="M16" i="77"/>
  <c r="AB16" i="77" s="1"/>
  <c r="K16" i="77"/>
  <c r="G16" i="77"/>
  <c r="AB15" i="77"/>
  <c r="V15" i="77"/>
  <c r="U15" i="77"/>
  <c r="Q15" i="77"/>
  <c r="O15" i="77"/>
  <c r="N15" i="77"/>
  <c r="P15" i="77" s="1"/>
  <c r="M15" i="77"/>
  <c r="AA15" i="77" s="1"/>
  <c r="K15" i="77"/>
  <c r="G15" i="77"/>
  <c r="V14" i="77"/>
  <c r="U14" i="77"/>
  <c r="O14" i="77"/>
  <c r="M14" i="77"/>
  <c r="AA14" i="77" s="1"/>
  <c r="K14" i="77"/>
  <c r="G14" i="77"/>
  <c r="V13" i="77"/>
  <c r="M13" i="77" s="1"/>
  <c r="U13" i="77"/>
  <c r="O13" i="77"/>
  <c r="K13" i="77"/>
  <c r="G13" i="77"/>
  <c r="AA12" i="77"/>
  <c r="X12" i="77"/>
  <c r="W12" i="77"/>
  <c r="V12" i="77"/>
  <c r="Q12" i="77"/>
  <c r="O12" i="77"/>
  <c r="N12" i="77"/>
  <c r="P12" i="77" s="1"/>
  <c r="M12" i="77"/>
  <c r="AB12" i="77" s="1"/>
  <c r="K12" i="77"/>
  <c r="G12" i="77"/>
  <c r="O11" i="77"/>
  <c r="K11" i="77"/>
  <c r="AB10" i="77"/>
  <c r="V10" i="77"/>
  <c r="U10" i="77"/>
  <c r="O10" i="77"/>
  <c r="M10" i="77"/>
  <c r="N10" i="77" s="1"/>
  <c r="K10" i="77"/>
  <c r="G10" i="77"/>
  <c r="AB9" i="77"/>
  <c r="V9" i="77"/>
  <c r="O9" i="77"/>
  <c r="M9" i="77"/>
  <c r="N9" i="77" s="1"/>
  <c r="K9" i="77"/>
  <c r="G9" i="77"/>
  <c r="O8" i="77"/>
  <c r="K8" i="77"/>
  <c r="V7" i="77"/>
  <c r="M7" i="77" s="1"/>
  <c r="U7" i="77"/>
  <c r="O7" i="77"/>
  <c r="K7" i="77"/>
  <c r="G7" i="77"/>
  <c r="V6" i="77"/>
  <c r="M6" i="77" s="1"/>
  <c r="U6" i="77"/>
  <c r="O6" i="77"/>
  <c r="K6" i="77"/>
  <c r="G6" i="77"/>
  <c r="V5" i="77"/>
  <c r="M5" i="77" s="1"/>
  <c r="O5" i="77"/>
  <c r="K5" i="77"/>
  <c r="G5" i="77"/>
  <c r="H2" i="77"/>
  <c r="H1" i="77"/>
  <c r="D1" i="77"/>
  <c r="M18" i="76"/>
  <c r="L18" i="76"/>
  <c r="K18" i="76"/>
  <c r="J18" i="76"/>
  <c r="I18" i="76"/>
  <c r="H18" i="76"/>
  <c r="G18" i="76"/>
  <c r="F18" i="76"/>
  <c r="E18" i="76"/>
  <c r="D18" i="76"/>
  <c r="M17" i="76"/>
  <c r="L17" i="76"/>
  <c r="K17" i="76"/>
  <c r="J17" i="76"/>
  <c r="I17" i="76"/>
  <c r="H17" i="76"/>
  <c r="G17" i="76"/>
  <c r="F17" i="76"/>
  <c r="E17" i="76"/>
  <c r="D17" i="76"/>
  <c r="M16" i="76"/>
  <c r="L16" i="76"/>
  <c r="K16" i="76"/>
  <c r="J16" i="76"/>
  <c r="I16" i="76"/>
  <c r="H16" i="76"/>
  <c r="G16" i="76"/>
  <c r="F16" i="76"/>
  <c r="E16" i="76"/>
  <c r="D16" i="76"/>
  <c r="M13" i="76"/>
  <c r="L13" i="76"/>
  <c r="K13" i="76"/>
  <c r="I6" i="76" s="1"/>
  <c r="J13" i="76"/>
  <c r="I13" i="76"/>
  <c r="H13" i="76"/>
  <c r="G13" i="76"/>
  <c r="F13" i="76"/>
  <c r="E13" i="76"/>
  <c r="D13" i="76"/>
  <c r="G6" i="76" s="1"/>
  <c r="F3" i="76"/>
  <c r="C3" i="76"/>
  <c r="F2" i="77" l="1"/>
  <c r="I3" i="76"/>
  <c r="Q8" i="79"/>
  <c r="R5" i="79" s="1"/>
  <c r="P8" i="79"/>
  <c r="D2" i="79"/>
  <c r="D14" i="78"/>
  <c r="Q23" i="79"/>
  <c r="R18" i="79" s="1"/>
  <c r="G14" i="78"/>
  <c r="G15" i="78" s="1"/>
  <c r="P23" i="79"/>
  <c r="Q11" i="79"/>
  <c r="R9" i="79" s="1"/>
  <c r="P11" i="79"/>
  <c r="E14" i="78"/>
  <c r="E15" i="78" s="1"/>
  <c r="I14" i="78"/>
  <c r="I15" i="78" s="1"/>
  <c r="Q51" i="79"/>
  <c r="R46" i="79" s="1"/>
  <c r="P51" i="79"/>
  <c r="Q30" i="79"/>
  <c r="R24" i="79" s="1"/>
  <c r="P30" i="79"/>
  <c r="K14" i="78"/>
  <c r="Q57" i="79"/>
  <c r="R52" i="79" s="1"/>
  <c r="P57" i="79"/>
  <c r="J14" i="78"/>
  <c r="J15" i="78" s="1"/>
  <c r="Q45" i="79"/>
  <c r="R37" i="79" s="1"/>
  <c r="P45" i="79"/>
  <c r="H14" i="78"/>
  <c r="H15" i="78" s="1"/>
  <c r="Q65" i="79"/>
  <c r="R58" i="79" s="1"/>
  <c r="P65" i="79"/>
  <c r="M14" i="78"/>
  <c r="M15" i="78" s="1"/>
  <c r="Q36" i="79"/>
  <c r="R31" i="79" s="1"/>
  <c r="P36" i="79"/>
  <c r="L14" i="78"/>
  <c r="L15" i="78" s="1"/>
  <c r="Q17" i="79"/>
  <c r="R12" i="79" s="1"/>
  <c r="P17" i="79"/>
  <c r="F14" i="78"/>
  <c r="F15" i="78" s="1"/>
  <c r="N50" i="77"/>
  <c r="AB50" i="77"/>
  <c r="AA50" i="77"/>
  <c r="N57" i="77"/>
  <c r="AB57" i="77"/>
  <c r="AA57" i="77"/>
  <c r="N42" i="77"/>
  <c r="AB42" i="77"/>
  <c r="AA42" i="77"/>
  <c r="M52" i="77"/>
  <c r="N60" i="77"/>
  <c r="AB60" i="77"/>
  <c r="M65" i="77"/>
  <c r="AA60" i="77"/>
  <c r="Q71" i="77"/>
  <c r="P71" i="77"/>
  <c r="AB64" i="77"/>
  <c r="AA64" i="77"/>
  <c r="N64" i="77"/>
  <c r="N69" i="77"/>
  <c r="AB69" i="77"/>
  <c r="AA69" i="77"/>
  <c r="Q73" i="77"/>
  <c r="P73" i="77"/>
  <c r="P70" i="77"/>
  <c r="Q70" i="77"/>
  <c r="P9" i="77"/>
  <c r="Q9" i="77"/>
  <c r="N19" i="77"/>
  <c r="AB19" i="77"/>
  <c r="AA19" i="77"/>
  <c r="AB6" i="77"/>
  <c r="AA6" i="77"/>
  <c r="N6" i="77"/>
  <c r="N13" i="77"/>
  <c r="AB13" i="77"/>
  <c r="M17" i="77"/>
  <c r="AA13" i="77"/>
  <c r="P10" i="77"/>
  <c r="Q10" i="77"/>
  <c r="N18" i="77"/>
  <c r="AB18" i="77"/>
  <c r="M23" i="77"/>
  <c r="AA18" i="77"/>
  <c r="Q21" i="77"/>
  <c r="P21" i="77"/>
  <c r="N56" i="77"/>
  <c r="AB56" i="77"/>
  <c r="AA56" i="77"/>
  <c r="N58" i="77"/>
  <c r="AB58" i="77"/>
  <c r="AA58" i="77"/>
  <c r="Q47" i="77"/>
  <c r="P47" i="77"/>
  <c r="N30" i="77"/>
  <c r="AB30" i="77"/>
  <c r="AA30" i="77"/>
  <c r="N35" i="77"/>
  <c r="AB35" i="77"/>
  <c r="AA35" i="77"/>
  <c r="M8" i="77"/>
  <c r="AB5" i="77"/>
  <c r="AA5" i="77"/>
  <c r="N5" i="77"/>
  <c r="AB27" i="77"/>
  <c r="AA27" i="77"/>
  <c r="N27" i="77"/>
  <c r="N31" i="77"/>
  <c r="AB31" i="77"/>
  <c r="AA31" i="77"/>
  <c r="N66" i="77"/>
  <c r="AB66" i="77"/>
  <c r="AA66" i="77"/>
  <c r="M74" i="77"/>
  <c r="N46" i="77"/>
  <c r="AB46" i="77"/>
  <c r="AA46" i="77"/>
  <c r="Q33" i="77"/>
  <c r="P33" i="77"/>
  <c r="N44" i="77"/>
  <c r="AB44" i="77"/>
  <c r="AA44" i="77"/>
  <c r="N22" i="77"/>
  <c r="AB22" i="77"/>
  <c r="AA22" i="77"/>
  <c r="Q49" i="77"/>
  <c r="P49" i="77"/>
  <c r="N20" i="77"/>
  <c r="AB20" i="77"/>
  <c r="AA20" i="77"/>
  <c r="N51" i="77"/>
  <c r="AB51" i="77"/>
  <c r="AA51" i="77"/>
  <c r="AB7" i="77"/>
  <c r="AA7" i="77"/>
  <c r="N7" i="77"/>
  <c r="N45" i="77"/>
  <c r="AB45" i="77"/>
  <c r="AA45" i="77"/>
  <c r="N61" i="77"/>
  <c r="AB61" i="77"/>
  <c r="AA61" i="77"/>
  <c r="AB24" i="77"/>
  <c r="AA24" i="77"/>
  <c r="M32" i="77"/>
  <c r="N24" i="77"/>
  <c r="M59" i="77"/>
  <c r="N34" i="77"/>
  <c r="AB34" i="77"/>
  <c r="AA34" i="77"/>
  <c r="N48" i="77"/>
  <c r="AB48" i="77"/>
  <c r="AA48" i="77"/>
  <c r="N68" i="77"/>
  <c r="AB68" i="77"/>
  <c r="AA68" i="77"/>
  <c r="AB14" i="77"/>
  <c r="N29" i="77"/>
  <c r="AB36" i="77"/>
  <c r="AA37" i="77"/>
  <c r="AB38" i="77"/>
  <c r="M41" i="77"/>
  <c r="N43" i="77"/>
  <c r="N55" i="77"/>
  <c r="AB62" i="77"/>
  <c r="N67" i="77"/>
  <c r="N28" i="77"/>
  <c r="AA33" i="77"/>
  <c r="N53" i="77"/>
  <c r="N54" i="77"/>
  <c r="AA21" i="77"/>
  <c r="AB33" i="77"/>
  <c r="AA47" i="77"/>
  <c r="AA49" i="77"/>
  <c r="AA71" i="77"/>
  <c r="AA73" i="77"/>
  <c r="AA9" i="77"/>
  <c r="AA10" i="77"/>
  <c r="AB21" i="77"/>
  <c r="AB47" i="77"/>
  <c r="AB49" i="77"/>
  <c r="AA70" i="77"/>
  <c r="AB71" i="77"/>
  <c r="AB73" i="77"/>
  <c r="N14" i="77"/>
  <c r="P16" i="77"/>
  <c r="P26" i="77"/>
  <c r="N36" i="77"/>
  <c r="N38" i="77"/>
  <c r="P40" i="77"/>
  <c r="N62" i="77"/>
  <c r="M11" i="77"/>
  <c r="E6" i="76"/>
  <c r="AB53" i="77"/>
  <c r="F6" i="76"/>
  <c r="AA16" i="77"/>
  <c r="AA26" i="77"/>
  <c r="AA40" i="77"/>
  <c r="P72" i="77"/>
  <c r="D15" i="78" l="1"/>
  <c r="G7" i="78"/>
  <c r="F7" i="78"/>
  <c r="E7" i="78"/>
  <c r="K15" i="78"/>
  <c r="I8" i="78" s="1"/>
  <c r="I7" i="78"/>
  <c r="Q34" i="77"/>
  <c r="P34" i="77"/>
  <c r="Q7" i="77"/>
  <c r="P7" i="77"/>
  <c r="N59" i="77"/>
  <c r="AB59" i="77"/>
  <c r="AC53" i="77" s="1"/>
  <c r="AA59" i="77"/>
  <c r="Q22" i="77"/>
  <c r="P22" i="77"/>
  <c r="Q66" i="77"/>
  <c r="P66" i="77"/>
  <c r="Q56" i="77"/>
  <c r="P56" i="77"/>
  <c r="Q13" i="77"/>
  <c r="P13" i="77"/>
  <c r="Q60" i="77"/>
  <c r="P60" i="77"/>
  <c r="Q29" i="77"/>
  <c r="P29" i="77"/>
  <c r="Q35" i="77"/>
  <c r="P35" i="77"/>
  <c r="Q6" i="77"/>
  <c r="P6" i="77"/>
  <c r="AB52" i="77"/>
  <c r="AC42" i="77" s="1"/>
  <c r="AA52" i="77"/>
  <c r="N52" i="77"/>
  <c r="N32" i="77"/>
  <c r="AB32" i="77"/>
  <c r="AC24" i="77" s="1"/>
  <c r="AA32" i="77"/>
  <c r="Q44" i="77"/>
  <c r="P44" i="77"/>
  <c r="Q31" i="77"/>
  <c r="P31" i="77"/>
  <c r="Q69" i="77"/>
  <c r="P69" i="77"/>
  <c r="Q28" i="77"/>
  <c r="P28" i="77"/>
  <c r="Q51" i="77"/>
  <c r="P51" i="77"/>
  <c r="Q27" i="77"/>
  <c r="P27" i="77"/>
  <c r="Q30" i="77"/>
  <c r="P30" i="77"/>
  <c r="AB23" i="77"/>
  <c r="AC18" i="77" s="1"/>
  <c r="AA23" i="77"/>
  <c r="N23" i="77"/>
  <c r="Q64" i="77"/>
  <c r="P64" i="77"/>
  <c r="Q42" i="77"/>
  <c r="P42" i="77"/>
  <c r="Q54" i="77"/>
  <c r="P54" i="77"/>
  <c r="Q62" i="77"/>
  <c r="P62" i="77"/>
  <c r="Q67" i="77"/>
  <c r="P67" i="77"/>
  <c r="Q68" i="77"/>
  <c r="P68" i="77"/>
  <c r="Q38" i="77"/>
  <c r="P38" i="77"/>
  <c r="Q18" i="77"/>
  <c r="P18" i="77"/>
  <c r="Q19" i="77"/>
  <c r="P19" i="77"/>
  <c r="Q53" i="77"/>
  <c r="P53" i="77"/>
  <c r="Q36" i="77"/>
  <c r="P36" i="77"/>
  <c r="Q55" i="77"/>
  <c r="P55" i="77"/>
  <c r="Q61" i="77"/>
  <c r="P61" i="77"/>
  <c r="P20" i="77"/>
  <c r="Q20" i="77"/>
  <c r="Q5" i="77"/>
  <c r="P5" i="77"/>
  <c r="Q57" i="77"/>
  <c r="P57" i="77"/>
  <c r="Q43" i="77"/>
  <c r="P43" i="77"/>
  <c r="Q48" i="77"/>
  <c r="P48" i="77"/>
  <c r="P46" i="77"/>
  <c r="Q46" i="77"/>
  <c r="AB41" i="77"/>
  <c r="AC33" i="77" s="1"/>
  <c r="AA41" i="77"/>
  <c r="N41" i="77"/>
  <c r="AB74" i="77"/>
  <c r="AC66" i="77" s="1"/>
  <c r="AA74" i="77"/>
  <c r="N74" i="77"/>
  <c r="Q58" i="77"/>
  <c r="P58" i="77"/>
  <c r="Q24" i="77"/>
  <c r="P24" i="77"/>
  <c r="AA11" i="77"/>
  <c r="N11" i="77"/>
  <c r="AB11" i="77"/>
  <c r="AC9" i="77" s="1"/>
  <c r="Q14" i="77"/>
  <c r="P14" i="77"/>
  <c r="Q45" i="77"/>
  <c r="P45" i="77"/>
  <c r="AB8" i="77"/>
  <c r="AC5" i="77" s="1"/>
  <c r="AA8" i="77"/>
  <c r="N8" i="77"/>
  <c r="AB17" i="77"/>
  <c r="AC12" i="77" s="1"/>
  <c r="AA17" i="77"/>
  <c r="N17" i="77"/>
  <c r="AB65" i="77"/>
  <c r="AC60" i="77" s="1"/>
  <c r="AA65" i="77"/>
  <c r="N65" i="77"/>
  <c r="Q50" i="77"/>
  <c r="P50" i="77"/>
  <c r="F8" i="78" l="1"/>
  <c r="G8" i="78"/>
  <c r="E8" i="78"/>
  <c r="G14" i="76"/>
  <c r="G15" i="76" s="1"/>
  <c r="Q23" i="77"/>
  <c r="R18" i="77" s="1"/>
  <c r="P23" i="77"/>
  <c r="F14" i="76"/>
  <c r="F15" i="76" s="1"/>
  <c r="Q17" i="77"/>
  <c r="R12" i="77" s="1"/>
  <c r="P17" i="77"/>
  <c r="Q11" i="77"/>
  <c r="R9" i="77" s="1"/>
  <c r="P11" i="77"/>
  <c r="E14" i="76"/>
  <c r="E15" i="76" s="1"/>
  <c r="D2" i="77"/>
  <c r="D14" i="76"/>
  <c r="Q8" i="77"/>
  <c r="R5" i="77" s="1"/>
  <c r="P8" i="77"/>
  <c r="P59" i="77"/>
  <c r="I14" i="76"/>
  <c r="I15" i="76" s="1"/>
  <c r="Q59" i="77"/>
  <c r="R53" i="77" s="1"/>
  <c r="L14" i="76"/>
  <c r="L15" i="76" s="1"/>
  <c r="Q41" i="77"/>
  <c r="R33" i="77" s="1"/>
  <c r="P41" i="77"/>
  <c r="Q32" i="77"/>
  <c r="R24" i="77" s="1"/>
  <c r="P32" i="77"/>
  <c r="K14" i="76"/>
  <c r="Q74" i="77"/>
  <c r="R66" i="77" s="1"/>
  <c r="P74" i="77"/>
  <c r="M14" i="76"/>
  <c r="M15" i="76" s="1"/>
  <c r="J14" i="76"/>
  <c r="J15" i="76" s="1"/>
  <c r="Q65" i="77"/>
  <c r="R60" i="77" s="1"/>
  <c r="P65" i="77"/>
  <c r="H14" i="76"/>
  <c r="H15" i="76" s="1"/>
  <c r="Q52" i="77"/>
  <c r="R42" i="77" s="1"/>
  <c r="P52" i="77"/>
  <c r="D15" i="76" l="1"/>
  <c r="G7" i="76"/>
  <c r="F7" i="76"/>
  <c r="E7" i="76"/>
  <c r="K15" i="76"/>
  <c r="I8" i="76" s="1"/>
  <c r="I7" i="76"/>
  <c r="F8" i="76" l="1"/>
  <c r="G8" i="76"/>
  <c r="E8" i="76"/>
  <c r="O77" i="75" l="1"/>
  <c r="M77" i="75"/>
  <c r="AB77" i="75" s="1"/>
  <c r="AC67" i="75" s="1"/>
  <c r="K77" i="75"/>
  <c r="AB76" i="75"/>
  <c r="AA76" i="75"/>
  <c r="V76" i="75"/>
  <c r="U76" i="75"/>
  <c r="Q76" i="75"/>
  <c r="P76" i="75"/>
  <c r="O76" i="75"/>
  <c r="N76" i="75"/>
  <c r="M76" i="75"/>
  <c r="K76" i="75"/>
  <c r="G76" i="75"/>
  <c r="AB75" i="75"/>
  <c r="AA75" i="75"/>
  <c r="V75" i="75"/>
  <c r="U75" i="75"/>
  <c r="Q75" i="75"/>
  <c r="P75" i="75"/>
  <c r="O75" i="75"/>
  <c r="N75" i="75"/>
  <c r="M75" i="75"/>
  <c r="K75" i="75"/>
  <c r="G75" i="75"/>
  <c r="AB74" i="75"/>
  <c r="AA74" i="75"/>
  <c r="V74" i="75"/>
  <c r="U74" i="75"/>
  <c r="O74" i="75"/>
  <c r="N74" i="75"/>
  <c r="P74" i="75" s="1"/>
  <c r="M74" i="75"/>
  <c r="K74" i="75"/>
  <c r="G74" i="75"/>
  <c r="AB73" i="75"/>
  <c r="AA73" i="75"/>
  <c r="X73" i="75"/>
  <c r="W73" i="75"/>
  <c r="V73" i="75"/>
  <c r="U73" i="75"/>
  <c r="Q73" i="75"/>
  <c r="O73" i="75"/>
  <c r="N73" i="75"/>
  <c r="P73" i="75" s="1"/>
  <c r="M73" i="75"/>
  <c r="K73" i="75"/>
  <c r="G73" i="75"/>
  <c r="AB72" i="75"/>
  <c r="AA72" i="75"/>
  <c r="V72" i="75"/>
  <c r="U72" i="75"/>
  <c r="Q72" i="75"/>
  <c r="P72" i="75"/>
  <c r="O72" i="75"/>
  <c r="N72" i="75"/>
  <c r="M72" i="75"/>
  <c r="K72" i="75"/>
  <c r="G72" i="75"/>
  <c r="AB71" i="75"/>
  <c r="AA71" i="75"/>
  <c r="V71" i="75"/>
  <c r="U71" i="75"/>
  <c r="Q71" i="75"/>
  <c r="P71" i="75"/>
  <c r="O71" i="75"/>
  <c r="N71" i="75"/>
  <c r="M71" i="75"/>
  <c r="K71" i="75"/>
  <c r="G71" i="75"/>
  <c r="AB70" i="75"/>
  <c r="AA70" i="75"/>
  <c r="V70" i="75"/>
  <c r="U70" i="75"/>
  <c r="O70" i="75"/>
  <c r="M70" i="75"/>
  <c r="N70" i="75" s="1"/>
  <c r="K70" i="75"/>
  <c r="G70" i="75"/>
  <c r="AB69" i="75"/>
  <c r="AA69" i="75"/>
  <c r="V69" i="75"/>
  <c r="U69" i="75"/>
  <c r="Q69" i="75"/>
  <c r="P69" i="75"/>
  <c r="O69" i="75"/>
  <c r="N69" i="75"/>
  <c r="M69" i="75"/>
  <c r="K69" i="75"/>
  <c r="G69" i="75"/>
  <c r="AB68" i="75"/>
  <c r="AA68" i="75"/>
  <c r="V68" i="75"/>
  <c r="U68" i="75"/>
  <c r="Q68" i="75"/>
  <c r="P68" i="75"/>
  <c r="O68" i="75"/>
  <c r="N68" i="75"/>
  <c r="M68" i="75"/>
  <c r="K68" i="75"/>
  <c r="G68" i="75"/>
  <c r="AB67" i="75"/>
  <c r="AA67" i="75"/>
  <c r="X67" i="75"/>
  <c r="W67" i="75"/>
  <c r="V67" i="75"/>
  <c r="O67" i="75"/>
  <c r="N67" i="75"/>
  <c r="Q67" i="75" s="1"/>
  <c r="M67" i="75"/>
  <c r="K67" i="75"/>
  <c r="G67" i="75"/>
  <c r="O66" i="75"/>
  <c r="K66" i="75"/>
  <c r="V65" i="75"/>
  <c r="U65" i="75"/>
  <c r="O65" i="75"/>
  <c r="M65" i="75"/>
  <c r="N65" i="75" s="1"/>
  <c r="K65" i="75"/>
  <c r="G65" i="75"/>
  <c r="AB64" i="75"/>
  <c r="AA64" i="75"/>
  <c r="X64" i="75"/>
  <c r="W64" i="75"/>
  <c r="V64" i="75"/>
  <c r="U64" i="75"/>
  <c r="O64" i="75"/>
  <c r="N64" i="75"/>
  <c r="Q64" i="75" s="1"/>
  <c r="M64" i="75"/>
  <c r="K64" i="75"/>
  <c r="G64" i="75"/>
  <c r="AB63" i="75"/>
  <c r="AA63" i="75"/>
  <c r="V63" i="75"/>
  <c r="U63" i="75"/>
  <c r="Q63" i="75"/>
  <c r="P63" i="75"/>
  <c r="O63" i="75"/>
  <c r="N63" i="75"/>
  <c r="M63" i="75"/>
  <c r="K63" i="75"/>
  <c r="G63" i="75"/>
  <c r="AB62" i="75"/>
  <c r="AA62" i="75"/>
  <c r="V62" i="75"/>
  <c r="U62" i="75"/>
  <c r="Q62" i="75"/>
  <c r="P62" i="75"/>
  <c r="O62" i="75"/>
  <c r="N62" i="75"/>
  <c r="M62" i="75"/>
  <c r="K62" i="75"/>
  <c r="G62" i="75"/>
  <c r="V61" i="75"/>
  <c r="M61" i="75" s="1"/>
  <c r="U61" i="75"/>
  <c r="O61" i="75"/>
  <c r="K61" i="75"/>
  <c r="G61" i="75"/>
  <c r="AB60" i="75"/>
  <c r="AA60" i="75"/>
  <c r="V60" i="75"/>
  <c r="O60" i="75"/>
  <c r="N60" i="75"/>
  <c r="P60" i="75" s="1"/>
  <c r="M60" i="75"/>
  <c r="K60" i="75"/>
  <c r="G60" i="75"/>
  <c r="O59" i="75"/>
  <c r="M59" i="75"/>
  <c r="AB59" i="75" s="1"/>
  <c r="AC53" i="75" s="1"/>
  <c r="K59" i="75"/>
  <c r="AB58" i="75"/>
  <c r="AA58" i="75"/>
  <c r="V58" i="75"/>
  <c r="U58" i="75"/>
  <c r="Q58" i="75"/>
  <c r="P58" i="75"/>
  <c r="O58" i="75"/>
  <c r="N58" i="75"/>
  <c r="M58" i="75"/>
  <c r="K58" i="75"/>
  <c r="G58" i="75"/>
  <c r="AB57" i="75"/>
  <c r="AA57" i="75"/>
  <c r="X57" i="75"/>
  <c r="W57" i="75"/>
  <c r="V57" i="75"/>
  <c r="U57" i="75"/>
  <c r="Q57" i="75"/>
  <c r="P57" i="75"/>
  <c r="O57" i="75"/>
  <c r="N57" i="75"/>
  <c r="M57" i="75"/>
  <c r="K57" i="75"/>
  <c r="G57" i="75"/>
  <c r="AB56" i="75"/>
  <c r="AA56" i="75"/>
  <c r="V56" i="75"/>
  <c r="U56" i="75"/>
  <c r="O56" i="75"/>
  <c r="N56" i="75"/>
  <c r="Q56" i="75" s="1"/>
  <c r="M56" i="75"/>
  <c r="K56" i="75"/>
  <c r="G56" i="75"/>
  <c r="AB55" i="75"/>
  <c r="AA55" i="75"/>
  <c r="V55" i="75"/>
  <c r="U55" i="75"/>
  <c r="Q55" i="75"/>
  <c r="O55" i="75"/>
  <c r="N55" i="75"/>
  <c r="P55" i="75" s="1"/>
  <c r="M55" i="75"/>
  <c r="K55" i="75"/>
  <c r="G55" i="75"/>
  <c r="AB54" i="75"/>
  <c r="AA54" i="75"/>
  <c r="V54" i="75"/>
  <c r="U54" i="75"/>
  <c r="Q54" i="75"/>
  <c r="P54" i="75"/>
  <c r="O54" i="75"/>
  <c r="N54" i="75"/>
  <c r="M54" i="75"/>
  <c r="K54" i="75"/>
  <c r="G54" i="75"/>
  <c r="AB53" i="75"/>
  <c r="AA53" i="75"/>
  <c r="V53" i="75"/>
  <c r="Q53" i="75"/>
  <c r="P53" i="75"/>
  <c r="O53" i="75"/>
  <c r="N53" i="75"/>
  <c r="M53" i="75"/>
  <c r="K53" i="75"/>
  <c r="G53" i="75"/>
  <c r="O52" i="75"/>
  <c r="K52" i="75"/>
  <c r="AB51" i="75"/>
  <c r="AA51" i="75"/>
  <c r="V51" i="75"/>
  <c r="U51" i="75"/>
  <c r="Q51" i="75"/>
  <c r="P51" i="75"/>
  <c r="O51" i="75"/>
  <c r="N51" i="75"/>
  <c r="M51" i="75"/>
  <c r="K51" i="75"/>
  <c r="G51" i="75"/>
  <c r="V50" i="75"/>
  <c r="M50" i="75" s="1"/>
  <c r="U50" i="75"/>
  <c r="O50" i="75"/>
  <c r="K50" i="75"/>
  <c r="G50" i="75"/>
  <c r="AB49" i="75"/>
  <c r="AA49" i="75"/>
  <c r="V49" i="75"/>
  <c r="U49" i="75"/>
  <c r="Q49" i="75"/>
  <c r="P49" i="75"/>
  <c r="O49" i="75"/>
  <c r="N49" i="75"/>
  <c r="M49" i="75"/>
  <c r="K49" i="75"/>
  <c r="G49" i="75"/>
  <c r="AB48" i="75"/>
  <c r="AA48" i="75"/>
  <c r="X48" i="75"/>
  <c r="W48" i="75"/>
  <c r="V48" i="75"/>
  <c r="U48" i="75"/>
  <c r="Q48" i="75"/>
  <c r="P48" i="75"/>
  <c r="O48" i="75"/>
  <c r="N48" i="75"/>
  <c r="M48" i="75"/>
  <c r="K48" i="75"/>
  <c r="G48" i="75"/>
  <c r="V47" i="75"/>
  <c r="U47" i="75"/>
  <c r="O47" i="75"/>
  <c r="M47" i="75"/>
  <c r="N47" i="75" s="1"/>
  <c r="K47" i="75"/>
  <c r="G47" i="75"/>
  <c r="AB46" i="75"/>
  <c r="AA46" i="75"/>
  <c r="V46" i="75"/>
  <c r="U46" i="75"/>
  <c r="Q46" i="75"/>
  <c r="P46" i="75"/>
  <c r="O46" i="75"/>
  <c r="N46" i="75"/>
  <c r="M46" i="75"/>
  <c r="K46" i="75"/>
  <c r="G46" i="75"/>
  <c r="AB45" i="75"/>
  <c r="AA45" i="75"/>
  <c r="V45" i="75"/>
  <c r="U45" i="75"/>
  <c r="Q45" i="75"/>
  <c r="P45" i="75"/>
  <c r="O45" i="75"/>
  <c r="N45" i="75"/>
  <c r="M45" i="75"/>
  <c r="K45" i="75"/>
  <c r="G45" i="75"/>
  <c r="AB44" i="75"/>
  <c r="AA44" i="75"/>
  <c r="V44" i="75"/>
  <c r="U44" i="75"/>
  <c r="O44" i="75"/>
  <c r="N44" i="75"/>
  <c r="Q44" i="75" s="1"/>
  <c r="M44" i="75"/>
  <c r="K44" i="75"/>
  <c r="G44" i="75"/>
  <c r="AB43" i="75"/>
  <c r="AA43" i="75"/>
  <c r="V43" i="75"/>
  <c r="U43" i="75"/>
  <c r="Q43" i="75"/>
  <c r="P43" i="75"/>
  <c r="O43" i="75"/>
  <c r="N43" i="75"/>
  <c r="M43" i="75"/>
  <c r="K43" i="75"/>
  <c r="G43" i="75"/>
  <c r="AB42" i="75"/>
  <c r="AA42" i="75"/>
  <c r="X42" i="75"/>
  <c r="W42" i="75"/>
  <c r="V42" i="75"/>
  <c r="O42" i="75"/>
  <c r="N42" i="75"/>
  <c r="P42" i="75" s="1"/>
  <c r="M42" i="75"/>
  <c r="K42" i="75"/>
  <c r="G42" i="75"/>
  <c r="O41" i="75"/>
  <c r="K41" i="75"/>
  <c r="AB40" i="75"/>
  <c r="AA40" i="75"/>
  <c r="V40" i="75"/>
  <c r="U40" i="75"/>
  <c r="Q40" i="75"/>
  <c r="P40" i="75"/>
  <c r="O40" i="75"/>
  <c r="N40" i="75"/>
  <c r="M40" i="75"/>
  <c r="K40" i="75"/>
  <c r="G40" i="75"/>
  <c r="AB39" i="75"/>
  <c r="AA39" i="75"/>
  <c r="V39" i="75"/>
  <c r="U39" i="75"/>
  <c r="Q39" i="75"/>
  <c r="P39" i="75"/>
  <c r="O39" i="75"/>
  <c r="N39" i="75"/>
  <c r="M39" i="75"/>
  <c r="K39" i="75"/>
  <c r="G39" i="75"/>
  <c r="V38" i="75"/>
  <c r="U38" i="75"/>
  <c r="O38" i="75"/>
  <c r="M38" i="75"/>
  <c r="AB38" i="75" s="1"/>
  <c r="K38" i="75"/>
  <c r="G38" i="75"/>
  <c r="AB37" i="75"/>
  <c r="AA37" i="75"/>
  <c r="X37" i="75"/>
  <c r="W37" i="75"/>
  <c r="V37" i="75"/>
  <c r="U37" i="75"/>
  <c r="Q37" i="75"/>
  <c r="O37" i="75"/>
  <c r="N37" i="75"/>
  <c r="P37" i="75" s="1"/>
  <c r="M37" i="75"/>
  <c r="K37" i="75"/>
  <c r="G37" i="75"/>
  <c r="AB36" i="75"/>
  <c r="AA36" i="75"/>
  <c r="V36" i="75"/>
  <c r="U36" i="75"/>
  <c r="Q36" i="75"/>
  <c r="P36" i="75"/>
  <c r="O36" i="75"/>
  <c r="N36" i="75"/>
  <c r="M36" i="75"/>
  <c r="K36" i="75"/>
  <c r="G36" i="75"/>
  <c r="AB35" i="75"/>
  <c r="AA35" i="75"/>
  <c r="V35" i="75"/>
  <c r="U35" i="75"/>
  <c r="Q35" i="75"/>
  <c r="P35" i="75"/>
  <c r="O35" i="75"/>
  <c r="N35" i="75"/>
  <c r="M35" i="75"/>
  <c r="K35" i="75"/>
  <c r="G35" i="75"/>
  <c r="V34" i="75"/>
  <c r="M34" i="75" s="1"/>
  <c r="U34" i="75"/>
  <c r="O34" i="75"/>
  <c r="K34" i="75"/>
  <c r="G34" i="75"/>
  <c r="X33" i="75"/>
  <c r="W33" i="75"/>
  <c r="V33" i="75"/>
  <c r="O33" i="75"/>
  <c r="M33" i="75"/>
  <c r="K33" i="75"/>
  <c r="G33" i="75"/>
  <c r="O32" i="75"/>
  <c r="M32" i="75"/>
  <c r="AB32" i="75" s="1"/>
  <c r="AC25" i="75" s="1"/>
  <c r="K32" i="75"/>
  <c r="AB31" i="75"/>
  <c r="AA31" i="75"/>
  <c r="V31" i="75"/>
  <c r="U31" i="75"/>
  <c r="O31" i="75"/>
  <c r="N31" i="75"/>
  <c r="P31" i="75" s="1"/>
  <c r="M31" i="75"/>
  <c r="K31" i="75"/>
  <c r="G31" i="75"/>
  <c r="AB30" i="75"/>
  <c r="AA30" i="75"/>
  <c r="V30" i="75"/>
  <c r="U30" i="75"/>
  <c r="Q30" i="75"/>
  <c r="P30" i="75"/>
  <c r="O30" i="75"/>
  <c r="N30" i="75"/>
  <c r="M30" i="75"/>
  <c r="K30" i="75"/>
  <c r="G30" i="75"/>
  <c r="AB29" i="75"/>
  <c r="AA29" i="75"/>
  <c r="X29" i="75"/>
  <c r="W29" i="75"/>
  <c r="V29" i="75"/>
  <c r="U29" i="75"/>
  <c r="Q29" i="75"/>
  <c r="P29" i="75"/>
  <c r="O29" i="75"/>
  <c r="N29" i="75"/>
  <c r="M29" i="75"/>
  <c r="K29" i="75"/>
  <c r="G29" i="75"/>
  <c r="AB28" i="75"/>
  <c r="AA28" i="75"/>
  <c r="V28" i="75"/>
  <c r="U28" i="75"/>
  <c r="O28" i="75"/>
  <c r="N28" i="75"/>
  <c r="Q28" i="75" s="1"/>
  <c r="M28" i="75"/>
  <c r="K28" i="75"/>
  <c r="G28" i="75"/>
  <c r="AB27" i="75"/>
  <c r="AA27" i="75"/>
  <c r="V27" i="75"/>
  <c r="U27" i="75"/>
  <c r="Q27" i="75"/>
  <c r="P27" i="75"/>
  <c r="O27" i="75"/>
  <c r="N27" i="75"/>
  <c r="M27" i="75"/>
  <c r="K27" i="75"/>
  <c r="G27" i="75"/>
  <c r="AB26" i="75"/>
  <c r="AA26" i="75"/>
  <c r="V26" i="75"/>
  <c r="U26" i="75"/>
  <c r="Q26" i="75"/>
  <c r="P26" i="75"/>
  <c r="O26" i="75"/>
  <c r="N26" i="75"/>
  <c r="M26" i="75"/>
  <c r="K26" i="75"/>
  <c r="G26" i="75"/>
  <c r="AB25" i="75"/>
  <c r="AA25" i="75"/>
  <c r="X25" i="75"/>
  <c r="W25" i="75"/>
  <c r="V25" i="75"/>
  <c r="Q25" i="75"/>
  <c r="P25" i="75"/>
  <c r="O25" i="75"/>
  <c r="N25" i="75"/>
  <c r="M25" i="75"/>
  <c r="K25" i="75"/>
  <c r="G25" i="75"/>
  <c r="O24" i="75"/>
  <c r="K24" i="75"/>
  <c r="G13" i="74" s="1"/>
  <c r="AB23" i="75"/>
  <c r="AA23" i="75"/>
  <c r="V23" i="75"/>
  <c r="U23" i="75"/>
  <c r="Q23" i="75"/>
  <c r="P23" i="75"/>
  <c r="O23" i="75"/>
  <c r="N23" i="75"/>
  <c r="M23" i="75"/>
  <c r="K23" i="75"/>
  <c r="G23" i="75"/>
  <c r="AB22" i="75"/>
  <c r="AA22" i="75"/>
  <c r="X22" i="75"/>
  <c r="W22" i="75"/>
  <c r="V22" i="75"/>
  <c r="U22" i="75"/>
  <c r="O22" i="75"/>
  <c r="N22" i="75"/>
  <c r="Q22" i="75" s="1"/>
  <c r="M22" i="75"/>
  <c r="K22" i="75"/>
  <c r="G22" i="75"/>
  <c r="AB21" i="75"/>
  <c r="AA21" i="75"/>
  <c r="V21" i="75"/>
  <c r="U21" i="75"/>
  <c r="Q21" i="75"/>
  <c r="O21" i="75"/>
  <c r="N21" i="75"/>
  <c r="P21" i="75" s="1"/>
  <c r="M21" i="75"/>
  <c r="K21" i="75"/>
  <c r="G21" i="75"/>
  <c r="AB20" i="75"/>
  <c r="AA20" i="75"/>
  <c r="V20" i="75"/>
  <c r="U20" i="75"/>
  <c r="Q20" i="75"/>
  <c r="P20" i="75"/>
  <c r="O20" i="75"/>
  <c r="N20" i="75"/>
  <c r="M20" i="75"/>
  <c r="K20" i="75"/>
  <c r="G20" i="75"/>
  <c r="AB19" i="75"/>
  <c r="AA19" i="75"/>
  <c r="V19" i="75"/>
  <c r="U19" i="75"/>
  <c r="Q19" i="75"/>
  <c r="P19" i="75"/>
  <c r="O19" i="75"/>
  <c r="N19" i="75"/>
  <c r="M19" i="75"/>
  <c r="K19" i="75"/>
  <c r="G19" i="75"/>
  <c r="V18" i="75"/>
  <c r="M18" i="75" s="1"/>
  <c r="O18" i="75"/>
  <c r="K18" i="75"/>
  <c r="G18" i="75"/>
  <c r="O17" i="75"/>
  <c r="K17" i="75"/>
  <c r="V16" i="75"/>
  <c r="M16" i="75" s="1"/>
  <c r="U16" i="75"/>
  <c r="O16" i="75"/>
  <c r="K16" i="75"/>
  <c r="G16" i="75"/>
  <c r="AB15" i="75"/>
  <c r="AA15" i="75"/>
  <c r="V15" i="75"/>
  <c r="U15" i="75"/>
  <c r="Q15" i="75"/>
  <c r="P15" i="75"/>
  <c r="O15" i="75"/>
  <c r="N15" i="75"/>
  <c r="M15" i="75"/>
  <c r="K15" i="75"/>
  <c r="G15" i="75"/>
  <c r="AB14" i="75"/>
  <c r="AA14" i="75"/>
  <c r="V14" i="75"/>
  <c r="U14" i="75"/>
  <c r="Q14" i="75"/>
  <c r="P14" i="75"/>
  <c r="O14" i="75"/>
  <c r="N14" i="75"/>
  <c r="M14" i="75"/>
  <c r="K14" i="75"/>
  <c r="G14" i="75"/>
  <c r="AB13" i="75"/>
  <c r="AA13" i="75"/>
  <c r="V13" i="75"/>
  <c r="U13" i="75"/>
  <c r="O13" i="75"/>
  <c r="N13" i="75"/>
  <c r="P13" i="75" s="1"/>
  <c r="M13" i="75"/>
  <c r="K13" i="75"/>
  <c r="G13" i="75"/>
  <c r="AB12" i="75"/>
  <c r="AA12" i="75"/>
  <c r="X12" i="75"/>
  <c r="W12" i="75"/>
  <c r="V12" i="75"/>
  <c r="Q12" i="75"/>
  <c r="O12" i="75"/>
  <c r="N12" i="75"/>
  <c r="P12" i="75" s="1"/>
  <c r="M12" i="75"/>
  <c r="K12" i="75"/>
  <c r="G12" i="75"/>
  <c r="AB11" i="75"/>
  <c r="AC9" i="75" s="1"/>
  <c r="AA11" i="75"/>
  <c r="O11" i="75"/>
  <c r="N11" i="75"/>
  <c r="E14" i="74" s="1"/>
  <c r="E15" i="74" s="1"/>
  <c r="M11" i="75"/>
  <c r="K11" i="75"/>
  <c r="AB10" i="75"/>
  <c r="AA10" i="75"/>
  <c r="V10" i="75"/>
  <c r="U10" i="75"/>
  <c r="Q10" i="75"/>
  <c r="P10" i="75"/>
  <c r="O10" i="75"/>
  <c r="N10" i="75"/>
  <c r="M10" i="75"/>
  <c r="K10" i="75"/>
  <c r="G10" i="75"/>
  <c r="AB9" i="75"/>
  <c r="AA9" i="75"/>
  <c r="V9" i="75"/>
  <c r="Q9" i="75"/>
  <c r="P9" i="75"/>
  <c r="O9" i="75"/>
  <c r="N9" i="75"/>
  <c r="M9" i="75"/>
  <c r="K9" i="75"/>
  <c r="G9" i="75"/>
  <c r="O8" i="75"/>
  <c r="K8" i="75"/>
  <c r="AB7" i="75"/>
  <c r="AA7" i="75"/>
  <c r="V7" i="75"/>
  <c r="U7" i="75"/>
  <c r="Q7" i="75"/>
  <c r="P7" i="75"/>
  <c r="O7" i="75"/>
  <c r="N7" i="75"/>
  <c r="M7" i="75"/>
  <c r="K7" i="75"/>
  <c r="G7" i="75"/>
  <c r="AB6" i="75"/>
  <c r="AA6" i="75"/>
  <c r="V6" i="75"/>
  <c r="U6" i="75"/>
  <c r="O6" i="75"/>
  <c r="N6" i="75"/>
  <c r="Q6" i="75" s="1"/>
  <c r="M6" i="75"/>
  <c r="K6" i="75"/>
  <c r="G6" i="75"/>
  <c r="V5" i="75"/>
  <c r="M5" i="75" s="1"/>
  <c r="O5" i="75"/>
  <c r="K5" i="75"/>
  <c r="G5" i="75"/>
  <c r="H2" i="75"/>
  <c r="H1" i="75"/>
  <c r="D1" i="75"/>
  <c r="M18" i="74"/>
  <c r="L18" i="74"/>
  <c r="K18" i="74"/>
  <c r="J18" i="74"/>
  <c r="I18" i="74"/>
  <c r="H18" i="74"/>
  <c r="G18" i="74"/>
  <c r="F18" i="74"/>
  <c r="E18" i="74"/>
  <c r="D18" i="74"/>
  <c r="M17" i="74"/>
  <c r="L17" i="74"/>
  <c r="K17" i="74"/>
  <c r="J17" i="74"/>
  <c r="I17" i="74"/>
  <c r="H17" i="74"/>
  <c r="G17" i="74"/>
  <c r="F17" i="74"/>
  <c r="E17" i="74"/>
  <c r="D17" i="74"/>
  <c r="M16" i="74"/>
  <c r="L16" i="74"/>
  <c r="K16" i="74"/>
  <c r="J16" i="74"/>
  <c r="I16" i="74"/>
  <c r="H16" i="74"/>
  <c r="G16" i="74"/>
  <c r="F16" i="74"/>
  <c r="E16" i="74"/>
  <c r="D16" i="74"/>
  <c r="M13" i="74"/>
  <c r="L13" i="74"/>
  <c r="K13" i="74"/>
  <c r="J13" i="74"/>
  <c r="I13" i="74"/>
  <c r="H13" i="74"/>
  <c r="F13" i="74"/>
  <c r="E13" i="74"/>
  <c r="D13" i="74"/>
  <c r="I6" i="74"/>
  <c r="F3" i="74"/>
  <c r="C3" i="74"/>
  <c r="F1" i="75" l="1"/>
  <c r="N34" i="75"/>
  <c r="AB34" i="75"/>
  <c r="AA34" i="75"/>
  <c r="Q70" i="75"/>
  <c r="P70" i="75"/>
  <c r="AA61" i="75"/>
  <c r="N61" i="75"/>
  <c r="M66" i="75"/>
  <c r="AB61" i="75"/>
  <c r="Q47" i="75"/>
  <c r="P47" i="75"/>
  <c r="Q65" i="75"/>
  <c r="P65" i="75"/>
  <c r="M17" i="75"/>
  <c r="AB16" i="75"/>
  <c r="N16" i="75"/>
  <c r="AA16" i="75"/>
  <c r="M41" i="75"/>
  <c r="AB50" i="75"/>
  <c r="N50" i="75"/>
  <c r="AA50" i="75"/>
  <c r="G6" i="74"/>
  <c r="F6" i="74"/>
  <c r="E6" i="74"/>
  <c r="N5" i="75"/>
  <c r="M8" i="75"/>
  <c r="AB5" i="75"/>
  <c r="AA5" i="75"/>
  <c r="I3" i="74"/>
  <c r="F2" i="75"/>
  <c r="N18" i="75"/>
  <c r="AA18" i="75"/>
  <c r="M24" i="75"/>
  <c r="AB18" i="75"/>
  <c r="P11" i="75"/>
  <c r="N38" i="75"/>
  <c r="P56" i="75"/>
  <c r="P67" i="75"/>
  <c r="Q13" i="75"/>
  <c r="Q31" i="75"/>
  <c r="Q42" i="75"/>
  <c r="Q60" i="75"/>
  <c r="AA47" i="75"/>
  <c r="AA65" i="75"/>
  <c r="AA38" i="75"/>
  <c r="AB47" i="75"/>
  <c r="AB65" i="75"/>
  <c r="P6" i="75"/>
  <c r="P28" i="75"/>
  <c r="AA33" i="75"/>
  <c r="P44" i="75"/>
  <c r="P64" i="75"/>
  <c r="AB33" i="75"/>
  <c r="P22" i="75"/>
  <c r="N33" i="75"/>
  <c r="Q74" i="75"/>
  <c r="N32" i="75"/>
  <c r="N59" i="75"/>
  <c r="N77" i="75"/>
  <c r="M52" i="75"/>
  <c r="AA32" i="75"/>
  <c r="Q11" i="75"/>
  <c r="R9" i="75" s="1"/>
  <c r="AA59" i="75"/>
  <c r="AA77" i="75"/>
  <c r="X13" i="71"/>
  <c r="W13" i="71"/>
  <c r="Q59" i="75" l="1"/>
  <c r="R53" i="75" s="1"/>
  <c r="P59" i="75"/>
  <c r="I14" i="74"/>
  <c r="I15" i="74" s="1"/>
  <c r="AB24" i="75"/>
  <c r="AC18" i="75" s="1"/>
  <c r="AA24" i="75"/>
  <c r="N24" i="75"/>
  <c r="Q50" i="75"/>
  <c r="P50" i="75"/>
  <c r="Q77" i="75"/>
  <c r="R67" i="75" s="1"/>
  <c r="P77" i="75"/>
  <c r="M14" i="74"/>
  <c r="M15" i="74" s="1"/>
  <c r="AB41" i="75"/>
  <c r="AC33" i="75" s="1"/>
  <c r="AA41" i="75"/>
  <c r="N41" i="75"/>
  <c r="K14" i="74"/>
  <c r="Q32" i="75"/>
  <c r="R25" i="75" s="1"/>
  <c r="P32" i="75"/>
  <c r="Q16" i="75"/>
  <c r="P16" i="75"/>
  <c r="AB17" i="75"/>
  <c r="AC12" i="75" s="1"/>
  <c r="AA17" i="75"/>
  <c r="N17" i="75"/>
  <c r="Q18" i="75"/>
  <c r="P18" i="75"/>
  <c r="AB66" i="75"/>
  <c r="AC60" i="75" s="1"/>
  <c r="AA66" i="75"/>
  <c r="N66" i="75"/>
  <c r="Q5" i="75"/>
  <c r="P5" i="75"/>
  <c r="AA52" i="75"/>
  <c r="N52" i="75"/>
  <c r="AB52" i="75"/>
  <c r="AC42" i="75" s="1"/>
  <c r="Q38" i="75"/>
  <c r="P38" i="75"/>
  <c r="P33" i="75"/>
  <c r="Q33" i="75"/>
  <c r="Q61" i="75"/>
  <c r="P61" i="75"/>
  <c r="AA8" i="75"/>
  <c r="AB8" i="75"/>
  <c r="AC5" i="75" s="1"/>
  <c r="N8" i="75"/>
  <c r="Q34" i="75"/>
  <c r="P34" i="75"/>
  <c r="O76" i="73"/>
  <c r="K76" i="73"/>
  <c r="V75" i="73"/>
  <c r="U75" i="73"/>
  <c r="O75" i="73"/>
  <c r="M75" i="73"/>
  <c r="AB75" i="73" s="1"/>
  <c r="K75" i="73"/>
  <c r="G75" i="73"/>
  <c r="AB74" i="73"/>
  <c r="V74" i="73"/>
  <c r="U74" i="73"/>
  <c r="O74" i="73"/>
  <c r="M74" i="73"/>
  <c r="AA74" i="73" s="1"/>
  <c r="K74" i="73"/>
  <c r="G74" i="73"/>
  <c r="AA73" i="73"/>
  <c r="V73" i="73"/>
  <c r="U73" i="73"/>
  <c r="O73" i="73"/>
  <c r="M73" i="73"/>
  <c r="AB73" i="73" s="1"/>
  <c r="K73" i="73"/>
  <c r="G73" i="73"/>
  <c r="X72" i="73"/>
  <c r="W72" i="73"/>
  <c r="V72" i="73"/>
  <c r="U72" i="73"/>
  <c r="O72" i="73"/>
  <c r="M72" i="73"/>
  <c r="K72" i="73"/>
  <c r="G72" i="73"/>
  <c r="AB71" i="73"/>
  <c r="V71" i="73"/>
  <c r="M71" i="73" s="1"/>
  <c r="N71" i="73" s="1"/>
  <c r="U71" i="73"/>
  <c r="Q71" i="73"/>
  <c r="P71" i="73"/>
  <c r="O71" i="73"/>
  <c r="K71" i="73"/>
  <c r="G71" i="73"/>
  <c r="V70" i="73"/>
  <c r="U70" i="73"/>
  <c r="O70" i="73"/>
  <c r="M70" i="73"/>
  <c r="N70" i="73" s="1"/>
  <c r="K70" i="73"/>
  <c r="G70" i="73"/>
  <c r="AB69" i="73"/>
  <c r="V69" i="73"/>
  <c r="M69" i="73" s="1"/>
  <c r="N69" i="73" s="1"/>
  <c r="U69" i="73"/>
  <c r="O69" i="73"/>
  <c r="K69" i="73"/>
  <c r="G69" i="73"/>
  <c r="V68" i="73"/>
  <c r="U68" i="73"/>
  <c r="O68" i="73"/>
  <c r="M68" i="73"/>
  <c r="AB68" i="73" s="1"/>
  <c r="K68" i="73"/>
  <c r="G68" i="73"/>
  <c r="AB67" i="73"/>
  <c r="AA67" i="73"/>
  <c r="V67" i="73"/>
  <c r="U67" i="73"/>
  <c r="P67" i="73"/>
  <c r="O67" i="73"/>
  <c r="N67" i="73"/>
  <c r="Q67" i="73" s="1"/>
  <c r="M67" i="73"/>
  <c r="K67" i="73"/>
  <c r="G67" i="73"/>
  <c r="AB66" i="73"/>
  <c r="AA66" i="73"/>
  <c r="X66" i="73"/>
  <c r="W66" i="73"/>
  <c r="V66" i="73"/>
  <c r="M66" i="73" s="1"/>
  <c r="O66" i="73"/>
  <c r="N66" i="73"/>
  <c r="Q66" i="73" s="1"/>
  <c r="K66" i="73"/>
  <c r="G66" i="73"/>
  <c r="O65" i="73"/>
  <c r="K65" i="73"/>
  <c r="V64" i="73"/>
  <c r="M64" i="73" s="1"/>
  <c r="U64" i="73"/>
  <c r="O64" i="73"/>
  <c r="K64" i="73"/>
  <c r="G64" i="73"/>
  <c r="X63" i="73"/>
  <c r="W63" i="73"/>
  <c r="V63" i="73"/>
  <c r="U63" i="73"/>
  <c r="Q63" i="73"/>
  <c r="P63" i="73"/>
  <c r="O63" i="73"/>
  <c r="N63" i="73"/>
  <c r="M63" i="73"/>
  <c r="K63" i="73"/>
  <c r="G63" i="73"/>
  <c r="AB62" i="73"/>
  <c r="AA62" i="73"/>
  <c r="V62" i="73"/>
  <c r="U62" i="73"/>
  <c r="Q62" i="73"/>
  <c r="O62" i="73"/>
  <c r="M62" i="73"/>
  <c r="N62" i="73" s="1"/>
  <c r="P62" i="73" s="1"/>
  <c r="K62" i="73"/>
  <c r="G62" i="73"/>
  <c r="V61" i="73"/>
  <c r="M61" i="73" s="1"/>
  <c r="U61" i="73"/>
  <c r="O61" i="73"/>
  <c r="K61" i="73"/>
  <c r="G61" i="73"/>
  <c r="V60" i="73"/>
  <c r="M60" i="73" s="1"/>
  <c r="N60" i="73" s="1"/>
  <c r="U60" i="73"/>
  <c r="O60" i="73"/>
  <c r="K60" i="73"/>
  <c r="G60" i="73"/>
  <c r="V59" i="73"/>
  <c r="O59" i="73"/>
  <c r="M59" i="73"/>
  <c r="N59" i="73" s="1"/>
  <c r="K59" i="73"/>
  <c r="G59" i="73"/>
  <c r="O58" i="73"/>
  <c r="K58" i="73"/>
  <c r="V57" i="73"/>
  <c r="U57" i="73"/>
  <c r="O57" i="73"/>
  <c r="M57" i="73"/>
  <c r="AA57" i="73" s="1"/>
  <c r="K57" i="73"/>
  <c r="G57" i="73"/>
  <c r="AB56" i="73"/>
  <c r="AA56" i="73"/>
  <c r="V56" i="73"/>
  <c r="U56" i="73"/>
  <c r="O56" i="73"/>
  <c r="N56" i="73"/>
  <c r="M56" i="73"/>
  <c r="K56" i="73"/>
  <c r="G56" i="73"/>
  <c r="V55" i="73"/>
  <c r="U55" i="73"/>
  <c r="O55" i="73"/>
  <c r="M55" i="73"/>
  <c r="AB55" i="73" s="1"/>
  <c r="K55" i="73"/>
  <c r="G55" i="73"/>
  <c r="V54" i="73"/>
  <c r="U54" i="73"/>
  <c r="O54" i="73"/>
  <c r="M54" i="73"/>
  <c r="K54" i="73"/>
  <c r="G54" i="73"/>
  <c r="V53" i="73"/>
  <c r="M53" i="73" s="1"/>
  <c r="AB53" i="73" s="1"/>
  <c r="O53" i="73"/>
  <c r="K53" i="73"/>
  <c r="G53" i="73"/>
  <c r="O52" i="73"/>
  <c r="K52" i="73"/>
  <c r="H13" i="72" s="1"/>
  <c r="V51" i="73"/>
  <c r="M51" i="73" s="1"/>
  <c r="AA51" i="73" s="1"/>
  <c r="U51" i="73"/>
  <c r="O51" i="73"/>
  <c r="K51" i="73"/>
  <c r="G51" i="73"/>
  <c r="V50" i="73"/>
  <c r="U50" i="73"/>
  <c r="O50" i="73"/>
  <c r="N50" i="73"/>
  <c r="Q50" i="73" s="1"/>
  <c r="M50" i="73"/>
  <c r="K50" i="73"/>
  <c r="G50" i="73"/>
  <c r="V49" i="73"/>
  <c r="M49" i="73" s="1"/>
  <c r="N49" i="73" s="1"/>
  <c r="U49" i="73"/>
  <c r="Q49" i="73"/>
  <c r="P49" i="73"/>
  <c r="O49" i="73"/>
  <c r="K49" i="73"/>
  <c r="G49" i="73"/>
  <c r="X48" i="73"/>
  <c r="W48" i="73"/>
  <c r="V48" i="73"/>
  <c r="M48" i="73" s="1"/>
  <c r="U48" i="73"/>
  <c r="O48" i="73"/>
  <c r="K48" i="73"/>
  <c r="G48" i="73"/>
  <c r="AB47" i="73"/>
  <c r="AA47" i="73"/>
  <c r="V47" i="73"/>
  <c r="U47" i="73"/>
  <c r="P47" i="73"/>
  <c r="O47" i="73"/>
  <c r="N47" i="73"/>
  <c r="Q47" i="73" s="1"/>
  <c r="M47" i="73"/>
  <c r="K47" i="73"/>
  <c r="G47" i="73"/>
  <c r="V46" i="73"/>
  <c r="U46" i="73"/>
  <c r="O46" i="73"/>
  <c r="M46" i="73"/>
  <c r="AB46" i="73" s="1"/>
  <c r="K46" i="73"/>
  <c r="G46" i="73"/>
  <c r="V45" i="73"/>
  <c r="U45" i="73"/>
  <c r="O45" i="73"/>
  <c r="M45" i="73"/>
  <c r="K45" i="73"/>
  <c r="G45" i="73"/>
  <c r="V44" i="73"/>
  <c r="U44" i="73"/>
  <c r="O44" i="73"/>
  <c r="M44" i="73"/>
  <c r="AB44" i="73" s="1"/>
  <c r="K44" i="73"/>
  <c r="G44" i="73"/>
  <c r="V43" i="73"/>
  <c r="U43" i="73"/>
  <c r="O43" i="73"/>
  <c r="M43" i="73"/>
  <c r="N43" i="73" s="1"/>
  <c r="K43" i="73"/>
  <c r="G43" i="73"/>
  <c r="AA42" i="73"/>
  <c r="X42" i="73"/>
  <c r="W42" i="73"/>
  <c r="V42" i="73"/>
  <c r="M42" i="73" s="1"/>
  <c r="N42" i="73" s="1"/>
  <c r="O42" i="73"/>
  <c r="K42" i="73"/>
  <c r="G42" i="73"/>
  <c r="O41" i="73"/>
  <c r="K41" i="73"/>
  <c r="L13" i="72" s="1"/>
  <c r="AB40" i="73"/>
  <c r="AA40" i="73"/>
  <c r="V40" i="73"/>
  <c r="U40" i="73"/>
  <c r="O40" i="73"/>
  <c r="M40" i="73"/>
  <c r="N40" i="73" s="1"/>
  <c r="P40" i="73" s="1"/>
  <c r="K40" i="73"/>
  <c r="G40" i="73"/>
  <c r="V39" i="73"/>
  <c r="M39" i="73" s="1"/>
  <c r="U39" i="73"/>
  <c r="O39" i="73"/>
  <c r="K39" i="73"/>
  <c r="G39" i="73"/>
  <c r="V38" i="73"/>
  <c r="M38" i="73" s="1"/>
  <c r="N38" i="73" s="1"/>
  <c r="U38" i="73"/>
  <c r="O38" i="73"/>
  <c r="K38" i="73"/>
  <c r="G38" i="73"/>
  <c r="AB37" i="73"/>
  <c r="X37" i="73"/>
  <c r="W37" i="73"/>
  <c r="V37" i="73"/>
  <c r="U37" i="73"/>
  <c r="O37" i="73"/>
  <c r="N37" i="73"/>
  <c r="Q37" i="73" s="1"/>
  <c r="M37" i="73"/>
  <c r="AA37" i="73" s="1"/>
  <c r="K37" i="73"/>
  <c r="G37" i="73"/>
  <c r="V36" i="73"/>
  <c r="U36" i="73"/>
  <c r="O36" i="73"/>
  <c r="M36" i="73"/>
  <c r="K36" i="73"/>
  <c r="G36" i="73"/>
  <c r="AB35" i="73"/>
  <c r="AA35" i="73"/>
  <c r="V35" i="73"/>
  <c r="M35" i="73" s="1"/>
  <c r="U35" i="73"/>
  <c r="O35" i="73"/>
  <c r="N35" i="73"/>
  <c r="Q35" i="73" s="1"/>
  <c r="K35" i="73"/>
  <c r="G35" i="73"/>
  <c r="V34" i="73"/>
  <c r="U34" i="73"/>
  <c r="O34" i="73"/>
  <c r="M34" i="73"/>
  <c r="K34" i="73"/>
  <c r="G34" i="73"/>
  <c r="AB33" i="73"/>
  <c r="X33" i="73"/>
  <c r="W33" i="73"/>
  <c r="V33" i="73"/>
  <c r="M33" i="73" s="1"/>
  <c r="N33" i="73" s="1"/>
  <c r="O33" i="73"/>
  <c r="K33" i="73"/>
  <c r="G33" i="73"/>
  <c r="O32" i="73"/>
  <c r="K32" i="73"/>
  <c r="K13" i="72" s="1"/>
  <c r="V31" i="73"/>
  <c r="M31" i="73" s="1"/>
  <c r="N31" i="73" s="1"/>
  <c r="U31" i="73"/>
  <c r="O31" i="73"/>
  <c r="K31" i="73"/>
  <c r="G31" i="73"/>
  <c r="V30" i="73"/>
  <c r="U30" i="73"/>
  <c r="O30" i="73"/>
  <c r="M30" i="73"/>
  <c r="AA30" i="73" s="1"/>
  <c r="K30" i="73"/>
  <c r="G30" i="73"/>
  <c r="AB29" i="73"/>
  <c r="AA29" i="73"/>
  <c r="X29" i="73"/>
  <c r="W29" i="73"/>
  <c r="V29" i="73"/>
  <c r="U29" i="73"/>
  <c r="O29" i="73"/>
  <c r="N29" i="73"/>
  <c r="M29" i="73"/>
  <c r="K29" i="73"/>
  <c r="G29" i="73"/>
  <c r="V28" i="73"/>
  <c r="U28" i="73"/>
  <c r="O28" i="73"/>
  <c r="M28" i="73"/>
  <c r="AA28" i="73" s="1"/>
  <c r="K28" i="73"/>
  <c r="G28" i="73"/>
  <c r="V27" i="73"/>
  <c r="U27" i="73"/>
  <c r="P27" i="73"/>
  <c r="O27" i="73"/>
  <c r="N27" i="73"/>
  <c r="Q27" i="73" s="1"/>
  <c r="M27" i="73"/>
  <c r="K27" i="73"/>
  <c r="G27" i="73"/>
  <c r="V26" i="73"/>
  <c r="M26" i="73" s="1"/>
  <c r="N26" i="73" s="1"/>
  <c r="U26" i="73"/>
  <c r="Q26" i="73"/>
  <c r="P26" i="73"/>
  <c r="O26" i="73"/>
  <c r="K26" i="73"/>
  <c r="G26" i="73"/>
  <c r="X25" i="73"/>
  <c r="W25" i="73"/>
  <c r="V25" i="73"/>
  <c r="M25" i="73" s="1"/>
  <c r="O25" i="73"/>
  <c r="K25" i="73"/>
  <c r="G25" i="73"/>
  <c r="O24" i="73"/>
  <c r="K24" i="73"/>
  <c r="V23" i="73"/>
  <c r="U23" i="73"/>
  <c r="O23" i="73"/>
  <c r="M23" i="73"/>
  <c r="AB23" i="73" s="1"/>
  <c r="K23" i="73"/>
  <c r="G23" i="73"/>
  <c r="AB22" i="73"/>
  <c r="X22" i="73"/>
  <c r="W22" i="73"/>
  <c r="V22" i="73"/>
  <c r="U22" i="73"/>
  <c r="O22" i="73"/>
  <c r="M22" i="73"/>
  <c r="N22" i="73" s="1"/>
  <c r="K22" i="73"/>
  <c r="G22" i="73"/>
  <c r="V21" i="73"/>
  <c r="U21" i="73"/>
  <c r="O21" i="73"/>
  <c r="M21" i="73"/>
  <c r="AA21" i="73" s="1"/>
  <c r="K21" i="73"/>
  <c r="G21" i="73"/>
  <c r="V20" i="73"/>
  <c r="U20" i="73"/>
  <c r="O20" i="73"/>
  <c r="M20" i="73"/>
  <c r="K20" i="73"/>
  <c r="G20" i="73"/>
  <c r="V19" i="73"/>
  <c r="M19" i="73" s="1"/>
  <c r="AB19" i="73" s="1"/>
  <c r="U19" i="73"/>
  <c r="O19" i="73"/>
  <c r="N19" i="73"/>
  <c r="P19" i="73" s="1"/>
  <c r="K19" i="73"/>
  <c r="G19" i="73"/>
  <c r="V18" i="73"/>
  <c r="O18" i="73"/>
  <c r="M18" i="73"/>
  <c r="K18" i="73"/>
  <c r="G18" i="73"/>
  <c r="O17" i="73"/>
  <c r="K17" i="73"/>
  <c r="V16" i="73"/>
  <c r="U16" i="73"/>
  <c r="O16" i="73"/>
  <c r="M16" i="73"/>
  <c r="K16" i="73"/>
  <c r="G16" i="73"/>
  <c r="AB15" i="73"/>
  <c r="V15" i="73"/>
  <c r="M15" i="73" s="1"/>
  <c r="N15" i="73" s="1"/>
  <c r="U15" i="73"/>
  <c r="Q15" i="73"/>
  <c r="P15" i="73"/>
  <c r="O15" i="73"/>
  <c r="K15" i="73"/>
  <c r="G15" i="73"/>
  <c r="V14" i="73"/>
  <c r="U14" i="73"/>
  <c r="O14" i="73"/>
  <c r="M14" i="73"/>
  <c r="K14" i="73"/>
  <c r="G14" i="73"/>
  <c r="AB13" i="73"/>
  <c r="V13" i="73"/>
  <c r="M13" i="73" s="1"/>
  <c r="N13" i="73" s="1"/>
  <c r="U13" i="73"/>
  <c r="O13" i="73"/>
  <c r="K13" i="73"/>
  <c r="G13" i="73"/>
  <c r="X12" i="73"/>
  <c r="W12" i="73"/>
  <c r="V12" i="73"/>
  <c r="O12" i="73"/>
  <c r="M12" i="73"/>
  <c r="AB12" i="73" s="1"/>
  <c r="K12" i="73"/>
  <c r="G12" i="73"/>
  <c r="O11" i="73"/>
  <c r="K11" i="73"/>
  <c r="V10" i="73"/>
  <c r="M10" i="73" s="1"/>
  <c r="U10" i="73"/>
  <c r="O10" i="73"/>
  <c r="K10" i="73"/>
  <c r="G10" i="73"/>
  <c r="V9" i="73"/>
  <c r="O9" i="73"/>
  <c r="M9" i="73"/>
  <c r="M11" i="73" s="1"/>
  <c r="K9" i="73"/>
  <c r="G9" i="73"/>
  <c r="O8" i="73"/>
  <c r="K8" i="73"/>
  <c r="V7" i="73"/>
  <c r="U7" i="73"/>
  <c r="O7" i="73"/>
  <c r="M7" i="73"/>
  <c r="N7" i="73" s="1"/>
  <c r="K7" i="73"/>
  <c r="G7" i="73"/>
  <c r="V6" i="73"/>
  <c r="M6" i="73" s="1"/>
  <c r="U6" i="73"/>
  <c r="O6" i="73"/>
  <c r="K6" i="73"/>
  <c r="G6" i="73"/>
  <c r="V5" i="73"/>
  <c r="O5" i="73"/>
  <c r="N5" i="73"/>
  <c r="Q5" i="73" s="1"/>
  <c r="M5" i="73"/>
  <c r="K5" i="73"/>
  <c r="G5" i="73"/>
  <c r="H2" i="73"/>
  <c r="H1" i="73"/>
  <c r="D1" i="73"/>
  <c r="M18" i="72"/>
  <c r="L18" i="72"/>
  <c r="K18" i="72"/>
  <c r="J18" i="72"/>
  <c r="I18" i="72"/>
  <c r="H18" i="72"/>
  <c r="G18" i="72"/>
  <c r="F18" i="72"/>
  <c r="E18" i="72"/>
  <c r="D18" i="72"/>
  <c r="M17" i="72"/>
  <c r="L17" i="72"/>
  <c r="K17" i="72"/>
  <c r="J17" i="72"/>
  <c r="I17" i="72"/>
  <c r="H17" i="72"/>
  <c r="G17" i="72"/>
  <c r="F17" i="72"/>
  <c r="E17" i="72"/>
  <c r="D17" i="72"/>
  <c r="M16" i="72"/>
  <c r="L16" i="72"/>
  <c r="K16" i="72"/>
  <c r="J16" i="72"/>
  <c r="I16" i="72"/>
  <c r="H16" i="72"/>
  <c r="G16" i="72"/>
  <c r="F16" i="72"/>
  <c r="E16" i="72"/>
  <c r="D16" i="72"/>
  <c r="M13" i="72"/>
  <c r="J13" i="72"/>
  <c r="I13" i="72"/>
  <c r="G13" i="72"/>
  <c r="F13" i="72"/>
  <c r="E13" i="72"/>
  <c r="D13" i="72"/>
  <c r="F3" i="72"/>
  <c r="C3" i="72"/>
  <c r="F1" i="73" l="1"/>
  <c r="Q41" i="75"/>
  <c r="R33" i="75" s="1"/>
  <c r="P41" i="75"/>
  <c r="L14" i="74"/>
  <c r="L15" i="74" s="1"/>
  <c r="P24" i="75"/>
  <c r="G14" i="74"/>
  <c r="G15" i="74" s="1"/>
  <c r="Q24" i="75"/>
  <c r="R18" i="75" s="1"/>
  <c r="F14" i="74"/>
  <c r="F15" i="74" s="1"/>
  <c r="Q17" i="75"/>
  <c r="R12" i="75" s="1"/>
  <c r="P17" i="75"/>
  <c r="K15" i="74"/>
  <c r="I8" i="74" s="1"/>
  <c r="I7" i="74"/>
  <c r="P52" i="75"/>
  <c r="Q52" i="75"/>
  <c r="R42" i="75" s="1"/>
  <c r="H14" i="74"/>
  <c r="H15" i="74" s="1"/>
  <c r="J14" i="74"/>
  <c r="J15" i="74" s="1"/>
  <c r="Q66" i="75"/>
  <c r="R60" i="75" s="1"/>
  <c r="P66" i="75"/>
  <c r="Q8" i="75"/>
  <c r="R5" i="75" s="1"/>
  <c r="D14" i="74"/>
  <c r="P8" i="75"/>
  <c r="D2" i="75"/>
  <c r="I6" i="72"/>
  <c r="N64" i="73"/>
  <c r="AB64" i="73"/>
  <c r="AA64" i="73"/>
  <c r="P59" i="73"/>
  <c r="Q59" i="73"/>
  <c r="I3" i="72"/>
  <c r="F2" i="73"/>
  <c r="AA48" i="73"/>
  <c r="AB48" i="73"/>
  <c r="N48" i="73"/>
  <c r="N11" i="73"/>
  <c r="AB11" i="73"/>
  <c r="AC9" i="73" s="1"/>
  <c r="AA11" i="73"/>
  <c r="Q43" i="73"/>
  <c r="P43" i="73"/>
  <c r="M41" i="73"/>
  <c r="N10" i="73"/>
  <c r="AB10" i="73"/>
  <c r="AA10" i="73"/>
  <c r="Q7" i="73"/>
  <c r="P7" i="73"/>
  <c r="Q70" i="73"/>
  <c r="P70" i="73"/>
  <c r="F6" i="72"/>
  <c r="E6" i="72"/>
  <c r="G6" i="72"/>
  <c r="AB39" i="73"/>
  <c r="AA39" i="73"/>
  <c r="N39" i="73"/>
  <c r="AA25" i="73"/>
  <c r="AB25" i="73"/>
  <c r="N25" i="73"/>
  <c r="M32" i="73"/>
  <c r="N6" i="73"/>
  <c r="M8" i="73"/>
  <c r="AA6" i="73"/>
  <c r="AB6" i="73"/>
  <c r="AB61" i="73"/>
  <c r="AA61" i="73"/>
  <c r="N61" i="73"/>
  <c r="AB5" i="73"/>
  <c r="AA5" i="73"/>
  <c r="Q19" i="73"/>
  <c r="N30" i="73"/>
  <c r="N46" i="73"/>
  <c r="AB50" i="73"/>
  <c r="AA50" i="73"/>
  <c r="N55" i="73"/>
  <c r="N57" i="73"/>
  <c r="AB59" i="73"/>
  <c r="M76" i="73"/>
  <c r="AB72" i="73"/>
  <c r="AA72" i="73"/>
  <c r="AA38" i="73"/>
  <c r="AA49" i="73"/>
  <c r="AB21" i="73"/>
  <c r="AA23" i="73"/>
  <c r="N75" i="73"/>
  <c r="N23" i="73"/>
  <c r="N9" i="73"/>
  <c r="AA14" i="73"/>
  <c r="AB14" i="73"/>
  <c r="N21" i="73"/>
  <c r="N34" i="73"/>
  <c r="Q38" i="73"/>
  <c r="P38" i="73"/>
  <c r="AA43" i="73"/>
  <c r="AB43" i="73"/>
  <c r="AB51" i="73"/>
  <c r="AA70" i="73"/>
  <c r="AB70" i="73"/>
  <c r="N14" i="73"/>
  <c r="AB7" i="73"/>
  <c r="AA7" i="73"/>
  <c r="N73" i="73"/>
  <c r="Q22" i="73"/>
  <c r="P22" i="73"/>
  <c r="AA26" i="73"/>
  <c r="AB28" i="73"/>
  <c r="P35" i="73"/>
  <c r="AA68" i="73"/>
  <c r="AA20" i="73"/>
  <c r="AB20" i="73"/>
  <c r="AB30" i="73"/>
  <c r="AA53" i="73"/>
  <c r="AB57" i="73"/>
  <c r="AA60" i="73"/>
  <c r="M24" i="73"/>
  <c r="AB18" i="73"/>
  <c r="AA18" i="73"/>
  <c r="N20" i="73"/>
  <c r="N51" i="73"/>
  <c r="AB60" i="73"/>
  <c r="AA75" i="73"/>
  <c r="M52" i="73"/>
  <c r="P66" i="73"/>
  <c r="N28" i="73"/>
  <c r="P5" i="73"/>
  <c r="AA12" i="73"/>
  <c r="AA19" i="73"/>
  <c r="P37" i="73"/>
  <c r="N44" i="73"/>
  <c r="P50" i="73"/>
  <c r="AB26" i="73"/>
  <c r="P33" i="73"/>
  <c r="Q33" i="73"/>
  <c r="AA46" i="73"/>
  <c r="N53" i="73"/>
  <c r="M58" i="73"/>
  <c r="AA55" i="73"/>
  <c r="Q60" i="73"/>
  <c r="P60" i="73"/>
  <c r="Q42" i="73"/>
  <c r="P42" i="73"/>
  <c r="AA15" i="73"/>
  <c r="N18" i="73"/>
  <c r="AB27" i="73"/>
  <c r="AA27" i="73"/>
  <c r="Q29" i="73"/>
  <c r="P29" i="73"/>
  <c r="AA33" i="73"/>
  <c r="AA44" i="73"/>
  <c r="AA63" i="73"/>
  <c r="AB63" i="73"/>
  <c r="AA71" i="73"/>
  <c r="AA59" i="73"/>
  <c r="N68" i="73"/>
  <c r="Q13" i="73"/>
  <c r="P13" i="73"/>
  <c r="M65" i="73"/>
  <c r="Q69" i="73"/>
  <c r="P69" i="73"/>
  <c r="Q31" i="73"/>
  <c r="P31" i="73"/>
  <c r="AA54" i="73"/>
  <c r="AB54" i="73"/>
  <c r="AB16" i="73"/>
  <c r="AA16" i="73"/>
  <c r="AA31" i="73"/>
  <c r="AA36" i="73"/>
  <c r="AB36" i="73"/>
  <c r="AB45" i="73"/>
  <c r="N45" i="73"/>
  <c r="AA45" i="73"/>
  <c r="N54" i="73"/>
  <c r="AB9" i="73"/>
  <c r="AA9" i="73"/>
  <c r="M17" i="73"/>
  <c r="N16" i="73"/>
  <c r="AB31" i="73"/>
  <c r="AB34" i="73"/>
  <c r="AA34" i="73"/>
  <c r="N36" i="73"/>
  <c r="N72" i="73"/>
  <c r="N12" i="73"/>
  <c r="AB38" i="73"/>
  <c r="AB49" i="73"/>
  <c r="AA13" i="73"/>
  <c r="AA22" i="73"/>
  <c r="Q40" i="73"/>
  <c r="AB42" i="73"/>
  <c r="Q56" i="73"/>
  <c r="AA69" i="73"/>
  <c r="P56" i="73"/>
  <c r="N74" i="73"/>
  <c r="O70" i="71"/>
  <c r="K70" i="71"/>
  <c r="V69" i="71"/>
  <c r="M69" i="71" s="1"/>
  <c r="U69" i="71"/>
  <c r="O69" i="71"/>
  <c r="K69" i="71"/>
  <c r="G69" i="71"/>
  <c r="V68" i="71"/>
  <c r="M68" i="71" s="1"/>
  <c r="U68" i="71"/>
  <c r="O68" i="71"/>
  <c r="K68" i="71"/>
  <c r="G68" i="71"/>
  <c r="V67" i="71"/>
  <c r="M67" i="71" s="1"/>
  <c r="U67" i="71"/>
  <c r="O67" i="71"/>
  <c r="K67" i="71"/>
  <c r="G67" i="71"/>
  <c r="X66" i="71"/>
  <c r="W66" i="71"/>
  <c r="V66" i="71"/>
  <c r="M66" i="71" s="1"/>
  <c r="U66" i="71"/>
  <c r="O66" i="71"/>
  <c r="K66" i="71"/>
  <c r="G66" i="71"/>
  <c r="V65" i="71"/>
  <c r="M65" i="71" s="1"/>
  <c r="U65" i="71"/>
  <c r="O65" i="71"/>
  <c r="K65" i="71"/>
  <c r="G65" i="71"/>
  <c r="V64" i="71"/>
  <c r="M64" i="71" s="1"/>
  <c r="U64" i="71"/>
  <c r="O64" i="71"/>
  <c r="K64" i="71"/>
  <c r="G64" i="71"/>
  <c r="V63" i="71"/>
  <c r="M63" i="71" s="1"/>
  <c r="U63" i="71"/>
  <c r="O63" i="71"/>
  <c r="K63" i="71"/>
  <c r="G63" i="71"/>
  <c r="V62" i="71"/>
  <c r="U62" i="71"/>
  <c r="O62" i="71"/>
  <c r="M62" i="71"/>
  <c r="AB62" i="71" s="1"/>
  <c r="K62" i="71"/>
  <c r="G62" i="71"/>
  <c r="V61" i="71"/>
  <c r="U61" i="71"/>
  <c r="O61" i="71"/>
  <c r="N61" i="71"/>
  <c r="Q61" i="71" s="1"/>
  <c r="M61" i="71"/>
  <c r="AB61" i="71" s="1"/>
  <c r="K61" i="71"/>
  <c r="G61" i="71"/>
  <c r="X60" i="71"/>
  <c r="W60" i="71"/>
  <c r="V60" i="71"/>
  <c r="M60" i="71" s="1"/>
  <c r="O60" i="71"/>
  <c r="K60" i="71"/>
  <c r="G60" i="71"/>
  <c r="O59" i="71"/>
  <c r="K59" i="71"/>
  <c r="AB58" i="71"/>
  <c r="V58" i="71"/>
  <c r="U58" i="71"/>
  <c r="O58" i="71"/>
  <c r="M58" i="71"/>
  <c r="AA58" i="71" s="1"/>
  <c r="K58" i="71"/>
  <c r="G58" i="71"/>
  <c r="AB57" i="71"/>
  <c r="AA57" i="71"/>
  <c r="V57" i="71"/>
  <c r="U57" i="71"/>
  <c r="O57" i="71"/>
  <c r="M57" i="71"/>
  <c r="N57" i="71" s="1"/>
  <c r="K57" i="71"/>
  <c r="G57" i="71"/>
  <c r="V56" i="71"/>
  <c r="M56" i="71" s="1"/>
  <c r="U56" i="71"/>
  <c r="O56" i="71"/>
  <c r="K56" i="71"/>
  <c r="G56" i="71"/>
  <c r="V55" i="71"/>
  <c r="M55" i="71" s="1"/>
  <c r="O55" i="71"/>
  <c r="K55" i="71"/>
  <c r="G55" i="71"/>
  <c r="O54" i="71"/>
  <c r="K54" i="71"/>
  <c r="V53" i="71"/>
  <c r="M53" i="71" s="1"/>
  <c r="U53" i="71"/>
  <c r="O53" i="71"/>
  <c r="K53" i="71"/>
  <c r="G53" i="71"/>
  <c r="V52" i="71"/>
  <c r="U52" i="71"/>
  <c r="O52" i="71"/>
  <c r="M52" i="71"/>
  <c r="AB52" i="71" s="1"/>
  <c r="K52" i="71"/>
  <c r="G52" i="71"/>
  <c r="V51" i="71"/>
  <c r="U51" i="71"/>
  <c r="O51" i="71"/>
  <c r="N51" i="71"/>
  <c r="Q51" i="71" s="1"/>
  <c r="M51" i="71"/>
  <c r="AB51" i="71" s="1"/>
  <c r="K51" i="71"/>
  <c r="G51" i="71"/>
  <c r="V50" i="71"/>
  <c r="U50" i="71"/>
  <c r="O50" i="71"/>
  <c r="M50" i="71"/>
  <c r="AB50" i="71" s="1"/>
  <c r="K50" i="71"/>
  <c r="G50" i="71"/>
  <c r="V49" i="71"/>
  <c r="O49" i="71"/>
  <c r="M49" i="71"/>
  <c r="AB49" i="71" s="1"/>
  <c r="K49" i="71"/>
  <c r="G49" i="71"/>
  <c r="O48" i="71"/>
  <c r="K48" i="71"/>
  <c r="V47" i="71"/>
  <c r="M47" i="71" s="1"/>
  <c r="U47" i="71"/>
  <c r="O47" i="71"/>
  <c r="K47" i="71"/>
  <c r="G47" i="71"/>
  <c r="V46" i="71"/>
  <c r="M46" i="71" s="1"/>
  <c r="U46" i="71"/>
  <c r="O46" i="71"/>
  <c r="K46" i="71"/>
  <c r="G46" i="71"/>
  <c r="V45" i="71"/>
  <c r="M45" i="71" s="1"/>
  <c r="U45" i="71"/>
  <c r="O45" i="71"/>
  <c r="K45" i="71"/>
  <c r="G45" i="71"/>
  <c r="V44" i="71"/>
  <c r="M44" i="71" s="1"/>
  <c r="U44" i="71"/>
  <c r="O44" i="71"/>
  <c r="K44" i="71"/>
  <c r="G44" i="71"/>
  <c r="V43" i="71"/>
  <c r="M43" i="71" s="1"/>
  <c r="U43" i="71"/>
  <c r="O43" i="71"/>
  <c r="K43" i="71"/>
  <c r="G43" i="71"/>
  <c r="X42" i="71"/>
  <c r="W42" i="71"/>
  <c r="V42" i="71"/>
  <c r="M42" i="71" s="1"/>
  <c r="O42" i="71"/>
  <c r="K42" i="71"/>
  <c r="G42" i="71"/>
  <c r="O41" i="71"/>
  <c r="K41" i="71"/>
  <c r="V40" i="71"/>
  <c r="U40" i="71"/>
  <c r="O40" i="71"/>
  <c r="M40" i="71"/>
  <c r="AB40" i="71" s="1"/>
  <c r="K40" i="71"/>
  <c r="G40" i="71"/>
  <c r="V39" i="71"/>
  <c r="U39" i="71"/>
  <c r="O39" i="71"/>
  <c r="N39" i="71"/>
  <c r="Q39" i="71" s="1"/>
  <c r="M39" i="71"/>
  <c r="AB39" i="71" s="1"/>
  <c r="K39" i="71"/>
  <c r="G39" i="71"/>
  <c r="X38" i="71"/>
  <c r="W38" i="71"/>
  <c r="V38" i="71"/>
  <c r="U38" i="71"/>
  <c r="O38" i="71"/>
  <c r="M38" i="71"/>
  <c r="AA38" i="71" s="1"/>
  <c r="K38" i="71"/>
  <c r="G38" i="71"/>
  <c r="V37" i="71"/>
  <c r="U37" i="71"/>
  <c r="O37" i="71"/>
  <c r="N37" i="71"/>
  <c r="Q37" i="71" s="1"/>
  <c r="M37" i="71"/>
  <c r="AB37" i="71" s="1"/>
  <c r="K37" i="71"/>
  <c r="G37" i="71"/>
  <c r="AB36" i="71"/>
  <c r="V36" i="71"/>
  <c r="U36" i="71"/>
  <c r="O36" i="71"/>
  <c r="M36" i="71"/>
  <c r="AA36" i="71" s="1"/>
  <c r="K36" i="71"/>
  <c r="G36" i="71"/>
  <c r="AA35" i="71"/>
  <c r="V35" i="71"/>
  <c r="U35" i="71"/>
  <c r="O35" i="71"/>
  <c r="N35" i="71"/>
  <c r="Q35" i="71" s="1"/>
  <c r="M35" i="71"/>
  <c r="AB35" i="71" s="1"/>
  <c r="K35" i="71"/>
  <c r="G35" i="71"/>
  <c r="AB34" i="71"/>
  <c r="AA34" i="71"/>
  <c r="X34" i="71"/>
  <c r="W34" i="71"/>
  <c r="V34" i="71"/>
  <c r="O34" i="71"/>
  <c r="N34" i="71"/>
  <c r="Q34" i="71" s="1"/>
  <c r="M34" i="71"/>
  <c r="K34" i="71"/>
  <c r="G34" i="71"/>
  <c r="O33" i="71"/>
  <c r="K33" i="71"/>
  <c r="V32" i="71"/>
  <c r="M32" i="71" s="1"/>
  <c r="U32" i="71"/>
  <c r="O32" i="71"/>
  <c r="K32" i="71"/>
  <c r="G32" i="71"/>
  <c r="V31" i="71"/>
  <c r="M31" i="71" s="1"/>
  <c r="U31" i="71"/>
  <c r="O31" i="71"/>
  <c r="K31" i="71"/>
  <c r="G31" i="71"/>
  <c r="X30" i="71"/>
  <c r="W30" i="71"/>
  <c r="V30" i="71"/>
  <c r="M30" i="71" s="1"/>
  <c r="U30" i="71"/>
  <c r="O30" i="71"/>
  <c r="K30" i="71"/>
  <c r="G30" i="71"/>
  <c r="V29" i="71"/>
  <c r="M29" i="71" s="1"/>
  <c r="U29" i="71"/>
  <c r="O29" i="71"/>
  <c r="K29" i="71"/>
  <c r="G29" i="71"/>
  <c r="V28" i="71"/>
  <c r="M28" i="71" s="1"/>
  <c r="U28" i="71"/>
  <c r="O28" i="71"/>
  <c r="K28" i="71"/>
  <c r="G28" i="71"/>
  <c r="X27" i="71"/>
  <c r="W27" i="71"/>
  <c r="V27" i="71"/>
  <c r="M27" i="71" s="1"/>
  <c r="O27" i="71"/>
  <c r="K27" i="71"/>
  <c r="G27" i="71"/>
  <c r="O26" i="71"/>
  <c r="K26" i="71"/>
  <c r="V25" i="71"/>
  <c r="U25" i="71"/>
  <c r="O25" i="71"/>
  <c r="N25" i="71"/>
  <c r="Q25" i="71" s="1"/>
  <c r="M25" i="71"/>
  <c r="AB25" i="71" s="1"/>
  <c r="K25" i="71"/>
  <c r="G25" i="71"/>
  <c r="V24" i="71"/>
  <c r="U24" i="71"/>
  <c r="O24" i="71"/>
  <c r="M24" i="71"/>
  <c r="AB24" i="71" s="1"/>
  <c r="K24" i="71"/>
  <c r="G24" i="71"/>
  <c r="F1" i="71" s="1"/>
  <c r="V23" i="71"/>
  <c r="M23" i="71" s="1"/>
  <c r="U23" i="71"/>
  <c r="O23" i="71"/>
  <c r="K23" i="71"/>
  <c r="G23" i="71"/>
  <c r="V22" i="71"/>
  <c r="M22" i="71" s="1"/>
  <c r="O22" i="71"/>
  <c r="K22" i="71"/>
  <c r="G22" i="71"/>
  <c r="O21" i="71"/>
  <c r="K21" i="71"/>
  <c r="V20" i="71"/>
  <c r="M20" i="71" s="1"/>
  <c r="U20" i="71"/>
  <c r="O20" i="71"/>
  <c r="K20" i="71"/>
  <c r="G20" i="71"/>
  <c r="V19" i="71"/>
  <c r="M19" i="71" s="1"/>
  <c r="U19" i="71"/>
  <c r="O19" i="71"/>
  <c r="K19" i="71"/>
  <c r="G19" i="71"/>
  <c r="X18" i="71"/>
  <c r="W18" i="71"/>
  <c r="V18" i="71"/>
  <c r="M18" i="71" s="1"/>
  <c r="U18" i="71"/>
  <c r="O18" i="71"/>
  <c r="K18" i="71"/>
  <c r="G18" i="71"/>
  <c r="AB17" i="71"/>
  <c r="AA17" i="71"/>
  <c r="V17" i="71"/>
  <c r="U17" i="71"/>
  <c r="O17" i="71"/>
  <c r="M17" i="71"/>
  <c r="N17" i="71" s="1"/>
  <c r="K17" i="71"/>
  <c r="G17" i="71"/>
  <c r="V16" i="71"/>
  <c r="M16" i="71" s="1"/>
  <c r="U16" i="71"/>
  <c r="O16" i="71"/>
  <c r="K16" i="71"/>
  <c r="G16" i="71"/>
  <c r="V15" i="71"/>
  <c r="M15" i="71" s="1"/>
  <c r="U15" i="71"/>
  <c r="O15" i="71"/>
  <c r="K15" i="71"/>
  <c r="G15" i="71"/>
  <c r="V14" i="71"/>
  <c r="U14" i="71"/>
  <c r="O14" i="71"/>
  <c r="M14" i="71"/>
  <c r="AB14" i="71" s="1"/>
  <c r="K14" i="71"/>
  <c r="G14" i="71"/>
  <c r="V13" i="71"/>
  <c r="O13" i="71"/>
  <c r="M13" i="71"/>
  <c r="AB13" i="71" s="1"/>
  <c r="K13" i="71"/>
  <c r="G13" i="71"/>
  <c r="O12" i="71"/>
  <c r="M12" i="71"/>
  <c r="AB12" i="71" s="1"/>
  <c r="AC10" i="71" s="1"/>
  <c r="K12" i="71"/>
  <c r="AA11" i="71"/>
  <c r="V11" i="71"/>
  <c r="U11" i="71"/>
  <c r="O11" i="71"/>
  <c r="N11" i="71"/>
  <c r="Q11" i="71" s="1"/>
  <c r="M11" i="71"/>
  <c r="AB11" i="71" s="1"/>
  <c r="K11" i="71"/>
  <c r="G11" i="71"/>
  <c r="AA10" i="71"/>
  <c r="V10" i="71"/>
  <c r="O10" i="71"/>
  <c r="N10" i="71"/>
  <c r="Q10" i="71" s="1"/>
  <c r="M10" i="71"/>
  <c r="AB10" i="71" s="1"/>
  <c r="K10" i="71"/>
  <c r="G10" i="71"/>
  <c r="O9" i="71"/>
  <c r="K9" i="71"/>
  <c r="V8" i="71"/>
  <c r="M8" i="71" s="1"/>
  <c r="U8" i="71"/>
  <c r="O8" i="71"/>
  <c r="K8" i="71"/>
  <c r="G8" i="71"/>
  <c r="X7" i="71"/>
  <c r="W7" i="71"/>
  <c r="V7" i="71"/>
  <c r="M7" i="71" s="1"/>
  <c r="U7" i="71"/>
  <c r="O7" i="71"/>
  <c r="K7" i="71"/>
  <c r="G7" i="71"/>
  <c r="V6" i="71"/>
  <c r="M6" i="71" s="1"/>
  <c r="U6" i="71"/>
  <c r="O6" i="71"/>
  <c r="K6" i="71"/>
  <c r="G6" i="71"/>
  <c r="V5" i="71"/>
  <c r="M5" i="71" s="1"/>
  <c r="O5" i="71"/>
  <c r="K5" i="71"/>
  <c r="G5" i="71"/>
  <c r="H2" i="71"/>
  <c r="H1" i="71"/>
  <c r="D1" i="71"/>
  <c r="M18" i="70"/>
  <c r="L18" i="70"/>
  <c r="K18" i="70"/>
  <c r="J18" i="70"/>
  <c r="I18" i="70"/>
  <c r="H18" i="70"/>
  <c r="G18" i="70"/>
  <c r="F18" i="70"/>
  <c r="E18" i="70"/>
  <c r="D18" i="70"/>
  <c r="M17" i="70"/>
  <c r="L17" i="70"/>
  <c r="K17" i="70"/>
  <c r="J17" i="70"/>
  <c r="I17" i="70"/>
  <c r="H17" i="70"/>
  <c r="G17" i="70"/>
  <c r="F17" i="70"/>
  <c r="E17" i="70"/>
  <c r="D17" i="70"/>
  <c r="M16" i="70"/>
  <c r="L16" i="70"/>
  <c r="K16" i="70"/>
  <c r="J16" i="70"/>
  <c r="I16" i="70"/>
  <c r="H16" i="70"/>
  <c r="G16" i="70"/>
  <c r="F16" i="70"/>
  <c r="E16" i="70"/>
  <c r="D16" i="70"/>
  <c r="M13" i="70"/>
  <c r="L13" i="70"/>
  <c r="K13" i="70"/>
  <c r="I6" i="70" s="1"/>
  <c r="J13" i="70"/>
  <c r="I13" i="70"/>
  <c r="H13" i="70"/>
  <c r="G13" i="70"/>
  <c r="F13" i="70"/>
  <c r="E13" i="70"/>
  <c r="D13" i="70"/>
  <c r="G6" i="70" s="1"/>
  <c r="F3" i="70"/>
  <c r="C3" i="70"/>
  <c r="E7" i="74" l="1"/>
  <c r="G7" i="74"/>
  <c r="D15" i="74"/>
  <c r="F7" i="74"/>
  <c r="Q10" i="73"/>
  <c r="P10" i="73"/>
  <c r="P12" i="73"/>
  <c r="Q12" i="73"/>
  <c r="AB76" i="73"/>
  <c r="AC66" i="73" s="1"/>
  <c r="AA76" i="73"/>
  <c r="N76" i="73"/>
  <c r="Q48" i="73"/>
  <c r="P48" i="73"/>
  <c r="Q57" i="73"/>
  <c r="P57" i="73"/>
  <c r="N24" i="73"/>
  <c r="AB24" i="73"/>
  <c r="AC18" i="73" s="1"/>
  <c r="AA24" i="73"/>
  <c r="Q55" i="73"/>
  <c r="P55" i="73"/>
  <c r="Q74" i="73"/>
  <c r="P74" i="73"/>
  <c r="P54" i="73"/>
  <c r="Q54" i="73"/>
  <c r="Q46" i="73"/>
  <c r="P46" i="73"/>
  <c r="Q28" i="73"/>
  <c r="P28" i="73"/>
  <c r="P18" i="73"/>
  <c r="Q18" i="73"/>
  <c r="AB52" i="73"/>
  <c r="AC42" i="73" s="1"/>
  <c r="AA52" i="73"/>
  <c r="N52" i="73"/>
  <c r="P6" i="73"/>
  <c r="Q6" i="73"/>
  <c r="P36" i="73"/>
  <c r="Q36" i="73"/>
  <c r="Q51" i="73"/>
  <c r="P51" i="73"/>
  <c r="P14" i="73"/>
  <c r="Q14" i="73"/>
  <c r="Q11" i="73"/>
  <c r="R9" i="73" s="1"/>
  <c r="P11" i="73"/>
  <c r="E14" i="72"/>
  <c r="E15" i="72" s="1"/>
  <c r="Q16" i="73"/>
  <c r="P16" i="73"/>
  <c r="Q45" i="73"/>
  <c r="P45" i="73"/>
  <c r="P21" i="73"/>
  <c r="Q21" i="73"/>
  <c r="Q75" i="73"/>
  <c r="P75" i="73"/>
  <c r="AB8" i="73"/>
  <c r="AC5" i="73" s="1"/>
  <c r="AA8" i="73"/>
  <c r="N8" i="73"/>
  <c r="AA32" i="73"/>
  <c r="N32" i="73"/>
  <c r="AB32" i="73"/>
  <c r="AC25" i="73" s="1"/>
  <c r="Q25" i="73"/>
  <c r="P25" i="73"/>
  <c r="AB65" i="73"/>
  <c r="AC59" i="73" s="1"/>
  <c r="AA65" i="73"/>
  <c r="N65" i="73"/>
  <c r="N17" i="73"/>
  <c r="AA17" i="73"/>
  <c r="AB17" i="73"/>
  <c r="AC12" i="73" s="1"/>
  <c r="P68" i="73"/>
  <c r="Q68" i="73"/>
  <c r="Q44" i="73"/>
  <c r="P44" i="73"/>
  <c r="Q23" i="73"/>
  <c r="P23" i="73"/>
  <c r="AB41" i="73"/>
  <c r="AC33" i="73" s="1"/>
  <c r="AA41" i="73"/>
  <c r="N41" i="73"/>
  <c r="Q73" i="73"/>
  <c r="P73" i="73"/>
  <c r="Q72" i="73"/>
  <c r="P72" i="73"/>
  <c r="P20" i="73"/>
  <c r="Q20" i="73"/>
  <c r="AB58" i="73"/>
  <c r="AC53" i="73" s="1"/>
  <c r="AA58" i="73"/>
  <c r="N58" i="73"/>
  <c r="Q39" i="73"/>
  <c r="P39" i="73"/>
  <c r="Q53" i="73"/>
  <c r="P53" i="73"/>
  <c r="P34" i="73"/>
  <c r="Q34" i="73"/>
  <c r="Q30" i="73"/>
  <c r="P30" i="73"/>
  <c r="P64" i="73"/>
  <c r="Q64" i="73"/>
  <c r="P9" i="73"/>
  <c r="Q9" i="73"/>
  <c r="P61" i="73"/>
  <c r="Q61" i="73"/>
  <c r="N18" i="71"/>
  <c r="AB18" i="71"/>
  <c r="AA18" i="71"/>
  <c r="N44" i="71"/>
  <c r="AB44" i="71"/>
  <c r="AA44" i="71"/>
  <c r="Q57" i="71"/>
  <c r="P57" i="71"/>
  <c r="N67" i="71"/>
  <c r="AB67" i="71"/>
  <c r="AA67" i="71"/>
  <c r="N5" i="71"/>
  <c r="M9" i="71"/>
  <c r="AB5" i="71"/>
  <c r="AA5" i="71"/>
  <c r="N28" i="71"/>
  <c r="AB28" i="71"/>
  <c r="AA28" i="71"/>
  <c r="F2" i="71"/>
  <c r="I3" i="70"/>
  <c r="AB63" i="71"/>
  <c r="AA63" i="71"/>
  <c r="N63" i="71"/>
  <c r="N47" i="71"/>
  <c r="AB47" i="71"/>
  <c r="AA47" i="71"/>
  <c r="N55" i="71"/>
  <c r="M59" i="71"/>
  <c r="AB55" i="71"/>
  <c r="AA55" i="71"/>
  <c r="N42" i="71"/>
  <c r="AB42" i="71"/>
  <c r="AA42" i="71"/>
  <c r="M48" i="71"/>
  <c r="Q17" i="71"/>
  <c r="P17" i="71"/>
  <c r="N45" i="71"/>
  <c r="AB45" i="71"/>
  <c r="AA45" i="71"/>
  <c r="N66" i="71"/>
  <c r="AB66" i="71"/>
  <c r="AA66" i="71"/>
  <c r="N68" i="71"/>
  <c r="AB68" i="71"/>
  <c r="AA68" i="71"/>
  <c r="N20" i="71"/>
  <c r="AB20" i="71"/>
  <c r="AA20" i="71"/>
  <c r="N6" i="71"/>
  <c r="AB6" i="71"/>
  <c r="AA6" i="71"/>
  <c r="N8" i="71"/>
  <c r="AB8" i="71"/>
  <c r="AA8" i="71"/>
  <c r="AB15" i="71"/>
  <c r="AA15" i="71"/>
  <c r="N15" i="71"/>
  <c r="M26" i="71"/>
  <c r="AB22" i="71"/>
  <c r="AA22" i="71"/>
  <c r="N22" i="71"/>
  <c r="N27" i="71"/>
  <c r="M33" i="71"/>
  <c r="AB27" i="71"/>
  <c r="AA27" i="71"/>
  <c r="N29" i="71"/>
  <c r="AB29" i="71"/>
  <c r="AA29" i="71"/>
  <c r="N31" i="71"/>
  <c r="AB31" i="71"/>
  <c r="AA31" i="71"/>
  <c r="AB60" i="71"/>
  <c r="AA60" i="71"/>
  <c r="M70" i="71"/>
  <c r="N60" i="71"/>
  <c r="N64" i="71"/>
  <c r="AB64" i="71"/>
  <c r="AA64" i="71"/>
  <c r="N56" i="71"/>
  <c r="AB56" i="71"/>
  <c r="AA56" i="71"/>
  <c r="N19" i="71"/>
  <c r="AB19" i="71"/>
  <c r="AA19" i="71"/>
  <c r="AB43" i="71"/>
  <c r="AA43" i="71"/>
  <c r="N43" i="71"/>
  <c r="N46" i="71"/>
  <c r="AB46" i="71"/>
  <c r="AA46" i="71"/>
  <c r="AB53" i="71"/>
  <c r="AA53" i="71"/>
  <c r="N53" i="71"/>
  <c r="N69" i="71"/>
  <c r="AB69" i="71"/>
  <c r="AA69" i="71"/>
  <c r="N7" i="71"/>
  <c r="AB7" i="71"/>
  <c r="AA7" i="71"/>
  <c r="N16" i="71"/>
  <c r="AB16" i="71"/>
  <c r="AA16" i="71"/>
  <c r="AB23" i="71"/>
  <c r="AA23" i="71"/>
  <c r="N23" i="71"/>
  <c r="N30" i="71"/>
  <c r="AB30" i="71"/>
  <c r="AA30" i="71"/>
  <c r="N32" i="71"/>
  <c r="AB32" i="71"/>
  <c r="AA32" i="71"/>
  <c r="N65" i="71"/>
  <c r="AB65" i="71"/>
  <c r="AA65" i="71"/>
  <c r="AB38" i="71"/>
  <c r="M41" i="71"/>
  <c r="N13" i="71"/>
  <c r="N14" i="71"/>
  <c r="N52" i="71"/>
  <c r="N62" i="71"/>
  <c r="N24" i="71"/>
  <c r="N38" i="71"/>
  <c r="N40" i="71"/>
  <c r="N49" i="71"/>
  <c r="N50" i="71"/>
  <c r="N12" i="71"/>
  <c r="P25" i="71"/>
  <c r="P51" i="71"/>
  <c r="P61" i="71"/>
  <c r="E6" i="70"/>
  <c r="F6" i="70"/>
  <c r="N36" i="71"/>
  <c r="N58" i="71"/>
  <c r="M21" i="71"/>
  <c r="P34" i="71"/>
  <c r="P37" i="71"/>
  <c r="P39" i="71"/>
  <c r="AA13" i="71"/>
  <c r="AA14" i="71"/>
  <c r="AA52" i="71"/>
  <c r="AA62" i="71"/>
  <c r="P10" i="71"/>
  <c r="P11" i="71"/>
  <c r="AA12" i="71"/>
  <c r="AA25" i="71"/>
  <c r="P35" i="71"/>
  <c r="AA51" i="71"/>
  <c r="AA61" i="71"/>
  <c r="AA24" i="71"/>
  <c r="AA40" i="71"/>
  <c r="AA49" i="71"/>
  <c r="AA50" i="71"/>
  <c r="M54" i="71"/>
  <c r="AA37" i="71"/>
  <c r="AA39" i="71"/>
  <c r="O74" i="65"/>
  <c r="K74" i="65"/>
  <c r="V73" i="65"/>
  <c r="M73" i="65" s="1"/>
  <c r="U73" i="65"/>
  <c r="O73" i="65"/>
  <c r="K73" i="65"/>
  <c r="G73" i="65"/>
  <c r="AA72" i="65"/>
  <c r="V72" i="65"/>
  <c r="U72" i="65"/>
  <c r="O72" i="65"/>
  <c r="M72" i="65"/>
  <c r="N72" i="65" s="1"/>
  <c r="K72" i="65"/>
  <c r="G72" i="65"/>
  <c r="V71" i="65"/>
  <c r="M71" i="65" s="1"/>
  <c r="U71" i="65"/>
  <c r="O71" i="65"/>
  <c r="K71" i="65"/>
  <c r="G71" i="65"/>
  <c r="X70" i="65"/>
  <c r="W70" i="65"/>
  <c r="V70" i="65"/>
  <c r="U70" i="65"/>
  <c r="O70" i="65"/>
  <c r="M70" i="65"/>
  <c r="N70" i="65" s="1"/>
  <c r="K70" i="65"/>
  <c r="G70" i="65"/>
  <c r="V69" i="65"/>
  <c r="M69" i="65" s="1"/>
  <c r="U69" i="65"/>
  <c r="O69" i="65"/>
  <c r="K69" i="65"/>
  <c r="G69" i="65"/>
  <c r="AA68" i="65"/>
  <c r="V68" i="65"/>
  <c r="U68" i="65"/>
  <c r="P68" i="65"/>
  <c r="O68" i="65"/>
  <c r="N68" i="65"/>
  <c r="Q68" i="65" s="1"/>
  <c r="M68" i="65"/>
  <c r="AB68" i="65" s="1"/>
  <c r="K68" i="65"/>
  <c r="G68" i="65"/>
  <c r="V67" i="65"/>
  <c r="M67" i="65" s="1"/>
  <c r="U67" i="65"/>
  <c r="O67" i="65"/>
  <c r="K67" i="65"/>
  <c r="G67" i="65"/>
  <c r="AB66" i="65"/>
  <c r="AA66" i="65"/>
  <c r="V66" i="65"/>
  <c r="U66" i="65"/>
  <c r="O66" i="65"/>
  <c r="N66" i="65"/>
  <c r="Q66" i="65" s="1"/>
  <c r="M66" i="65"/>
  <c r="K66" i="65"/>
  <c r="G66" i="65"/>
  <c r="AB65" i="65"/>
  <c r="AA65" i="65"/>
  <c r="X65" i="65"/>
  <c r="W65" i="65"/>
  <c r="V65" i="65"/>
  <c r="P65" i="65"/>
  <c r="O65" i="65"/>
  <c r="N65" i="65"/>
  <c r="Q65" i="65" s="1"/>
  <c r="M65" i="65"/>
  <c r="K65" i="65"/>
  <c r="G65" i="65"/>
  <c r="O64" i="65"/>
  <c r="K64" i="65"/>
  <c r="V63" i="65"/>
  <c r="U63" i="65"/>
  <c r="O63" i="65"/>
  <c r="M63" i="65"/>
  <c r="AB63" i="65" s="1"/>
  <c r="K63" i="65"/>
  <c r="G63" i="65"/>
  <c r="V62" i="65"/>
  <c r="M62" i="65" s="1"/>
  <c r="U62" i="65"/>
  <c r="O62" i="65"/>
  <c r="K62" i="65"/>
  <c r="G62" i="65"/>
  <c r="AB61" i="65"/>
  <c r="V61" i="65"/>
  <c r="U61" i="65"/>
  <c r="O61" i="65"/>
  <c r="M61" i="65"/>
  <c r="N61" i="65" s="1"/>
  <c r="K61" i="65"/>
  <c r="G61" i="65"/>
  <c r="AB60" i="65"/>
  <c r="V60" i="65"/>
  <c r="O60" i="65"/>
  <c r="M60" i="65"/>
  <c r="N60" i="65" s="1"/>
  <c r="K60" i="65"/>
  <c r="G60" i="65"/>
  <c r="O59" i="65"/>
  <c r="K59" i="65"/>
  <c r="AA58" i="65"/>
  <c r="V58" i="65"/>
  <c r="U58" i="65"/>
  <c r="P58" i="65"/>
  <c r="O58" i="65"/>
  <c r="N58" i="65"/>
  <c r="Q58" i="65" s="1"/>
  <c r="M58" i="65"/>
  <c r="AB58" i="65" s="1"/>
  <c r="K58" i="65"/>
  <c r="G58" i="65"/>
  <c r="V57" i="65"/>
  <c r="M57" i="65" s="1"/>
  <c r="U57" i="65"/>
  <c r="O57" i="65"/>
  <c r="K57" i="65"/>
  <c r="G57" i="65"/>
  <c r="V56" i="65"/>
  <c r="M56" i="65" s="1"/>
  <c r="U56" i="65"/>
  <c r="O56" i="65"/>
  <c r="K56" i="65"/>
  <c r="G56" i="65"/>
  <c r="V55" i="65"/>
  <c r="M55" i="65" s="1"/>
  <c r="O55" i="65"/>
  <c r="K55" i="65"/>
  <c r="G55" i="65"/>
  <c r="O54" i="65"/>
  <c r="K54" i="65"/>
  <c r="AB53" i="65"/>
  <c r="V53" i="65"/>
  <c r="U53" i="65"/>
  <c r="O53" i="65"/>
  <c r="M53" i="65"/>
  <c r="N53" i="65" s="1"/>
  <c r="K53" i="65"/>
  <c r="G53" i="65"/>
  <c r="V52" i="65"/>
  <c r="M52" i="65" s="1"/>
  <c r="U52" i="65"/>
  <c r="O52" i="65"/>
  <c r="K52" i="65"/>
  <c r="G52" i="65"/>
  <c r="V51" i="65"/>
  <c r="M51" i="65" s="1"/>
  <c r="U51" i="65"/>
  <c r="O51" i="65"/>
  <c r="K51" i="65"/>
  <c r="G51" i="65"/>
  <c r="X50" i="65"/>
  <c r="W50" i="65"/>
  <c r="V50" i="65"/>
  <c r="M50" i="65" s="1"/>
  <c r="U50" i="65"/>
  <c r="O50" i="65"/>
  <c r="K50" i="65"/>
  <c r="G50" i="65"/>
  <c r="V49" i="65"/>
  <c r="M49" i="65" s="1"/>
  <c r="U49" i="65"/>
  <c r="O49" i="65"/>
  <c r="K49" i="65"/>
  <c r="G49" i="65"/>
  <c r="AA48" i="65"/>
  <c r="V48" i="65"/>
  <c r="U48" i="65"/>
  <c r="O48" i="65"/>
  <c r="M48" i="65"/>
  <c r="N48" i="65" s="1"/>
  <c r="K48" i="65"/>
  <c r="G48" i="65"/>
  <c r="V47" i="65"/>
  <c r="M47" i="65" s="1"/>
  <c r="U47" i="65"/>
  <c r="O47" i="65"/>
  <c r="K47" i="65"/>
  <c r="G47" i="65"/>
  <c r="V46" i="65"/>
  <c r="M46" i="65" s="1"/>
  <c r="U46" i="65"/>
  <c r="O46" i="65"/>
  <c r="K46" i="65"/>
  <c r="G46" i="65"/>
  <c r="V45" i="65"/>
  <c r="M45" i="65" s="1"/>
  <c r="O45" i="65"/>
  <c r="K45" i="65"/>
  <c r="G45" i="65"/>
  <c r="O44" i="65"/>
  <c r="K44" i="65"/>
  <c r="V43" i="65"/>
  <c r="U43" i="65"/>
  <c r="O43" i="65"/>
  <c r="M43" i="65"/>
  <c r="AB43" i="65" s="1"/>
  <c r="K43" i="65"/>
  <c r="G43" i="65"/>
  <c r="V42" i="65"/>
  <c r="U42" i="65"/>
  <c r="O42" i="65"/>
  <c r="M42" i="65"/>
  <c r="AA42" i="65" s="1"/>
  <c r="K42" i="65"/>
  <c r="G42" i="65"/>
  <c r="AB41" i="65"/>
  <c r="V41" i="65"/>
  <c r="U41" i="65"/>
  <c r="O41" i="65"/>
  <c r="M41" i="65"/>
  <c r="N41" i="65" s="1"/>
  <c r="K41" i="65"/>
  <c r="G41" i="65"/>
  <c r="AA40" i="65"/>
  <c r="V40" i="65"/>
  <c r="U40" i="65"/>
  <c r="O40" i="65"/>
  <c r="N40" i="65"/>
  <c r="Q40" i="65" s="1"/>
  <c r="M40" i="65"/>
  <c r="AB40" i="65" s="1"/>
  <c r="K40" i="65"/>
  <c r="P40" i="65" s="1"/>
  <c r="G40" i="65"/>
  <c r="V39" i="65"/>
  <c r="M39" i="65" s="1"/>
  <c r="U39" i="65"/>
  <c r="O39" i="65"/>
  <c r="K39" i="65"/>
  <c r="G39" i="65"/>
  <c r="AA38" i="65"/>
  <c r="V38" i="65"/>
  <c r="U38" i="65"/>
  <c r="O38" i="65"/>
  <c r="M38" i="65"/>
  <c r="N38" i="65" s="1"/>
  <c r="K38" i="65"/>
  <c r="G38" i="65"/>
  <c r="V37" i="65"/>
  <c r="M37" i="65" s="1"/>
  <c r="U37" i="65"/>
  <c r="O37" i="65"/>
  <c r="K37" i="65"/>
  <c r="G37" i="65"/>
  <c r="V36" i="65"/>
  <c r="M36" i="65" s="1"/>
  <c r="U36" i="65"/>
  <c r="O36" i="65"/>
  <c r="K36" i="65"/>
  <c r="G36" i="65"/>
  <c r="X35" i="65"/>
  <c r="W35" i="65"/>
  <c r="V35" i="65"/>
  <c r="O35" i="65"/>
  <c r="M35" i="65"/>
  <c r="N35" i="65" s="1"/>
  <c r="K35" i="65"/>
  <c r="G35" i="65"/>
  <c r="O34" i="65"/>
  <c r="K34" i="65"/>
  <c r="V33" i="65"/>
  <c r="U33" i="65"/>
  <c r="O33" i="65"/>
  <c r="M33" i="65"/>
  <c r="AB33" i="65" s="1"/>
  <c r="K33" i="65"/>
  <c r="G33" i="65"/>
  <c r="V32" i="65"/>
  <c r="M32" i="65" s="1"/>
  <c r="U32" i="65"/>
  <c r="O32" i="65"/>
  <c r="K32" i="65"/>
  <c r="G32" i="65"/>
  <c r="V31" i="65"/>
  <c r="U31" i="65"/>
  <c r="O31" i="65"/>
  <c r="M31" i="65"/>
  <c r="AB31" i="65" s="1"/>
  <c r="K31" i="65"/>
  <c r="G31" i="65"/>
  <c r="V30" i="65"/>
  <c r="U30" i="65"/>
  <c r="O30" i="65"/>
  <c r="M30" i="65"/>
  <c r="AA30" i="65" s="1"/>
  <c r="K30" i="65"/>
  <c r="G30" i="65"/>
  <c r="AB29" i="65"/>
  <c r="X29" i="65"/>
  <c r="W29" i="65"/>
  <c r="V29" i="65"/>
  <c r="U29" i="65"/>
  <c r="O29" i="65"/>
  <c r="M29" i="65"/>
  <c r="N29" i="65" s="1"/>
  <c r="K29" i="65"/>
  <c r="G29" i="65"/>
  <c r="V28" i="65"/>
  <c r="U28" i="65"/>
  <c r="O28" i="65"/>
  <c r="M28" i="65"/>
  <c r="AA28" i="65" s="1"/>
  <c r="K28" i="65"/>
  <c r="G28" i="65"/>
  <c r="AB27" i="65"/>
  <c r="V27" i="65"/>
  <c r="U27" i="65"/>
  <c r="O27" i="65"/>
  <c r="M27" i="65"/>
  <c r="N27" i="65" s="1"/>
  <c r="K27" i="65"/>
  <c r="G27" i="65"/>
  <c r="AA26" i="65"/>
  <c r="V26" i="65"/>
  <c r="U26" i="65"/>
  <c r="O26" i="65"/>
  <c r="N26" i="65"/>
  <c r="Q26" i="65" s="1"/>
  <c r="M26" i="65"/>
  <c r="AB26" i="65" s="1"/>
  <c r="K26" i="65"/>
  <c r="G26" i="65"/>
  <c r="AA25" i="65"/>
  <c r="X25" i="65"/>
  <c r="W25" i="65"/>
  <c r="V25" i="65"/>
  <c r="O25" i="65"/>
  <c r="M25" i="65"/>
  <c r="K25" i="65"/>
  <c r="G25" i="65"/>
  <c r="O24" i="65"/>
  <c r="K24" i="65"/>
  <c r="V23" i="65"/>
  <c r="M23" i="65" s="1"/>
  <c r="U23" i="65"/>
  <c r="O23" i="65"/>
  <c r="K23" i="65"/>
  <c r="G23" i="65"/>
  <c r="V22" i="65"/>
  <c r="M22" i="65" s="1"/>
  <c r="U22" i="65"/>
  <c r="O22" i="65"/>
  <c r="K22" i="65"/>
  <c r="G22" i="65"/>
  <c r="V21" i="65"/>
  <c r="M21" i="65" s="1"/>
  <c r="U21" i="65"/>
  <c r="O21" i="65"/>
  <c r="K21" i="65"/>
  <c r="G21" i="65"/>
  <c r="V20" i="65"/>
  <c r="M20" i="65" s="1"/>
  <c r="O20" i="65"/>
  <c r="K20" i="65"/>
  <c r="G20" i="65"/>
  <c r="O19" i="65"/>
  <c r="K19" i="65"/>
  <c r="F13" i="64" s="1"/>
  <c r="V18" i="65"/>
  <c r="U18" i="65"/>
  <c r="O18" i="65"/>
  <c r="M18" i="65"/>
  <c r="AA18" i="65" s="1"/>
  <c r="K18" i="65"/>
  <c r="G18" i="65"/>
  <c r="AB17" i="65"/>
  <c r="V17" i="65"/>
  <c r="U17" i="65"/>
  <c r="O17" i="65"/>
  <c r="M17" i="65"/>
  <c r="N17" i="65" s="1"/>
  <c r="K17" i="65"/>
  <c r="G17" i="65"/>
  <c r="V16" i="65"/>
  <c r="M16" i="65" s="1"/>
  <c r="U16" i="65"/>
  <c r="O16" i="65"/>
  <c r="K16" i="65"/>
  <c r="G16" i="65"/>
  <c r="V15" i="65"/>
  <c r="M15" i="65" s="1"/>
  <c r="U15" i="65"/>
  <c r="O15" i="65"/>
  <c r="K15" i="65"/>
  <c r="G15" i="65"/>
  <c r="AA14" i="65"/>
  <c r="V14" i="65"/>
  <c r="U14" i="65"/>
  <c r="O14" i="65"/>
  <c r="M14" i="65"/>
  <c r="N14" i="65" s="1"/>
  <c r="K14" i="65"/>
  <c r="G14" i="65"/>
  <c r="X13" i="65"/>
  <c r="W13" i="65"/>
  <c r="V13" i="65"/>
  <c r="M13" i="65" s="1"/>
  <c r="O13" i="65"/>
  <c r="K13" i="65"/>
  <c r="G13" i="65"/>
  <c r="O12" i="65"/>
  <c r="K12" i="65"/>
  <c r="V11" i="65"/>
  <c r="M11" i="65" s="1"/>
  <c r="U11" i="65"/>
  <c r="O11" i="65"/>
  <c r="K11" i="65"/>
  <c r="G11" i="65"/>
  <c r="X10" i="65"/>
  <c r="W10" i="65"/>
  <c r="V10" i="65"/>
  <c r="M10" i="65" s="1"/>
  <c r="U10" i="65"/>
  <c r="O10" i="65"/>
  <c r="K10" i="65"/>
  <c r="G10" i="65"/>
  <c r="V9" i="65"/>
  <c r="M9" i="65" s="1"/>
  <c r="O9" i="65"/>
  <c r="K9" i="65"/>
  <c r="G9" i="65"/>
  <c r="O8" i="65"/>
  <c r="M8" i="65"/>
  <c r="AB8" i="65" s="1"/>
  <c r="AC5" i="65" s="1"/>
  <c r="K8" i="65"/>
  <c r="V7" i="65"/>
  <c r="U7" i="65"/>
  <c r="O7" i="65"/>
  <c r="M7" i="65"/>
  <c r="AB7" i="65" s="1"/>
  <c r="K7" i="65"/>
  <c r="G7" i="65"/>
  <c r="V6" i="65"/>
  <c r="U6" i="65"/>
  <c r="O6" i="65"/>
  <c r="M6" i="65"/>
  <c r="AA6" i="65" s="1"/>
  <c r="K6" i="65"/>
  <c r="G6" i="65"/>
  <c r="V5" i="65"/>
  <c r="O5" i="65"/>
  <c r="M5" i="65"/>
  <c r="AA5" i="65" s="1"/>
  <c r="K5" i="65"/>
  <c r="G5" i="65"/>
  <c r="F1" i="65" s="1"/>
  <c r="H2" i="65"/>
  <c r="H1" i="65"/>
  <c r="D1" i="65"/>
  <c r="M18" i="64"/>
  <c r="L18" i="64"/>
  <c r="K18" i="64"/>
  <c r="J18" i="64"/>
  <c r="I18" i="64"/>
  <c r="H18" i="64"/>
  <c r="G18" i="64"/>
  <c r="F18" i="64"/>
  <c r="E18" i="64"/>
  <c r="D18" i="64"/>
  <c r="M17" i="64"/>
  <c r="L17" i="64"/>
  <c r="K17" i="64"/>
  <c r="J17" i="64"/>
  <c r="I17" i="64"/>
  <c r="H17" i="64"/>
  <c r="G17" i="64"/>
  <c r="F17" i="64"/>
  <c r="E17" i="64"/>
  <c r="D17" i="64"/>
  <c r="M16" i="64"/>
  <c r="L16" i="64"/>
  <c r="K16" i="64"/>
  <c r="J16" i="64"/>
  <c r="I16" i="64"/>
  <c r="H16" i="64"/>
  <c r="G16" i="64"/>
  <c r="F16" i="64"/>
  <c r="E16" i="64"/>
  <c r="D16" i="64"/>
  <c r="M13" i="64"/>
  <c r="L13" i="64"/>
  <c r="K13" i="64"/>
  <c r="I6" i="64" s="1"/>
  <c r="J13" i="64"/>
  <c r="I13" i="64"/>
  <c r="H13" i="64"/>
  <c r="G13" i="64"/>
  <c r="E13" i="64"/>
  <c r="D13" i="64"/>
  <c r="F3" i="64"/>
  <c r="C3" i="64"/>
  <c r="G8" i="74" l="1"/>
  <c r="F8" i="74"/>
  <c r="E8" i="74"/>
  <c r="J14" i="72"/>
  <c r="J15" i="72" s="1"/>
  <c r="P65" i="73"/>
  <c r="Q65" i="73"/>
  <c r="R59" i="73" s="1"/>
  <c r="K14" i="72"/>
  <c r="P32" i="73"/>
  <c r="Q32" i="73"/>
  <c r="R25" i="73" s="1"/>
  <c r="M14" i="72"/>
  <c r="M15" i="72" s="1"/>
  <c r="P76" i="73"/>
  <c r="Q76" i="73"/>
  <c r="R66" i="73" s="1"/>
  <c r="L14" i="72"/>
  <c r="L15" i="72" s="1"/>
  <c r="Q41" i="73"/>
  <c r="R33" i="73" s="1"/>
  <c r="P41" i="73"/>
  <c r="Q8" i="73"/>
  <c r="R5" i="73" s="1"/>
  <c r="D14" i="72"/>
  <c r="P8" i="73"/>
  <c r="D2" i="73"/>
  <c r="Q52" i="73"/>
  <c r="R42" i="73" s="1"/>
  <c r="P52" i="73"/>
  <c r="H14" i="72"/>
  <c r="H15" i="72" s="1"/>
  <c r="P58" i="73"/>
  <c r="Q58" i="73"/>
  <c r="R53" i="73" s="1"/>
  <c r="I14" i="72"/>
  <c r="I15" i="72" s="1"/>
  <c r="F14" i="72"/>
  <c r="F15" i="72" s="1"/>
  <c r="P17" i="73"/>
  <c r="Q17" i="73"/>
  <c r="R12" i="73" s="1"/>
  <c r="Q24" i="73"/>
  <c r="R18" i="73" s="1"/>
  <c r="P24" i="73"/>
  <c r="G14" i="72"/>
  <c r="G15" i="72" s="1"/>
  <c r="Q38" i="71"/>
  <c r="P38" i="71"/>
  <c r="P27" i="71"/>
  <c r="Q27" i="71"/>
  <c r="Q36" i="71"/>
  <c r="P36" i="71"/>
  <c r="Q62" i="71"/>
  <c r="P62" i="71"/>
  <c r="Q47" i="71"/>
  <c r="P47" i="71"/>
  <c r="Q5" i="71"/>
  <c r="P5" i="71"/>
  <c r="Q52" i="71"/>
  <c r="P52" i="71"/>
  <c r="Q63" i="71"/>
  <c r="P63" i="71"/>
  <c r="AA21" i="71"/>
  <c r="N21" i="71"/>
  <c r="AB21" i="71"/>
  <c r="AC13" i="71" s="1"/>
  <c r="Q14" i="71"/>
  <c r="P14" i="71"/>
  <c r="P30" i="71"/>
  <c r="Q30" i="71"/>
  <c r="Q69" i="71"/>
  <c r="P69" i="71"/>
  <c r="Q19" i="71"/>
  <c r="P19" i="71"/>
  <c r="AB26" i="71"/>
  <c r="AC22" i="71" s="1"/>
  <c r="AA26" i="71"/>
  <c r="N26" i="71"/>
  <c r="P20" i="71"/>
  <c r="Q20" i="71"/>
  <c r="AB48" i="71"/>
  <c r="AC42" i="71" s="1"/>
  <c r="AA48" i="71"/>
  <c r="N48" i="71"/>
  <c r="N54" i="71"/>
  <c r="AB54" i="71"/>
  <c r="AC49" i="71" s="1"/>
  <c r="AA54" i="71"/>
  <c r="Q13" i="71"/>
  <c r="P13" i="71"/>
  <c r="Q23" i="71"/>
  <c r="P23" i="71"/>
  <c r="Q53" i="71"/>
  <c r="P53" i="71"/>
  <c r="Q31" i="71"/>
  <c r="P31" i="71"/>
  <c r="Q15" i="71"/>
  <c r="P15" i="71"/>
  <c r="Q67" i="71"/>
  <c r="P67" i="71"/>
  <c r="AB41" i="71"/>
  <c r="AC34" i="71" s="1"/>
  <c r="AA41" i="71"/>
  <c r="N41" i="71"/>
  <c r="Q56" i="71"/>
  <c r="P56" i="71"/>
  <c r="Q12" i="71"/>
  <c r="R10" i="71" s="1"/>
  <c r="P12" i="71"/>
  <c r="E14" i="70"/>
  <c r="E15" i="70" s="1"/>
  <c r="Q29" i="71"/>
  <c r="P29" i="71"/>
  <c r="Q42" i="71"/>
  <c r="P42" i="71"/>
  <c r="Q50" i="71"/>
  <c r="P50" i="71"/>
  <c r="Q49" i="71"/>
  <c r="P49" i="71"/>
  <c r="Q65" i="71"/>
  <c r="P65" i="71"/>
  <c r="Q16" i="71"/>
  <c r="P16" i="71"/>
  <c r="P46" i="71"/>
  <c r="Q46" i="71"/>
  <c r="Q64" i="71"/>
  <c r="P64" i="71"/>
  <c r="Q8" i="71"/>
  <c r="P8" i="71"/>
  <c r="P66" i="71"/>
  <c r="Q66" i="71"/>
  <c r="AB59" i="71"/>
  <c r="AC55" i="71" s="1"/>
  <c r="AA59" i="71"/>
  <c r="N59" i="71"/>
  <c r="Q28" i="71"/>
  <c r="P28" i="71"/>
  <c r="Q44" i="71"/>
  <c r="P44" i="71"/>
  <c r="P68" i="71"/>
  <c r="Q68" i="71"/>
  <c r="Q40" i="71"/>
  <c r="P40" i="71"/>
  <c r="Q43" i="71"/>
  <c r="P43" i="71"/>
  <c r="Q60" i="71"/>
  <c r="P60" i="71"/>
  <c r="AA33" i="71"/>
  <c r="N33" i="71"/>
  <c r="AB33" i="71"/>
  <c r="AC27" i="71" s="1"/>
  <c r="Q55" i="71"/>
  <c r="P55" i="71"/>
  <c r="AB70" i="71"/>
  <c r="AC60" i="71" s="1"/>
  <c r="AA70" i="71"/>
  <c r="N70" i="71"/>
  <c r="Q58" i="71"/>
  <c r="P58" i="71"/>
  <c r="Q24" i="71"/>
  <c r="P24" i="71"/>
  <c r="P32" i="71"/>
  <c r="Q32" i="71"/>
  <c r="Q7" i="71"/>
  <c r="P7" i="71"/>
  <c r="Q22" i="71"/>
  <c r="P22" i="71"/>
  <c r="Q6" i="71"/>
  <c r="P6" i="71"/>
  <c r="Q45" i="71"/>
  <c r="P45" i="71"/>
  <c r="N9" i="71"/>
  <c r="AB9" i="71"/>
  <c r="AC5" i="71" s="1"/>
  <c r="AA9" i="71"/>
  <c r="P18" i="71"/>
  <c r="Q18" i="71"/>
  <c r="P72" i="65"/>
  <c r="Q72" i="65"/>
  <c r="Q17" i="65"/>
  <c r="P17" i="65"/>
  <c r="M34" i="65"/>
  <c r="N36" i="65"/>
  <c r="M44" i="65"/>
  <c r="AB36" i="65"/>
  <c r="AA36" i="65"/>
  <c r="N47" i="65"/>
  <c r="AB47" i="65"/>
  <c r="AA47" i="65"/>
  <c r="N49" i="65"/>
  <c r="AB49" i="65"/>
  <c r="AA49" i="65"/>
  <c r="N51" i="65"/>
  <c r="AB51" i="65"/>
  <c r="AA51" i="65"/>
  <c r="Q61" i="65"/>
  <c r="P61" i="65"/>
  <c r="N10" i="65"/>
  <c r="AB10" i="65"/>
  <c r="AA10" i="65"/>
  <c r="N45" i="65"/>
  <c r="AB45" i="65"/>
  <c r="AA45" i="65"/>
  <c r="M54" i="65"/>
  <c r="P48" i="65"/>
  <c r="Q48" i="65"/>
  <c r="AB57" i="65"/>
  <c r="AA57" i="65"/>
  <c r="N57" i="65"/>
  <c r="AA52" i="65"/>
  <c r="N52" i="65"/>
  <c r="AB52" i="65"/>
  <c r="AB67" i="65"/>
  <c r="AA67" i="65"/>
  <c r="M74" i="65"/>
  <c r="N67" i="65"/>
  <c r="N69" i="65"/>
  <c r="AB69" i="65"/>
  <c r="AA69" i="65"/>
  <c r="N73" i="65"/>
  <c r="AB73" i="65"/>
  <c r="AA73" i="65"/>
  <c r="G6" i="64"/>
  <c r="P35" i="65"/>
  <c r="Q35" i="65"/>
  <c r="M24" i="65"/>
  <c r="AB20" i="65"/>
  <c r="AA20" i="65"/>
  <c r="N20" i="65"/>
  <c r="Q27" i="65"/>
  <c r="P27" i="65"/>
  <c r="AB32" i="65"/>
  <c r="AA32" i="65"/>
  <c r="N32" i="65"/>
  <c r="Q41" i="65"/>
  <c r="P41" i="65"/>
  <c r="Q29" i="65"/>
  <c r="P29" i="65"/>
  <c r="N37" i="65"/>
  <c r="AB37" i="65"/>
  <c r="AA37" i="65"/>
  <c r="N39" i="65"/>
  <c r="AB39" i="65"/>
  <c r="AA39" i="65"/>
  <c r="N50" i="65"/>
  <c r="AB50" i="65"/>
  <c r="AA50" i="65"/>
  <c r="N55" i="65"/>
  <c r="M59" i="65"/>
  <c r="AB55" i="65"/>
  <c r="AA55" i="65"/>
  <c r="Q60" i="65"/>
  <c r="P60" i="65"/>
  <c r="P14" i="65"/>
  <c r="Q14" i="65"/>
  <c r="N23" i="65"/>
  <c r="AB23" i="65"/>
  <c r="AA23" i="65"/>
  <c r="N46" i="65"/>
  <c r="AB46" i="65"/>
  <c r="AA46" i="65"/>
  <c r="N9" i="65"/>
  <c r="M12" i="65"/>
  <c r="AB9" i="65"/>
  <c r="AA9" i="65"/>
  <c r="AB11" i="65"/>
  <c r="AA11" i="65"/>
  <c r="N11" i="65"/>
  <c r="P38" i="65"/>
  <c r="Q38" i="65"/>
  <c r="Q53" i="65"/>
  <c r="P53" i="65"/>
  <c r="I3" i="64"/>
  <c r="F2" i="65"/>
  <c r="AA16" i="65"/>
  <c r="N16" i="65"/>
  <c r="AB16" i="65"/>
  <c r="AB21" i="65"/>
  <c r="AA21" i="65"/>
  <c r="N21" i="65"/>
  <c r="AA62" i="65"/>
  <c r="M64" i="65"/>
  <c r="N62" i="65"/>
  <c r="AB62" i="65"/>
  <c r="N71" i="65"/>
  <c r="AB71" i="65"/>
  <c r="AA71" i="65"/>
  <c r="N13" i="65"/>
  <c r="AB13" i="65"/>
  <c r="AA13" i="65"/>
  <c r="M19" i="65"/>
  <c r="N22" i="65"/>
  <c r="AB22" i="65"/>
  <c r="AA22" i="65"/>
  <c r="N15" i="65"/>
  <c r="AB15" i="65"/>
  <c r="AA15" i="65"/>
  <c r="N56" i="65"/>
  <c r="AB56" i="65"/>
  <c r="AA56" i="65"/>
  <c r="P70" i="65"/>
  <c r="Q70" i="65"/>
  <c r="AB5" i="65"/>
  <c r="AB6" i="65"/>
  <c r="AA17" i="65"/>
  <c r="AB18" i="65"/>
  <c r="AA27" i="65"/>
  <c r="AB28" i="65"/>
  <c r="AA29" i="65"/>
  <c r="AB30" i="65"/>
  <c r="AA41" i="65"/>
  <c r="AB42" i="65"/>
  <c r="AA53" i="65"/>
  <c r="AA60" i="65"/>
  <c r="AA61" i="65"/>
  <c r="N8" i="65"/>
  <c r="AB25" i="65"/>
  <c r="N33" i="65"/>
  <c r="P66" i="65"/>
  <c r="N7" i="65"/>
  <c r="AB14" i="65"/>
  <c r="N31" i="65"/>
  <c r="AB38" i="65"/>
  <c r="N43" i="65"/>
  <c r="AB48" i="65"/>
  <c r="N63" i="65"/>
  <c r="AB72" i="65"/>
  <c r="N5" i="65"/>
  <c r="N6" i="65"/>
  <c r="N18" i="65"/>
  <c r="N25" i="65"/>
  <c r="N28" i="65"/>
  <c r="N30" i="65"/>
  <c r="AA35" i="65"/>
  <c r="N42" i="65"/>
  <c r="AA70" i="65"/>
  <c r="AA8" i="65"/>
  <c r="AB35" i="65"/>
  <c r="AB70" i="65"/>
  <c r="AA33" i="65"/>
  <c r="P26" i="65"/>
  <c r="E6" i="64"/>
  <c r="F6" i="64"/>
  <c r="AA7" i="65"/>
  <c r="AA31" i="65"/>
  <c r="AA43" i="65"/>
  <c r="AA63" i="65"/>
  <c r="O63" i="63"/>
  <c r="K63" i="63"/>
  <c r="V62" i="63"/>
  <c r="M62" i="63" s="1"/>
  <c r="U62" i="63"/>
  <c r="O62" i="63"/>
  <c r="K62" i="63"/>
  <c r="G62" i="63"/>
  <c r="X61" i="63"/>
  <c r="W61" i="63"/>
  <c r="V61" i="63"/>
  <c r="M61" i="63" s="1"/>
  <c r="U61" i="63"/>
  <c r="O61" i="63"/>
  <c r="K61" i="63"/>
  <c r="G61" i="63"/>
  <c r="V60" i="63"/>
  <c r="M60" i="63" s="1"/>
  <c r="U60" i="63"/>
  <c r="O60" i="63"/>
  <c r="K60" i="63"/>
  <c r="G60" i="63"/>
  <c r="V59" i="63"/>
  <c r="M59" i="63" s="1"/>
  <c r="U59" i="63"/>
  <c r="O59" i="63"/>
  <c r="K59" i="63"/>
  <c r="G59" i="63"/>
  <c r="V58" i="63"/>
  <c r="M58" i="63" s="1"/>
  <c r="U58" i="63"/>
  <c r="O58" i="63"/>
  <c r="K58" i="63"/>
  <c r="G58" i="63"/>
  <c r="V57" i="63"/>
  <c r="M57" i="63" s="1"/>
  <c r="U57" i="63"/>
  <c r="O57" i="63"/>
  <c r="K57" i="63"/>
  <c r="G57" i="63"/>
  <c r="V56" i="63"/>
  <c r="M56" i="63" s="1"/>
  <c r="U56" i="63"/>
  <c r="O56" i="63"/>
  <c r="K56" i="63"/>
  <c r="G56" i="63"/>
  <c r="X55" i="63"/>
  <c r="W55" i="63"/>
  <c r="V55" i="63"/>
  <c r="M55" i="63" s="1"/>
  <c r="O55" i="63"/>
  <c r="K55" i="63"/>
  <c r="G55" i="63"/>
  <c r="O54" i="63"/>
  <c r="M54" i="63"/>
  <c r="AB54" i="63" s="1"/>
  <c r="AC50" i="63" s="1"/>
  <c r="K54" i="63"/>
  <c r="V53" i="63"/>
  <c r="U53" i="63"/>
  <c r="O53" i="63"/>
  <c r="N53" i="63"/>
  <c r="Q53" i="63" s="1"/>
  <c r="M53" i="63"/>
  <c r="AB53" i="63" s="1"/>
  <c r="K53" i="63"/>
  <c r="G53" i="63"/>
  <c r="V52" i="63"/>
  <c r="U52" i="63"/>
  <c r="O52" i="63"/>
  <c r="M52" i="63"/>
  <c r="AB52" i="63" s="1"/>
  <c r="K52" i="63"/>
  <c r="G52" i="63"/>
  <c r="AB51" i="63"/>
  <c r="V51" i="63"/>
  <c r="U51" i="63"/>
  <c r="O51" i="63"/>
  <c r="N51" i="63"/>
  <c r="Q51" i="63" s="1"/>
  <c r="M51" i="63"/>
  <c r="AA51" i="63" s="1"/>
  <c r="K51" i="63"/>
  <c r="G51" i="63"/>
  <c r="AB50" i="63"/>
  <c r="V50" i="63"/>
  <c r="O50" i="63"/>
  <c r="N50" i="63"/>
  <c r="Q50" i="63" s="1"/>
  <c r="M50" i="63"/>
  <c r="AA50" i="63" s="1"/>
  <c r="K50" i="63"/>
  <c r="G50" i="63"/>
  <c r="O49" i="63"/>
  <c r="K49" i="63"/>
  <c r="V48" i="63"/>
  <c r="M48" i="63" s="1"/>
  <c r="U48" i="63"/>
  <c r="O48" i="63"/>
  <c r="K48" i="63"/>
  <c r="G48" i="63"/>
  <c r="V47" i="63"/>
  <c r="M47" i="63" s="1"/>
  <c r="U47" i="63"/>
  <c r="O47" i="63"/>
  <c r="K47" i="63"/>
  <c r="G47" i="63"/>
  <c r="V46" i="63"/>
  <c r="M46" i="63" s="1"/>
  <c r="U46" i="63"/>
  <c r="O46" i="63"/>
  <c r="K46" i="63"/>
  <c r="G46" i="63"/>
  <c r="V45" i="63"/>
  <c r="M45" i="63" s="1"/>
  <c r="O45" i="63"/>
  <c r="K45" i="63"/>
  <c r="G45" i="63"/>
  <c r="O44" i="63"/>
  <c r="K44" i="63"/>
  <c r="AB43" i="63"/>
  <c r="V43" i="63"/>
  <c r="U43" i="63"/>
  <c r="O43" i="63"/>
  <c r="M43" i="63"/>
  <c r="AA43" i="63" s="1"/>
  <c r="K43" i="63"/>
  <c r="G43" i="63"/>
  <c r="AA42" i="63"/>
  <c r="X42" i="63"/>
  <c r="W42" i="63"/>
  <c r="V42" i="63"/>
  <c r="U42" i="63"/>
  <c r="O42" i="63"/>
  <c r="M42" i="63"/>
  <c r="N42" i="63" s="1"/>
  <c r="K42" i="63"/>
  <c r="G42" i="63"/>
  <c r="AB41" i="63"/>
  <c r="V41" i="63"/>
  <c r="U41" i="63"/>
  <c r="O41" i="63"/>
  <c r="M41" i="63"/>
  <c r="AA41" i="63" s="1"/>
  <c r="K41" i="63"/>
  <c r="G41" i="63"/>
  <c r="AB40" i="63"/>
  <c r="AA40" i="63"/>
  <c r="V40" i="63"/>
  <c r="U40" i="63"/>
  <c r="O40" i="63"/>
  <c r="M40" i="63"/>
  <c r="N40" i="63" s="1"/>
  <c r="K40" i="63"/>
  <c r="G40" i="63"/>
  <c r="V39" i="63"/>
  <c r="M39" i="63" s="1"/>
  <c r="U39" i="63"/>
  <c r="O39" i="63"/>
  <c r="K39" i="63"/>
  <c r="G39" i="63"/>
  <c r="V38" i="63"/>
  <c r="M38" i="63" s="1"/>
  <c r="U38" i="63"/>
  <c r="O38" i="63"/>
  <c r="K38" i="63"/>
  <c r="G38" i="63"/>
  <c r="V37" i="63"/>
  <c r="M37" i="63" s="1"/>
  <c r="O37" i="63"/>
  <c r="K37" i="63"/>
  <c r="G37" i="63"/>
  <c r="O36" i="63"/>
  <c r="K36" i="63"/>
  <c r="V35" i="63"/>
  <c r="U35" i="63"/>
  <c r="O35" i="63"/>
  <c r="M35" i="63"/>
  <c r="AB35" i="63" s="1"/>
  <c r="K35" i="63"/>
  <c r="G35" i="63"/>
  <c r="X34" i="63"/>
  <c r="W34" i="63"/>
  <c r="V34" i="63"/>
  <c r="M34" i="63" s="1"/>
  <c r="U34" i="63"/>
  <c r="O34" i="63"/>
  <c r="K34" i="63"/>
  <c r="G34" i="63"/>
  <c r="V33" i="63"/>
  <c r="U33" i="63"/>
  <c r="O33" i="63"/>
  <c r="M33" i="63"/>
  <c r="AB33" i="63" s="1"/>
  <c r="K33" i="63"/>
  <c r="G33" i="63"/>
  <c r="V32" i="63"/>
  <c r="U32" i="63"/>
  <c r="O32" i="63"/>
  <c r="N32" i="63"/>
  <c r="Q32" i="63" s="1"/>
  <c r="M32" i="63"/>
  <c r="AB32" i="63" s="1"/>
  <c r="K32" i="63"/>
  <c r="G32" i="63"/>
  <c r="V31" i="63"/>
  <c r="U31" i="63"/>
  <c r="O31" i="63"/>
  <c r="N31" i="63"/>
  <c r="Q31" i="63" s="1"/>
  <c r="M31" i="63"/>
  <c r="AB31" i="63" s="1"/>
  <c r="K31" i="63"/>
  <c r="G31" i="63"/>
  <c r="X30" i="63"/>
  <c r="W30" i="63"/>
  <c r="V30" i="63"/>
  <c r="O30" i="63"/>
  <c r="M30" i="63"/>
  <c r="K30" i="63"/>
  <c r="G30" i="63"/>
  <c r="O29" i="63"/>
  <c r="K29" i="63"/>
  <c r="AB28" i="63"/>
  <c r="AA28" i="63"/>
  <c r="V28" i="63"/>
  <c r="U28" i="63"/>
  <c r="O28" i="63"/>
  <c r="M28" i="63"/>
  <c r="N28" i="63" s="1"/>
  <c r="K28" i="63"/>
  <c r="G28" i="63"/>
  <c r="AB27" i="63"/>
  <c r="X27" i="63"/>
  <c r="W27" i="63"/>
  <c r="V27" i="63"/>
  <c r="U27" i="63"/>
  <c r="O27" i="63"/>
  <c r="M27" i="63"/>
  <c r="N27" i="63" s="1"/>
  <c r="K27" i="63"/>
  <c r="G27" i="63"/>
  <c r="AB26" i="63"/>
  <c r="AA26" i="63"/>
  <c r="V26" i="63"/>
  <c r="U26" i="63"/>
  <c r="O26" i="63"/>
  <c r="M26" i="63"/>
  <c r="N26" i="63" s="1"/>
  <c r="K26" i="63"/>
  <c r="G26" i="63"/>
  <c r="V25" i="63"/>
  <c r="M25" i="63" s="1"/>
  <c r="U25" i="63"/>
  <c r="O25" i="63"/>
  <c r="K25" i="63"/>
  <c r="G25" i="63"/>
  <c r="V24" i="63"/>
  <c r="M24" i="63" s="1"/>
  <c r="U24" i="63"/>
  <c r="O24" i="63"/>
  <c r="K24" i="63"/>
  <c r="G24" i="63"/>
  <c r="AB23" i="63"/>
  <c r="AA23" i="63"/>
  <c r="X23" i="63"/>
  <c r="W23" i="63"/>
  <c r="V23" i="63"/>
  <c r="O23" i="63"/>
  <c r="M23" i="63"/>
  <c r="N23" i="63" s="1"/>
  <c r="K23" i="63"/>
  <c r="G23" i="63"/>
  <c r="O22" i="63"/>
  <c r="K22" i="63"/>
  <c r="V21" i="63"/>
  <c r="M21" i="63" s="1"/>
  <c r="U21" i="63"/>
  <c r="O21" i="63"/>
  <c r="K21" i="63"/>
  <c r="G21" i="63"/>
  <c r="V20" i="63"/>
  <c r="M20" i="63" s="1"/>
  <c r="U20" i="63"/>
  <c r="O20" i="63"/>
  <c r="K20" i="63"/>
  <c r="G20" i="63"/>
  <c r="V19" i="63"/>
  <c r="U19" i="63"/>
  <c r="O19" i="63"/>
  <c r="M19" i="63"/>
  <c r="AB19" i="63" s="1"/>
  <c r="K19" i="63"/>
  <c r="G19" i="63"/>
  <c r="V18" i="63"/>
  <c r="O18" i="63"/>
  <c r="M18" i="63"/>
  <c r="M22" i="63" s="1"/>
  <c r="K18" i="63"/>
  <c r="G18" i="63"/>
  <c r="O17" i="63"/>
  <c r="K17" i="63"/>
  <c r="AB16" i="63"/>
  <c r="AA16" i="63"/>
  <c r="V16" i="63"/>
  <c r="U16" i="63"/>
  <c r="O16" i="63"/>
  <c r="M16" i="63"/>
  <c r="N16" i="63" s="1"/>
  <c r="K16" i="63"/>
  <c r="G16" i="63"/>
  <c r="V15" i="63"/>
  <c r="M15" i="63" s="1"/>
  <c r="U15" i="63"/>
  <c r="O15" i="63"/>
  <c r="K15" i="63"/>
  <c r="G15" i="63"/>
  <c r="V14" i="63"/>
  <c r="M14" i="63" s="1"/>
  <c r="U14" i="63"/>
  <c r="O14" i="63"/>
  <c r="K14" i="63"/>
  <c r="G14" i="63"/>
  <c r="V13" i="63"/>
  <c r="M13" i="63" s="1"/>
  <c r="U13" i="63"/>
  <c r="O13" i="63"/>
  <c r="K13" i="63"/>
  <c r="G13" i="63"/>
  <c r="X12" i="63"/>
  <c r="W12" i="63"/>
  <c r="V12" i="63"/>
  <c r="M12" i="63" s="1"/>
  <c r="O12" i="63"/>
  <c r="K12" i="63"/>
  <c r="G12" i="63"/>
  <c r="O11" i="63"/>
  <c r="K11" i="63"/>
  <c r="V10" i="63"/>
  <c r="U10" i="63"/>
  <c r="O10" i="63"/>
  <c r="N10" i="63"/>
  <c r="Q10" i="63" s="1"/>
  <c r="M10" i="63"/>
  <c r="AB10" i="63" s="1"/>
  <c r="K10" i="63"/>
  <c r="G10" i="63"/>
  <c r="V9" i="63"/>
  <c r="O9" i="63"/>
  <c r="N9" i="63"/>
  <c r="Q9" i="63" s="1"/>
  <c r="M9" i="63"/>
  <c r="M11" i="63" s="1"/>
  <c r="K9" i="63"/>
  <c r="G9" i="63"/>
  <c r="O8" i="63"/>
  <c r="K8" i="63"/>
  <c r="AB7" i="63"/>
  <c r="V7" i="63"/>
  <c r="U7" i="63"/>
  <c r="O7" i="63"/>
  <c r="M7" i="63"/>
  <c r="AA7" i="63" s="1"/>
  <c r="K7" i="63"/>
  <c r="G7" i="63"/>
  <c r="V6" i="63"/>
  <c r="M6" i="63" s="1"/>
  <c r="U6" i="63"/>
  <c r="O6" i="63"/>
  <c r="K6" i="63"/>
  <c r="G6" i="63"/>
  <c r="V5" i="63"/>
  <c r="M5" i="63" s="1"/>
  <c r="O5" i="63"/>
  <c r="K5" i="63"/>
  <c r="G5" i="63"/>
  <c r="F1" i="63" s="1"/>
  <c r="H2" i="63"/>
  <c r="H1" i="63"/>
  <c r="D1" i="63"/>
  <c r="M18" i="62"/>
  <c r="L18" i="62"/>
  <c r="K18" i="62"/>
  <c r="J18" i="62"/>
  <c r="I18" i="62"/>
  <c r="H18" i="62"/>
  <c r="G18" i="62"/>
  <c r="F18" i="62"/>
  <c r="E18" i="62"/>
  <c r="D18" i="62"/>
  <c r="M17" i="62"/>
  <c r="L17" i="62"/>
  <c r="K17" i="62"/>
  <c r="J17" i="62"/>
  <c r="I17" i="62"/>
  <c r="H17" i="62"/>
  <c r="G17" i="62"/>
  <c r="F17" i="62"/>
  <c r="E17" i="62"/>
  <c r="D17" i="62"/>
  <c r="M16" i="62"/>
  <c r="L16" i="62"/>
  <c r="K16" i="62"/>
  <c r="J16" i="62"/>
  <c r="I16" i="62"/>
  <c r="H16" i="62"/>
  <c r="G16" i="62"/>
  <c r="F16" i="62"/>
  <c r="E16" i="62"/>
  <c r="D16" i="62"/>
  <c r="M13" i="62"/>
  <c r="L13" i="62"/>
  <c r="K13" i="62"/>
  <c r="J13" i="62"/>
  <c r="I13" i="62"/>
  <c r="H13" i="62"/>
  <c r="G13" i="62"/>
  <c r="E6" i="62" s="1"/>
  <c r="F13" i="62"/>
  <c r="E13" i="62"/>
  <c r="D13" i="62"/>
  <c r="G6" i="62" s="1"/>
  <c r="I6" i="62"/>
  <c r="F3" i="62"/>
  <c r="C3" i="62"/>
  <c r="I7" i="72" l="1"/>
  <c r="K15" i="72"/>
  <c r="I8" i="72" s="1"/>
  <c r="G7" i="72"/>
  <c r="F7" i="72"/>
  <c r="E7" i="72"/>
  <c r="D15" i="72"/>
  <c r="I14" i="70"/>
  <c r="I15" i="70" s="1"/>
  <c r="Q54" i="71"/>
  <c r="R49" i="71" s="1"/>
  <c r="P54" i="71"/>
  <c r="Q33" i="71"/>
  <c r="R27" i="71" s="1"/>
  <c r="P33" i="71"/>
  <c r="K14" i="70"/>
  <c r="Q48" i="71"/>
  <c r="R42" i="71" s="1"/>
  <c r="P48" i="71"/>
  <c r="H14" i="70"/>
  <c r="H15" i="70" s="1"/>
  <c r="Q59" i="71"/>
  <c r="R55" i="71" s="1"/>
  <c r="P59" i="71"/>
  <c r="J14" i="70"/>
  <c r="J15" i="70" s="1"/>
  <c r="G14" i="70"/>
  <c r="G15" i="70" s="1"/>
  <c r="Q26" i="71"/>
  <c r="R22" i="71" s="1"/>
  <c r="P26" i="71"/>
  <c r="Q21" i="71"/>
  <c r="R13" i="71" s="1"/>
  <c r="P21" i="71"/>
  <c r="F14" i="70"/>
  <c r="F15" i="70" s="1"/>
  <c r="Q70" i="71"/>
  <c r="R60" i="71" s="1"/>
  <c r="P70" i="71"/>
  <c r="M14" i="70"/>
  <c r="M15" i="70" s="1"/>
  <c r="L14" i="70"/>
  <c r="L15" i="70" s="1"/>
  <c r="Q41" i="71"/>
  <c r="R34" i="71" s="1"/>
  <c r="P41" i="71"/>
  <c r="P9" i="71"/>
  <c r="D2" i="71"/>
  <c r="D14" i="70"/>
  <c r="Q9" i="71"/>
  <c r="R5" i="71" s="1"/>
  <c r="Q30" i="65"/>
  <c r="P30" i="65"/>
  <c r="Q71" i="65"/>
  <c r="P71" i="65"/>
  <c r="AA59" i="65"/>
  <c r="N59" i="65"/>
  <c r="AB59" i="65"/>
  <c r="AC55" i="65" s="1"/>
  <c r="P45" i="65"/>
  <c r="Q45" i="65"/>
  <c r="Q28" i="65"/>
  <c r="P28" i="65"/>
  <c r="Q7" i="65"/>
  <c r="P7" i="65"/>
  <c r="Q55" i="65"/>
  <c r="P55" i="65"/>
  <c r="Q25" i="65"/>
  <c r="P25" i="65"/>
  <c r="Q15" i="65"/>
  <c r="P15" i="65"/>
  <c r="Q62" i="65"/>
  <c r="P62" i="65"/>
  <c r="P46" i="65"/>
  <c r="Q46" i="65"/>
  <c r="Q52" i="65"/>
  <c r="P52" i="65"/>
  <c r="Q47" i="65"/>
  <c r="P47" i="65"/>
  <c r="Q18" i="65"/>
  <c r="P18" i="65"/>
  <c r="Q33" i="65"/>
  <c r="P33" i="65"/>
  <c r="AB64" i="65"/>
  <c r="AC60" i="65" s="1"/>
  <c r="AA64" i="65"/>
  <c r="N64" i="65"/>
  <c r="Q32" i="65"/>
  <c r="P32" i="65"/>
  <c r="P10" i="65"/>
  <c r="Q10" i="65"/>
  <c r="Q6" i="65"/>
  <c r="P6" i="65"/>
  <c r="Q50" i="65"/>
  <c r="P50" i="65"/>
  <c r="Q57" i="65"/>
  <c r="P57" i="65"/>
  <c r="Q5" i="65"/>
  <c r="P5" i="65"/>
  <c r="D14" i="64"/>
  <c r="Q8" i="65"/>
  <c r="R5" i="65" s="1"/>
  <c r="P8" i="65"/>
  <c r="P22" i="65"/>
  <c r="Q22" i="65"/>
  <c r="Q21" i="65"/>
  <c r="P21" i="65"/>
  <c r="Q11" i="65"/>
  <c r="P11" i="65"/>
  <c r="Q23" i="65"/>
  <c r="P23" i="65"/>
  <c r="Q73" i="65"/>
  <c r="P73" i="65"/>
  <c r="AB44" i="65"/>
  <c r="AC35" i="65" s="1"/>
  <c r="AA44" i="65"/>
  <c r="N44" i="65"/>
  <c r="AB19" i="65"/>
  <c r="AC13" i="65" s="1"/>
  <c r="AA19" i="65"/>
  <c r="N19" i="65"/>
  <c r="P36" i="65"/>
  <c r="Q36" i="65"/>
  <c r="Q63" i="65"/>
  <c r="P63" i="65"/>
  <c r="Q39" i="65"/>
  <c r="P39" i="65"/>
  <c r="AB34" i="65"/>
  <c r="AC25" i="65" s="1"/>
  <c r="AA34" i="65"/>
  <c r="N34" i="65"/>
  <c r="Q20" i="65"/>
  <c r="P20" i="65"/>
  <c r="Q69" i="65"/>
  <c r="P69" i="65"/>
  <c r="Q51" i="65"/>
  <c r="P51" i="65"/>
  <c r="Q43" i="65"/>
  <c r="P43" i="65"/>
  <c r="Q13" i="65"/>
  <c r="P13" i="65"/>
  <c r="Q16" i="65"/>
  <c r="P16" i="65"/>
  <c r="Q67" i="65"/>
  <c r="P67" i="65"/>
  <c r="AB54" i="65"/>
  <c r="AC45" i="65" s="1"/>
  <c r="AA54" i="65"/>
  <c r="N54" i="65"/>
  <c r="Q42" i="65"/>
  <c r="P42" i="65"/>
  <c r="N12" i="65"/>
  <c r="AB12" i="65"/>
  <c r="AC9" i="65" s="1"/>
  <c r="AA12" i="65"/>
  <c r="Q37" i="65"/>
  <c r="P37" i="65"/>
  <c r="AB74" i="65"/>
  <c r="AC65" i="65" s="1"/>
  <c r="AA74" i="65"/>
  <c r="N74" i="65"/>
  <c r="Q31" i="65"/>
  <c r="P31" i="65"/>
  <c r="Q56" i="65"/>
  <c r="P56" i="65"/>
  <c r="P9" i="65"/>
  <c r="Q9" i="65"/>
  <c r="AB24" i="65"/>
  <c r="AC20" i="65" s="1"/>
  <c r="N24" i="65"/>
  <c r="AA24" i="65"/>
  <c r="Q49" i="65"/>
  <c r="P49" i="65"/>
  <c r="N25" i="63"/>
  <c r="AB25" i="63"/>
  <c r="AA25" i="63"/>
  <c r="N45" i="63"/>
  <c r="M49" i="63"/>
  <c r="AB45" i="63"/>
  <c r="AA45" i="63"/>
  <c r="N61" i="63"/>
  <c r="AB61" i="63"/>
  <c r="AA61" i="63"/>
  <c r="N11" i="63"/>
  <c r="AB11" i="63"/>
  <c r="AC9" i="63" s="1"/>
  <c r="AA11" i="63"/>
  <c r="Q16" i="63"/>
  <c r="P16" i="63"/>
  <c r="N34" i="63"/>
  <c r="AB34" i="63"/>
  <c r="AA34" i="63"/>
  <c r="N56" i="63"/>
  <c r="AB56" i="63"/>
  <c r="AA56" i="63"/>
  <c r="N37" i="63"/>
  <c r="AB37" i="63"/>
  <c r="M44" i="63"/>
  <c r="AA37" i="63"/>
  <c r="N22" i="63"/>
  <c r="AB22" i="63"/>
  <c r="AC18" i="63" s="1"/>
  <c r="AA22" i="63"/>
  <c r="N13" i="63"/>
  <c r="AB13" i="63"/>
  <c r="AA13" i="63"/>
  <c r="AA6" i="63"/>
  <c r="N6" i="63"/>
  <c r="AB6" i="63"/>
  <c r="Q27" i="63"/>
  <c r="P27" i="63"/>
  <c r="N39" i="63"/>
  <c r="AB39" i="63"/>
  <c r="AA39" i="63"/>
  <c r="Q40" i="63"/>
  <c r="P40" i="63"/>
  <c r="N59" i="63"/>
  <c r="AB59" i="63"/>
  <c r="AA59" i="63"/>
  <c r="N21" i="63"/>
  <c r="AB21" i="63"/>
  <c r="AA21" i="63"/>
  <c r="N48" i="63"/>
  <c r="AB48" i="63"/>
  <c r="AA48" i="63"/>
  <c r="N55" i="63"/>
  <c r="AB55" i="63"/>
  <c r="AA55" i="63"/>
  <c r="M63" i="63"/>
  <c r="N57" i="63"/>
  <c r="AB57" i="63"/>
  <c r="AA57" i="63"/>
  <c r="Q42" i="63"/>
  <c r="P42" i="63"/>
  <c r="N46" i="63"/>
  <c r="AB46" i="63"/>
  <c r="AA46" i="63"/>
  <c r="I3" i="62"/>
  <c r="F2" i="63"/>
  <c r="N14" i="63"/>
  <c r="AB14" i="63"/>
  <c r="AA14" i="63"/>
  <c r="AA5" i="63"/>
  <c r="N5" i="63"/>
  <c r="M8" i="63"/>
  <c r="AB5" i="63"/>
  <c r="M36" i="63"/>
  <c r="N38" i="63"/>
  <c r="AB38" i="63"/>
  <c r="AA38" i="63"/>
  <c r="N62" i="63"/>
  <c r="AB62" i="63"/>
  <c r="AA62" i="63"/>
  <c r="N20" i="63"/>
  <c r="AB20" i="63"/>
  <c r="AA20" i="63"/>
  <c r="N47" i="63"/>
  <c r="AB47" i="63"/>
  <c r="AA47" i="63"/>
  <c r="N12" i="63"/>
  <c r="AB12" i="63"/>
  <c r="M17" i="63"/>
  <c r="AA12" i="63"/>
  <c r="Q26" i="63"/>
  <c r="P26" i="63"/>
  <c r="N24" i="63"/>
  <c r="M29" i="63"/>
  <c r="AB24" i="63"/>
  <c r="AA24" i="63"/>
  <c r="N60" i="63"/>
  <c r="AB60" i="63"/>
  <c r="AA60" i="63"/>
  <c r="N15" i="63"/>
  <c r="AB15" i="63"/>
  <c r="AA15" i="63"/>
  <c r="Q23" i="63"/>
  <c r="P23" i="63"/>
  <c r="Q28" i="63"/>
  <c r="P28" i="63"/>
  <c r="N58" i="63"/>
  <c r="AB58" i="63"/>
  <c r="AA58" i="63"/>
  <c r="N18" i="63"/>
  <c r="N19" i="63"/>
  <c r="AA27" i="63"/>
  <c r="N30" i="63"/>
  <c r="N33" i="63"/>
  <c r="N35" i="63"/>
  <c r="AB42" i="63"/>
  <c r="N54" i="63"/>
  <c r="P9" i="63"/>
  <c r="P10" i="63"/>
  <c r="P32" i="63"/>
  <c r="N52" i="63"/>
  <c r="N7" i="63"/>
  <c r="P31" i="63"/>
  <c r="N41" i="63"/>
  <c r="N43" i="63"/>
  <c r="P53" i="63"/>
  <c r="AA54" i="63"/>
  <c r="AA9" i="63"/>
  <c r="AA10" i="63"/>
  <c r="AB9" i="63"/>
  <c r="AA18" i="63"/>
  <c r="AA19" i="63"/>
  <c r="AA33" i="63"/>
  <c r="AA35" i="63"/>
  <c r="P50" i="63"/>
  <c r="P51" i="63"/>
  <c r="AB18" i="63"/>
  <c r="AA32" i="63"/>
  <c r="AA30" i="63"/>
  <c r="AA31" i="63"/>
  <c r="AA53" i="63"/>
  <c r="AB30" i="63"/>
  <c r="AA52" i="63"/>
  <c r="F6" i="62"/>
  <c r="O62" i="59"/>
  <c r="K62" i="59"/>
  <c r="V61" i="59"/>
  <c r="U61" i="59"/>
  <c r="O61" i="59"/>
  <c r="N61" i="59"/>
  <c r="M61" i="59"/>
  <c r="K61" i="59"/>
  <c r="G61" i="59"/>
  <c r="AB60" i="59"/>
  <c r="X60" i="59"/>
  <c r="W60" i="59"/>
  <c r="V60" i="59"/>
  <c r="U60" i="59"/>
  <c r="O60" i="59"/>
  <c r="N60" i="59"/>
  <c r="M60" i="59"/>
  <c r="AA60" i="59" s="1"/>
  <c r="K60" i="59"/>
  <c r="G60" i="59"/>
  <c r="AB59" i="59"/>
  <c r="AA59" i="59"/>
  <c r="V59" i="59"/>
  <c r="M59" i="59" s="1"/>
  <c r="U59" i="59"/>
  <c r="Q59" i="59"/>
  <c r="P59" i="59"/>
  <c r="O59" i="59"/>
  <c r="N59" i="59"/>
  <c r="K59" i="59"/>
  <c r="G59" i="59"/>
  <c r="V58" i="59"/>
  <c r="U58" i="59"/>
  <c r="O58" i="59"/>
  <c r="M58" i="59"/>
  <c r="K58" i="59"/>
  <c r="G58" i="59"/>
  <c r="AA57" i="59"/>
  <c r="V57" i="59"/>
  <c r="M57" i="59" s="1"/>
  <c r="U57" i="59"/>
  <c r="O57" i="59"/>
  <c r="K57" i="59"/>
  <c r="G57" i="59"/>
  <c r="V56" i="59"/>
  <c r="U56" i="59"/>
  <c r="Q56" i="59"/>
  <c r="O56" i="59"/>
  <c r="N56" i="59"/>
  <c r="P56" i="59" s="1"/>
  <c r="M56" i="59"/>
  <c r="K56" i="59"/>
  <c r="G56" i="59"/>
  <c r="AB55" i="59"/>
  <c r="AA55" i="59"/>
  <c r="V55" i="59"/>
  <c r="M55" i="59" s="1"/>
  <c r="N55" i="59" s="1"/>
  <c r="U55" i="59"/>
  <c r="O55" i="59"/>
  <c r="K55" i="59"/>
  <c r="G55" i="59"/>
  <c r="AB54" i="59"/>
  <c r="AA54" i="59"/>
  <c r="X54" i="59"/>
  <c r="W54" i="59"/>
  <c r="V54" i="59"/>
  <c r="O54" i="59"/>
  <c r="N54" i="59"/>
  <c r="Q54" i="59" s="1"/>
  <c r="M54" i="59"/>
  <c r="M62" i="59" s="1"/>
  <c r="K54" i="59"/>
  <c r="G54" i="59"/>
  <c r="O53" i="59"/>
  <c r="K53" i="59"/>
  <c r="AB52" i="59"/>
  <c r="V52" i="59"/>
  <c r="U52" i="59"/>
  <c r="O52" i="59"/>
  <c r="N52" i="59"/>
  <c r="P52" i="59" s="1"/>
  <c r="M52" i="59"/>
  <c r="AA52" i="59" s="1"/>
  <c r="K52" i="59"/>
  <c r="G52" i="59"/>
  <c r="V51" i="59"/>
  <c r="U51" i="59"/>
  <c r="O51" i="59"/>
  <c r="M51" i="59"/>
  <c r="K51" i="59"/>
  <c r="G51" i="59"/>
  <c r="AB50" i="59"/>
  <c r="AA50" i="59"/>
  <c r="V50" i="59"/>
  <c r="U50" i="59"/>
  <c r="O50" i="59"/>
  <c r="N50" i="59"/>
  <c r="P50" i="59" s="1"/>
  <c r="M50" i="59"/>
  <c r="K50" i="59"/>
  <c r="G50" i="59"/>
  <c r="V49" i="59"/>
  <c r="O49" i="59"/>
  <c r="M49" i="59"/>
  <c r="K49" i="59"/>
  <c r="G49" i="59"/>
  <c r="O48" i="59"/>
  <c r="K48" i="59"/>
  <c r="V47" i="59"/>
  <c r="U47" i="59"/>
  <c r="O47" i="59"/>
  <c r="N47" i="59"/>
  <c r="M47" i="59"/>
  <c r="AB47" i="59" s="1"/>
  <c r="K47" i="59"/>
  <c r="G47" i="59"/>
  <c r="AB46" i="59"/>
  <c r="V46" i="59"/>
  <c r="M46" i="59" s="1"/>
  <c r="U46" i="59"/>
  <c r="O46" i="59"/>
  <c r="K46" i="59"/>
  <c r="G46" i="59"/>
  <c r="V45" i="59"/>
  <c r="U45" i="59"/>
  <c r="O45" i="59"/>
  <c r="N45" i="59"/>
  <c r="Q45" i="59" s="1"/>
  <c r="M45" i="59"/>
  <c r="K45" i="59"/>
  <c r="G45" i="59"/>
  <c r="AB44" i="59"/>
  <c r="AA44" i="59"/>
  <c r="V44" i="59"/>
  <c r="M44" i="59" s="1"/>
  <c r="O44" i="59"/>
  <c r="K44" i="59"/>
  <c r="G44" i="59"/>
  <c r="O43" i="59"/>
  <c r="M43" i="59"/>
  <c r="AB43" i="59" s="1"/>
  <c r="AC37" i="59" s="1"/>
  <c r="K43" i="59"/>
  <c r="AB42" i="59"/>
  <c r="AA42" i="59"/>
  <c r="V42" i="59"/>
  <c r="M42" i="59" s="1"/>
  <c r="N42" i="59" s="1"/>
  <c r="P42" i="59" s="1"/>
  <c r="U42" i="59"/>
  <c r="Q42" i="59"/>
  <c r="O42" i="59"/>
  <c r="K42" i="59"/>
  <c r="G42" i="59"/>
  <c r="V41" i="59"/>
  <c r="M41" i="59" s="1"/>
  <c r="U41" i="59"/>
  <c r="P41" i="59"/>
  <c r="O41" i="59"/>
  <c r="N41" i="59"/>
  <c r="Q41" i="59" s="1"/>
  <c r="K41" i="59"/>
  <c r="G41" i="59"/>
  <c r="AB40" i="59"/>
  <c r="AA40" i="59"/>
  <c r="V40" i="59"/>
  <c r="M40" i="59" s="1"/>
  <c r="N40" i="59" s="1"/>
  <c r="U40" i="59"/>
  <c r="O40" i="59"/>
  <c r="K40" i="59"/>
  <c r="G40" i="59"/>
  <c r="AB39" i="59"/>
  <c r="AA39" i="59"/>
  <c r="V39" i="59"/>
  <c r="U39" i="59"/>
  <c r="O39" i="59"/>
  <c r="N39" i="59"/>
  <c r="Q39" i="59" s="1"/>
  <c r="M39" i="59"/>
  <c r="K39" i="59"/>
  <c r="G39" i="59"/>
  <c r="AB38" i="59"/>
  <c r="V38" i="59"/>
  <c r="U38" i="59"/>
  <c r="O38" i="59"/>
  <c r="M38" i="59"/>
  <c r="AA38" i="59" s="1"/>
  <c r="K38" i="59"/>
  <c r="G38" i="59"/>
  <c r="AB37" i="59"/>
  <c r="AA37" i="59"/>
  <c r="V37" i="59"/>
  <c r="O37" i="59"/>
  <c r="N37" i="59"/>
  <c r="P37" i="59" s="1"/>
  <c r="M37" i="59"/>
  <c r="K37" i="59"/>
  <c r="G37" i="59"/>
  <c r="O36" i="59"/>
  <c r="M36" i="59"/>
  <c r="K36" i="59"/>
  <c r="AA35" i="59"/>
  <c r="V35" i="59"/>
  <c r="U35" i="59"/>
  <c r="O35" i="59"/>
  <c r="N35" i="59"/>
  <c r="Q35" i="59" s="1"/>
  <c r="M35" i="59"/>
  <c r="AB35" i="59" s="1"/>
  <c r="K35" i="59"/>
  <c r="G35" i="59"/>
  <c r="X34" i="59"/>
  <c r="W34" i="59"/>
  <c r="V34" i="59"/>
  <c r="U34" i="59"/>
  <c r="O34" i="59"/>
  <c r="M34" i="59"/>
  <c r="K34" i="59"/>
  <c r="G34" i="59"/>
  <c r="AA33" i="59"/>
  <c r="V33" i="59"/>
  <c r="M33" i="59" s="1"/>
  <c r="U33" i="59"/>
  <c r="O33" i="59"/>
  <c r="K33" i="59"/>
  <c r="G33" i="59"/>
  <c r="V32" i="59"/>
  <c r="U32" i="59"/>
  <c r="Q32" i="59"/>
  <c r="O32" i="59"/>
  <c r="N32" i="59"/>
  <c r="P32" i="59" s="1"/>
  <c r="M32" i="59"/>
  <c r="K32" i="59"/>
  <c r="G32" i="59"/>
  <c r="AB31" i="59"/>
  <c r="AA31" i="59"/>
  <c r="V31" i="59"/>
  <c r="M31" i="59" s="1"/>
  <c r="N31" i="59" s="1"/>
  <c r="U31" i="59"/>
  <c r="O31" i="59"/>
  <c r="K31" i="59"/>
  <c r="G31" i="59"/>
  <c r="AB30" i="59"/>
  <c r="AA30" i="59"/>
  <c r="X30" i="59"/>
  <c r="W30" i="59"/>
  <c r="V30" i="59"/>
  <c r="O30" i="59"/>
  <c r="N30" i="59"/>
  <c r="Q30" i="59" s="1"/>
  <c r="M30" i="59"/>
  <c r="K30" i="59"/>
  <c r="G30" i="59"/>
  <c r="O29" i="59"/>
  <c r="K29" i="59"/>
  <c r="AB28" i="59"/>
  <c r="V28" i="59"/>
  <c r="U28" i="59"/>
  <c r="O28" i="59"/>
  <c r="M28" i="59"/>
  <c r="AA28" i="59" s="1"/>
  <c r="K28" i="59"/>
  <c r="G28" i="59"/>
  <c r="X27" i="59"/>
  <c r="W27" i="59"/>
  <c r="V27" i="59"/>
  <c r="U27" i="59"/>
  <c r="O27" i="59"/>
  <c r="N27" i="59"/>
  <c r="M27" i="59"/>
  <c r="AB27" i="59" s="1"/>
  <c r="K27" i="59"/>
  <c r="G27" i="59"/>
  <c r="AB26" i="59"/>
  <c r="V26" i="59"/>
  <c r="M26" i="59" s="1"/>
  <c r="U26" i="59"/>
  <c r="O26" i="59"/>
  <c r="K26" i="59"/>
  <c r="G26" i="59"/>
  <c r="V25" i="59"/>
  <c r="U25" i="59"/>
  <c r="Q25" i="59"/>
  <c r="P25" i="59"/>
  <c r="O25" i="59"/>
  <c r="N25" i="59"/>
  <c r="M25" i="59"/>
  <c r="K25" i="59"/>
  <c r="G25" i="59"/>
  <c r="AB24" i="59"/>
  <c r="AA24" i="59"/>
  <c r="V24" i="59"/>
  <c r="M24" i="59" s="1"/>
  <c r="N24" i="59" s="1"/>
  <c r="P24" i="59" s="1"/>
  <c r="U24" i="59"/>
  <c r="Q24" i="59"/>
  <c r="O24" i="59"/>
  <c r="K24" i="59"/>
  <c r="G24" i="59"/>
  <c r="AA23" i="59"/>
  <c r="X23" i="59"/>
  <c r="W23" i="59"/>
  <c r="V23" i="59"/>
  <c r="O23" i="59"/>
  <c r="N23" i="59"/>
  <c r="P23" i="59" s="1"/>
  <c r="M23" i="59"/>
  <c r="K23" i="59"/>
  <c r="G23" i="59"/>
  <c r="O22" i="59"/>
  <c r="K22" i="59"/>
  <c r="AB21" i="59"/>
  <c r="AA21" i="59"/>
  <c r="V21" i="59"/>
  <c r="U21" i="59"/>
  <c r="Q21" i="59"/>
  <c r="P21" i="59"/>
  <c r="O21" i="59"/>
  <c r="N21" i="59"/>
  <c r="M21" i="59"/>
  <c r="K21" i="59"/>
  <c r="G21" i="59"/>
  <c r="AB20" i="59"/>
  <c r="V20" i="59"/>
  <c r="U20" i="59"/>
  <c r="O20" i="59"/>
  <c r="M20" i="59"/>
  <c r="AA20" i="59" s="1"/>
  <c r="K20" i="59"/>
  <c r="G20" i="59"/>
  <c r="AA19" i="59"/>
  <c r="V19" i="59"/>
  <c r="U19" i="59"/>
  <c r="O19" i="59"/>
  <c r="N19" i="59"/>
  <c r="Q19" i="59" s="1"/>
  <c r="M19" i="59"/>
  <c r="K19" i="59"/>
  <c r="G19" i="59"/>
  <c r="V18" i="59"/>
  <c r="O18" i="59"/>
  <c r="N18" i="59"/>
  <c r="M18" i="59"/>
  <c r="AB18" i="59" s="1"/>
  <c r="K18" i="59"/>
  <c r="G18" i="59"/>
  <c r="AB17" i="59"/>
  <c r="AC12" i="59" s="1"/>
  <c r="O17" i="59"/>
  <c r="M17" i="59"/>
  <c r="AA17" i="59" s="1"/>
  <c r="K17" i="59"/>
  <c r="V16" i="59"/>
  <c r="U16" i="59"/>
  <c r="O16" i="59"/>
  <c r="N16" i="59"/>
  <c r="M16" i="59"/>
  <c r="K16" i="59"/>
  <c r="G16" i="59"/>
  <c r="AB15" i="59"/>
  <c r="AA15" i="59"/>
  <c r="V15" i="59"/>
  <c r="M15" i="59" s="1"/>
  <c r="U15" i="59"/>
  <c r="Q15" i="59"/>
  <c r="P15" i="59"/>
  <c r="O15" i="59"/>
  <c r="N15" i="59"/>
  <c r="K15" i="59"/>
  <c r="G15" i="59"/>
  <c r="V14" i="59"/>
  <c r="U14" i="59"/>
  <c r="O14" i="59"/>
  <c r="M14" i="59"/>
  <c r="K14" i="59"/>
  <c r="G14" i="59"/>
  <c r="AA13" i="59"/>
  <c r="V13" i="59"/>
  <c r="M13" i="59" s="1"/>
  <c r="U13" i="59"/>
  <c r="O13" i="59"/>
  <c r="K13" i="59"/>
  <c r="G13" i="59"/>
  <c r="AA12" i="59"/>
  <c r="X12" i="59"/>
  <c r="W12" i="59"/>
  <c r="V12" i="59"/>
  <c r="O12" i="59"/>
  <c r="N12" i="59"/>
  <c r="Q12" i="59" s="1"/>
  <c r="M12" i="59"/>
  <c r="AB12" i="59" s="1"/>
  <c r="K12" i="59"/>
  <c r="G12" i="59"/>
  <c r="O11" i="59"/>
  <c r="K11" i="59"/>
  <c r="AB10" i="59"/>
  <c r="AA10" i="59"/>
  <c r="V10" i="59"/>
  <c r="U10" i="59"/>
  <c r="Q10" i="59"/>
  <c r="P10" i="59"/>
  <c r="O10" i="59"/>
  <c r="M10" i="59"/>
  <c r="N10" i="59" s="1"/>
  <c r="K10" i="59"/>
  <c r="G10" i="59"/>
  <c r="AB9" i="59"/>
  <c r="V9" i="59"/>
  <c r="O9" i="59"/>
  <c r="M9" i="59"/>
  <c r="K9" i="59"/>
  <c r="G9" i="59"/>
  <c r="AA8" i="59"/>
  <c r="O8" i="59"/>
  <c r="M8" i="59"/>
  <c r="AB8" i="59" s="1"/>
  <c r="AC5" i="59" s="1"/>
  <c r="K8" i="59"/>
  <c r="AB7" i="59"/>
  <c r="AA7" i="59"/>
  <c r="V7" i="59"/>
  <c r="U7" i="59"/>
  <c r="O7" i="59"/>
  <c r="M7" i="59"/>
  <c r="N7" i="59" s="1"/>
  <c r="K7" i="59"/>
  <c r="G7" i="59"/>
  <c r="AB6" i="59"/>
  <c r="V6" i="59"/>
  <c r="U6" i="59"/>
  <c r="O6" i="59"/>
  <c r="N6" i="59"/>
  <c r="P6" i="59" s="1"/>
  <c r="M6" i="59"/>
  <c r="AA6" i="59" s="1"/>
  <c r="K6" i="59"/>
  <c r="G6" i="59"/>
  <c r="V5" i="59"/>
  <c r="O5" i="59"/>
  <c r="N5" i="59"/>
  <c r="M5" i="59"/>
  <c r="K5" i="59"/>
  <c r="G5" i="59"/>
  <c r="H2" i="59"/>
  <c r="H1" i="59"/>
  <c r="F1" i="59"/>
  <c r="F2" i="59" s="1"/>
  <c r="D1" i="59"/>
  <c r="M18" i="58"/>
  <c r="L18" i="58"/>
  <c r="K18" i="58"/>
  <c r="J18" i="58"/>
  <c r="I18" i="58"/>
  <c r="H18" i="58"/>
  <c r="G18" i="58"/>
  <c r="F18" i="58"/>
  <c r="E18" i="58"/>
  <c r="D18" i="58"/>
  <c r="M17" i="58"/>
  <c r="L17" i="58"/>
  <c r="K17" i="58"/>
  <c r="J17" i="58"/>
  <c r="I17" i="58"/>
  <c r="H17" i="58"/>
  <c r="G17" i="58"/>
  <c r="F17" i="58"/>
  <c r="E17" i="58"/>
  <c r="D17" i="58"/>
  <c r="M16" i="58"/>
  <c r="L16" i="58"/>
  <c r="K16" i="58"/>
  <c r="J16" i="58"/>
  <c r="I16" i="58"/>
  <c r="H16" i="58"/>
  <c r="G16" i="58"/>
  <c r="F16" i="58"/>
  <c r="E16" i="58"/>
  <c r="D16" i="58"/>
  <c r="M13" i="58"/>
  <c r="L13" i="58"/>
  <c r="K13" i="58"/>
  <c r="I6" i="58" s="1"/>
  <c r="J13" i="58"/>
  <c r="I13" i="58"/>
  <c r="H13" i="58"/>
  <c r="G13" i="58"/>
  <c r="F13" i="58"/>
  <c r="E13" i="58"/>
  <c r="D13" i="58"/>
  <c r="G6" i="58"/>
  <c r="F6" i="58"/>
  <c r="E6" i="58"/>
  <c r="I3" i="58"/>
  <c r="F3" i="58"/>
  <c r="C3" i="58"/>
  <c r="F8" i="72" l="1"/>
  <c r="G8" i="72"/>
  <c r="E8" i="72"/>
  <c r="K15" i="70"/>
  <c r="I8" i="70" s="1"/>
  <c r="I7" i="70"/>
  <c r="G7" i="70"/>
  <c r="F7" i="70"/>
  <c r="E7" i="70"/>
  <c r="D15" i="70"/>
  <c r="D15" i="64"/>
  <c r="Q12" i="65"/>
  <c r="R9" i="65" s="1"/>
  <c r="E14" i="64"/>
  <c r="E15" i="64" s="1"/>
  <c r="P12" i="65"/>
  <c r="D2" i="65"/>
  <c r="J14" i="64"/>
  <c r="J15" i="64" s="1"/>
  <c r="Q64" i="65"/>
  <c r="R60" i="65" s="1"/>
  <c r="P64" i="65"/>
  <c r="H14" i="64"/>
  <c r="H15" i="64" s="1"/>
  <c r="Q54" i="65"/>
  <c r="R45" i="65" s="1"/>
  <c r="P54" i="65"/>
  <c r="M14" i="64"/>
  <c r="M15" i="64" s="1"/>
  <c r="Q74" i="65"/>
  <c r="R65" i="65" s="1"/>
  <c r="P74" i="65"/>
  <c r="F14" i="64"/>
  <c r="F15" i="64" s="1"/>
  <c r="Q19" i="65"/>
  <c r="R13" i="65" s="1"/>
  <c r="P19" i="65"/>
  <c r="P59" i="65"/>
  <c r="I14" i="64"/>
  <c r="I15" i="64" s="1"/>
  <c r="Q59" i="65"/>
  <c r="R55" i="65" s="1"/>
  <c r="K14" i="64"/>
  <c r="Q34" i="65"/>
  <c r="R25" i="65" s="1"/>
  <c r="P34" i="65"/>
  <c r="L14" i="64"/>
  <c r="L15" i="64" s="1"/>
  <c r="Q44" i="65"/>
  <c r="R35" i="65" s="1"/>
  <c r="P44" i="65"/>
  <c r="Q24" i="65"/>
  <c r="R20" i="65" s="1"/>
  <c r="P24" i="65"/>
  <c r="G14" i="64"/>
  <c r="G15" i="64" s="1"/>
  <c r="AB44" i="63"/>
  <c r="AC37" i="63" s="1"/>
  <c r="AA44" i="63"/>
  <c r="N44" i="63"/>
  <c r="Q47" i="63"/>
  <c r="P47" i="63"/>
  <c r="AB8" i="63"/>
  <c r="AC5" i="63" s="1"/>
  <c r="AA8" i="63"/>
  <c r="N8" i="63"/>
  <c r="Q37" i="63"/>
  <c r="P37" i="63"/>
  <c r="Q18" i="63"/>
  <c r="P18" i="63"/>
  <c r="E14" i="62"/>
  <c r="E15" i="62" s="1"/>
  <c r="P11" i="63"/>
  <c r="Q11" i="63"/>
  <c r="R9" i="63" s="1"/>
  <c r="P58" i="63"/>
  <c r="Q58" i="63"/>
  <c r="Q5" i="63"/>
  <c r="P5" i="63"/>
  <c r="Q21" i="63"/>
  <c r="P21" i="63"/>
  <c r="Q6" i="63"/>
  <c r="P6" i="63"/>
  <c r="Q7" i="63"/>
  <c r="P7" i="63"/>
  <c r="Q60" i="63"/>
  <c r="P60" i="63"/>
  <c r="AB29" i="63"/>
  <c r="AC23" i="63" s="1"/>
  <c r="AA29" i="63"/>
  <c r="N29" i="63"/>
  <c r="Q61" i="63"/>
  <c r="P61" i="63"/>
  <c r="Q52" i="63"/>
  <c r="P52" i="63"/>
  <c r="J14" i="62"/>
  <c r="J15" i="62" s="1"/>
  <c r="Q54" i="63"/>
  <c r="R50" i="63" s="1"/>
  <c r="P54" i="63"/>
  <c r="Q24" i="63"/>
  <c r="P24" i="63"/>
  <c r="Q20" i="63"/>
  <c r="P20" i="63"/>
  <c r="Q57" i="63"/>
  <c r="P57" i="63"/>
  <c r="Q56" i="63"/>
  <c r="P56" i="63"/>
  <c r="Q46" i="63"/>
  <c r="P46" i="63"/>
  <c r="AB63" i="63"/>
  <c r="AC55" i="63" s="1"/>
  <c r="AA63" i="63"/>
  <c r="N63" i="63"/>
  <c r="P59" i="63"/>
  <c r="Q59" i="63"/>
  <c r="P48" i="63"/>
  <c r="Q48" i="63"/>
  <c r="Q35" i="63"/>
  <c r="P35" i="63"/>
  <c r="Q14" i="63"/>
  <c r="P14" i="63"/>
  <c r="P13" i="63"/>
  <c r="Q13" i="63"/>
  <c r="AA49" i="63"/>
  <c r="N49" i="63"/>
  <c r="AB49" i="63"/>
  <c r="AC45" i="63" s="1"/>
  <c r="Q33" i="63"/>
  <c r="P33" i="63"/>
  <c r="Q62" i="63"/>
  <c r="P62" i="63"/>
  <c r="Q34" i="63"/>
  <c r="P34" i="63"/>
  <c r="Q45" i="63"/>
  <c r="P45" i="63"/>
  <c r="Q43" i="63"/>
  <c r="P43" i="63"/>
  <c r="Q30" i="63"/>
  <c r="P30" i="63"/>
  <c r="P55" i="63"/>
  <c r="Q55" i="63"/>
  <c r="Q41" i="63"/>
  <c r="P41" i="63"/>
  <c r="Q15" i="63"/>
  <c r="P15" i="63"/>
  <c r="P22" i="63"/>
  <c r="G14" i="62"/>
  <c r="G15" i="62" s="1"/>
  <c r="Q22" i="63"/>
  <c r="R18" i="63" s="1"/>
  <c r="N36" i="63"/>
  <c r="AB36" i="63"/>
  <c r="AC30" i="63" s="1"/>
  <c r="AA36" i="63"/>
  <c r="AB17" i="63"/>
  <c r="AC12" i="63" s="1"/>
  <c r="AA17" i="63"/>
  <c r="N17" i="63"/>
  <c r="Q19" i="63"/>
  <c r="P19" i="63"/>
  <c r="Q12" i="63"/>
  <c r="P12" i="63"/>
  <c r="Q38" i="63"/>
  <c r="P38" i="63"/>
  <c r="Q39" i="63"/>
  <c r="P39" i="63"/>
  <c r="Q25" i="63"/>
  <c r="P25" i="63"/>
  <c r="P39" i="59"/>
  <c r="Q52" i="59"/>
  <c r="Q6" i="59"/>
  <c r="Q37" i="59"/>
  <c r="Q50" i="59"/>
  <c r="P12" i="59"/>
  <c r="N17" i="59"/>
  <c r="P30" i="59"/>
  <c r="P45" i="59"/>
  <c r="Q23" i="59"/>
  <c r="P54" i="59"/>
  <c r="N28" i="59"/>
  <c r="N8" i="59"/>
  <c r="P19" i="59"/>
  <c r="N43" i="59"/>
  <c r="Q43" i="59" s="1"/>
  <c r="R37" i="59" s="1"/>
  <c r="P35" i="59"/>
  <c r="AA43" i="59"/>
  <c r="AB5" i="59"/>
  <c r="AA5" i="59"/>
  <c r="P5" i="59"/>
  <c r="Q5" i="59"/>
  <c r="Q7" i="59"/>
  <c r="P7" i="59"/>
  <c r="AA9" i="59"/>
  <c r="M11" i="59"/>
  <c r="AB11" i="59" s="1"/>
  <c r="AC9" i="59" s="1"/>
  <c r="N9" i="59"/>
  <c r="N13" i="59"/>
  <c r="AB13" i="59"/>
  <c r="AB14" i="59"/>
  <c r="AA14" i="59"/>
  <c r="N14" i="59"/>
  <c r="AB16" i="59"/>
  <c r="AA16" i="59"/>
  <c r="Q16" i="59"/>
  <c r="P16" i="59"/>
  <c r="Q18" i="59"/>
  <c r="P18" i="59"/>
  <c r="M22" i="59"/>
  <c r="AB19" i="59"/>
  <c r="M29" i="59"/>
  <c r="AB23" i="59"/>
  <c r="AA25" i="59"/>
  <c r="AB25" i="59"/>
  <c r="N26" i="59"/>
  <c r="AA26" i="59"/>
  <c r="Q27" i="59"/>
  <c r="P27" i="59"/>
  <c r="Q31" i="59"/>
  <c r="P31" i="59"/>
  <c r="AB32" i="59"/>
  <c r="AA32" i="59"/>
  <c r="N33" i="59"/>
  <c r="AB33" i="59"/>
  <c r="AB34" i="59"/>
  <c r="AA34" i="59"/>
  <c r="N34" i="59"/>
  <c r="AB36" i="59"/>
  <c r="AC30" i="59" s="1"/>
  <c r="AA36" i="59"/>
  <c r="N36" i="59"/>
  <c r="L14" i="58" s="1"/>
  <c r="L15" i="58" s="1"/>
  <c r="Q40" i="59"/>
  <c r="P40" i="59"/>
  <c r="AB41" i="59"/>
  <c r="AA41" i="59"/>
  <c r="H14" i="58"/>
  <c r="H15" i="58" s="1"/>
  <c r="M48" i="59"/>
  <c r="N44" i="59"/>
  <c r="AB45" i="59"/>
  <c r="AA45" i="59"/>
  <c r="N46" i="59"/>
  <c r="AA46" i="59"/>
  <c r="Q47" i="59"/>
  <c r="P47" i="59"/>
  <c r="AB49" i="59"/>
  <c r="AA49" i="59"/>
  <c r="M53" i="59"/>
  <c r="N49" i="59"/>
  <c r="AB51" i="59"/>
  <c r="AA51" i="59"/>
  <c r="N51" i="59"/>
  <c r="AB62" i="59"/>
  <c r="AC54" i="59" s="1"/>
  <c r="N62" i="59"/>
  <c r="M14" i="58" s="1"/>
  <c r="M15" i="58" s="1"/>
  <c r="AA62" i="59"/>
  <c r="Q55" i="59"/>
  <c r="P55" i="59"/>
  <c r="AB56" i="59"/>
  <c r="AA56" i="59"/>
  <c r="N57" i="59"/>
  <c r="AB57" i="59"/>
  <c r="AB58" i="59"/>
  <c r="AA58" i="59"/>
  <c r="N58" i="59"/>
  <c r="P60" i="59"/>
  <c r="Q60" i="59"/>
  <c r="AB61" i="59"/>
  <c r="AA61" i="59"/>
  <c r="Q61" i="59"/>
  <c r="P61" i="59"/>
  <c r="N20" i="59"/>
  <c r="AA18" i="59"/>
  <c r="AA47" i="59"/>
  <c r="N38" i="59"/>
  <c r="AA27" i="59"/>
  <c r="O64" i="57"/>
  <c r="K64" i="57"/>
  <c r="V63" i="57"/>
  <c r="M63" i="57" s="1"/>
  <c r="U63" i="57"/>
  <c r="O63" i="57"/>
  <c r="K63" i="57"/>
  <c r="G63" i="57"/>
  <c r="X62" i="57"/>
  <c r="W62" i="57"/>
  <c r="V62" i="57"/>
  <c r="M62" i="57" s="1"/>
  <c r="U62" i="57"/>
  <c r="O62" i="57"/>
  <c r="K62" i="57"/>
  <c r="G62" i="57"/>
  <c r="V61" i="57"/>
  <c r="M61" i="57" s="1"/>
  <c r="U61" i="57"/>
  <c r="O61" i="57"/>
  <c r="K61" i="57"/>
  <c r="G61" i="57"/>
  <c r="V60" i="57"/>
  <c r="M60" i="57" s="1"/>
  <c r="U60" i="57"/>
  <c r="O60" i="57"/>
  <c r="K60" i="57"/>
  <c r="G60" i="57"/>
  <c r="V59" i="57"/>
  <c r="M59" i="57" s="1"/>
  <c r="U59" i="57"/>
  <c r="O59" i="57"/>
  <c r="K59" i="57"/>
  <c r="G59" i="57"/>
  <c r="V58" i="57"/>
  <c r="M58" i="57" s="1"/>
  <c r="U58" i="57"/>
  <c r="O58" i="57"/>
  <c r="K58" i="57"/>
  <c r="G58" i="57"/>
  <c r="V57" i="57"/>
  <c r="M57" i="57" s="1"/>
  <c r="U57" i="57"/>
  <c r="O57" i="57"/>
  <c r="K57" i="57"/>
  <c r="G57" i="57"/>
  <c r="X56" i="57"/>
  <c r="W56" i="57"/>
  <c r="V56" i="57"/>
  <c r="M56" i="57" s="1"/>
  <c r="O56" i="57"/>
  <c r="K56" i="57"/>
  <c r="G56" i="57"/>
  <c r="O55" i="57"/>
  <c r="K55" i="57"/>
  <c r="V54" i="57"/>
  <c r="U54" i="57"/>
  <c r="O54" i="57"/>
  <c r="M54" i="57"/>
  <c r="AB54" i="57" s="1"/>
  <c r="K54" i="57"/>
  <c r="G54" i="57"/>
  <c r="V53" i="57"/>
  <c r="U53" i="57"/>
  <c r="O53" i="57"/>
  <c r="M53" i="57"/>
  <c r="AB53" i="57" s="1"/>
  <c r="K53" i="57"/>
  <c r="G53" i="57"/>
  <c r="AB52" i="57"/>
  <c r="V52" i="57"/>
  <c r="U52" i="57"/>
  <c r="O52" i="57"/>
  <c r="N52" i="57"/>
  <c r="Q52" i="57" s="1"/>
  <c r="M52" i="57"/>
  <c r="AA52" i="57" s="1"/>
  <c r="K52" i="57"/>
  <c r="G52" i="57"/>
  <c r="AB51" i="57"/>
  <c r="V51" i="57"/>
  <c r="O51" i="57"/>
  <c r="N51" i="57"/>
  <c r="Q51" i="57" s="1"/>
  <c r="M51" i="57"/>
  <c r="AA51" i="57" s="1"/>
  <c r="K51" i="57"/>
  <c r="G51" i="57"/>
  <c r="O50" i="57"/>
  <c r="K50" i="57"/>
  <c r="V49" i="57"/>
  <c r="M49" i="57" s="1"/>
  <c r="U49" i="57"/>
  <c r="O49" i="57"/>
  <c r="K49" i="57"/>
  <c r="G49" i="57"/>
  <c r="V48" i="57"/>
  <c r="M48" i="57" s="1"/>
  <c r="U48" i="57"/>
  <c r="O48" i="57"/>
  <c r="K48" i="57"/>
  <c r="G48" i="57"/>
  <c r="V47" i="57"/>
  <c r="M47" i="57" s="1"/>
  <c r="U47" i="57"/>
  <c r="O47" i="57"/>
  <c r="K47" i="57"/>
  <c r="G47" i="57"/>
  <c r="V46" i="57"/>
  <c r="U46" i="57"/>
  <c r="O46" i="57"/>
  <c r="N46" i="57"/>
  <c r="Q46" i="57" s="1"/>
  <c r="M46" i="57"/>
  <c r="AB46" i="57" s="1"/>
  <c r="K46" i="57"/>
  <c r="G46" i="57"/>
  <c r="V45" i="57"/>
  <c r="U45" i="57"/>
  <c r="O45" i="57"/>
  <c r="M45" i="57"/>
  <c r="AB45" i="57" s="1"/>
  <c r="K45" i="57"/>
  <c r="G45" i="57"/>
  <c r="V44" i="57"/>
  <c r="O44" i="57"/>
  <c r="M44" i="57"/>
  <c r="AB44" i="57" s="1"/>
  <c r="K44" i="57"/>
  <c r="G44" i="57"/>
  <c r="O43" i="57"/>
  <c r="K43" i="57"/>
  <c r="V42" i="57"/>
  <c r="M42" i="57" s="1"/>
  <c r="U42" i="57"/>
  <c r="O42" i="57"/>
  <c r="K42" i="57"/>
  <c r="G42" i="57"/>
  <c r="V41" i="57"/>
  <c r="M41" i="57" s="1"/>
  <c r="U41" i="57"/>
  <c r="O41" i="57"/>
  <c r="K41" i="57"/>
  <c r="G41" i="57"/>
  <c r="V40" i="57"/>
  <c r="M40" i="57" s="1"/>
  <c r="U40" i="57"/>
  <c r="O40" i="57"/>
  <c r="K40" i="57"/>
  <c r="G40" i="57"/>
  <c r="V39" i="57"/>
  <c r="M39" i="57" s="1"/>
  <c r="U39" i="57"/>
  <c r="O39" i="57"/>
  <c r="K39" i="57"/>
  <c r="G39" i="57"/>
  <c r="V38" i="57"/>
  <c r="M38" i="57" s="1"/>
  <c r="U38" i="57"/>
  <c r="O38" i="57"/>
  <c r="K38" i="57"/>
  <c r="G38" i="57"/>
  <c r="V37" i="57"/>
  <c r="M37" i="57" s="1"/>
  <c r="O37" i="57"/>
  <c r="K37" i="57"/>
  <c r="G37" i="57"/>
  <c r="O36" i="57"/>
  <c r="M36" i="57"/>
  <c r="AB36" i="57" s="1"/>
  <c r="AC30" i="57" s="1"/>
  <c r="K36" i="57"/>
  <c r="O35" i="57"/>
  <c r="M35" i="57"/>
  <c r="AB35" i="57" s="1"/>
  <c r="K35" i="57"/>
  <c r="G35" i="57"/>
  <c r="AB34" i="57"/>
  <c r="AA34" i="57"/>
  <c r="X34" i="57"/>
  <c r="W34" i="57"/>
  <c r="O34" i="57"/>
  <c r="M34" i="57"/>
  <c r="N34" i="57" s="1"/>
  <c r="K34" i="57"/>
  <c r="G34" i="57"/>
  <c r="AB33" i="57"/>
  <c r="AA33" i="57"/>
  <c r="O33" i="57"/>
  <c r="M33" i="57"/>
  <c r="N33" i="57" s="1"/>
  <c r="K33" i="57"/>
  <c r="G33" i="57"/>
  <c r="AA32" i="57"/>
  <c r="O32" i="57"/>
  <c r="N32" i="57"/>
  <c r="Q32" i="57" s="1"/>
  <c r="M32" i="57"/>
  <c r="AB32" i="57" s="1"/>
  <c r="K32" i="57"/>
  <c r="G32" i="57"/>
  <c r="O31" i="57"/>
  <c r="N31" i="57"/>
  <c r="Q31" i="57" s="1"/>
  <c r="M31" i="57"/>
  <c r="AB31" i="57" s="1"/>
  <c r="K31" i="57"/>
  <c r="G31" i="57"/>
  <c r="X30" i="57"/>
  <c r="W30" i="57"/>
  <c r="O30" i="57"/>
  <c r="M30" i="57"/>
  <c r="AB30" i="57" s="1"/>
  <c r="K30" i="57"/>
  <c r="G30" i="57"/>
  <c r="O29" i="57"/>
  <c r="K29" i="57"/>
  <c r="AB28" i="57"/>
  <c r="AA28" i="57"/>
  <c r="O28" i="57"/>
  <c r="M28" i="57"/>
  <c r="N28" i="57" s="1"/>
  <c r="K28" i="57"/>
  <c r="G28" i="57"/>
  <c r="AB27" i="57"/>
  <c r="AA27" i="57"/>
  <c r="X27" i="57"/>
  <c r="W27" i="57"/>
  <c r="O27" i="57"/>
  <c r="M27" i="57"/>
  <c r="N27" i="57" s="1"/>
  <c r="K27" i="57"/>
  <c r="G27" i="57"/>
  <c r="O26" i="57"/>
  <c r="M26" i="57"/>
  <c r="AB26" i="57" s="1"/>
  <c r="K26" i="57"/>
  <c r="G26" i="57"/>
  <c r="O25" i="57"/>
  <c r="M25" i="57"/>
  <c r="AB25" i="57" s="1"/>
  <c r="K25" i="57"/>
  <c r="G25" i="57"/>
  <c r="AB24" i="57"/>
  <c r="AA24" i="57"/>
  <c r="O24" i="57"/>
  <c r="M24" i="57"/>
  <c r="N24" i="57" s="1"/>
  <c r="K24" i="57"/>
  <c r="G24" i="57"/>
  <c r="AB23" i="57"/>
  <c r="AA23" i="57"/>
  <c r="X23" i="57"/>
  <c r="W23" i="57"/>
  <c r="O23" i="57"/>
  <c r="M23" i="57"/>
  <c r="N23" i="57" s="1"/>
  <c r="K23" i="57"/>
  <c r="G23" i="57"/>
  <c r="O22" i="57"/>
  <c r="K22" i="57"/>
  <c r="V21" i="57"/>
  <c r="M21" i="57" s="1"/>
  <c r="U21" i="57"/>
  <c r="O21" i="57"/>
  <c r="K21" i="57"/>
  <c r="G21" i="57"/>
  <c r="V20" i="57"/>
  <c r="M20" i="57" s="1"/>
  <c r="U20" i="57"/>
  <c r="O20" i="57"/>
  <c r="K20" i="57"/>
  <c r="G20" i="57"/>
  <c r="V19" i="57"/>
  <c r="U19" i="57"/>
  <c r="O19" i="57"/>
  <c r="M19" i="57"/>
  <c r="AB19" i="57" s="1"/>
  <c r="K19" i="57"/>
  <c r="G19" i="57"/>
  <c r="V18" i="57"/>
  <c r="O18" i="57"/>
  <c r="M18" i="57"/>
  <c r="M22" i="57" s="1"/>
  <c r="K18" i="57"/>
  <c r="G18" i="57"/>
  <c r="O17" i="57"/>
  <c r="K17" i="57"/>
  <c r="AB16" i="57"/>
  <c r="AA16" i="57"/>
  <c r="V16" i="57"/>
  <c r="U16" i="57"/>
  <c r="O16" i="57"/>
  <c r="M16" i="57"/>
  <c r="N16" i="57" s="1"/>
  <c r="K16" i="57"/>
  <c r="G16" i="57"/>
  <c r="V15" i="57"/>
  <c r="M15" i="57" s="1"/>
  <c r="U15" i="57"/>
  <c r="O15" i="57"/>
  <c r="K15" i="57"/>
  <c r="G15" i="57"/>
  <c r="V14" i="57"/>
  <c r="M14" i="57" s="1"/>
  <c r="U14" i="57"/>
  <c r="O14" i="57"/>
  <c r="K14" i="57"/>
  <c r="G14" i="57"/>
  <c r="V13" i="57"/>
  <c r="M13" i="57" s="1"/>
  <c r="U13" i="57"/>
  <c r="O13" i="57"/>
  <c r="K13" i="57"/>
  <c r="G13" i="57"/>
  <c r="X12" i="57"/>
  <c r="W12" i="57"/>
  <c r="V12" i="57"/>
  <c r="M12" i="57" s="1"/>
  <c r="O12" i="57"/>
  <c r="K12" i="57"/>
  <c r="G12" i="57"/>
  <c r="O11" i="57"/>
  <c r="K11" i="57"/>
  <c r="V10" i="57"/>
  <c r="U10" i="57"/>
  <c r="O10" i="57"/>
  <c r="N10" i="57"/>
  <c r="Q10" i="57" s="1"/>
  <c r="M10" i="57"/>
  <c r="AB10" i="57" s="1"/>
  <c r="K10" i="57"/>
  <c r="G10" i="57"/>
  <c r="V9" i="57"/>
  <c r="O9" i="57"/>
  <c r="N9" i="57"/>
  <c r="Q9" i="57" s="1"/>
  <c r="M9" i="57"/>
  <c r="M11" i="57" s="1"/>
  <c r="K9" i="57"/>
  <c r="G9" i="57"/>
  <c r="O8" i="57"/>
  <c r="K8" i="57"/>
  <c r="D13" i="56" s="1"/>
  <c r="AB7" i="57"/>
  <c r="V7" i="57"/>
  <c r="U7" i="57"/>
  <c r="O7" i="57"/>
  <c r="M7" i="57"/>
  <c r="N7" i="57" s="1"/>
  <c r="K7" i="57"/>
  <c r="G7" i="57"/>
  <c r="V6" i="57"/>
  <c r="M6" i="57" s="1"/>
  <c r="U6" i="57"/>
  <c r="O6" i="57"/>
  <c r="K6" i="57"/>
  <c r="G6" i="57"/>
  <c r="V5" i="57"/>
  <c r="M5" i="57" s="1"/>
  <c r="O5" i="57"/>
  <c r="K5" i="57"/>
  <c r="G5" i="57"/>
  <c r="F1" i="57" s="1"/>
  <c r="H2" i="57"/>
  <c r="H1" i="57"/>
  <c r="D1" i="57"/>
  <c r="M18" i="56"/>
  <c r="L18" i="56"/>
  <c r="K18" i="56"/>
  <c r="J18" i="56"/>
  <c r="I18" i="56"/>
  <c r="H18" i="56"/>
  <c r="G18" i="56"/>
  <c r="F18" i="56"/>
  <c r="E18" i="56"/>
  <c r="D18" i="56"/>
  <c r="M17" i="56"/>
  <c r="L17" i="56"/>
  <c r="K17" i="56"/>
  <c r="J17" i="56"/>
  <c r="I17" i="56"/>
  <c r="H17" i="56"/>
  <c r="G17" i="56"/>
  <c r="F17" i="56"/>
  <c r="E17" i="56"/>
  <c r="D17" i="56"/>
  <c r="M16" i="56"/>
  <c r="L16" i="56"/>
  <c r="K16" i="56"/>
  <c r="J16" i="56"/>
  <c r="I16" i="56"/>
  <c r="H16" i="56"/>
  <c r="G16" i="56"/>
  <c r="F16" i="56"/>
  <c r="E16" i="56"/>
  <c r="D16" i="56"/>
  <c r="M13" i="56"/>
  <c r="L13" i="56"/>
  <c r="K13" i="56"/>
  <c r="J13" i="56"/>
  <c r="I13" i="56"/>
  <c r="H13" i="56"/>
  <c r="G13" i="56"/>
  <c r="F13" i="56"/>
  <c r="E13" i="56"/>
  <c r="I6" i="56"/>
  <c r="F3" i="56"/>
  <c r="C3" i="56"/>
  <c r="F8" i="70" l="1"/>
  <c r="E8" i="70"/>
  <c r="G8" i="70"/>
  <c r="E7" i="64"/>
  <c r="F7" i="64"/>
  <c r="K15" i="64"/>
  <c r="I8" i="64" s="1"/>
  <c r="I7" i="64"/>
  <c r="G7" i="64"/>
  <c r="G8" i="64"/>
  <c r="E8" i="64"/>
  <c r="F8" i="64"/>
  <c r="L14" i="62"/>
  <c r="L15" i="62" s="1"/>
  <c r="Q36" i="63"/>
  <c r="R30" i="63" s="1"/>
  <c r="P36" i="63"/>
  <c r="D14" i="62"/>
  <c r="D2" i="63"/>
  <c r="Q8" i="63"/>
  <c r="R5" i="63" s="1"/>
  <c r="P8" i="63"/>
  <c r="F14" i="62"/>
  <c r="F15" i="62" s="1"/>
  <c r="Q17" i="63"/>
  <c r="R12" i="63" s="1"/>
  <c r="P17" i="63"/>
  <c r="K14" i="62"/>
  <c r="Q29" i="63"/>
  <c r="R23" i="63" s="1"/>
  <c r="P29" i="63"/>
  <c r="H14" i="62"/>
  <c r="H15" i="62" s="1"/>
  <c r="Q44" i="63"/>
  <c r="R37" i="63" s="1"/>
  <c r="P44" i="63"/>
  <c r="Q49" i="63"/>
  <c r="R45" i="63" s="1"/>
  <c r="I14" i="62"/>
  <c r="I15" i="62" s="1"/>
  <c r="P49" i="63"/>
  <c r="M14" i="62"/>
  <c r="M15" i="62" s="1"/>
  <c r="Q63" i="63"/>
  <c r="R55" i="63" s="1"/>
  <c r="P63" i="63"/>
  <c r="Q49" i="59"/>
  <c r="P49" i="59"/>
  <c r="Q33" i="59"/>
  <c r="P33" i="59"/>
  <c r="Q46" i="59"/>
  <c r="P46" i="59"/>
  <c r="P57" i="59"/>
  <c r="Q57" i="59"/>
  <c r="D14" i="58"/>
  <c r="Q8" i="59"/>
  <c r="R5" i="59" s="1"/>
  <c r="P8" i="59"/>
  <c r="Q13" i="59"/>
  <c r="P13" i="59"/>
  <c r="P28" i="59"/>
  <c r="Q28" i="59"/>
  <c r="AB48" i="59"/>
  <c r="AC44" i="59" s="1"/>
  <c r="AA48" i="59"/>
  <c r="N48" i="59"/>
  <c r="P43" i="59"/>
  <c r="F14" i="58"/>
  <c r="F15" i="58" s="1"/>
  <c r="Q17" i="59"/>
  <c r="R12" i="59" s="1"/>
  <c r="P17" i="59"/>
  <c r="Q58" i="59"/>
  <c r="P58" i="59"/>
  <c r="Q14" i="59"/>
  <c r="P14" i="59"/>
  <c r="Q34" i="59"/>
  <c r="P34" i="59"/>
  <c r="Q26" i="59"/>
  <c r="P26" i="59"/>
  <c r="Q38" i="59"/>
  <c r="P38" i="59"/>
  <c r="Q20" i="59"/>
  <c r="P20" i="59"/>
  <c r="Q62" i="59"/>
  <c r="R54" i="59" s="1"/>
  <c r="P62" i="59"/>
  <c r="P51" i="59"/>
  <c r="Q51" i="59"/>
  <c r="AB53" i="59"/>
  <c r="AC49" i="59" s="1"/>
  <c r="N53" i="59"/>
  <c r="AA53" i="59"/>
  <c r="Q44" i="59"/>
  <c r="P44" i="59"/>
  <c r="Q36" i="59"/>
  <c r="R30" i="59" s="1"/>
  <c r="P36" i="59"/>
  <c r="AB29" i="59"/>
  <c r="AC23" i="59" s="1"/>
  <c r="N29" i="59"/>
  <c r="AA29" i="59"/>
  <c r="AB22" i="59"/>
  <c r="AC18" i="59" s="1"/>
  <c r="AA22" i="59"/>
  <c r="N22" i="59"/>
  <c r="Q9" i="59"/>
  <c r="P9" i="59"/>
  <c r="AA11" i="59"/>
  <c r="N11" i="59"/>
  <c r="D2" i="59" s="1"/>
  <c r="G6" i="56"/>
  <c r="F6" i="56"/>
  <c r="E6" i="56"/>
  <c r="AB57" i="57"/>
  <c r="AA57" i="57"/>
  <c r="N57" i="57"/>
  <c r="Q7" i="57"/>
  <c r="P7" i="57"/>
  <c r="N15" i="57"/>
  <c r="AB15" i="57"/>
  <c r="AA15" i="57"/>
  <c r="N41" i="57"/>
  <c r="AB41" i="57"/>
  <c r="AA41" i="57"/>
  <c r="N13" i="57"/>
  <c r="AB13" i="57"/>
  <c r="AA13" i="57"/>
  <c r="AB20" i="57"/>
  <c r="AA20" i="57"/>
  <c r="N20" i="57"/>
  <c r="N60" i="57"/>
  <c r="AB60" i="57"/>
  <c r="AA60" i="57"/>
  <c r="P27" i="57"/>
  <c r="Q27" i="57"/>
  <c r="Q23" i="57"/>
  <c r="P23" i="57"/>
  <c r="N48" i="57"/>
  <c r="AB48" i="57"/>
  <c r="AA48" i="57"/>
  <c r="N62" i="57"/>
  <c r="AB62" i="57"/>
  <c r="AA62" i="57"/>
  <c r="Q34" i="57"/>
  <c r="P34" i="57"/>
  <c r="N6" i="57"/>
  <c r="AA6" i="57"/>
  <c r="AB6" i="57"/>
  <c r="N11" i="57"/>
  <c r="AB11" i="57"/>
  <c r="AC9" i="57" s="1"/>
  <c r="AA11" i="57"/>
  <c r="Q16" i="57"/>
  <c r="P16" i="57"/>
  <c r="N39" i="57"/>
  <c r="AB39" i="57"/>
  <c r="AA39" i="57"/>
  <c r="N58" i="57"/>
  <c r="AB58" i="57"/>
  <c r="AA58" i="57"/>
  <c r="N5" i="57"/>
  <c r="M8" i="57"/>
  <c r="AA5" i="57"/>
  <c r="AB5" i="57"/>
  <c r="N38" i="57"/>
  <c r="AB38" i="57"/>
  <c r="AA38" i="57"/>
  <c r="N22" i="57"/>
  <c r="AB22" i="57"/>
  <c r="AC18" i="57" s="1"/>
  <c r="AA22" i="57"/>
  <c r="N56" i="57"/>
  <c r="AB56" i="57"/>
  <c r="AA56" i="57"/>
  <c r="M64" i="57"/>
  <c r="N37" i="57"/>
  <c r="AB37" i="57"/>
  <c r="AA37" i="57"/>
  <c r="M43" i="57"/>
  <c r="N49" i="57"/>
  <c r="AB49" i="57"/>
  <c r="AA49" i="57"/>
  <c r="N63" i="57"/>
  <c r="AB63" i="57"/>
  <c r="AA63" i="57"/>
  <c r="Q28" i="57"/>
  <c r="P28" i="57"/>
  <c r="N42" i="57"/>
  <c r="AA42" i="57"/>
  <c r="AB42" i="57"/>
  <c r="I3" i="56"/>
  <c r="F2" i="57"/>
  <c r="N12" i="57"/>
  <c r="AB12" i="57"/>
  <c r="M17" i="57"/>
  <c r="AA12" i="57"/>
  <c r="N14" i="57"/>
  <c r="AB14" i="57"/>
  <c r="AA14" i="57"/>
  <c r="AB21" i="57"/>
  <c r="AA21" i="57"/>
  <c r="N21" i="57"/>
  <c r="Q33" i="57"/>
  <c r="P33" i="57"/>
  <c r="AB47" i="57"/>
  <c r="AA47" i="57"/>
  <c r="N47" i="57"/>
  <c r="N61" i="57"/>
  <c r="AB61" i="57"/>
  <c r="AA61" i="57"/>
  <c r="Q24" i="57"/>
  <c r="P24" i="57"/>
  <c r="N40" i="57"/>
  <c r="AB40" i="57"/>
  <c r="AA40" i="57"/>
  <c r="N59" i="57"/>
  <c r="AB59" i="57"/>
  <c r="AA59" i="57"/>
  <c r="N18" i="57"/>
  <c r="N19" i="57"/>
  <c r="N26" i="57"/>
  <c r="N36" i="57"/>
  <c r="N44" i="57"/>
  <c r="N45" i="57"/>
  <c r="AA7" i="57"/>
  <c r="M55" i="57"/>
  <c r="P9" i="57"/>
  <c r="P10" i="57"/>
  <c r="N30" i="57"/>
  <c r="P32" i="57"/>
  <c r="P46" i="57"/>
  <c r="N54" i="57"/>
  <c r="N53" i="57"/>
  <c r="N25" i="57"/>
  <c r="M29" i="57"/>
  <c r="AA26" i="57"/>
  <c r="P31" i="57"/>
  <c r="N35" i="57"/>
  <c r="AA36" i="57"/>
  <c r="AA9" i="57"/>
  <c r="AA10" i="57"/>
  <c r="AA46" i="57"/>
  <c r="M50" i="57"/>
  <c r="P51" i="57"/>
  <c r="P52" i="57"/>
  <c r="AB9" i="57"/>
  <c r="AA18" i="57"/>
  <c r="AA19" i="57"/>
  <c r="AA31" i="57"/>
  <c r="AA44" i="57"/>
  <c r="AA45" i="57"/>
  <c r="AB18" i="57"/>
  <c r="AA25" i="57"/>
  <c r="AA54" i="57"/>
  <c r="AA30" i="57"/>
  <c r="AA35" i="57"/>
  <c r="AA53" i="57"/>
  <c r="O72" i="55"/>
  <c r="K72" i="55"/>
  <c r="V71" i="55"/>
  <c r="M71" i="55" s="1"/>
  <c r="U71" i="55"/>
  <c r="O71" i="55"/>
  <c r="K71" i="55"/>
  <c r="G71" i="55"/>
  <c r="V70" i="55"/>
  <c r="M70" i="55" s="1"/>
  <c r="U70" i="55"/>
  <c r="O70" i="55"/>
  <c r="K70" i="55"/>
  <c r="G70" i="55"/>
  <c r="V69" i="55"/>
  <c r="M69" i="55" s="1"/>
  <c r="U69" i="55"/>
  <c r="O69" i="55"/>
  <c r="K69" i="55"/>
  <c r="G69" i="55"/>
  <c r="X68" i="55"/>
  <c r="W68" i="55"/>
  <c r="V68" i="55"/>
  <c r="M68" i="55" s="1"/>
  <c r="U68" i="55"/>
  <c r="O68" i="55"/>
  <c r="K68" i="55"/>
  <c r="G68" i="55"/>
  <c r="V67" i="55"/>
  <c r="M67" i="55" s="1"/>
  <c r="U67" i="55"/>
  <c r="O67" i="55"/>
  <c r="K67" i="55"/>
  <c r="G67" i="55"/>
  <c r="V66" i="55"/>
  <c r="M66" i="55" s="1"/>
  <c r="U66" i="55"/>
  <c r="O66" i="55"/>
  <c r="K66" i="55"/>
  <c r="G66" i="55"/>
  <c r="V65" i="55"/>
  <c r="U65" i="55"/>
  <c r="O65" i="55"/>
  <c r="N65" i="55"/>
  <c r="Q65" i="55" s="1"/>
  <c r="M65" i="55"/>
  <c r="AB65" i="55" s="1"/>
  <c r="K65" i="55"/>
  <c r="G65" i="55"/>
  <c r="V64" i="55"/>
  <c r="U64" i="55"/>
  <c r="O64" i="55"/>
  <c r="M64" i="55"/>
  <c r="AB64" i="55" s="1"/>
  <c r="K64" i="55"/>
  <c r="G64" i="55"/>
  <c r="V63" i="55"/>
  <c r="U63" i="55"/>
  <c r="O63" i="55"/>
  <c r="M63" i="55"/>
  <c r="AB63" i="55" s="1"/>
  <c r="K63" i="55"/>
  <c r="G63" i="55"/>
  <c r="X62" i="55"/>
  <c r="W62" i="55"/>
  <c r="V62" i="55"/>
  <c r="O62" i="55"/>
  <c r="N62" i="55"/>
  <c r="Q62" i="55" s="1"/>
  <c r="M62" i="55"/>
  <c r="AB62" i="55" s="1"/>
  <c r="K62" i="55"/>
  <c r="G62" i="55"/>
  <c r="O61" i="55"/>
  <c r="K61" i="55"/>
  <c r="AB60" i="55"/>
  <c r="AA60" i="55"/>
  <c r="V60" i="55"/>
  <c r="U60" i="55"/>
  <c r="O60" i="55"/>
  <c r="M60" i="55"/>
  <c r="N60" i="55" s="1"/>
  <c r="K60" i="55"/>
  <c r="G60" i="55"/>
  <c r="V59" i="55"/>
  <c r="M59" i="55" s="1"/>
  <c r="U59" i="55"/>
  <c r="O59" i="55"/>
  <c r="K59" i="55"/>
  <c r="G59" i="55"/>
  <c r="V58" i="55"/>
  <c r="M58" i="55" s="1"/>
  <c r="U58" i="55"/>
  <c r="O58" i="55"/>
  <c r="K58" i="55"/>
  <c r="G58" i="55"/>
  <c r="V57" i="55"/>
  <c r="M57" i="55" s="1"/>
  <c r="O57" i="55"/>
  <c r="K57" i="55"/>
  <c r="G57" i="55"/>
  <c r="O56" i="55"/>
  <c r="K56" i="55"/>
  <c r="V55" i="55"/>
  <c r="U55" i="55"/>
  <c r="O55" i="55"/>
  <c r="N55" i="55"/>
  <c r="Q55" i="55" s="1"/>
  <c r="M55" i="55"/>
  <c r="AB55" i="55" s="1"/>
  <c r="K55" i="55"/>
  <c r="G55" i="55"/>
  <c r="V54" i="55"/>
  <c r="U54" i="55"/>
  <c r="O54" i="55"/>
  <c r="M54" i="55"/>
  <c r="AB54" i="55" s="1"/>
  <c r="K54" i="55"/>
  <c r="G54" i="55"/>
  <c r="V53" i="55"/>
  <c r="U53" i="55"/>
  <c r="O53" i="55"/>
  <c r="M53" i="55"/>
  <c r="AB53" i="55" s="1"/>
  <c r="K53" i="55"/>
  <c r="G53" i="55"/>
  <c r="V52" i="55"/>
  <c r="U52" i="55"/>
  <c r="O52" i="55"/>
  <c r="M52" i="55"/>
  <c r="AB52" i="55" s="1"/>
  <c r="K52" i="55"/>
  <c r="G52" i="55"/>
  <c r="V51" i="55"/>
  <c r="M51" i="55" s="1"/>
  <c r="U51" i="55"/>
  <c r="O51" i="55"/>
  <c r="K51" i="55"/>
  <c r="G51" i="55"/>
  <c r="V50" i="55"/>
  <c r="M50" i="55" s="1"/>
  <c r="O50" i="55"/>
  <c r="K50" i="55"/>
  <c r="G50" i="55"/>
  <c r="O49" i="55"/>
  <c r="K49" i="55"/>
  <c r="AB48" i="55"/>
  <c r="V48" i="55"/>
  <c r="U48" i="55"/>
  <c r="O48" i="55"/>
  <c r="M48" i="55"/>
  <c r="N48" i="55" s="1"/>
  <c r="K48" i="55"/>
  <c r="G48" i="55"/>
  <c r="AB47" i="55"/>
  <c r="AA47" i="55"/>
  <c r="V47" i="55"/>
  <c r="U47" i="55"/>
  <c r="O47" i="55"/>
  <c r="M47" i="55"/>
  <c r="N47" i="55" s="1"/>
  <c r="K47" i="55"/>
  <c r="G47" i="55"/>
  <c r="V46" i="55"/>
  <c r="M46" i="55" s="1"/>
  <c r="U46" i="55"/>
  <c r="O46" i="55"/>
  <c r="K46" i="55"/>
  <c r="G46" i="55"/>
  <c r="AA45" i="55"/>
  <c r="V45" i="55"/>
  <c r="U45" i="55"/>
  <c r="O45" i="55"/>
  <c r="N45" i="55"/>
  <c r="Q45" i="55" s="1"/>
  <c r="M45" i="55"/>
  <c r="AB45" i="55" s="1"/>
  <c r="K45" i="55"/>
  <c r="G45" i="55"/>
  <c r="V44" i="55"/>
  <c r="U44" i="55"/>
  <c r="O44" i="55"/>
  <c r="M44" i="55"/>
  <c r="AB44" i="55" s="1"/>
  <c r="K44" i="55"/>
  <c r="G44" i="55"/>
  <c r="V43" i="55"/>
  <c r="O43" i="55"/>
  <c r="M43" i="55"/>
  <c r="AB43" i="55" s="1"/>
  <c r="K43" i="55"/>
  <c r="G43" i="55"/>
  <c r="O42" i="55"/>
  <c r="K42" i="55"/>
  <c r="V41" i="55"/>
  <c r="M41" i="55" s="1"/>
  <c r="U41" i="55"/>
  <c r="O41" i="55"/>
  <c r="K41" i="55"/>
  <c r="G41" i="55"/>
  <c r="V40" i="55"/>
  <c r="M40" i="55" s="1"/>
  <c r="U40" i="55"/>
  <c r="O40" i="55"/>
  <c r="K40" i="55"/>
  <c r="G40" i="55"/>
  <c r="V39" i="55"/>
  <c r="U39" i="55"/>
  <c r="O39" i="55"/>
  <c r="M39" i="55"/>
  <c r="N39" i="55" s="1"/>
  <c r="K39" i="55"/>
  <c r="G39" i="55"/>
  <c r="AB38" i="55"/>
  <c r="V38" i="55"/>
  <c r="U38" i="55"/>
  <c r="O38" i="55"/>
  <c r="M38" i="55"/>
  <c r="N38" i="55" s="1"/>
  <c r="K38" i="55"/>
  <c r="G38" i="55"/>
  <c r="V37" i="55"/>
  <c r="M37" i="55" s="1"/>
  <c r="U37" i="55"/>
  <c r="O37" i="55"/>
  <c r="K37" i="55"/>
  <c r="G37" i="55"/>
  <c r="V36" i="55"/>
  <c r="M36" i="55" s="1"/>
  <c r="U36" i="55"/>
  <c r="O36" i="55"/>
  <c r="K36" i="55"/>
  <c r="G36" i="55"/>
  <c r="AA35" i="55"/>
  <c r="V35" i="55"/>
  <c r="U35" i="55"/>
  <c r="O35" i="55"/>
  <c r="N35" i="55"/>
  <c r="Q35" i="55" s="1"/>
  <c r="M35" i="55"/>
  <c r="AB35" i="55" s="1"/>
  <c r="K35" i="55"/>
  <c r="G35" i="55"/>
  <c r="X34" i="55"/>
  <c r="W34" i="55"/>
  <c r="V34" i="55"/>
  <c r="M34" i="55" s="1"/>
  <c r="O34" i="55"/>
  <c r="K34" i="55"/>
  <c r="G34" i="55"/>
  <c r="O33" i="55"/>
  <c r="K33" i="55"/>
  <c r="V32" i="55"/>
  <c r="M32" i="55" s="1"/>
  <c r="U32" i="55"/>
  <c r="O32" i="55"/>
  <c r="K32" i="55"/>
  <c r="G32" i="55"/>
  <c r="AB31" i="55"/>
  <c r="V31" i="55"/>
  <c r="U31" i="55"/>
  <c r="P31" i="55"/>
  <c r="O31" i="55"/>
  <c r="N31" i="55"/>
  <c r="Q31" i="55" s="1"/>
  <c r="M31" i="55"/>
  <c r="AA31" i="55" s="1"/>
  <c r="K31" i="55"/>
  <c r="G31" i="55"/>
  <c r="AB30" i="55"/>
  <c r="AA30" i="55"/>
  <c r="V30" i="55"/>
  <c r="U30" i="55"/>
  <c r="O30" i="55"/>
  <c r="M30" i="55"/>
  <c r="N30" i="55" s="1"/>
  <c r="K30" i="55"/>
  <c r="G30" i="55"/>
  <c r="V29" i="55"/>
  <c r="M29" i="55" s="1"/>
  <c r="U29" i="55"/>
  <c r="O29" i="55"/>
  <c r="K29" i="55"/>
  <c r="G29" i="55"/>
  <c r="X28" i="55"/>
  <c r="W28" i="55"/>
  <c r="V28" i="55"/>
  <c r="U28" i="55"/>
  <c r="O28" i="55"/>
  <c r="M28" i="55"/>
  <c r="N28" i="55" s="1"/>
  <c r="K28" i="55"/>
  <c r="G28" i="55"/>
  <c r="V27" i="55"/>
  <c r="M27" i="55" s="1"/>
  <c r="U27" i="55"/>
  <c r="O27" i="55"/>
  <c r="K27" i="55"/>
  <c r="G27" i="55"/>
  <c r="V26" i="55"/>
  <c r="M26" i="55" s="1"/>
  <c r="U26" i="55"/>
  <c r="O26" i="55"/>
  <c r="K26" i="55"/>
  <c r="G26" i="55"/>
  <c r="V25" i="55"/>
  <c r="U25" i="55"/>
  <c r="O25" i="55"/>
  <c r="M25" i="55"/>
  <c r="N25" i="55" s="1"/>
  <c r="K25" i="55"/>
  <c r="G25" i="55"/>
  <c r="X24" i="55"/>
  <c r="W24" i="55"/>
  <c r="V24" i="55"/>
  <c r="M24" i="55" s="1"/>
  <c r="O24" i="55"/>
  <c r="K24" i="55"/>
  <c r="G24" i="55"/>
  <c r="O23" i="55"/>
  <c r="K23" i="55"/>
  <c r="V22" i="55"/>
  <c r="M22" i="55" s="1"/>
  <c r="U22" i="55"/>
  <c r="O22" i="55"/>
  <c r="K22" i="55"/>
  <c r="G22" i="55"/>
  <c r="AA21" i="55"/>
  <c r="V21" i="55"/>
  <c r="U21" i="55"/>
  <c r="O21" i="55"/>
  <c r="N21" i="55"/>
  <c r="Q21" i="55" s="1"/>
  <c r="M21" i="55"/>
  <c r="AB21" i="55" s="1"/>
  <c r="K21" i="55"/>
  <c r="G21" i="55"/>
  <c r="V20" i="55"/>
  <c r="U20" i="55"/>
  <c r="O20" i="55"/>
  <c r="M20" i="55"/>
  <c r="AB20" i="55" s="1"/>
  <c r="K20" i="55"/>
  <c r="G20" i="55"/>
  <c r="V19" i="55"/>
  <c r="O19" i="55"/>
  <c r="M19" i="55"/>
  <c r="M23" i="55" s="1"/>
  <c r="K19" i="55"/>
  <c r="G19" i="55"/>
  <c r="O18" i="55"/>
  <c r="K18" i="55"/>
  <c r="V17" i="55"/>
  <c r="M17" i="55" s="1"/>
  <c r="U17" i="55"/>
  <c r="O17" i="55"/>
  <c r="K17" i="55"/>
  <c r="G17" i="55"/>
  <c r="V16" i="55"/>
  <c r="M16" i="55" s="1"/>
  <c r="U16" i="55"/>
  <c r="O16" i="55"/>
  <c r="K16" i="55"/>
  <c r="G16" i="55"/>
  <c r="AB15" i="55"/>
  <c r="V15" i="55"/>
  <c r="U15" i="55"/>
  <c r="O15" i="55"/>
  <c r="N15" i="55"/>
  <c r="P15" i="55" s="1"/>
  <c r="M15" i="55"/>
  <c r="AA15" i="55" s="1"/>
  <c r="K15" i="55"/>
  <c r="Q15" i="55" s="1"/>
  <c r="G15" i="55"/>
  <c r="AB14" i="55"/>
  <c r="AA14" i="55"/>
  <c r="V14" i="55"/>
  <c r="U14" i="55"/>
  <c r="O14" i="55"/>
  <c r="M14" i="55"/>
  <c r="N14" i="55" s="1"/>
  <c r="K14" i="55"/>
  <c r="G14" i="55"/>
  <c r="X13" i="55"/>
  <c r="W13" i="55"/>
  <c r="V13" i="55"/>
  <c r="M13" i="55" s="1"/>
  <c r="O13" i="55"/>
  <c r="K13" i="55"/>
  <c r="G13" i="55"/>
  <c r="F1" i="55" s="1"/>
  <c r="O12" i="55"/>
  <c r="K12" i="55"/>
  <c r="AA11" i="55"/>
  <c r="V11" i="55"/>
  <c r="U11" i="55"/>
  <c r="O11" i="55"/>
  <c r="N11" i="55"/>
  <c r="Q11" i="55" s="1"/>
  <c r="M11" i="55"/>
  <c r="AB11" i="55" s="1"/>
  <c r="K11" i="55"/>
  <c r="G11" i="55"/>
  <c r="X10" i="55"/>
  <c r="W10" i="55"/>
  <c r="V10" i="55"/>
  <c r="M10" i="55" s="1"/>
  <c r="U10" i="55"/>
  <c r="O10" i="55"/>
  <c r="K10" i="55"/>
  <c r="G10" i="55"/>
  <c r="V9" i="55"/>
  <c r="M9" i="55" s="1"/>
  <c r="O9" i="55"/>
  <c r="K9" i="55"/>
  <c r="G9" i="55"/>
  <c r="O8" i="55"/>
  <c r="K8" i="55"/>
  <c r="D13" i="54" s="1"/>
  <c r="AB7" i="55"/>
  <c r="V7" i="55"/>
  <c r="U7" i="55"/>
  <c r="O7" i="55"/>
  <c r="M7" i="55"/>
  <c r="AA7" i="55" s="1"/>
  <c r="K7" i="55"/>
  <c r="G7" i="55"/>
  <c r="AB6" i="55"/>
  <c r="AA6" i="55"/>
  <c r="V6" i="55"/>
  <c r="U6" i="55"/>
  <c r="O6" i="55"/>
  <c r="M6" i="55"/>
  <c r="N6" i="55" s="1"/>
  <c r="K6" i="55"/>
  <c r="G6" i="55"/>
  <c r="AB5" i="55"/>
  <c r="AA5" i="55"/>
  <c r="V5" i="55"/>
  <c r="O5" i="55"/>
  <c r="M5" i="55"/>
  <c r="N5" i="55" s="1"/>
  <c r="K5" i="55"/>
  <c r="G5" i="55"/>
  <c r="H2" i="55"/>
  <c r="H1" i="55"/>
  <c r="D1" i="55"/>
  <c r="M18" i="54"/>
  <c r="L18" i="54"/>
  <c r="K18" i="54"/>
  <c r="J18" i="54"/>
  <c r="I18" i="54"/>
  <c r="H18" i="54"/>
  <c r="G18" i="54"/>
  <c r="F18" i="54"/>
  <c r="E18" i="54"/>
  <c r="D18" i="54"/>
  <c r="M17" i="54"/>
  <c r="L17" i="54"/>
  <c r="K17" i="54"/>
  <c r="J17" i="54"/>
  <c r="I17" i="54"/>
  <c r="H17" i="54"/>
  <c r="G17" i="54"/>
  <c r="F17" i="54"/>
  <c r="E17" i="54"/>
  <c r="D17" i="54"/>
  <c r="M16" i="54"/>
  <c r="L16" i="54"/>
  <c r="K16" i="54"/>
  <c r="J16" i="54"/>
  <c r="I16" i="54"/>
  <c r="H16" i="54"/>
  <c r="G16" i="54"/>
  <c r="F16" i="54"/>
  <c r="E16" i="54"/>
  <c r="D16" i="54"/>
  <c r="M13" i="54"/>
  <c r="L13" i="54"/>
  <c r="K13" i="54"/>
  <c r="I6" i="54" s="1"/>
  <c r="J13" i="54"/>
  <c r="I13" i="54"/>
  <c r="H13" i="54"/>
  <c r="G13" i="54"/>
  <c r="F13" i="54"/>
  <c r="E13" i="54"/>
  <c r="F3" i="54"/>
  <c r="C3" i="54"/>
  <c r="I7" i="62" l="1"/>
  <c r="K15" i="62"/>
  <c r="I8" i="62" s="1"/>
  <c r="D15" i="62"/>
  <c r="G7" i="62"/>
  <c r="F7" i="62"/>
  <c r="E7" i="62"/>
  <c r="D15" i="58"/>
  <c r="I14" i="58"/>
  <c r="I15" i="58" s="1"/>
  <c r="Q48" i="59"/>
  <c r="R44" i="59" s="1"/>
  <c r="P48" i="59"/>
  <c r="Q11" i="59"/>
  <c r="R9" i="59" s="1"/>
  <c r="E14" i="58"/>
  <c r="E15" i="58" s="1"/>
  <c r="P11" i="59"/>
  <c r="G14" i="58"/>
  <c r="G15" i="58" s="1"/>
  <c r="Q22" i="59"/>
  <c r="R18" i="59" s="1"/>
  <c r="P22" i="59"/>
  <c r="K14" i="58"/>
  <c r="Q29" i="59"/>
  <c r="R23" i="59" s="1"/>
  <c r="P29" i="59"/>
  <c r="J14" i="58"/>
  <c r="J15" i="58" s="1"/>
  <c r="Q53" i="59"/>
  <c r="R49" i="59" s="1"/>
  <c r="P53" i="59"/>
  <c r="Q25" i="57"/>
  <c r="P25" i="57"/>
  <c r="Q36" i="57"/>
  <c r="R30" i="57" s="1"/>
  <c r="P36" i="57"/>
  <c r="L14" i="56"/>
  <c r="L15" i="56" s="1"/>
  <c r="Q5" i="57"/>
  <c r="P5" i="57"/>
  <c r="Q54" i="57"/>
  <c r="P54" i="57"/>
  <c r="Q19" i="57"/>
  <c r="P19" i="57"/>
  <c r="Q61" i="57"/>
  <c r="P61" i="57"/>
  <c r="Q56" i="57"/>
  <c r="P56" i="57"/>
  <c r="Q6" i="57"/>
  <c r="P6" i="57"/>
  <c r="Q41" i="57"/>
  <c r="P41" i="57"/>
  <c r="N50" i="57"/>
  <c r="AB50" i="57"/>
  <c r="AC44" i="57" s="1"/>
  <c r="AA50" i="57"/>
  <c r="Q18" i="57"/>
  <c r="P18" i="57"/>
  <c r="Q47" i="57"/>
  <c r="P47" i="57"/>
  <c r="AB17" i="57"/>
  <c r="AC12" i="57" s="1"/>
  <c r="AA17" i="57"/>
  <c r="N17" i="57"/>
  <c r="Q63" i="57"/>
  <c r="P63" i="57"/>
  <c r="P58" i="57"/>
  <c r="Q58" i="57"/>
  <c r="Q15" i="57"/>
  <c r="P15" i="57"/>
  <c r="Q22" i="57"/>
  <c r="R18" i="57" s="1"/>
  <c r="P22" i="57"/>
  <c r="G14" i="56"/>
  <c r="G15" i="56" s="1"/>
  <c r="AB43" i="57"/>
  <c r="AC37" i="57" s="1"/>
  <c r="AA43" i="57"/>
  <c r="N43" i="57"/>
  <c r="Q62" i="57"/>
  <c r="P62" i="57"/>
  <c r="Q12" i="57"/>
  <c r="P12" i="57"/>
  <c r="Q20" i="57"/>
  <c r="P20" i="57"/>
  <c r="Q35" i="57"/>
  <c r="P35" i="57"/>
  <c r="AB55" i="57"/>
  <c r="AC51" i="57" s="1"/>
  <c r="AA55" i="57"/>
  <c r="N55" i="57"/>
  <c r="Q21" i="57"/>
  <c r="P21" i="57"/>
  <c r="P38" i="57"/>
  <c r="Q38" i="57"/>
  <c r="Q57" i="57"/>
  <c r="P57" i="57"/>
  <c r="Q59" i="57"/>
  <c r="P59" i="57"/>
  <c r="P40" i="57"/>
  <c r="Q40" i="57"/>
  <c r="Q30" i="57"/>
  <c r="P30" i="57"/>
  <c r="P60" i="57"/>
  <c r="Q60" i="57"/>
  <c r="Q49" i="57"/>
  <c r="P49" i="57"/>
  <c r="Q39" i="57"/>
  <c r="P39" i="57"/>
  <c r="Q45" i="57"/>
  <c r="P45" i="57"/>
  <c r="Q42" i="57"/>
  <c r="P42" i="57"/>
  <c r="P37" i="57"/>
  <c r="Q37" i="57"/>
  <c r="P48" i="57"/>
  <c r="Q48" i="57"/>
  <c r="AB29" i="57"/>
  <c r="AC23" i="57" s="1"/>
  <c r="AA29" i="57"/>
  <c r="N29" i="57"/>
  <c r="Q44" i="57"/>
  <c r="P44" i="57"/>
  <c r="AB64" i="57"/>
  <c r="AC56" i="57" s="1"/>
  <c r="AA64" i="57"/>
  <c r="N64" i="57"/>
  <c r="AB8" i="57"/>
  <c r="AC5" i="57" s="1"/>
  <c r="AA8" i="57"/>
  <c r="N8" i="57"/>
  <c r="P11" i="57"/>
  <c r="E14" i="56"/>
  <c r="E15" i="56" s="1"/>
  <c r="Q11" i="57"/>
  <c r="R9" i="57" s="1"/>
  <c r="Q13" i="57"/>
  <c r="P13" i="57"/>
  <c r="Q53" i="57"/>
  <c r="P53" i="57"/>
  <c r="Q26" i="57"/>
  <c r="P26" i="57"/>
  <c r="P14" i="57"/>
  <c r="Q14" i="57"/>
  <c r="N10" i="55"/>
  <c r="AB10" i="55"/>
  <c r="AA10" i="55"/>
  <c r="N36" i="55"/>
  <c r="AB36" i="55"/>
  <c r="AA36" i="55"/>
  <c r="N9" i="55"/>
  <c r="M12" i="55"/>
  <c r="AB9" i="55"/>
  <c r="AA9" i="55"/>
  <c r="AA59" i="55"/>
  <c r="N59" i="55"/>
  <c r="AB59" i="55"/>
  <c r="Q6" i="55"/>
  <c r="P6" i="55"/>
  <c r="Q5" i="55"/>
  <c r="P5" i="55"/>
  <c r="N67" i="55"/>
  <c r="AB67" i="55"/>
  <c r="AA67" i="55"/>
  <c r="AA17" i="55"/>
  <c r="N17" i="55"/>
  <c r="AB17" i="55"/>
  <c r="I3" i="54"/>
  <c r="F2" i="55"/>
  <c r="P14" i="55"/>
  <c r="Q14" i="55"/>
  <c r="Q25" i="55"/>
  <c r="P25" i="55"/>
  <c r="AB32" i="55"/>
  <c r="AA32" i="55"/>
  <c r="N32" i="55"/>
  <c r="Q39" i="55"/>
  <c r="P39" i="55"/>
  <c r="AB50" i="55"/>
  <c r="AA50" i="55"/>
  <c r="M56" i="55"/>
  <c r="N50" i="55"/>
  <c r="N57" i="55"/>
  <c r="M61" i="55"/>
  <c r="AB57" i="55"/>
  <c r="AA57" i="55"/>
  <c r="N22" i="55"/>
  <c r="AB22" i="55"/>
  <c r="AA22" i="55"/>
  <c r="AA27" i="55"/>
  <c r="N27" i="55"/>
  <c r="AB27" i="55"/>
  <c r="AA41" i="55"/>
  <c r="N41" i="55"/>
  <c r="AB41" i="55"/>
  <c r="Q60" i="55"/>
  <c r="P60" i="55"/>
  <c r="AA29" i="55"/>
  <c r="N29" i="55"/>
  <c r="AB29" i="55"/>
  <c r="N37" i="55"/>
  <c r="AB37" i="55"/>
  <c r="AA37" i="55"/>
  <c r="P48" i="55"/>
  <c r="Q48" i="55"/>
  <c r="N68" i="55"/>
  <c r="AB68" i="55"/>
  <c r="AA68" i="55"/>
  <c r="N70" i="55"/>
  <c r="AB70" i="55"/>
  <c r="AA70" i="55"/>
  <c r="N46" i="55"/>
  <c r="AB46" i="55"/>
  <c r="AA46" i="55"/>
  <c r="N66" i="55"/>
  <c r="AB66" i="55"/>
  <c r="AA66" i="55"/>
  <c r="AB51" i="55"/>
  <c r="AA51" i="55"/>
  <c r="N51" i="55"/>
  <c r="F6" i="54"/>
  <c r="E6" i="54"/>
  <c r="G6" i="54"/>
  <c r="Q30" i="55"/>
  <c r="P30" i="55"/>
  <c r="P38" i="55"/>
  <c r="Q38" i="55"/>
  <c r="N58" i="55"/>
  <c r="AB58" i="55"/>
  <c r="AA58" i="55"/>
  <c r="N16" i="55"/>
  <c r="AB16" i="55"/>
  <c r="AA16" i="55"/>
  <c r="N34" i="55"/>
  <c r="AB34" i="55"/>
  <c r="AA34" i="55"/>
  <c r="M42" i="55"/>
  <c r="P47" i="55"/>
  <c r="Q47" i="55"/>
  <c r="N23" i="55"/>
  <c r="AB23" i="55"/>
  <c r="AC19" i="55" s="1"/>
  <c r="AA23" i="55"/>
  <c r="Q28" i="55"/>
  <c r="P28" i="55"/>
  <c r="N13" i="55"/>
  <c r="AB13" i="55"/>
  <c r="M18" i="55"/>
  <c r="AA13" i="55"/>
  <c r="M33" i="55"/>
  <c r="N24" i="55"/>
  <c r="AB24" i="55"/>
  <c r="AA24" i="55"/>
  <c r="N71" i="55"/>
  <c r="AB71" i="55"/>
  <c r="AA71" i="55"/>
  <c r="N26" i="55"/>
  <c r="AB26" i="55"/>
  <c r="AA26" i="55"/>
  <c r="N40" i="55"/>
  <c r="AB40" i="55"/>
  <c r="AA40" i="55"/>
  <c r="N69" i="55"/>
  <c r="AB69" i="55"/>
  <c r="AA69" i="55"/>
  <c r="M8" i="55"/>
  <c r="N19" i="55"/>
  <c r="N20" i="55"/>
  <c r="AA28" i="55"/>
  <c r="N43" i="55"/>
  <c r="N44" i="55"/>
  <c r="N54" i="55"/>
  <c r="N64" i="55"/>
  <c r="P11" i="55"/>
  <c r="P21" i="55"/>
  <c r="AA25" i="55"/>
  <c r="AB28" i="55"/>
  <c r="P35" i="55"/>
  <c r="AA39" i="55"/>
  <c r="P45" i="55"/>
  <c r="N53" i="55"/>
  <c r="P55" i="55"/>
  <c r="P62" i="55"/>
  <c r="N63" i="55"/>
  <c r="P65" i="55"/>
  <c r="AB25" i="55"/>
  <c r="AA38" i="55"/>
  <c r="AB39" i="55"/>
  <c r="AA48" i="55"/>
  <c r="N52" i="55"/>
  <c r="N7" i="55"/>
  <c r="M72" i="55"/>
  <c r="M49" i="55"/>
  <c r="AA55" i="55"/>
  <c r="AA65" i="55"/>
  <c r="AA19" i="55"/>
  <c r="AA20" i="55"/>
  <c r="AA43" i="55"/>
  <c r="AA44" i="55"/>
  <c r="AA54" i="55"/>
  <c r="AA64" i="55"/>
  <c r="AB19" i="55"/>
  <c r="AA53" i="55"/>
  <c r="AA62" i="55"/>
  <c r="AA63" i="55"/>
  <c r="AA52" i="55"/>
  <c r="O71" i="53"/>
  <c r="K71" i="53"/>
  <c r="V70" i="53"/>
  <c r="U70" i="53"/>
  <c r="Q70" i="53"/>
  <c r="P70" i="53"/>
  <c r="O70" i="53"/>
  <c r="N70" i="53"/>
  <c r="M70" i="53"/>
  <c r="K70" i="53"/>
  <c r="G70" i="53"/>
  <c r="AB69" i="53"/>
  <c r="V69" i="53"/>
  <c r="U69" i="53"/>
  <c r="O69" i="53"/>
  <c r="M69" i="53"/>
  <c r="AA69" i="53" s="1"/>
  <c r="K69" i="53"/>
  <c r="G69" i="53"/>
  <c r="V68" i="53"/>
  <c r="M68" i="53" s="1"/>
  <c r="U68" i="53"/>
  <c r="O68" i="53"/>
  <c r="K68" i="53"/>
  <c r="G68" i="53"/>
  <c r="X67" i="53"/>
  <c r="W67" i="53"/>
  <c r="V67" i="53"/>
  <c r="U67" i="53"/>
  <c r="O67" i="53"/>
  <c r="M67" i="53"/>
  <c r="AB67" i="53" s="1"/>
  <c r="K67" i="53"/>
  <c r="G67" i="53"/>
  <c r="AB66" i="53"/>
  <c r="AA66" i="53"/>
  <c r="V66" i="53"/>
  <c r="M66" i="53" s="1"/>
  <c r="N66" i="53" s="1"/>
  <c r="Q66" i="53" s="1"/>
  <c r="U66" i="53"/>
  <c r="P66" i="53"/>
  <c r="O66" i="53"/>
  <c r="K66" i="53"/>
  <c r="G66" i="53"/>
  <c r="V65" i="53"/>
  <c r="U65" i="53"/>
  <c r="O65" i="53"/>
  <c r="N65" i="53"/>
  <c r="M65" i="53"/>
  <c r="K65" i="53"/>
  <c r="G65" i="53"/>
  <c r="AB64" i="53"/>
  <c r="V64" i="53"/>
  <c r="M64" i="53" s="1"/>
  <c r="U64" i="53"/>
  <c r="O64" i="53"/>
  <c r="K64" i="53"/>
  <c r="G64" i="53"/>
  <c r="V63" i="53"/>
  <c r="U63" i="53"/>
  <c r="O63" i="53"/>
  <c r="N63" i="53"/>
  <c r="Q63" i="53" s="1"/>
  <c r="M63" i="53"/>
  <c r="K63" i="53"/>
  <c r="G63" i="53"/>
  <c r="AA62" i="53"/>
  <c r="V62" i="53"/>
  <c r="U62" i="53"/>
  <c r="O62" i="53"/>
  <c r="M62" i="53"/>
  <c r="N62" i="53" s="1"/>
  <c r="K62" i="53"/>
  <c r="G62" i="53"/>
  <c r="X61" i="53"/>
  <c r="W61" i="53"/>
  <c r="V61" i="53"/>
  <c r="M61" i="53" s="1"/>
  <c r="Q61" i="53"/>
  <c r="O61" i="53"/>
  <c r="N61" i="53"/>
  <c r="P61" i="53" s="1"/>
  <c r="K61" i="53"/>
  <c r="G61" i="53"/>
  <c r="O60" i="53"/>
  <c r="K60" i="53"/>
  <c r="AA59" i="53"/>
  <c r="V59" i="53"/>
  <c r="U59" i="53"/>
  <c r="O59" i="53"/>
  <c r="M59" i="53"/>
  <c r="K59" i="53"/>
  <c r="G59" i="53"/>
  <c r="V58" i="53"/>
  <c r="U58" i="53"/>
  <c r="O58" i="53"/>
  <c r="M58" i="53"/>
  <c r="AB58" i="53" s="1"/>
  <c r="K58" i="53"/>
  <c r="G58" i="53"/>
  <c r="AB57" i="53"/>
  <c r="AA57" i="53"/>
  <c r="V57" i="53"/>
  <c r="M57" i="53" s="1"/>
  <c r="N57" i="53" s="1"/>
  <c r="U57" i="53"/>
  <c r="O57" i="53"/>
  <c r="K57" i="53"/>
  <c r="G57" i="53"/>
  <c r="V56" i="53"/>
  <c r="U56" i="53"/>
  <c r="O56" i="53"/>
  <c r="M56" i="53"/>
  <c r="K56" i="53"/>
  <c r="G56" i="53"/>
  <c r="AB55" i="53"/>
  <c r="V55" i="53"/>
  <c r="M55" i="53" s="1"/>
  <c r="O55" i="53"/>
  <c r="K55" i="53"/>
  <c r="G55" i="53"/>
  <c r="O54" i="53"/>
  <c r="M54" i="53"/>
  <c r="N54" i="53" s="1"/>
  <c r="K54" i="53"/>
  <c r="AB53" i="53"/>
  <c r="AA53" i="53"/>
  <c r="V53" i="53"/>
  <c r="M53" i="53" s="1"/>
  <c r="N53" i="53" s="1"/>
  <c r="P53" i="53" s="1"/>
  <c r="U53" i="53"/>
  <c r="Q53" i="53"/>
  <c r="O53" i="53"/>
  <c r="K53" i="53"/>
  <c r="G53" i="53"/>
  <c r="V52" i="53"/>
  <c r="U52" i="53"/>
  <c r="O52" i="53"/>
  <c r="N52" i="53"/>
  <c r="M52" i="53"/>
  <c r="K52" i="53"/>
  <c r="G52" i="53"/>
  <c r="V51" i="53"/>
  <c r="M51" i="53" s="1"/>
  <c r="U51" i="53"/>
  <c r="O51" i="53"/>
  <c r="K51" i="53"/>
  <c r="G51" i="53"/>
  <c r="V50" i="53"/>
  <c r="U50" i="53"/>
  <c r="O50" i="53"/>
  <c r="N50" i="53"/>
  <c r="Q50" i="53" s="1"/>
  <c r="M50" i="53"/>
  <c r="K50" i="53"/>
  <c r="G50" i="53"/>
  <c r="AB49" i="53"/>
  <c r="V49" i="53"/>
  <c r="U49" i="53"/>
  <c r="O49" i="53"/>
  <c r="M49" i="53"/>
  <c r="AA49" i="53" s="1"/>
  <c r="K49" i="53"/>
  <c r="G49" i="53"/>
  <c r="AA48" i="53"/>
  <c r="V48" i="53"/>
  <c r="O48" i="53"/>
  <c r="M48" i="53"/>
  <c r="K48" i="53"/>
  <c r="G48" i="53"/>
  <c r="O47" i="53"/>
  <c r="K47" i="53"/>
  <c r="V46" i="53"/>
  <c r="M46" i="53" s="1"/>
  <c r="U46" i="53"/>
  <c r="O46" i="53"/>
  <c r="K46" i="53"/>
  <c r="G46" i="53"/>
  <c r="AB45" i="53"/>
  <c r="V45" i="53"/>
  <c r="U45" i="53"/>
  <c r="O45" i="53"/>
  <c r="M45" i="53"/>
  <c r="AA45" i="53" s="1"/>
  <c r="K45" i="53"/>
  <c r="G45" i="53"/>
  <c r="AB44" i="53"/>
  <c r="AA44" i="53"/>
  <c r="V44" i="53"/>
  <c r="M44" i="53" s="1"/>
  <c r="U44" i="53"/>
  <c r="Q44" i="53"/>
  <c r="O44" i="53"/>
  <c r="N44" i="53"/>
  <c r="P44" i="53" s="1"/>
  <c r="K44" i="53"/>
  <c r="G44" i="53"/>
  <c r="V43" i="53"/>
  <c r="U43" i="53"/>
  <c r="O43" i="53"/>
  <c r="M43" i="53"/>
  <c r="N43" i="53" s="1"/>
  <c r="K43" i="53"/>
  <c r="G43" i="53"/>
  <c r="AB42" i="53"/>
  <c r="AA42" i="53"/>
  <c r="X42" i="53"/>
  <c r="W42" i="53"/>
  <c r="V42" i="53"/>
  <c r="M42" i="53" s="1"/>
  <c r="O42" i="53"/>
  <c r="K42" i="53"/>
  <c r="G42" i="53"/>
  <c r="O41" i="53"/>
  <c r="M41" i="53"/>
  <c r="N41" i="53" s="1"/>
  <c r="K41" i="53"/>
  <c r="L13" i="52" s="1"/>
  <c r="AB40" i="53"/>
  <c r="V40" i="53"/>
  <c r="M40" i="53" s="1"/>
  <c r="U40" i="53"/>
  <c r="O40" i="53"/>
  <c r="K40" i="53"/>
  <c r="G40" i="53"/>
  <c r="V39" i="53"/>
  <c r="U39" i="53"/>
  <c r="O39" i="53"/>
  <c r="N39" i="53"/>
  <c r="Q39" i="53" s="1"/>
  <c r="M39" i="53"/>
  <c r="K39" i="53"/>
  <c r="G39" i="53"/>
  <c r="AB38" i="53"/>
  <c r="AA38" i="53"/>
  <c r="V38" i="53"/>
  <c r="U38" i="53"/>
  <c r="O38" i="53"/>
  <c r="M38" i="53"/>
  <c r="N38" i="53" s="1"/>
  <c r="K38" i="53"/>
  <c r="G38" i="53"/>
  <c r="V37" i="53"/>
  <c r="M37" i="53" s="1"/>
  <c r="U37" i="53"/>
  <c r="Q37" i="53"/>
  <c r="P37" i="53"/>
  <c r="O37" i="53"/>
  <c r="N37" i="53"/>
  <c r="K37" i="53"/>
  <c r="G37" i="53"/>
  <c r="AA36" i="53"/>
  <c r="V36" i="53"/>
  <c r="U36" i="53"/>
  <c r="O36" i="53"/>
  <c r="N36" i="53"/>
  <c r="Q36" i="53" s="1"/>
  <c r="M36" i="53"/>
  <c r="AB36" i="53" s="1"/>
  <c r="K36" i="53"/>
  <c r="G36" i="53"/>
  <c r="AA35" i="53"/>
  <c r="V35" i="53"/>
  <c r="U35" i="53"/>
  <c r="O35" i="53"/>
  <c r="M35" i="53"/>
  <c r="K35" i="53"/>
  <c r="G35" i="53"/>
  <c r="V34" i="53"/>
  <c r="U34" i="53"/>
  <c r="O34" i="53"/>
  <c r="M34" i="53"/>
  <c r="AB34" i="53" s="1"/>
  <c r="K34" i="53"/>
  <c r="G34" i="53"/>
  <c r="AB33" i="53"/>
  <c r="AA33" i="53"/>
  <c r="X33" i="53"/>
  <c r="W33" i="53"/>
  <c r="V33" i="53"/>
  <c r="M33" i="53" s="1"/>
  <c r="N33" i="53" s="1"/>
  <c r="O33" i="53"/>
  <c r="K33" i="53"/>
  <c r="G33" i="53"/>
  <c r="O32" i="53"/>
  <c r="M32" i="53"/>
  <c r="N32" i="53" s="1"/>
  <c r="K32" i="53"/>
  <c r="AB31" i="53"/>
  <c r="AA31" i="53"/>
  <c r="V31" i="53"/>
  <c r="M31" i="53" s="1"/>
  <c r="N31" i="53" s="1"/>
  <c r="P31" i="53" s="1"/>
  <c r="U31" i="53"/>
  <c r="Q31" i="53"/>
  <c r="O31" i="53"/>
  <c r="K31" i="53"/>
  <c r="G31" i="53"/>
  <c r="V30" i="53"/>
  <c r="U30" i="53"/>
  <c r="O30" i="53"/>
  <c r="N30" i="53"/>
  <c r="M30" i="53"/>
  <c r="K30" i="53"/>
  <c r="G30" i="53"/>
  <c r="V29" i="53"/>
  <c r="M29" i="53" s="1"/>
  <c r="U29" i="53"/>
  <c r="O29" i="53"/>
  <c r="K29" i="53"/>
  <c r="G29" i="53"/>
  <c r="X28" i="53"/>
  <c r="W28" i="53"/>
  <c r="V28" i="53"/>
  <c r="M28" i="53" s="1"/>
  <c r="U28" i="53"/>
  <c r="O28" i="53"/>
  <c r="K28" i="53"/>
  <c r="G28" i="53"/>
  <c r="AB27" i="53"/>
  <c r="V27" i="53"/>
  <c r="U27" i="53"/>
  <c r="O27" i="53"/>
  <c r="M27" i="53"/>
  <c r="AA27" i="53" s="1"/>
  <c r="K27" i="53"/>
  <c r="G27" i="53"/>
  <c r="AB26" i="53"/>
  <c r="AA26" i="53"/>
  <c r="V26" i="53"/>
  <c r="M26" i="53" s="1"/>
  <c r="U26" i="53"/>
  <c r="Q26" i="53"/>
  <c r="O26" i="53"/>
  <c r="N26" i="53"/>
  <c r="P26" i="53" s="1"/>
  <c r="K26" i="53"/>
  <c r="G26" i="53"/>
  <c r="V25" i="53"/>
  <c r="U25" i="53"/>
  <c r="O25" i="53"/>
  <c r="M25" i="53"/>
  <c r="K25" i="53"/>
  <c r="G25" i="53"/>
  <c r="AB24" i="53"/>
  <c r="AA24" i="53"/>
  <c r="X24" i="53"/>
  <c r="W24" i="53"/>
  <c r="V24" i="53"/>
  <c r="M24" i="53" s="1"/>
  <c r="N24" i="53" s="1"/>
  <c r="O24" i="53"/>
  <c r="K24" i="53"/>
  <c r="G24" i="53"/>
  <c r="O23" i="53"/>
  <c r="N23" i="53"/>
  <c r="P23" i="53" s="1"/>
  <c r="M23" i="53"/>
  <c r="K23" i="53"/>
  <c r="AB22" i="53"/>
  <c r="V22" i="53"/>
  <c r="M22" i="53" s="1"/>
  <c r="U22" i="53"/>
  <c r="O22" i="53"/>
  <c r="K22" i="53"/>
  <c r="G22" i="53"/>
  <c r="V21" i="53"/>
  <c r="U21" i="53"/>
  <c r="O21" i="53"/>
  <c r="N21" i="53"/>
  <c r="Q21" i="53" s="1"/>
  <c r="M21" i="53"/>
  <c r="K21" i="53"/>
  <c r="G21" i="53"/>
  <c r="AB20" i="53"/>
  <c r="AA20" i="53"/>
  <c r="V20" i="53"/>
  <c r="U20" i="53"/>
  <c r="O20" i="53"/>
  <c r="M20" i="53"/>
  <c r="N20" i="53" s="1"/>
  <c r="K20" i="53"/>
  <c r="G20" i="53"/>
  <c r="AA19" i="53"/>
  <c r="V19" i="53"/>
  <c r="M19" i="53" s="1"/>
  <c r="O19" i="53"/>
  <c r="K19" i="53"/>
  <c r="G19" i="53"/>
  <c r="O18" i="53"/>
  <c r="K18" i="53"/>
  <c r="V17" i="53"/>
  <c r="M17" i="53" s="1"/>
  <c r="U17" i="53"/>
  <c r="Q17" i="53"/>
  <c r="P17" i="53"/>
  <c r="O17" i="53"/>
  <c r="N17" i="53"/>
  <c r="K17" i="53"/>
  <c r="G17" i="53"/>
  <c r="AA16" i="53"/>
  <c r="V16" i="53"/>
  <c r="U16" i="53"/>
  <c r="O16" i="53"/>
  <c r="N16" i="53"/>
  <c r="Q16" i="53" s="1"/>
  <c r="M16" i="53"/>
  <c r="AB16" i="53" s="1"/>
  <c r="K16" i="53"/>
  <c r="G16" i="53"/>
  <c r="AB15" i="53"/>
  <c r="AA15" i="53"/>
  <c r="V15" i="53"/>
  <c r="U15" i="53"/>
  <c r="Q15" i="53"/>
  <c r="P15" i="53"/>
  <c r="O15" i="53"/>
  <c r="M15" i="53"/>
  <c r="N15" i="53" s="1"/>
  <c r="K15" i="53"/>
  <c r="G15" i="53"/>
  <c r="V14" i="53"/>
  <c r="U14" i="53"/>
  <c r="O14" i="53"/>
  <c r="M14" i="53"/>
  <c r="AB14" i="53" s="1"/>
  <c r="K14" i="53"/>
  <c r="G14" i="53"/>
  <c r="AB13" i="53"/>
  <c r="AA13" i="53"/>
  <c r="X13" i="53"/>
  <c r="W13" i="53"/>
  <c r="V13" i="53"/>
  <c r="M13" i="53" s="1"/>
  <c r="O13" i="53"/>
  <c r="K13" i="53"/>
  <c r="G13" i="53"/>
  <c r="O12" i="53"/>
  <c r="N12" i="53"/>
  <c r="M12" i="53"/>
  <c r="K12" i="53"/>
  <c r="AB11" i="53"/>
  <c r="AA11" i="53"/>
  <c r="V11" i="53"/>
  <c r="M11" i="53" s="1"/>
  <c r="N11" i="53" s="1"/>
  <c r="P11" i="53" s="1"/>
  <c r="U11" i="53"/>
  <c r="Q11" i="53"/>
  <c r="O11" i="53"/>
  <c r="K11" i="53"/>
  <c r="G11" i="53"/>
  <c r="X10" i="53"/>
  <c r="W10" i="53"/>
  <c r="V10" i="53"/>
  <c r="U10" i="53"/>
  <c r="O10" i="53"/>
  <c r="N10" i="53"/>
  <c r="Q10" i="53" s="1"/>
  <c r="M10" i="53"/>
  <c r="K10" i="53"/>
  <c r="G10" i="53"/>
  <c r="AA9" i="53"/>
  <c r="V9" i="53"/>
  <c r="O9" i="53"/>
  <c r="N9" i="53"/>
  <c r="Q9" i="53" s="1"/>
  <c r="M9" i="53"/>
  <c r="AB9" i="53" s="1"/>
  <c r="K9" i="53"/>
  <c r="G9" i="53"/>
  <c r="O8" i="53"/>
  <c r="K8" i="53"/>
  <c r="AB7" i="53"/>
  <c r="V7" i="53"/>
  <c r="U7" i="53"/>
  <c r="O7" i="53"/>
  <c r="M7" i="53"/>
  <c r="AA7" i="53" s="1"/>
  <c r="K7" i="53"/>
  <c r="G7" i="53"/>
  <c r="AA6" i="53"/>
  <c r="V6" i="53"/>
  <c r="M6" i="53" s="1"/>
  <c r="U6" i="53"/>
  <c r="O6" i="53"/>
  <c r="K6" i="53"/>
  <c r="G6" i="53"/>
  <c r="V5" i="53"/>
  <c r="O5" i="53"/>
  <c r="M5" i="53"/>
  <c r="AB5" i="53" s="1"/>
  <c r="K5" i="53"/>
  <c r="G5" i="53"/>
  <c r="F1" i="53" s="1"/>
  <c r="H2" i="53"/>
  <c r="F2" i="53"/>
  <c r="H1" i="53"/>
  <c r="D1" i="53"/>
  <c r="M18" i="52"/>
  <c r="L18" i="52"/>
  <c r="K18" i="52"/>
  <c r="J18" i="52"/>
  <c r="I18" i="52"/>
  <c r="H18" i="52"/>
  <c r="G18" i="52"/>
  <c r="F18" i="52"/>
  <c r="E18" i="52"/>
  <c r="D18" i="52"/>
  <c r="M17" i="52"/>
  <c r="L17" i="52"/>
  <c r="K17" i="52"/>
  <c r="J17" i="52"/>
  <c r="I17" i="52"/>
  <c r="H17" i="52"/>
  <c r="G17" i="52"/>
  <c r="F17" i="52"/>
  <c r="E17" i="52"/>
  <c r="D17" i="52"/>
  <c r="M16" i="52"/>
  <c r="L16" i="52"/>
  <c r="K16" i="52"/>
  <c r="J16" i="52"/>
  <c r="I16" i="52"/>
  <c r="H16" i="52"/>
  <c r="G16" i="52"/>
  <c r="F16" i="52"/>
  <c r="E16" i="52"/>
  <c r="D16" i="52"/>
  <c r="M13" i="52"/>
  <c r="K13" i="52"/>
  <c r="I6" i="52" s="1"/>
  <c r="J13" i="52"/>
  <c r="I13" i="52"/>
  <c r="H13" i="52"/>
  <c r="G13" i="52"/>
  <c r="F13" i="52"/>
  <c r="E13" i="52"/>
  <c r="D13" i="52"/>
  <c r="I3" i="52"/>
  <c r="F3" i="52"/>
  <c r="C3" i="52"/>
  <c r="G8" i="62" l="1"/>
  <c r="F8" i="62"/>
  <c r="E8" i="62"/>
  <c r="I7" i="58"/>
  <c r="K15" i="58"/>
  <c r="I8" i="58" s="1"/>
  <c r="G7" i="58"/>
  <c r="F7" i="58"/>
  <c r="E7" i="58"/>
  <c r="G8" i="58"/>
  <c r="E8" i="58"/>
  <c r="F8" i="58"/>
  <c r="Q29" i="57"/>
  <c r="R23" i="57" s="1"/>
  <c r="P29" i="57"/>
  <c r="K14" i="56"/>
  <c r="Q50" i="57"/>
  <c r="R44" i="57" s="1"/>
  <c r="P50" i="57"/>
  <c r="I14" i="56"/>
  <c r="I15" i="56" s="1"/>
  <c r="Q55" i="57"/>
  <c r="R51" i="57" s="1"/>
  <c r="P55" i="57"/>
  <c r="J14" i="56"/>
  <c r="J15" i="56" s="1"/>
  <c r="Q8" i="57"/>
  <c r="R5" i="57" s="1"/>
  <c r="P8" i="57"/>
  <c r="D2" i="57"/>
  <c r="D14" i="56"/>
  <c r="Q43" i="57"/>
  <c r="R37" i="57" s="1"/>
  <c r="P43" i="57"/>
  <c r="H14" i="56"/>
  <c r="H15" i="56" s="1"/>
  <c r="Q17" i="57"/>
  <c r="R12" i="57" s="1"/>
  <c r="P17" i="57"/>
  <c r="F14" i="56"/>
  <c r="F15" i="56" s="1"/>
  <c r="Q64" i="57"/>
  <c r="R56" i="57" s="1"/>
  <c r="P64" i="57"/>
  <c r="M14" i="56"/>
  <c r="M15" i="56" s="1"/>
  <c r="P23" i="55"/>
  <c r="G14" i="54"/>
  <c r="G15" i="54" s="1"/>
  <c r="Q23" i="55"/>
  <c r="R19" i="55" s="1"/>
  <c r="Q58" i="55"/>
  <c r="P58" i="55"/>
  <c r="Q59" i="55"/>
  <c r="P59" i="55"/>
  <c r="Q66" i="55"/>
  <c r="P66" i="55"/>
  <c r="Q27" i="55"/>
  <c r="P27" i="55"/>
  <c r="P69" i="55"/>
  <c r="Q69" i="55"/>
  <c r="Q24" i="55"/>
  <c r="P24" i="55"/>
  <c r="Q17" i="55"/>
  <c r="P17" i="55"/>
  <c r="AB33" i="55"/>
  <c r="AC24" i="55" s="1"/>
  <c r="AA33" i="55"/>
  <c r="N33" i="55"/>
  <c r="AB42" i="55"/>
  <c r="AC34" i="55" s="1"/>
  <c r="AA42" i="55"/>
  <c r="N42" i="55"/>
  <c r="P37" i="55"/>
  <c r="Q37" i="55"/>
  <c r="Q64" i="55"/>
  <c r="P64" i="55"/>
  <c r="Q46" i="55"/>
  <c r="P46" i="55"/>
  <c r="Q32" i="55"/>
  <c r="P32" i="55"/>
  <c r="N12" i="55"/>
  <c r="AB12" i="55"/>
  <c r="AC9" i="55" s="1"/>
  <c r="AA12" i="55"/>
  <c r="Q63" i="55"/>
  <c r="P63" i="55"/>
  <c r="Q54" i="55"/>
  <c r="P54" i="55"/>
  <c r="Q40" i="55"/>
  <c r="P40" i="55"/>
  <c r="AB18" i="55"/>
  <c r="AC13" i="55" s="1"/>
  <c r="AA18" i="55"/>
  <c r="N18" i="55"/>
  <c r="Q29" i="55"/>
  <c r="P29" i="55"/>
  <c r="Q22" i="55"/>
  <c r="P22" i="55"/>
  <c r="Q9" i="55"/>
  <c r="P9" i="55"/>
  <c r="Q44" i="55"/>
  <c r="P44" i="55"/>
  <c r="P34" i="55"/>
  <c r="Q34" i="55"/>
  <c r="P67" i="55"/>
  <c r="Q67" i="55"/>
  <c r="Q43" i="55"/>
  <c r="P43" i="55"/>
  <c r="Q13" i="55"/>
  <c r="P13" i="55"/>
  <c r="P70" i="55"/>
  <c r="Q70" i="55"/>
  <c r="AA49" i="55"/>
  <c r="AB49" i="55"/>
  <c r="AC43" i="55" s="1"/>
  <c r="N49" i="55"/>
  <c r="Q53" i="55"/>
  <c r="P53" i="55"/>
  <c r="Q26" i="55"/>
  <c r="P26" i="55"/>
  <c r="Q51" i="55"/>
  <c r="P51" i="55"/>
  <c r="AB61" i="55"/>
  <c r="AC57" i="55" s="1"/>
  <c r="AA61" i="55"/>
  <c r="N61" i="55"/>
  <c r="Q36" i="55"/>
  <c r="P36" i="55"/>
  <c r="AB72" i="55"/>
  <c r="AC62" i="55" s="1"/>
  <c r="AA72" i="55"/>
  <c r="N72" i="55"/>
  <c r="Q20" i="55"/>
  <c r="P20" i="55"/>
  <c r="Q16" i="55"/>
  <c r="P16" i="55"/>
  <c r="Q57" i="55"/>
  <c r="P57" i="55"/>
  <c r="Q7" i="55"/>
  <c r="P7" i="55"/>
  <c r="Q19" i="55"/>
  <c r="P19" i="55"/>
  <c r="P68" i="55"/>
  <c r="Q68" i="55"/>
  <c r="Q41" i="55"/>
  <c r="P41" i="55"/>
  <c r="Q50" i="55"/>
  <c r="P50" i="55"/>
  <c r="Q52" i="55"/>
  <c r="P52" i="55"/>
  <c r="AB8" i="55"/>
  <c r="AC5" i="55" s="1"/>
  <c r="AA8" i="55"/>
  <c r="N8" i="55"/>
  <c r="Q71" i="55"/>
  <c r="P71" i="55"/>
  <c r="N56" i="55"/>
  <c r="AB56" i="55"/>
  <c r="AC50" i="55" s="1"/>
  <c r="AA56" i="55"/>
  <c r="Q10" i="55"/>
  <c r="P10" i="55"/>
  <c r="P39" i="53"/>
  <c r="P63" i="53"/>
  <c r="P10" i="53"/>
  <c r="P21" i="53"/>
  <c r="P50" i="53"/>
  <c r="E6" i="52"/>
  <c r="F6" i="52"/>
  <c r="G6" i="52"/>
  <c r="AB6" i="53"/>
  <c r="N6" i="53"/>
  <c r="AB10" i="53"/>
  <c r="AA10" i="53"/>
  <c r="AB12" i="53"/>
  <c r="AC9" i="53" s="1"/>
  <c r="AA12" i="53"/>
  <c r="P12" i="53"/>
  <c r="E14" i="52"/>
  <c r="E15" i="52" s="1"/>
  <c r="Q12" i="53"/>
  <c r="R9" i="53" s="1"/>
  <c r="N13" i="53"/>
  <c r="M18" i="53"/>
  <c r="AA17" i="53"/>
  <c r="AB17" i="53"/>
  <c r="AB19" i="53"/>
  <c r="N19" i="53"/>
  <c r="Q20" i="53"/>
  <c r="P20" i="53"/>
  <c r="AB21" i="53"/>
  <c r="AA21" i="53"/>
  <c r="N22" i="53"/>
  <c r="AA22" i="53"/>
  <c r="AB23" i="53"/>
  <c r="AC19" i="53" s="1"/>
  <c r="AA23" i="53"/>
  <c r="Q23" i="53"/>
  <c r="R19" i="53" s="1"/>
  <c r="G14" i="52"/>
  <c r="G15" i="52" s="1"/>
  <c r="Q24" i="53"/>
  <c r="P24" i="53"/>
  <c r="N25" i="53"/>
  <c r="AB25" i="53"/>
  <c r="AA25" i="53"/>
  <c r="AB28" i="53"/>
  <c r="AA28" i="53"/>
  <c r="N28" i="53"/>
  <c r="N29" i="53"/>
  <c r="AB29" i="53"/>
  <c r="AA29" i="53"/>
  <c r="AB30" i="53"/>
  <c r="AA30" i="53"/>
  <c r="Q30" i="53"/>
  <c r="P30" i="53"/>
  <c r="AB32" i="53"/>
  <c r="AC24" i="53" s="1"/>
  <c r="AA32" i="53"/>
  <c r="K14" i="52"/>
  <c r="P32" i="53"/>
  <c r="Q32" i="53"/>
  <c r="R24" i="53" s="1"/>
  <c r="Q33" i="53"/>
  <c r="P33" i="53"/>
  <c r="AB35" i="53"/>
  <c r="N35" i="53"/>
  <c r="AA37" i="53"/>
  <c r="AB37" i="53"/>
  <c r="Q38" i="53"/>
  <c r="P38" i="53"/>
  <c r="AB39" i="53"/>
  <c r="AA39" i="53"/>
  <c r="N40" i="53"/>
  <c r="AA40" i="53"/>
  <c r="AB41" i="53"/>
  <c r="AC33" i="53" s="1"/>
  <c r="AA41" i="53"/>
  <c r="L14" i="52"/>
  <c r="L15" i="52" s="1"/>
  <c r="Q41" i="53"/>
  <c r="R33" i="53" s="1"/>
  <c r="P41" i="53"/>
  <c r="N42" i="53"/>
  <c r="M47" i="53"/>
  <c r="Q43" i="53"/>
  <c r="P43" i="53"/>
  <c r="AB46" i="53"/>
  <c r="AA46" i="53"/>
  <c r="N46" i="53"/>
  <c r="AB48" i="53"/>
  <c r="N48" i="53"/>
  <c r="AB50" i="53"/>
  <c r="AA50" i="53"/>
  <c r="N51" i="53"/>
  <c r="AB51" i="53"/>
  <c r="AA51" i="53"/>
  <c r="AB52" i="53"/>
  <c r="AA52" i="53"/>
  <c r="Q52" i="53"/>
  <c r="P52" i="53"/>
  <c r="AB54" i="53"/>
  <c r="AC48" i="53" s="1"/>
  <c r="AA54" i="53"/>
  <c r="I14" i="52"/>
  <c r="I15" i="52" s="1"/>
  <c r="Q54" i="53"/>
  <c r="R48" i="53" s="1"/>
  <c r="P54" i="53"/>
  <c r="N55" i="53"/>
  <c r="M60" i="53"/>
  <c r="AA55" i="53"/>
  <c r="AB56" i="53"/>
  <c r="AA56" i="53"/>
  <c r="N56" i="53"/>
  <c r="Q57" i="53"/>
  <c r="P57" i="53"/>
  <c r="AB59" i="53"/>
  <c r="N59" i="53"/>
  <c r="M71" i="53"/>
  <c r="AB61" i="53"/>
  <c r="AA61" i="53"/>
  <c r="Q62" i="53"/>
  <c r="P62" i="53"/>
  <c r="AB63" i="53"/>
  <c r="AA63" i="53"/>
  <c r="N64" i="53"/>
  <c r="AA64" i="53"/>
  <c r="AA65" i="53"/>
  <c r="AB65" i="53"/>
  <c r="P65" i="53"/>
  <c r="Q65" i="53"/>
  <c r="AB68" i="53"/>
  <c r="AA68" i="53"/>
  <c r="N68" i="53"/>
  <c r="AB70" i="53"/>
  <c r="AA70" i="53"/>
  <c r="AB62" i="53"/>
  <c r="M8" i="53"/>
  <c r="N5" i="53"/>
  <c r="N14" i="53"/>
  <c r="N34" i="53"/>
  <c r="N58" i="53"/>
  <c r="N27" i="53"/>
  <c r="N45" i="53"/>
  <c r="P36" i="53"/>
  <c r="AA43" i="53"/>
  <c r="AA5" i="53"/>
  <c r="AA14" i="53"/>
  <c r="AA34" i="53"/>
  <c r="AB43" i="53"/>
  <c r="AA58" i="53"/>
  <c r="N67" i="53"/>
  <c r="N7" i="53"/>
  <c r="N69" i="53"/>
  <c r="P9" i="53"/>
  <c r="P16" i="53"/>
  <c r="AA67" i="53"/>
  <c r="N49" i="53"/>
  <c r="O70" i="51"/>
  <c r="K70" i="51"/>
  <c r="V69" i="51"/>
  <c r="M69" i="51" s="1"/>
  <c r="U69" i="51"/>
  <c r="O69" i="51"/>
  <c r="K69" i="51"/>
  <c r="G69" i="51"/>
  <c r="V68" i="51"/>
  <c r="U68" i="51"/>
  <c r="O68" i="51"/>
  <c r="M68" i="51"/>
  <c r="N68" i="51" s="1"/>
  <c r="K68" i="51"/>
  <c r="G68" i="51"/>
  <c r="X67" i="51"/>
  <c r="W67" i="51"/>
  <c r="V67" i="51"/>
  <c r="M67" i="51" s="1"/>
  <c r="U67" i="51"/>
  <c r="O67" i="51"/>
  <c r="K67" i="51"/>
  <c r="G67" i="51"/>
  <c r="V66" i="51"/>
  <c r="U66" i="51"/>
  <c r="O66" i="51"/>
  <c r="M66" i="51"/>
  <c r="N66" i="51" s="1"/>
  <c r="K66" i="51"/>
  <c r="G66" i="51"/>
  <c r="V65" i="51"/>
  <c r="U65" i="51"/>
  <c r="O65" i="51"/>
  <c r="M65" i="51"/>
  <c r="N65" i="51" s="1"/>
  <c r="K65" i="51"/>
  <c r="G65" i="51"/>
  <c r="AB64" i="51"/>
  <c r="V64" i="51"/>
  <c r="U64" i="51"/>
  <c r="O64" i="51"/>
  <c r="N64" i="51"/>
  <c r="Q64" i="51" s="1"/>
  <c r="M64" i="51"/>
  <c r="AA64" i="51" s="1"/>
  <c r="K64" i="51"/>
  <c r="G64" i="51"/>
  <c r="AA63" i="51"/>
  <c r="V63" i="51"/>
  <c r="U63" i="51"/>
  <c r="O63" i="51"/>
  <c r="M63" i="51"/>
  <c r="AB63" i="51" s="1"/>
  <c r="K63" i="51"/>
  <c r="G63" i="51"/>
  <c r="AB62" i="51"/>
  <c r="AA62" i="51"/>
  <c r="V62" i="51"/>
  <c r="U62" i="51"/>
  <c r="Q62" i="51"/>
  <c r="P62" i="51"/>
  <c r="O62" i="51"/>
  <c r="N62" i="51"/>
  <c r="M62" i="51"/>
  <c r="K62" i="51"/>
  <c r="G62" i="51"/>
  <c r="AB61" i="51"/>
  <c r="AA61" i="51"/>
  <c r="X61" i="51"/>
  <c r="W61" i="51"/>
  <c r="V61" i="51"/>
  <c r="O61" i="51"/>
  <c r="N61" i="51"/>
  <c r="Q61" i="51" s="1"/>
  <c r="M61" i="51"/>
  <c r="M70" i="51" s="1"/>
  <c r="K61" i="51"/>
  <c r="G61" i="51"/>
  <c r="AA60" i="51"/>
  <c r="P60" i="51"/>
  <c r="O60" i="51"/>
  <c r="N60" i="51"/>
  <c r="Q60" i="51" s="1"/>
  <c r="R56" i="51" s="1"/>
  <c r="M60" i="51"/>
  <c r="AB60" i="51" s="1"/>
  <c r="AC56" i="51" s="1"/>
  <c r="K60" i="51"/>
  <c r="AB59" i="51"/>
  <c r="AA59" i="51"/>
  <c r="V59" i="51"/>
  <c r="U59" i="51"/>
  <c r="P59" i="51"/>
  <c r="O59" i="51"/>
  <c r="N59" i="51"/>
  <c r="Q59" i="51" s="1"/>
  <c r="M59" i="51"/>
  <c r="K59" i="51"/>
  <c r="G59" i="51"/>
  <c r="AB58" i="51"/>
  <c r="AA58" i="51"/>
  <c r="V58" i="51"/>
  <c r="U58" i="51"/>
  <c r="Q58" i="51"/>
  <c r="P58" i="51"/>
  <c r="O58" i="51"/>
  <c r="N58" i="51"/>
  <c r="M58" i="51"/>
  <c r="K58" i="51"/>
  <c r="G58" i="51"/>
  <c r="AB57" i="51"/>
  <c r="AA57" i="51"/>
  <c r="V57" i="51"/>
  <c r="U57" i="51"/>
  <c r="P57" i="51"/>
  <c r="O57" i="51"/>
  <c r="N57" i="51"/>
  <c r="Q57" i="51" s="1"/>
  <c r="M57" i="51"/>
  <c r="K57" i="51"/>
  <c r="G57" i="51"/>
  <c r="AB56" i="51"/>
  <c r="AA56" i="51"/>
  <c r="V56" i="51"/>
  <c r="P56" i="51"/>
  <c r="O56" i="51"/>
  <c r="N56" i="51"/>
  <c r="Q56" i="51" s="1"/>
  <c r="M56" i="51"/>
  <c r="K56" i="51"/>
  <c r="G56" i="51"/>
  <c r="O55" i="51"/>
  <c r="M55" i="51"/>
  <c r="N55" i="51" s="1"/>
  <c r="K55" i="51"/>
  <c r="AB54" i="51"/>
  <c r="V54" i="51"/>
  <c r="U54" i="51"/>
  <c r="O54" i="51"/>
  <c r="N54" i="51"/>
  <c r="Q54" i="51" s="1"/>
  <c r="M54" i="51"/>
  <c r="AA54" i="51" s="1"/>
  <c r="K54" i="51"/>
  <c r="G54" i="51"/>
  <c r="AA53" i="51"/>
  <c r="V53" i="51"/>
  <c r="U53" i="51"/>
  <c r="O53" i="51"/>
  <c r="M53" i="51"/>
  <c r="AB53" i="51" s="1"/>
  <c r="K53" i="51"/>
  <c r="G53" i="51"/>
  <c r="AB52" i="51"/>
  <c r="AA52" i="51"/>
  <c r="V52" i="51"/>
  <c r="U52" i="51"/>
  <c r="Q52" i="51"/>
  <c r="P52" i="51"/>
  <c r="O52" i="51"/>
  <c r="N52" i="51"/>
  <c r="M52" i="51"/>
  <c r="K52" i="51"/>
  <c r="G52" i="51"/>
  <c r="AB51" i="51"/>
  <c r="AA51" i="51"/>
  <c r="V51" i="51"/>
  <c r="U51" i="51"/>
  <c r="P51" i="51"/>
  <c r="O51" i="51"/>
  <c r="N51" i="51"/>
  <c r="Q51" i="51" s="1"/>
  <c r="M51" i="51"/>
  <c r="K51" i="51"/>
  <c r="G51" i="51"/>
  <c r="AA50" i="51"/>
  <c r="V50" i="51"/>
  <c r="U50" i="51"/>
  <c r="Q50" i="51"/>
  <c r="O50" i="51"/>
  <c r="N50" i="51"/>
  <c r="P50" i="51" s="1"/>
  <c r="M50" i="51"/>
  <c r="AB50" i="51" s="1"/>
  <c r="K50" i="51"/>
  <c r="G50" i="51"/>
  <c r="AA49" i="51"/>
  <c r="V49" i="51"/>
  <c r="Q49" i="51"/>
  <c r="O49" i="51"/>
  <c r="N49" i="51"/>
  <c r="P49" i="51" s="1"/>
  <c r="M49" i="51"/>
  <c r="AB49" i="51" s="1"/>
  <c r="K49" i="51"/>
  <c r="G49" i="51"/>
  <c r="O48" i="51"/>
  <c r="K48" i="51"/>
  <c r="V47" i="51"/>
  <c r="M47" i="51" s="1"/>
  <c r="U47" i="51"/>
  <c r="O47" i="51"/>
  <c r="K47" i="51"/>
  <c r="G47" i="51"/>
  <c r="V46" i="51"/>
  <c r="U46" i="51"/>
  <c r="O46" i="51"/>
  <c r="M46" i="51"/>
  <c r="N46" i="51" s="1"/>
  <c r="K46" i="51"/>
  <c r="G46" i="51"/>
  <c r="V45" i="51"/>
  <c r="U45" i="51"/>
  <c r="O45" i="51"/>
  <c r="M45" i="51"/>
  <c r="N45" i="51" s="1"/>
  <c r="K45" i="51"/>
  <c r="G45" i="51"/>
  <c r="AB44" i="51"/>
  <c r="V44" i="51"/>
  <c r="U44" i="51"/>
  <c r="O44" i="51"/>
  <c r="N44" i="51"/>
  <c r="Q44" i="51" s="1"/>
  <c r="M44" i="51"/>
  <c r="AA44" i="51" s="1"/>
  <c r="K44" i="51"/>
  <c r="G44" i="51"/>
  <c r="AA43" i="51"/>
  <c r="V43" i="51"/>
  <c r="U43" i="51"/>
  <c r="O43" i="51"/>
  <c r="M43" i="51"/>
  <c r="AB43" i="51" s="1"/>
  <c r="K43" i="51"/>
  <c r="G43" i="51"/>
  <c r="AA42" i="51"/>
  <c r="X42" i="51"/>
  <c r="W42" i="51"/>
  <c r="V42" i="51"/>
  <c r="O42" i="51"/>
  <c r="M42" i="51"/>
  <c r="N42" i="51" s="1"/>
  <c r="K42" i="51"/>
  <c r="G42" i="51"/>
  <c r="O41" i="51"/>
  <c r="K41" i="51"/>
  <c r="AA40" i="51"/>
  <c r="V40" i="51"/>
  <c r="U40" i="51"/>
  <c r="Q40" i="51"/>
  <c r="O40" i="51"/>
  <c r="N40" i="51"/>
  <c r="P40" i="51" s="1"/>
  <c r="M40" i="51"/>
  <c r="AB40" i="51" s="1"/>
  <c r="K40" i="51"/>
  <c r="G40" i="51"/>
  <c r="AB39" i="51"/>
  <c r="AA39" i="51"/>
  <c r="V39" i="51"/>
  <c r="U39" i="51"/>
  <c r="P39" i="51"/>
  <c r="O39" i="51"/>
  <c r="N39" i="51"/>
  <c r="Q39" i="51" s="1"/>
  <c r="M39" i="51"/>
  <c r="K39" i="51"/>
  <c r="G39" i="51"/>
  <c r="AB38" i="51"/>
  <c r="AA38" i="51"/>
  <c r="V38" i="51"/>
  <c r="U38" i="51"/>
  <c r="Q38" i="51"/>
  <c r="P38" i="51"/>
  <c r="O38" i="51"/>
  <c r="N38" i="51"/>
  <c r="M38" i="51"/>
  <c r="K38" i="51"/>
  <c r="G38" i="51"/>
  <c r="AB37" i="51"/>
  <c r="AA37" i="51"/>
  <c r="V37" i="51"/>
  <c r="U37" i="51"/>
  <c r="P37" i="51"/>
  <c r="O37" i="51"/>
  <c r="N37" i="51"/>
  <c r="Q37" i="51" s="1"/>
  <c r="M37" i="51"/>
  <c r="K37" i="51"/>
  <c r="G37" i="51"/>
  <c r="V36" i="51"/>
  <c r="U36" i="51"/>
  <c r="O36" i="51"/>
  <c r="M36" i="51"/>
  <c r="N36" i="51" s="1"/>
  <c r="K36" i="51"/>
  <c r="G36" i="51"/>
  <c r="V35" i="51"/>
  <c r="M35" i="51" s="1"/>
  <c r="U35" i="51"/>
  <c r="O35" i="51"/>
  <c r="K35" i="51"/>
  <c r="G35" i="51"/>
  <c r="V34" i="51"/>
  <c r="U34" i="51"/>
  <c r="O34" i="51"/>
  <c r="M34" i="51"/>
  <c r="N34" i="51" s="1"/>
  <c r="K34" i="51"/>
  <c r="G34" i="51"/>
  <c r="X33" i="51"/>
  <c r="W33" i="51"/>
  <c r="V33" i="51"/>
  <c r="O33" i="51"/>
  <c r="M33" i="51"/>
  <c r="N33" i="51" s="1"/>
  <c r="K33" i="51"/>
  <c r="G33" i="51"/>
  <c r="O32" i="51"/>
  <c r="M32" i="51"/>
  <c r="N32" i="51" s="1"/>
  <c r="K32" i="51"/>
  <c r="AA31" i="51"/>
  <c r="V31" i="51"/>
  <c r="U31" i="51"/>
  <c r="O31" i="51"/>
  <c r="M31" i="51"/>
  <c r="AB31" i="51" s="1"/>
  <c r="K31" i="51"/>
  <c r="G31" i="51"/>
  <c r="AB30" i="51"/>
  <c r="AA30" i="51"/>
  <c r="V30" i="51"/>
  <c r="U30" i="51"/>
  <c r="Q30" i="51"/>
  <c r="P30" i="51"/>
  <c r="O30" i="51"/>
  <c r="N30" i="51"/>
  <c r="M30" i="51"/>
  <c r="K30" i="51"/>
  <c r="G30" i="51"/>
  <c r="AB29" i="51"/>
  <c r="AA29" i="51"/>
  <c r="V29" i="51"/>
  <c r="U29" i="51"/>
  <c r="P29" i="51"/>
  <c r="O29" i="51"/>
  <c r="N29" i="51"/>
  <c r="Q29" i="51" s="1"/>
  <c r="M29" i="51"/>
  <c r="K29" i="51"/>
  <c r="G29" i="51"/>
  <c r="AB28" i="51"/>
  <c r="AA28" i="51"/>
  <c r="X28" i="51"/>
  <c r="W28" i="51"/>
  <c r="V28" i="51"/>
  <c r="U28" i="51"/>
  <c r="Q28" i="51"/>
  <c r="P28" i="51"/>
  <c r="O28" i="51"/>
  <c r="N28" i="51"/>
  <c r="M28" i="51"/>
  <c r="K28" i="51"/>
  <c r="G28" i="51"/>
  <c r="AB27" i="51"/>
  <c r="AA27" i="51"/>
  <c r="V27" i="51"/>
  <c r="U27" i="51"/>
  <c r="P27" i="51"/>
  <c r="O27" i="51"/>
  <c r="N27" i="51"/>
  <c r="Q27" i="51" s="1"/>
  <c r="M27" i="51"/>
  <c r="K27" i="51"/>
  <c r="G27" i="51"/>
  <c r="AA26" i="51"/>
  <c r="V26" i="51"/>
  <c r="U26" i="51"/>
  <c r="Q26" i="51"/>
  <c r="O26" i="51"/>
  <c r="N26" i="51"/>
  <c r="P26" i="51" s="1"/>
  <c r="M26" i="51"/>
  <c r="AB26" i="51" s="1"/>
  <c r="K26" i="51"/>
  <c r="G26" i="51"/>
  <c r="AB25" i="51"/>
  <c r="AA25" i="51"/>
  <c r="V25" i="51"/>
  <c r="U25" i="51"/>
  <c r="P25" i="51"/>
  <c r="O25" i="51"/>
  <c r="N25" i="51"/>
  <c r="Q25" i="51" s="1"/>
  <c r="M25" i="51"/>
  <c r="K25" i="51"/>
  <c r="G25" i="51"/>
  <c r="AB24" i="51"/>
  <c r="X24" i="51"/>
  <c r="W24" i="51"/>
  <c r="V24" i="51"/>
  <c r="P24" i="51"/>
  <c r="O24" i="51"/>
  <c r="N24" i="51"/>
  <c r="Q24" i="51" s="1"/>
  <c r="M24" i="51"/>
  <c r="AA24" i="51" s="1"/>
  <c r="K24" i="51"/>
  <c r="G24" i="51"/>
  <c r="O23" i="51"/>
  <c r="K23" i="51"/>
  <c r="V22" i="51"/>
  <c r="U22" i="51"/>
  <c r="O22" i="51"/>
  <c r="M22" i="51"/>
  <c r="N22" i="51" s="1"/>
  <c r="K22" i="51"/>
  <c r="G22" i="51"/>
  <c r="V21" i="51"/>
  <c r="M21" i="51" s="1"/>
  <c r="U21" i="51"/>
  <c r="O21" i="51"/>
  <c r="K21" i="51"/>
  <c r="G21" i="51"/>
  <c r="V20" i="51"/>
  <c r="U20" i="51"/>
  <c r="O20" i="51"/>
  <c r="M20" i="51"/>
  <c r="N20" i="51" s="1"/>
  <c r="K20" i="51"/>
  <c r="G20" i="51"/>
  <c r="V19" i="51"/>
  <c r="O19" i="51"/>
  <c r="M19" i="51"/>
  <c r="N19" i="51" s="1"/>
  <c r="K19" i="51"/>
  <c r="G19" i="51"/>
  <c r="O18" i="51"/>
  <c r="M18" i="51"/>
  <c r="AB18" i="51" s="1"/>
  <c r="AC13" i="51" s="1"/>
  <c r="K18" i="51"/>
  <c r="AB17" i="51"/>
  <c r="AA17" i="51"/>
  <c r="V17" i="51"/>
  <c r="U17" i="51"/>
  <c r="P17" i="51"/>
  <c r="O17" i="51"/>
  <c r="N17" i="51"/>
  <c r="Q17" i="51" s="1"/>
  <c r="M17" i="51"/>
  <c r="K17" i="51"/>
  <c r="G17" i="51"/>
  <c r="AA16" i="51"/>
  <c r="V16" i="51"/>
  <c r="U16" i="51"/>
  <c r="Q16" i="51"/>
  <c r="O16" i="51"/>
  <c r="N16" i="51"/>
  <c r="P16" i="51" s="1"/>
  <c r="M16" i="51"/>
  <c r="AB16" i="51" s="1"/>
  <c r="K16" i="51"/>
  <c r="G16" i="51"/>
  <c r="AB15" i="51"/>
  <c r="V15" i="51"/>
  <c r="U15" i="51"/>
  <c r="P15" i="51"/>
  <c r="O15" i="51"/>
  <c r="N15" i="51"/>
  <c r="Q15" i="51" s="1"/>
  <c r="M15" i="51"/>
  <c r="AA15" i="51" s="1"/>
  <c r="K15" i="51"/>
  <c r="G15" i="51"/>
  <c r="AB14" i="51"/>
  <c r="AA14" i="51"/>
  <c r="V14" i="51"/>
  <c r="U14" i="51"/>
  <c r="Q14" i="51"/>
  <c r="O14" i="51"/>
  <c r="N14" i="51"/>
  <c r="M14" i="51"/>
  <c r="K14" i="51"/>
  <c r="P14" i="51" s="1"/>
  <c r="G14" i="51"/>
  <c r="F1" i="51" s="1"/>
  <c r="AA13" i="51"/>
  <c r="X13" i="51"/>
  <c r="W13" i="51"/>
  <c r="V13" i="51"/>
  <c r="Q13" i="51"/>
  <c r="O13" i="51"/>
  <c r="N13" i="51"/>
  <c r="P13" i="51" s="1"/>
  <c r="M13" i="51"/>
  <c r="AB13" i="51" s="1"/>
  <c r="K13" i="51"/>
  <c r="G13" i="51"/>
  <c r="O12" i="51"/>
  <c r="K12" i="51"/>
  <c r="V11" i="51"/>
  <c r="M11" i="51" s="1"/>
  <c r="U11" i="51"/>
  <c r="O11" i="51"/>
  <c r="K11" i="51"/>
  <c r="G11" i="51"/>
  <c r="X10" i="51"/>
  <c r="W10" i="51"/>
  <c r="V10" i="51"/>
  <c r="U10" i="51"/>
  <c r="O10" i="51"/>
  <c r="M10" i="51"/>
  <c r="N10" i="51" s="1"/>
  <c r="K10" i="51"/>
  <c r="G10" i="51"/>
  <c r="V9" i="51"/>
  <c r="O9" i="51"/>
  <c r="M9" i="51"/>
  <c r="N9" i="51" s="1"/>
  <c r="K9" i="51"/>
  <c r="G9" i="51"/>
  <c r="O8" i="51"/>
  <c r="M8" i="51"/>
  <c r="N8" i="51" s="1"/>
  <c r="K8" i="51"/>
  <c r="AA7" i="51"/>
  <c r="V7" i="51"/>
  <c r="U7" i="51"/>
  <c r="O7" i="51"/>
  <c r="M7" i="51"/>
  <c r="AB7" i="51" s="1"/>
  <c r="K7" i="51"/>
  <c r="G7" i="51"/>
  <c r="AB6" i="51"/>
  <c r="AA6" i="51"/>
  <c r="V6" i="51"/>
  <c r="U6" i="51"/>
  <c r="Q6" i="51"/>
  <c r="P6" i="51"/>
  <c r="O6" i="51"/>
  <c r="N6" i="51"/>
  <c r="M6" i="51"/>
  <c r="K6" i="51"/>
  <c r="G6" i="51"/>
  <c r="AB5" i="51"/>
  <c r="AA5" i="51"/>
  <c r="V5" i="51"/>
  <c r="Q5" i="51"/>
  <c r="P5" i="51"/>
  <c r="O5" i="51"/>
  <c r="N5" i="51"/>
  <c r="M5" i="51"/>
  <c r="K5" i="51"/>
  <c r="G5" i="51"/>
  <c r="H2" i="51"/>
  <c r="H1" i="51"/>
  <c r="D1" i="51"/>
  <c r="M18" i="50"/>
  <c r="L18" i="50"/>
  <c r="K18" i="50"/>
  <c r="J18" i="50"/>
  <c r="I18" i="50"/>
  <c r="H18" i="50"/>
  <c r="G18" i="50"/>
  <c r="F18" i="50"/>
  <c r="E18" i="50"/>
  <c r="D18" i="50"/>
  <c r="M17" i="50"/>
  <c r="L17" i="50"/>
  <c r="K17" i="50"/>
  <c r="J17" i="50"/>
  <c r="I17" i="50"/>
  <c r="H17" i="50"/>
  <c r="G17" i="50"/>
  <c r="F17" i="50"/>
  <c r="E17" i="50"/>
  <c r="D17" i="50"/>
  <c r="M16" i="50"/>
  <c r="L16" i="50"/>
  <c r="K16" i="50"/>
  <c r="J16" i="50"/>
  <c r="I16" i="50"/>
  <c r="H16" i="50"/>
  <c r="G16" i="50"/>
  <c r="F16" i="50"/>
  <c r="E16" i="50"/>
  <c r="D16" i="50"/>
  <c r="J14" i="50"/>
  <c r="J15" i="50" s="1"/>
  <c r="M13" i="50"/>
  <c r="L13" i="50"/>
  <c r="K13" i="50"/>
  <c r="I6" i="50" s="1"/>
  <c r="J13" i="50"/>
  <c r="I13" i="50"/>
  <c r="H13" i="50"/>
  <c r="G6" i="50" s="1"/>
  <c r="G13" i="50"/>
  <c r="F6" i="50" s="1"/>
  <c r="F13" i="50"/>
  <c r="E13" i="50"/>
  <c r="D13" i="50"/>
  <c r="F3" i="50"/>
  <c r="C3" i="50"/>
  <c r="K15" i="56" l="1"/>
  <c r="I8" i="56" s="1"/>
  <c r="I7" i="56"/>
  <c r="E7" i="56"/>
  <c r="D15" i="56"/>
  <c r="G7" i="56"/>
  <c r="F7" i="56"/>
  <c r="L14" i="54"/>
  <c r="L15" i="54" s="1"/>
  <c r="Q42" i="55"/>
  <c r="R34" i="55" s="1"/>
  <c r="P42" i="55"/>
  <c r="E14" i="54"/>
  <c r="E15" i="54" s="1"/>
  <c r="P12" i="55"/>
  <c r="Q12" i="55"/>
  <c r="R9" i="55" s="1"/>
  <c r="K14" i="54"/>
  <c r="Q33" i="55"/>
  <c r="R24" i="55" s="1"/>
  <c r="P33" i="55"/>
  <c r="F14" i="54"/>
  <c r="F15" i="54" s="1"/>
  <c r="Q18" i="55"/>
  <c r="R13" i="55" s="1"/>
  <c r="P18" i="55"/>
  <c r="I14" i="54"/>
  <c r="I15" i="54" s="1"/>
  <c r="P56" i="55"/>
  <c r="Q56" i="55"/>
  <c r="R50" i="55" s="1"/>
  <c r="M14" i="54"/>
  <c r="M15" i="54" s="1"/>
  <c r="Q72" i="55"/>
  <c r="R62" i="55" s="1"/>
  <c r="P72" i="55"/>
  <c r="Q49" i="55"/>
  <c r="R43" i="55" s="1"/>
  <c r="H14" i="54"/>
  <c r="H15" i="54" s="1"/>
  <c r="P49" i="55"/>
  <c r="D2" i="55"/>
  <c r="D14" i="54"/>
  <c r="Q8" i="55"/>
  <c r="R5" i="55" s="1"/>
  <c r="P8" i="55"/>
  <c r="J14" i="54"/>
  <c r="J15" i="54" s="1"/>
  <c r="Q61" i="55"/>
  <c r="R57" i="55" s="1"/>
  <c r="P61" i="55"/>
  <c r="Q6" i="53"/>
  <c r="P6" i="53"/>
  <c r="AA8" i="53"/>
  <c r="AB8" i="53"/>
  <c r="AC5" i="53" s="1"/>
  <c r="N8" i="53"/>
  <c r="Q59" i="53"/>
  <c r="P59" i="53"/>
  <c r="P19" i="53"/>
  <c r="Q19" i="53"/>
  <c r="P28" i="53"/>
  <c r="Q28" i="53"/>
  <c r="I7" i="52"/>
  <c r="K15" i="52"/>
  <c r="I8" i="52" s="1"/>
  <c r="Q68" i="53"/>
  <c r="P68" i="53"/>
  <c r="P48" i="53"/>
  <c r="Q48" i="53"/>
  <c r="Q46" i="53"/>
  <c r="P46" i="53"/>
  <c r="Q35" i="53"/>
  <c r="P35" i="53"/>
  <c r="P49" i="53"/>
  <c r="Q49" i="53"/>
  <c r="Q69" i="53"/>
  <c r="P69" i="53"/>
  <c r="Q7" i="53"/>
  <c r="P7" i="53"/>
  <c r="Q67" i="53"/>
  <c r="P67" i="53"/>
  <c r="P45" i="53"/>
  <c r="Q45" i="53"/>
  <c r="P27" i="53"/>
  <c r="Q27" i="53"/>
  <c r="Q58" i="53"/>
  <c r="P58" i="53"/>
  <c r="Q34" i="53"/>
  <c r="P34" i="53"/>
  <c r="Q14" i="53"/>
  <c r="P14" i="53"/>
  <c r="Q5" i="53"/>
  <c r="P5" i="53"/>
  <c r="Q64" i="53"/>
  <c r="P64" i="53"/>
  <c r="AB71" i="53"/>
  <c r="AC61" i="53" s="1"/>
  <c r="AA71" i="53"/>
  <c r="N71" i="53"/>
  <c r="M14" i="52" s="1"/>
  <c r="M15" i="52" s="1"/>
  <c r="Q56" i="53"/>
  <c r="P56" i="53"/>
  <c r="AA60" i="53"/>
  <c r="AB60" i="53"/>
  <c r="AC55" i="53" s="1"/>
  <c r="N60" i="53"/>
  <c r="Q55" i="53"/>
  <c r="P55" i="53"/>
  <c r="Q51" i="53"/>
  <c r="P51" i="53"/>
  <c r="AB47" i="53"/>
  <c r="AC42" i="53" s="1"/>
  <c r="AA47" i="53"/>
  <c r="N47" i="53"/>
  <c r="Q42" i="53"/>
  <c r="P42" i="53"/>
  <c r="Q40" i="53"/>
  <c r="P40" i="53"/>
  <c r="Q29" i="53"/>
  <c r="P29" i="53"/>
  <c r="Q25" i="53"/>
  <c r="P25" i="53"/>
  <c r="Q22" i="53"/>
  <c r="P22" i="53"/>
  <c r="AB18" i="53"/>
  <c r="AC13" i="53" s="1"/>
  <c r="N18" i="53"/>
  <c r="AA18" i="53"/>
  <c r="Q13" i="53"/>
  <c r="P13" i="53"/>
  <c r="Q66" i="51"/>
  <c r="P66" i="51"/>
  <c r="N21" i="51"/>
  <c r="AB21" i="51"/>
  <c r="AA21" i="51"/>
  <c r="I14" i="50"/>
  <c r="I15" i="50" s="1"/>
  <c r="Q55" i="51"/>
  <c r="R49" i="51" s="1"/>
  <c r="P55" i="51"/>
  <c r="Q36" i="51"/>
  <c r="P36" i="51"/>
  <c r="Q34" i="51"/>
  <c r="P34" i="51"/>
  <c r="N47" i="51"/>
  <c r="AB47" i="51"/>
  <c r="AA47" i="51"/>
  <c r="Q33" i="51"/>
  <c r="P33" i="51"/>
  <c r="Q9" i="51"/>
  <c r="P9" i="51"/>
  <c r="N35" i="51"/>
  <c r="AB35" i="51"/>
  <c r="AA35" i="51"/>
  <c r="F2" i="51"/>
  <c r="I3" i="50"/>
  <c r="Q20" i="51"/>
  <c r="P20" i="51"/>
  <c r="Q42" i="51"/>
  <c r="P42" i="51"/>
  <c r="K14" i="50"/>
  <c r="Q32" i="51"/>
  <c r="R24" i="51" s="1"/>
  <c r="P32" i="51"/>
  <c r="Q19" i="51"/>
  <c r="P19" i="51"/>
  <c r="Q68" i="51"/>
  <c r="P68" i="51"/>
  <c r="N11" i="51"/>
  <c r="AB11" i="51"/>
  <c r="AA11" i="51"/>
  <c r="Q45" i="51"/>
  <c r="P45" i="51"/>
  <c r="Q65" i="51"/>
  <c r="P65" i="51"/>
  <c r="Q10" i="51"/>
  <c r="P10" i="51"/>
  <c r="N69" i="51"/>
  <c r="AB69" i="51"/>
  <c r="AA69" i="51"/>
  <c r="Q22" i="51"/>
  <c r="P22" i="51"/>
  <c r="AB70" i="51"/>
  <c r="AC61" i="51" s="1"/>
  <c r="AA70" i="51"/>
  <c r="N70" i="51"/>
  <c r="N67" i="51"/>
  <c r="AB67" i="51"/>
  <c r="AA67" i="51"/>
  <c r="D14" i="50"/>
  <c r="Q8" i="51"/>
  <c r="R5" i="51" s="1"/>
  <c r="P8" i="51"/>
  <c r="Q46" i="51"/>
  <c r="P46" i="51"/>
  <c r="N7" i="51"/>
  <c r="N18" i="51"/>
  <c r="N31" i="51"/>
  <c r="M41" i="51"/>
  <c r="N43" i="51"/>
  <c r="N53" i="51"/>
  <c r="N63" i="51"/>
  <c r="AA9" i="51"/>
  <c r="AA22" i="51"/>
  <c r="AA36" i="51"/>
  <c r="P44" i="51"/>
  <c r="P54" i="51"/>
  <c r="AA55" i="51"/>
  <c r="P61" i="51"/>
  <c r="P64" i="51"/>
  <c r="AA8" i="51"/>
  <c r="AB9" i="51"/>
  <c r="AB22" i="51"/>
  <c r="AA32" i="51"/>
  <c r="AB36" i="51"/>
  <c r="AB55" i="51"/>
  <c r="AC49" i="51" s="1"/>
  <c r="AB8" i="51"/>
  <c r="AC5" i="51" s="1"/>
  <c r="AA10" i="51"/>
  <c r="AA19" i="51"/>
  <c r="AA20" i="51"/>
  <c r="AB32" i="51"/>
  <c r="AC24" i="51" s="1"/>
  <c r="AA33" i="51"/>
  <c r="AA34" i="51"/>
  <c r="AA46" i="51"/>
  <c r="AA66" i="51"/>
  <c r="AA68" i="51"/>
  <c r="E6" i="50"/>
  <c r="AB68" i="51"/>
  <c r="AB10" i="51"/>
  <c r="AA18" i="51"/>
  <c r="AB19" i="51"/>
  <c r="AB20" i="51"/>
  <c r="M23" i="51"/>
  <c r="AB33" i="51"/>
  <c r="AB34" i="51"/>
  <c r="AA45" i="51"/>
  <c r="AB46" i="51"/>
  <c r="AA65" i="51"/>
  <c r="AB66" i="51"/>
  <c r="M12" i="51"/>
  <c r="AB45" i="51"/>
  <c r="M48" i="51"/>
  <c r="AB65" i="51"/>
  <c r="AB42" i="51"/>
  <c r="O71" i="49"/>
  <c r="K71" i="49"/>
  <c r="V70" i="49"/>
  <c r="U70" i="49"/>
  <c r="O70" i="49"/>
  <c r="M70" i="49"/>
  <c r="K70" i="49"/>
  <c r="G70" i="49"/>
  <c r="V69" i="49"/>
  <c r="U69" i="49"/>
  <c r="O69" i="49"/>
  <c r="M69" i="49"/>
  <c r="AA69" i="49" s="1"/>
  <c r="K69" i="49"/>
  <c r="G69" i="49"/>
  <c r="AB68" i="49"/>
  <c r="AA68" i="49"/>
  <c r="V68" i="49"/>
  <c r="U68" i="49"/>
  <c r="Q68" i="49"/>
  <c r="P68" i="49"/>
  <c r="O68" i="49"/>
  <c r="N68" i="49"/>
  <c r="M68" i="49"/>
  <c r="K68" i="49"/>
  <c r="G68" i="49"/>
  <c r="X67" i="49"/>
  <c r="W67" i="49"/>
  <c r="V67" i="49"/>
  <c r="U67" i="49"/>
  <c r="O67" i="49"/>
  <c r="M67" i="49"/>
  <c r="N67" i="49" s="1"/>
  <c r="K67" i="49"/>
  <c r="G67" i="49"/>
  <c r="AB66" i="49"/>
  <c r="AA66" i="49"/>
  <c r="V66" i="49"/>
  <c r="M66" i="49" s="1"/>
  <c r="N66" i="49" s="1"/>
  <c r="U66" i="49"/>
  <c r="O66" i="49"/>
  <c r="K66" i="49"/>
  <c r="G66" i="49"/>
  <c r="V65" i="49"/>
  <c r="M65" i="49" s="1"/>
  <c r="U65" i="49"/>
  <c r="O65" i="49"/>
  <c r="K65" i="49"/>
  <c r="G65" i="49"/>
  <c r="AB64" i="49"/>
  <c r="AA64" i="49"/>
  <c r="V64" i="49"/>
  <c r="M64" i="49" s="1"/>
  <c r="N64" i="49" s="1"/>
  <c r="U64" i="49"/>
  <c r="O64" i="49"/>
  <c r="K64" i="49"/>
  <c r="G64" i="49"/>
  <c r="V63" i="49"/>
  <c r="U63" i="49"/>
  <c r="O63" i="49"/>
  <c r="N63" i="49"/>
  <c r="M63" i="49"/>
  <c r="K63" i="49"/>
  <c r="G63" i="49"/>
  <c r="X62" i="49"/>
  <c r="W62" i="49"/>
  <c r="V62" i="49"/>
  <c r="M62" i="49" s="1"/>
  <c r="U62" i="49"/>
  <c r="O62" i="49"/>
  <c r="K62" i="49"/>
  <c r="G62" i="49"/>
  <c r="V61" i="49"/>
  <c r="M61" i="49" s="1"/>
  <c r="O61" i="49"/>
  <c r="K61" i="49"/>
  <c r="G61" i="49"/>
  <c r="O60" i="49"/>
  <c r="K60" i="49"/>
  <c r="AB59" i="49"/>
  <c r="V59" i="49"/>
  <c r="U59" i="49"/>
  <c r="O59" i="49"/>
  <c r="M59" i="49"/>
  <c r="AA59" i="49" s="1"/>
  <c r="K59" i="49"/>
  <c r="G59" i="49"/>
  <c r="V58" i="49"/>
  <c r="U58" i="49"/>
  <c r="O58" i="49"/>
  <c r="M58" i="49"/>
  <c r="AB58" i="49" s="1"/>
  <c r="K58" i="49"/>
  <c r="G58" i="49"/>
  <c r="AA57" i="49"/>
  <c r="V57" i="49"/>
  <c r="M57" i="49" s="1"/>
  <c r="U57" i="49"/>
  <c r="O57" i="49"/>
  <c r="K57" i="49"/>
  <c r="G57" i="49"/>
  <c r="V56" i="49"/>
  <c r="M56" i="49" s="1"/>
  <c r="O56" i="49"/>
  <c r="K56" i="49"/>
  <c r="G56" i="49"/>
  <c r="O55" i="49"/>
  <c r="K55" i="49"/>
  <c r="V54" i="49"/>
  <c r="M54" i="49" s="1"/>
  <c r="U54" i="49"/>
  <c r="O54" i="49"/>
  <c r="K54" i="49"/>
  <c r="G54" i="49"/>
  <c r="AB53" i="49"/>
  <c r="AA53" i="49"/>
  <c r="V53" i="49"/>
  <c r="M53" i="49" s="1"/>
  <c r="N53" i="49" s="1"/>
  <c r="U53" i="49"/>
  <c r="O53" i="49"/>
  <c r="K53" i="49"/>
  <c r="G53" i="49"/>
  <c r="V52" i="49"/>
  <c r="U52" i="49"/>
  <c r="O52" i="49"/>
  <c r="M52" i="49"/>
  <c r="K52" i="49"/>
  <c r="G52" i="49"/>
  <c r="AB51" i="49"/>
  <c r="V51" i="49"/>
  <c r="M51" i="49" s="1"/>
  <c r="U51" i="49"/>
  <c r="O51" i="49"/>
  <c r="K51" i="49"/>
  <c r="G51" i="49"/>
  <c r="V50" i="49"/>
  <c r="U50" i="49"/>
  <c r="O50" i="49"/>
  <c r="N50" i="49"/>
  <c r="M50" i="49"/>
  <c r="K50" i="49"/>
  <c r="G50" i="49"/>
  <c r="V49" i="49"/>
  <c r="M49" i="49" s="1"/>
  <c r="O49" i="49"/>
  <c r="K49" i="49"/>
  <c r="G49" i="49"/>
  <c r="O48" i="49"/>
  <c r="N48" i="49"/>
  <c r="P48" i="49" s="1"/>
  <c r="M48" i="49"/>
  <c r="K48" i="49"/>
  <c r="V47" i="49"/>
  <c r="U47" i="49"/>
  <c r="O47" i="49"/>
  <c r="M47" i="49"/>
  <c r="AA47" i="49" s="1"/>
  <c r="K47" i="49"/>
  <c r="G47" i="49"/>
  <c r="AB46" i="49"/>
  <c r="AA46" i="49"/>
  <c r="V46" i="49"/>
  <c r="U46" i="49"/>
  <c r="Q46" i="49"/>
  <c r="P46" i="49"/>
  <c r="O46" i="49"/>
  <c r="N46" i="49"/>
  <c r="M46" i="49"/>
  <c r="K46" i="49"/>
  <c r="G46" i="49"/>
  <c r="V45" i="49"/>
  <c r="U45" i="49"/>
  <c r="O45" i="49"/>
  <c r="M45" i="49"/>
  <c r="AA45" i="49" s="1"/>
  <c r="K45" i="49"/>
  <c r="G45" i="49"/>
  <c r="V44" i="49"/>
  <c r="M44" i="49" s="1"/>
  <c r="U44" i="49"/>
  <c r="O44" i="49"/>
  <c r="K44" i="49"/>
  <c r="G44" i="49"/>
  <c r="X43" i="49"/>
  <c r="W43" i="49"/>
  <c r="V43" i="49"/>
  <c r="M43" i="49" s="1"/>
  <c r="U43" i="49"/>
  <c r="O43" i="49"/>
  <c r="K43" i="49"/>
  <c r="G43" i="49"/>
  <c r="AB42" i="49"/>
  <c r="V42" i="49"/>
  <c r="M42" i="49" s="1"/>
  <c r="O42" i="49"/>
  <c r="K42" i="49"/>
  <c r="G42" i="49"/>
  <c r="O41" i="49"/>
  <c r="M41" i="49"/>
  <c r="K41" i="49"/>
  <c r="L13" i="48" s="1"/>
  <c r="AB40" i="49"/>
  <c r="AA40" i="49"/>
  <c r="V40" i="49"/>
  <c r="M40" i="49" s="1"/>
  <c r="N40" i="49" s="1"/>
  <c r="U40" i="49"/>
  <c r="O40" i="49"/>
  <c r="K40" i="49"/>
  <c r="G40" i="49"/>
  <c r="V39" i="49"/>
  <c r="U39" i="49"/>
  <c r="O39" i="49"/>
  <c r="N39" i="49"/>
  <c r="M39" i="49"/>
  <c r="K39" i="49"/>
  <c r="G39" i="49"/>
  <c r="V38" i="49"/>
  <c r="U38" i="49"/>
  <c r="O38" i="49"/>
  <c r="M38" i="49"/>
  <c r="N38" i="49" s="1"/>
  <c r="K38" i="49"/>
  <c r="G38" i="49"/>
  <c r="V37" i="49"/>
  <c r="U37" i="49"/>
  <c r="O37" i="49"/>
  <c r="N37" i="49"/>
  <c r="Q37" i="49" s="1"/>
  <c r="M37" i="49"/>
  <c r="K37" i="49"/>
  <c r="G37" i="49"/>
  <c r="V36" i="49"/>
  <c r="M36" i="49" s="1"/>
  <c r="U36" i="49"/>
  <c r="O36" i="49"/>
  <c r="K36" i="49"/>
  <c r="G36" i="49"/>
  <c r="AB35" i="49"/>
  <c r="V35" i="49"/>
  <c r="U35" i="49"/>
  <c r="Q35" i="49"/>
  <c r="P35" i="49"/>
  <c r="O35" i="49"/>
  <c r="N35" i="49"/>
  <c r="M35" i="49"/>
  <c r="AA35" i="49" s="1"/>
  <c r="K35" i="49"/>
  <c r="G35" i="49"/>
  <c r="V34" i="49"/>
  <c r="U34" i="49"/>
  <c r="O34" i="49"/>
  <c r="M34" i="49"/>
  <c r="AB34" i="49" s="1"/>
  <c r="K34" i="49"/>
  <c r="G34" i="49"/>
  <c r="AB33" i="49"/>
  <c r="AA33" i="49"/>
  <c r="X33" i="49"/>
  <c r="W33" i="49"/>
  <c r="V33" i="49"/>
  <c r="M33" i="49" s="1"/>
  <c r="N33" i="49" s="1"/>
  <c r="O33" i="49"/>
  <c r="K33" i="49"/>
  <c r="G33" i="49"/>
  <c r="O32" i="49"/>
  <c r="K32" i="49"/>
  <c r="AB31" i="49"/>
  <c r="AA31" i="49"/>
  <c r="V31" i="49"/>
  <c r="M31" i="49" s="1"/>
  <c r="N31" i="49" s="1"/>
  <c r="U31" i="49"/>
  <c r="O31" i="49"/>
  <c r="K31" i="49"/>
  <c r="G31" i="49"/>
  <c r="V30" i="49"/>
  <c r="U30" i="49"/>
  <c r="O30" i="49"/>
  <c r="M30" i="49"/>
  <c r="K30" i="49"/>
  <c r="G30" i="49"/>
  <c r="AB29" i="49"/>
  <c r="V29" i="49"/>
  <c r="M29" i="49" s="1"/>
  <c r="U29" i="49"/>
  <c r="O29" i="49"/>
  <c r="K29" i="49"/>
  <c r="G29" i="49"/>
  <c r="X28" i="49"/>
  <c r="W28" i="49"/>
  <c r="V28" i="49"/>
  <c r="U28" i="49"/>
  <c r="Q28" i="49"/>
  <c r="P28" i="49"/>
  <c r="O28" i="49"/>
  <c r="N28" i="49"/>
  <c r="M28" i="49"/>
  <c r="AB28" i="49" s="1"/>
  <c r="K28" i="49"/>
  <c r="G28" i="49"/>
  <c r="V27" i="49"/>
  <c r="U27" i="49"/>
  <c r="O27" i="49"/>
  <c r="M27" i="49"/>
  <c r="AB27" i="49" s="1"/>
  <c r="K27" i="49"/>
  <c r="G27" i="49"/>
  <c r="V26" i="49"/>
  <c r="M26" i="49" s="1"/>
  <c r="U26" i="49"/>
  <c r="O26" i="49"/>
  <c r="K26" i="49"/>
  <c r="G26" i="49"/>
  <c r="X25" i="49"/>
  <c r="W25" i="49"/>
  <c r="V25" i="49"/>
  <c r="M25" i="49" s="1"/>
  <c r="U25" i="49"/>
  <c r="O25" i="49"/>
  <c r="K25" i="49"/>
  <c r="G25" i="49"/>
  <c r="AB24" i="49"/>
  <c r="V24" i="49"/>
  <c r="M24" i="49" s="1"/>
  <c r="O24" i="49"/>
  <c r="K24" i="49"/>
  <c r="G24" i="49"/>
  <c r="O23" i="49"/>
  <c r="M23" i="49"/>
  <c r="K23" i="49"/>
  <c r="AB22" i="49"/>
  <c r="AA22" i="49"/>
  <c r="V22" i="49"/>
  <c r="M22" i="49" s="1"/>
  <c r="N22" i="49" s="1"/>
  <c r="U22" i="49"/>
  <c r="O22" i="49"/>
  <c r="K22" i="49"/>
  <c r="G22" i="49"/>
  <c r="V21" i="49"/>
  <c r="U21" i="49"/>
  <c r="O21" i="49"/>
  <c r="N21" i="49"/>
  <c r="P21" i="49" s="1"/>
  <c r="M21" i="49"/>
  <c r="K21" i="49"/>
  <c r="G21" i="49"/>
  <c r="V20" i="49"/>
  <c r="U20" i="49"/>
  <c r="O20" i="49"/>
  <c r="M20" i="49"/>
  <c r="N20" i="49" s="1"/>
  <c r="K20" i="49"/>
  <c r="G20" i="49"/>
  <c r="AB19" i="49"/>
  <c r="AA19" i="49"/>
  <c r="V19" i="49"/>
  <c r="Q19" i="49"/>
  <c r="P19" i="49"/>
  <c r="O19" i="49"/>
  <c r="N19" i="49"/>
  <c r="M19" i="49"/>
  <c r="K19" i="49"/>
  <c r="G19" i="49"/>
  <c r="O18" i="49"/>
  <c r="K18" i="49"/>
  <c r="V17" i="49"/>
  <c r="U17" i="49"/>
  <c r="P17" i="49"/>
  <c r="O17" i="49"/>
  <c r="N17" i="49"/>
  <c r="Q17" i="49" s="1"/>
  <c r="M17" i="49"/>
  <c r="K17" i="49"/>
  <c r="G17" i="49"/>
  <c r="V16" i="49"/>
  <c r="M16" i="49" s="1"/>
  <c r="U16" i="49"/>
  <c r="O16" i="49"/>
  <c r="K16" i="49"/>
  <c r="G16" i="49"/>
  <c r="AB15" i="49"/>
  <c r="V15" i="49"/>
  <c r="U15" i="49"/>
  <c r="O15" i="49"/>
  <c r="M15" i="49"/>
  <c r="AA15" i="49" s="1"/>
  <c r="K15" i="49"/>
  <c r="G15" i="49"/>
  <c r="V14" i="49"/>
  <c r="U14" i="49"/>
  <c r="O14" i="49"/>
  <c r="M14" i="49"/>
  <c r="AB14" i="49" s="1"/>
  <c r="K14" i="49"/>
  <c r="G14" i="49"/>
  <c r="AB13" i="49"/>
  <c r="AA13" i="49"/>
  <c r="X13" i="49"/>
  <c r="W13" i="49"/>
  <c r="V13" i="49"/>
  <c r="M13" i="49" s="1"/>
  <c r="O13" i="49"/>
  <c r="K13" i="49"/>
  <c r="G13" i="49"/>
  <c r="O12" i="49"/>
  <c r="K12" i="49"/>
  <c r="AB11" i="49"/>
  <c r="AA11" i="49"/>
  <c r="V11" i="49"/>
  <c r="M11" i="49" s="1"/>
  <c r="N11" i="49" s="1"/>
  <c r="U11" i="49"/>
  <c r="O11" i="49"/>
  <c r="K11" i="49"/>
  <c r="G11" i="49"/>
  <c r="X10" i="49"/>
  <c r="W10" i="49"/>
  <c r="V10" i="49"/>
  <c r="U10" i="49"/>
  <c r="O10" i="49"/>
  <c r="N10" i="49"/>
  <c r="M10" i="49"/>
  <c r="K10" i="49"/>
  <c r="G10" i="49"/>
  <c r="V9" i="49"/>
  <c r="M9" i="49" s="1"/>
  <c r="O9" i="49"/>
  <c r="K9" i="49"/>
  <c r="G9" i="49"/>
  <c r="AB8" i="49"/>
  <c r="AC5" i="49" s="1"/>
  <c r="O8" i="49"/>
  <c r="N8" i="49"/>
  <c r="P8" i="49" s="1"/>
  <c r="M8" i="49"/>
  <c r="AA8" i="49" s="1"/>
  <c r="K8" i="49"/>
  <c r="V7" i="49"/>
  <c r="U7" i="49"/>
  <c r="O7" i="49"/>
  <c r="M7" i="49"/>
  <c r="AA7" i="49" s="1"/>
  <c r="K7" i="49"/>
  <c r="G7" i="49"/>
  <c r="AB6" i="49"/>
  <c r="AA6" i="49"/>
  <c r="V6" i="49"/>
  <c r="U6" i="49"/>
  <c r="Q6" i="49"/>
  <c r="P6" i="49"/>
  <c r="O6" i="49"/>
  <c r="N6" i="49"/>
  <c r="M6" i="49"/>
  <c r="K6" i="49"/>
  <c r="G6" i="49"/>
  <c r="V5" i="49"/>
  <c r="O5" i="49"/>
  <c r="M5" i="49"/>
  <c r="AB5" i="49" s="1"/>
  <c r="K5" i="49"/>
  <c r="G5" i="49"/>
  <c r="H2" i="49"/>
  <c r="H1" i="49"/>
  <c r="F1" i="49"/>
  <c r="I3" i="48" s="1"/>
  <c r="D1" i="49"/>
  <c r="M18" i="48"/>
  <c r="L18" i="48"/>
  <c r="K18" i="48"/>
  <c r="J18" i="48"/>
  <c r="I18" i="48"/>
  <c r="H18" i="48"/>
  <c r="G18" i="48"/>
  <c r="F18" i="48"/>
  <c r="E18" i="48"/>
  <c r="D18" i="48"/>
  <c r="M17" i="48"/>
  <c r="L17" i="48"/>
  <c r="K17" i="48"/>
  <c r="J17" i="48"/>
  <c r="I17" i="48"/>
  <c r="H17" i="48"/>
  <c r="G17" i="48"/>
  <c r="F17" i="48"/>
  <c r="E17" i="48"/>
  <c r="D17" i="48"/>
  <c r="M16" i="48"/>
  <c r="L16" i="48"/>
  <c r="K16" i="48"/>
  <c r="J16" i="48"/>
  <c r="I16" i="48"/>
  <c r="H16" i="48"/>
  <c r="G16" i="48"/>
  <c r="F16" i="48"/>
  <c r="E16" i="48"/>
  <c r="D16" i="48"/>
  <c r="M13" i="48"/>
  <c r="K13" i="48"/>
  <c r="I6" i="48" s="1"/>
  <c r="J13" i="48"/>
  <c r="I13" i="48"/>
  <c r="H13" i="48"/>
  <c r="G13" i="48"/>
  <c r="F13" i="48"/>
  <c r="E13" i="48"/>
  <c r="D13" i="48"/>
  <c r="F3" i="48"/>
  <c r="C3" i="48"/>
  <c r="G8" i="56" l="1"/>
  <c r="F8" i="56"/>
  <c r="E8" i="56"/>
  <c r="D15" i="54"/>
  <c r="G7" i="54"/>
  <c r="F7" i="54"/>
  <c r="E7" i="54"/>
  <c r="K15" i="54"/>
  <c r="I8" i="54" s="1"/>
  <c r="I7" i="54"/>
  <c r="D14" i="52"/>
  <c r="Q8" i="53"/>
  <c r="R5" i="53" s="1"/>
  <c r="P8" i="53"/>
  <c r="D2" i="53"/>
  <c r="F14" i="52"/>
  <c r="F15" i="52" s="1"/>
  <c r="P18" i="53"/>
  <c r="Q18" i="53"/>
  <c r="R13" i="53" s="1"/>
  <c r="H14" i="52"/>
  <c r="H15" i="52" s="1"/>
  <c r="Q47" i="53"/>
  <c r="R42" i="53" s="1"/>
  <c r="P47" i="53"/>
  <c r="P60" i="53"/>
  <c r="J14" i="52"/>
  <c r="J15" i="52" s="1"/>
  <c r="Q60" i="53"/>
  <c r="R55" i="53" s="1"/>
  <c r="Q71" i="53"/>
  <c r="R61" i="53" s="1"/>
  <c r="P71" i="53"/>
  <c r="AA12" i="51"/>
  <c r="N12" i="51"/>
  <c r="AB12" i="51"/>
  <c r="AC9" i="51" s="1"/>
  <c r="P69" i="51"/>
  <c r="Q69" i="51"/>
  <c r="AA48" i="51"/>
  <c r="N48" i="51"/>
  <c r="AB48" i="51"/>
  <c r="AC42" i="51" s="1"/>
  <c r="P11" i="51"/>
  <c r="Q11" i="51"/>
  <c r="K15" i="50"/>
  <c r="D15" i="50"/>
  <c r="P35" i="51"/>
  <c r="Q35" i="51"/>
  <c r="P67" i="51"/>
  <c r="Q67" i="51"/>
  <c r="Q31" i="51"/>
  <c r="P31" i="51"/>
  <c r="Q70" i="51"/>
  <c r="R61" i="51" s="1"/>
  <c r="P70" i="51"/>
  <c r="M14" i="50"/>
  <c r="M15" i="50" s="1"/>
  <c r="F14" i="50"/>
  <c r="F15" i="50" s="1"/>
  <c r="Q18" i="51"/>
  <c r="R13" i="51" s="1"/>
  <c r="P18" i="51"/>
  <c r="P21" i="51"/>
  <c r="Q21" i="51"/>
  <c r="Q63" i="51"/>
  <c r="P63" i="51"/>
  <c r="Q53" i="51"/>
  <c r="P53" i="51"/>
  <c r="Q43" i="51"/>
  <c r="P43" i="51"/>
  <c r="AB41" i="51"/>
  <c r="AC33" i="51" s="1"/>
  <c r="AA41" i="51"/>
  <c r="N41" i="51"/>
  <c r="AB23" i="51"/>
  <c r="AC19" i="51" s="1"/>
  <c r="AA23" i="51"/>
  <c r="N23" i="51"/>
  <c r="Q7" i="51"/>
  <c r="P7" i="51"/>
  <c r="P47" i="51"/>
  <c r="Q47" i="51"/>
  <c r="P37" i="49"/>
  <c r="F2" i="49"/>
  <c r="Q21" i="49"/>
  <c r="F6" i="48"/>
  <c r="E6" i="48"/>
  <c r="G6" i="48"/>
  <c r="D14" i="48"/>
  <c r="D15" i="48" s="1"/>
  <c r="Q8" i="49"/>
  <c r="R5" i="49" s="1"/>
  <c r="AB9" i="49"/>
  <c r="AA9" i="49"/>
  <c r="N9" i="49"/>
  <c r="M12" i="49"/>
  <c r="AA10" i="49"/>
  <c r="AB10" i="49"/>
  <c r="Q10" i="49"/>
  <c r="P10" i="49"/>
  <c r="P11" i="49"/>
  <c r="Q11" i="49"/>
  <c r="M18" i="49"/>
  <c r="N13" i="49"/>
  <c r="AB16" i="49"/>
  <c r="AA16" i="49"/>
  <c r="N16" i="49"/>
  <c r="AA17" i="49"/>
  <c r="AB17" i="49"/>
  <c r="Q20" i="49"/>
  <c r="P20" i="49"/>
  <c r="AB21" i="49"/>
  <c r="AA21" i="49"/>
  <c r="Q22" i="49"/>
  <c r="P22" i="49"/>
  <c r="AB23" i="49"/>
  <c r="AC19" i="49" s="1"/>
  <c r="AA23" i="49"/>
  <c r="N23" i="49"/>
  <c r="P23" i="49" s="1"/>
  <c r="N24" i="49"/>
  <c r="M32" i="49"/>
  <c r="AA24" i="49"/>
  <c r="AB25" i="49"/>
  <c r="AA25" i="49"/>
  <c r="N25" i="49"/>
  <c r="AB26" i="49"/>
  <c r="AA26" i="49"/>
  <c r="N26" i="49"/>
  <c r="N29" i="49"/>
  <c r="AA29" i="49"/>
  <c r="AA30" i="49"/>
  <c r="AB30" i="49"/>
  <c r="N30" i="49"/>
  <c r="P31" i="49"/>
  <c r="Q31" i="49"/>
  <c r="Q33" i="49"/>
  <c r="P33" i="49"/>
  <c r="AB36" i="49"/>
  <c r="N36" i="49"/>
  <c r="AA36" i="49"/>
  <c r="AA37" i="49"/>
  <c r="AB37" i="49"/>
  <c r="Q38" i="49"/>
  <c r="P38" i="49"/>
  <c r="AB39" i="49"/>
  <c r="AA39" i="49"/>
  <c r="Q39" i="49"/>
  <c r="P39" i="49"/>
  <c r="Q40" i="49"/>
  <c r="P40" i="49"/>
  <c r="AB41" i="49"/>
  <c r="AC33" i="49" s="1"/>
  <c r="AA41" i="49"/>
  <c r="N41" i="49"/>
  <c r="N42" i="49"/>
  <c r="AA42" i="49"/>
  <c r="AB43" i="49"/>
  <c r="AA43" i="49"/>
  <c r="N43" i="49"/>
  <c r="AB44" i="49"/>
  <c r="AA44" i="49"/>
  <c r="N44" i="49"/>
  <c r="AB48" i="49"/>
  <c r="AC42" i="49" s="1"/>
  <c r="AA48" i="49"/>
  <c r="H14" i="48"/>
  <c r="H15" i="48" s="1"/>
  <c r="Q48" i="49"/>
  <c r="R42" i="49" s="1"/>
  <c r="AB49" i="49"/>
  <c r="AA49" i="49"/>
  <c r="M55" i="49"/>
  <c r="N49" i="49"/>
  <c r="AB50" i="49"/>
  <c r="AA50" i="49"/>
  <c r="Q50" i="49"/>
  <c r="P50" i="49"/>
  <c r="N51" i="49"/>
  <c r="AA51" i="49"/>
  <c r="AA52" i="49"/>
  <c r="AB52" i="49"/>
  <c r="N52" i="49"/>
  <c r="P53" i="49"/>
  <c r="Q53" i="49"/>
  <c r="AA54" i="49"/>
  <c r="N54" i="49"/>
  <c r="AB54" i="49"/>
  <c r="AB56" i="49"/>
  <c r="AA56" i="49"/>
  <c r="M60" i="49"/>
  <c r="N56" i="49"/>
  <c r="N57" i="49"/>
  <c r="AB57" i="49"/>
  <c r="M71" i="49"/>
  <c r="AB61" i="49"/>
  <c r="AA61" i="49"/>
  <c r="N61" i="49"/>
  <c r="N62" i="49"/>
  <c r="AB62" i="49"/>
  <c r="AA62" i="49"/>
  <c r="AB63" i="49"/>
  <c r="AA63" i="49"/>
  <c r="Q63" i="49"/>
  <c r="P63" i="49"/>
  <c r="Q64" i="49"/>
  <c r="P64" i="49"/>
  <c r="AB65" i="49"/>
  <c r="AA65" i="49"/>
  <c r="N65" i="49"/>
  <c r="Q66" i="49"/>
  <c r="P66" i="49"/>
  <c r="Q67" i="49"/>
  <c r="P67" i="49"/>
  <c r="AB70" i="49"/>
  <c r="AA70" i="49"/>
  <c r="N70" i="49"/>
  <c r="AB7" i="49"/>
  <c r="AA20" i="49"/>
  <c r="AA38" i="49"/>
  <c r="AB47" i="49"/>
  <c r="AB69" i="49"/>
  <c r="N15" i="49"/>
  <c r="AB20" i="49"/>
  <c r="AB38" i="49"/>
  <c r="N59" i="49"/>
  <c r="N5" i="49"/>
  <c r="N14" i="49"/>
  <c r="AA28" i="49"/>
  <c r="N34" i="49"/>
  <c r="N58" i="49"/>
  <c r="N27" i="49"/>
  <c r="N45" i="49"/>
  <c r="N7" i="49"/>
  <c r="N47" i="49"/>
  <c r="N69" i="49"/>
  <c r="AA5" i="49"/>
  <c r="AA14" i="49"/>
  <c r="AA34" i="49"/>
  <c r="AA58" i="49"/>
  <c r="AA27" i="49"/>
  <c r="AA67" i="49"/>
  <c r="AB45" i="49"/>
  <c r="AB67" i="49"/>
  <c r="O62" i="47"/>
  <c r="K62" i="47"/>
  <c r="V61" i="47"/>
  <c r="U61" i="47"/>
  <c r="O61" i="47"/>
  <c r="M61" i="47"/>
  <c r="AB61" i="47" s="1"/>
  <c r="K61" i="47"/>
  <c r="G61" i="47"/>
  <c r="V60" i="47"/>
  <c r="M60" i="47" s="1"/>
  <c r="U60" i="47"/>
  <c r="O60" i="47"/>
  <c r="K60" i="47"/>
  <c r="G60" i="47"/>
  <c r="V59" i="47"/>
  <c r="M59" i="47" s="1"/>
  <c r="U59" i="47"/>
  <c r="O59" i="47"/>
  <c r="K59" i="47"/>
  <c r="G59" i="47"/>
  <c r="AB58" i="47"/>
  <c r="V58" i="47"/>
  <c r="U58" i="47"/>
  <c r="O58" i="47"/>
  <c r="M58" i="47"/>
  <c r="AA58" i="47" s="1"/>
  <c r="K58" i="47"/>
  <c r="G58" i="47"/>
  <c r="V57" i="47"/>
  <c r="M57" i="47" s="1"/>
  <c r="U57" i="47"/>
  <c r="O57" i="47"/>
  <c r="K57" i="47"/>
  <c r="G57" i="47"/>
  <c r="X56" i="47"/>
  <c r="W56" i="47"/>
  <c r="V56" i="47"/>
  <c r="U56" i="47"/>
  <c r="O56" i="47"/>
  <c r="M56" i="47"/>
  <c r="AB56" i="47" s="1"/>
  <c r="K56" i="47"/>
  <c r="G56" i="47"/>
  <c r="V55" i="47"/>
  <c r="M55" i="47" s="1"/>
  <c r="O55" i="47"/>
  <c r="K55" i="47"/>
  <c r="G55" i="47"/>
  <c r="O54" i="47"/>
  <c r="K54" i="47"/>
  <c r="J13" i="46" s="1"/>
  <c r="V53" i="47"/>
  <c r="M53" i="47" s="1"/>
  <c r="U53" i="47"/>
  <c r="O53" i="47"/>
  <c r="K53" i="47"/>
  <c r="G53" i="47"/>
  <c r="V52" i="47"/>
  <c r="U52" i="47"/>
  <c r="O52" i="47"/>
  <c r="M52" i="47"/>
  <c r="N52" i="47" s="1"/>
  <c r="K52" i="47"/>
  <c r="G52" i="47"/>
  <c r="AB51" i="47"/>
  <c r="AA51" i="47"/>
  <c r="V51" i="47"/>
  <c r="U51" i="47"/>
  <c r="O51" i="47"/>
  <c r="M51" i="47"/>
  <c r="N51" i="47" s="1"/>
  <c r="K51" i="47"/>
  <c r="G51" i="47"/>
  <c r="V50" i="47"/>
  <c r="M50" i="47" s="1"/>
  <c r="O50" i="47"/>
  <c r="K50" i="47"/>
  <c r="G50" i="47"/>
  <c r="O49" i="47"/>
  <c r="K49" i="47"/>
  <c r="AB48" i="47"/>
  <c r="AA48" i="47"/>
  <c r="V48" i="47"/>
  <c r="U48" i="47"/>
  <c r="O48" i="47"/>
  <c r="N48" i="47"/>
  <c r="P48" i="47" s="1"/>
  <c r="M48" i="47"/>
  <c r="K48" i="47"/>
  <c r="G48" i="47"/>
  <c r="AA47" i="47"/>
  <c r="V47" i="47"/>
  <c r="U47" i="47"/>
  <c r="O47" i="47"/>
  <c r="M47" i="47"/>
  <c r="AB47" i="47" s="1"/>
  <c r="K47" i="47"/>
  <c r="G47" i="47"/>
  <c r="V46" i="47"/>
  <c r="M46" i="47" s="1"/>
  <c r="U46" i="47"/>
  <c r="O46" i="47"/>
  <c r="K46" i="47"/>
  <c r="G46" i="47"/>
  <c r="V45" i="47"/>
  <c r="U45" i="47"/>
  <c r="O45" i="47"/>
  <c r="N45" i="47"/>
  <c r="Q45" i="47" s="1"/>
  <c r="M45" i="47"/>
  <c r="AB45" i="47" s="1"/>
  <c r="K45" i="47"/>
  <c r="G45" i="47"/>
  <c r="V44" i="47"/>
  <c r="M44" i="47" s="1"/>
  <c r="U44" i="47"/>
  <c r="O44" i="47"/>
  <c r="K44" i="47"/>
  <c r="G44" i="47"/>
  <c r="V43" i="47"/>
  <c r="O43" i="47"/>
  <c r="M43" i="47"/>
  <c r="AA43" i="47" s="1"/>
  <c r="K43" i="47"/>
  <c r="G43" i="47"/>
  <c r="O42" i="47"/>
  <c r="K42" i="47"/>
  <c r="V41" i="47"/>
  <c r="U41" i="47"/>
  <c r="O41" i="47"/>
  <c r="M41" i="47"/>
  <c r="AB41" i="47" s="1"/>
  <c r="K41" i="47"/>
  <c r="G41" i="47"/>
  <c r="V40" i="47"/>
  <c r="M40" i="47" s="1"/>
  <c r="U40" i="47"/>
  <c r="O40" i="47"/>
  <c r="K40" i="47"/>
  <c r="G40" i="47"/>
  <c r="V39" i="47"/>
  <c r="U39" i="47"/>
  <c r="O39" i="47"/>
  <c r="M39" i="47"/>
  <c r="AB39" i="47" s="1"/>
  <c r="K39" i="47"/>
  <c r="G39" i="47"/>
  <c r="V38" i="47"/>
  <c r="M38" i="47" s="1"/>
  <c r="U38" i="47"/>
  <c r="O38" i="47"/>
  <c r="K38" i="47"/>
  <c r="G38" i="47"/>
  <c r="X37" i="47"/>
  <c r="W37" i="47"/>
  <c r="V37" i="47"/>
  <c r="M37" i="47" s="1"/>
  <c r="U37" i="47"/>
  <c r="O37" i="47"/>
  <c r="K37" i="47"/>
  <c r="G37" i="47"/>
  <c r="V36" i="47"/>
  <c r="O36" i="47"/>
  <c r="N36" i="47"/>
  <c r="Q36" i="47" s="1"/>
  <c r="M36" i="47"/>
  <c r="K36" i="47"/>
  <c r="G36" i="47"/>
  <c r="O35" i="47"/>
  <c r="K35" i="47"/>
  <c r="AB34" i="47"/>
  <c r="V34" i="47"/>
  <c r="U34" i="47"/>
  <c r="O34" i="47"/>
  <c r="M34" i="47"/>
  <c r="AA34" i="47" s="1"/>
  <c r="K34" i="47"/>
  <c r="G34" i="47"/>
  <c r="X33" i="47"/>
  <c r="W33" i="47"/>
  <c r="V33" i="47"/>
  <c r="M33" i="47" s="1"/>
  <c r="U33" i="47"/>
  <c r="O33" i="47"/>
  <c r="K33" i="47"/>
  <c r="G33" i="47"/>
  <c r="V32" i="47"/>
  <c r="U32" i="47"/>
  <c r="O32" i="47"/>
  <c r="M32" i="47"/>
  <c r="AB32" i="47" s="1"/>
  <c r="K32" i="47"/>
  <c r="G32" i="47"/>
  <c r="V31" i="47"/>
  <c r="M31" i="47" s="1"/>
  <c r="U31" i="47"/>
  <c r="O31" i="47"/>
  <c r="K31" i="47"/>
  <c r="G31" i="47"/>
  <c r="V30" i="47"/>
  <c r="U30" i="47"/>
  <c r="O30" i="47"/>
  <c r="M30" i="47"/>
  <c r="AA30" i="47" s="1"/>
  <c r="K30" i="47"/>
  <c r="G30" i="47"/>
  <c r="AB29" i="47"/>
  <c r="X29" i="47"/>
  <c r="W29" i="47"/>
  <c r="V29" i="47"/>
  <c r="O29" i="47"/>
  <c r="M29" i="47"/>
  <c r="AA29" i="47" s="1"/>
  <c r="K29" i="47"/>
  <c r="G29" i="47"/>
  <c r="O28" i="47"/>
  <c r="K28" i="47"/>
  <c r="K13" i="46" s="1"/>
  <c r="I6" i="46" s="1"/>
  <c r="AA27" i="47"/>
  <c r="V27" i="47"/>
  <c r="U27" i="47"/>
  <c r="O27" i="47"/>
  <c r="M27" i="47"/>
  <c r="AB27" i="47" s="1"/>
  <c r="K27" i="47"/>
  <c r="G27" i="47"/>
  <c r="V26" i="47"/>
  <c r="M26" i="47" s="1"/>
  <c r="U26" i="47"/>
  <c r="O26" i="47"/>
  <c r="K26" i="47"/>
  <c r="G26" i="47"/>
  <c r="V25" i="47"/>
  <c r="U25" i="47"/>
  <c r="O25" i="47"/>
  <c r="N25" i="47"/>
  <c r="Q25" i="47" s="1"/>
  <c r="M25" i="47"/>
  <c r="AB25" i="47" s="1"/>
  <c r="K25" i="47"/>
  <c r="G25" i="47"/>
  <c r="X24" i="47"/>
  <c r="W24" i="47"/>
  <c r="V24" i="47"/>
  <c r="M24" i="47" s="1"/>
  <c r="U24" i="47"/>
  <c r="O24" i="47"/>
  <c r="K24" i="47"/>
  <c r="G24" i="47"/>
  <c r="V23" i="47"/>
  <c r="O23" i="47"/>
  <c r="M23" i="47"/>
  <c r="AA23" i="47" s="1"/>
  <c r="K23" i="47"/>
  <c r="G23" i="47"/>
  <c r="O22" i="47"/>
  <c r="K22" i="47"/>
  <c r="V21" i="47"/>
  <c r="U21" i="47"/>
  <c r="O21" i="47"/>
  <c r="M21" i="47"/>
  <c r="AB21" i="47" s="1"/>
  <c r="K21" i="47"/>
  <c r="G21" i="47"/>
  <c r="V20" i="47"/>
  <c r="M20" i="47" s="1"/>
  <c r="U20" i="47"/>
  <c r="O20" i="47"/>
  <c r="K20" i="47"/>
  <c r="G20" i="47"/>
  <c r="V19" i="47"/>
  <c r="U19" i="47"/>
  <c r="O19" i="47"/>
  <c r="M19" i="47"/>
  <c r="AA19" i="47" s="1"/>
  <c r="K19" i="47"/>
  <c r="G19" i="47"/>
  <c r="AA18" i="47"/>
  <c r="V18" i="47"/>
  <c r="O18" i="47"/>
  <c r="M18" i="47"/>
  <c r="AB18" i="47" s="1"/>
  <c r="K18" i="47"/>
  <c r="G18" i="47"/>
  <c r="O17" i="47"/>
  <c r="K17" i="47"/>
  <c r="V16" i="47"/>
  <c r="M16" i="47" s="1"/>
  <c r="U16" i="47"/>
  <c r="O16" i="47"/>
  <c r="K16" i="47"/>
  <c r="G16" i="47"/>
  <c r="V15" i="47"/>
  <c r="M15" i="47" s="1"/>
  <c r="U15" i="47"/>
  <c r="O15" i="47"/>
  <c r="K15" i="47"/>
  <c r="G15" i="47"/>
  <c r="AB14" i="47"/>
  <c r="V14" i="47"/>
  <c r="U14" i="47"/>
  <c r="O14" i="47"/>
  <c r="M14" i="47"/>
  <c r="AA14" i="47" s="1"/>
  <c r="K14" i="47"/>
  <c r="G14" i="47"/>
  <c r="V13" i="47"/>
  <c r="M13" i="47" s="1"/>
  <c r="U13" i="47"/>
  <c r="O13" i="47"/>
  <c r="K13" i="47"/>
  <c r="G13" i="47"/>
  <c r="X12" i="47"/>
  <c r="W12" i="47"/>
  <c r="V12" i="47"/>
  <c r="O12" i="47"/>
  <c r="M12" i="47"/>
  <c r="AB12" i="47" s="1"/>
  <c r="K12" i="47"/>
  <c r="G12" i="47"/>
  <c r="O11" i="47"/>
  <c r="K11" i="47"/>
  <c r="V10" i="47"/>
  <c r="U10" i="47"/>
  <c r="O10" i="47"/>
  <c r="M10" i="47"/>
  <c r="AB10" i="47" s="1"/>
  <c r="K10" i="47"/>
  <c r="G10" i="47"/>
  <c r="F1" i="47" s="1"/>
  <c r="V9" i="47"/>
  <c r="M9" i="47" s="1"/>
  <c r="O9" i="47"/>
  <c r="K9" i="47"/>
  <c r="G9" i="47"/>
  <c r="O8" i="47"/>
  <c r="K8" i="47"/>
  <c r="V7" i="47"/>
  <c r="M7" i="47" s="1"/>
  <c r="U7" i="47"/>
  <c r="O7" i="47"/>
  <c r="K7" i="47"/>
  <c r="G7" i="47"/>
  <c r="V6" i="47"/>
  <c r="U6" i="47"/>
  <c r="O6" i="47"/>
  <c r="M6" i="47"/>
  <c r="AA6" i="47" s="1"/>
  <c r="K6" i="47"/>
  <c r="G6" i="47"/>
  <c r="V5" i="47"/>
  <c r="M5" i="47" s="1"/>
  <c r="O5" i="47"/>
  <c r="K5" i="47"/>
  <c r="G5" i="47"/>
  <c r="H2" i="47"/>
  <c r="H1" i="47"/>
  <c r="D1" i="47"/>
  <c r="F3" i="46" s="1"/>
  <c r="M18" i="46"/>
  <c r="L18" i="46"/>
  <c r="K18" i="46"/>
  <c r="J18" i="46"/>
  <c r="I18" i="46"/>
  <c r="H18" i="46"/>
  <c r="G18" i="46"/>
  <c r="F18" i="46"/>
  <c r="E18" i="46"/>
  <c r="D18" i="46"/>
  <c r="M17" i="46"/>
  <c r="L17" i="46"/>
  <c r="K17" i="46"/>
  <c r="J17" i="46"/>
  <c r="I17" i="46"/>
  <c r="H17" i="46"/>
  <c r="G17" i="46"/>
  <c r="F17" i="46"/>
  <c r="E17" i="46"/>
  <c r="D17" i="46"/>
  <c r="M16" i="46"/>
  <c r="L16" i="46"/>
  <c r="K16" i="46"/>
  <c r="J16" i="46"/>
  <c r="I16" i="46"/>
  <c r="H16" i="46"/>
  <c r="G16" i="46"/>
  <c r="F16" i="46"/>
  <c r="E16" i="46"/>
  <c r="D16" i="46"/>
  <c r="M13" i="46"/>
  <c r="L13" i="46"/>
  <c r="I13" i="46"/>
  <c r="H13" i="46"/>
  <c r="G13" i="46"/>
  <c r="F13" i="46"/>
  <c r="E13" i="46"/>
  <c r="D13" i="46"/>
  <c r="C3" i="46"/>
  <c r="F8" i="54" l="1"/>
  <c r="G8" i="54"/>
  <c r="E8" i="54"/>
  <c r="D15" i="52"/>
  <c r="E7" i="52"/>
  <c r="G7" i="52"/>
  <c r="F7" i="52"/>
  <c r="Q48" i="51"/>
  <c r="R42" i="51" s="1"/>
  <c r="H14" i="50"/>
  <c r="H15" i="50" s="1"/>
  <c r="P48" i="51"/>
  <c r="P23" i="51"/>
  <c r="Q23" i="51"/>
  <c r="R19" i="51" s="1"/>
  <c r="G14" i="50"/>
  <c r="G15" i="50" s="1"/>
  <c r="L14" i="50"/>
  <c r="Q41" i="51"/>
  <c r="R33" i="51" s="1"/>
  <c r="P41" i="51"/>
  <c r="Q12" i="51"/>
  <c r="R9" i="51" s="1"/>
  <c r="P12" i="51"/>
  <c r="E14" i="50"/>
  <c r="D2" i="51"/>
  <c r="Q15" i="49"/>
  <c r="P15" i="49"/>
  <c r="Q61" i="49"/>
  <c r="P61" i="49"/>
  <c r="Q44" i="49"/>
  <c r="P44" i="49"/>
  <c r="Q30" i="49"/>
  <c r="P30" i="49"/>
  <c r="N55" i="49"/>
  <c r="Q55" i="49" s="1"/>
  <c r="R49" i="49" s="1"/>
  <c r="AB55" i="49"/>
  <c r="AC49" i="49" s="1"/>
  <c r="AA55" i="49"/>
  <c r="P57" i="49"/>
  <c r="Q57" i="49"/>
  <c r="Q26" i="49"/>
  <c r="P26" i="49"/>
  <c r="P59" i="49"/>
  <c r="Q59" i="49"/>
  <c r="Q69" i="49"/>
  <c r="P69" i="49"/>
  <c r="Q47" i="49"/>
  <c r="P47" i="49"/>
  <c r="Q7" i="49"/>
  <c r="P7" i="49"/>
  <c r="Q45" i="49"/>
  <c r="P45" i="49"/>
  <c r="Q27" i="49"/>
  <c r="P27" i="49"/>
  <c r="P58" i="49"/>
  <c r="Q58" i="49"/>
  <c r="P34" i="49"/>
  <c r="Q34" i="49"/>
  <c r="P14" i="49"/>
  <c r="Q14" i="49"/>
  <c r="P5" i="49"/>
  <c r="Q5" i="49"/>
  <c r="Q70" i="49"/>
  <c r="P70" i="49"/>
  <c r="P65" i="49"/>
  <c r="Q65" i="49"/>
  <c r="P62" i="49"/>
  <c r="Q62" i="49"/>
  <c r="AB71" i="49"/>
  <c r="AC61" i="49" s="1"/>
  <c r="AA71" i="49"/>
  <c r="N71" i="49"/>
  <c r="M14" i="48" s="1"/>
  <c r="M15" i="48" s="1"/>
  <c r="P56" i="49"/>
  <c r="Q56" i="49"/>
  <c r="AB60" i="49"/>
  <c r="AC56" i="49" s="1"/>
  <c r="AA60" i="49"/>
  <c r="N60" i="49"/>
  <c r="Q54" i="49"/>
  <c r="P54" i="49"/>
  <c r="Q52" i="49"/>
  <c r="P52" i="49"/>
  <c r="Q51" i="49"/>
  <c r="P51" i="49"/>
  <c r="P49" i="49"/>
  <c r="Q49" i="49"/>
  <c r="I14" i="48"/>
  <c r="I15" i="48" s="1"/>
  <c r="P43" i="49"/>
  <c r="Q43" i="49"/>
  <c r="Q42" i="49"/>
  <c r="P42" i="49"/>
  <c r="L14" i="48"/>
  <c r="L15" i="48" s="1"/>
  <c r="Q41" i="49"/>
  <c r="R33" i="49" s="1"/>
  <c r="P41" i="49"/>
  <c r="P36" i="49"/>
  <c r="Q36" i="49"/>
  <c r="P29" i="49"/>
  <c r="Q29" i="49"/>
  <c r="P25" i="49"/>
  <c r="Q25" i="49"/>
  <c r="AB32" i="49"/>
  <c r="AC24" i="49" s="1"/>
  <c r="AA32" i="49"/>
  <c r="N32" i="49"/>
  <c r="Q24" i="49"/>
  <c r="P24" i="49"/>
  <c r="G14" i="48"/>
  <c r="G15" i="48" s="1"/>
  <c r="Q23" i="49"/>
  <c r="R19" i="49" s="1"/>
  <c r="P16" i="49"/>
  <c r="Q16" i="49"/>
  <c r="Q13" i="49"/>
  <c r="P13" i="49"/>
  <c r="AA18" i="49"/>
  <c r="AB18" i="49"/>
  <c r="AC13" i="49" s="1"/>
  <c r="N18" i="49"/>
  <c r="AB12" i="49"/>
  <c r="AC9" i="49" s="1"/>
  <c r="AA12" i="49"/>
  <c r="N12" i="49"/>
  <c r="P9" i="49"/>
  <c r="Q9" i="49"/>
  <c r="AA60" i="47"/>
  <c r="N60" i="47"/>
  <c r="AB60" i="47"/>
  <c r="N53" i="47"/>
  <c r="AB53" i="47"/>
  <c r="AA53" i="47"/>
  <c r="AA5" i="47"/>
  <c r="N5" i="47"/>
  <c r="M8" i="47"/>
  <c r="AB5" i="47"/>
  <c r="N55" i="47"/>
  <c r="M62" i="47"/>
  <c r="AB55" i="47"/>
  <c r="AA55" i="47"/>
  <c r="N44" i="47"/>
  <c r="AB44" i="47"/>
  <c r="AA44" i="47"/>
  <c r="N33" i="47"/>
  <c r="AB33" i="47"/>
  <c r="AA33" i="47"/>
  <c r="N40" i="47"/>
  <c r="AB40" i="47"/>
  <c r="AA40" i="47"/>
  <c r="AA26" i="47"/>
  <c r="AB26" i="47"/>
  <c r="N26" i="47"/>
  <c r="AA37" i="47"/>
  <c r="AB37" i="47"/>
  <c r="N37" i="47"/>
  <c r="AB59" i="47"/>
  <c r="AA59" i="47"/>
  <c r="N59" i="47"/>
  <c r="P52" i="47"/>
  <c r="Q52" i="47"/>
  <c r="AB15" i="47"/>
  <c r="AA15" i="47"/>
  <c r="N15" i="47"/>
  <c r="N7" i="47"/>
  <c r="AB7" i="47"/>
  <c r="AA7" i="47"/>
  <c r="AB24" i="47"/>
  <c r="N24" i="47"/>
  <c r="AA24" i="47"/>
  <c r="N20" i="47"/>
  <c r="AB20" i="47"/>
  <c r="AA20" i="47"/>
  <c r="AA16" i="47"/>
  <c r="N16" i="47"/>
  <c r="AB16" i="47"/>
  <c r="AA46" i="47"/>
  <c r="AB46" i="47"/>
  <c r="N46" i="47"/>
  <c r="AA57" i="47"/>
  <c r="AB57" i="47"/>
  <c r="N57" i="47"/>
  <c r="M54" i="47"/>
  <c r="AB50" i="47"/>
  <c r="AA50" i="47"/>
  <c r="N50" i="47"/>
  <c r="M11" i="47"/>
  <c r="N9" i="47"/>
  <c r="AB9" i="47"/>
  <c r="AA9" i="47"/>
  <c r="AB13" i="47"/>
  <c r="AA13" i="47"/>
  <c r="N13" i="47"/>
  <c r="I3" i="46"/>
  <c r="F2" i="47"/>
  <c r="M42" i="47"/>
  <c r="N31" i="47"/>
  <c r="AB31" i="47"/>
  <c r="AA31" i="47"/>
  <c r="N38" i="47"/>
  <c r="AB38" i="47"/>
  <c r="AA38" i="47"/>
  <c r="F6" i="46"/>
  <c r="Q51" i="47"/>
  <c r="P51" i="47"/>
  <c r="M35" i="47"/>
  <c r="M28" i="47"/>
  <c r="M17" i="47"/>
  <c r="N41" i="47"/>
  <c r="N19" i="47"/>
  <c r="N61" i="47"/>
  <c r="N6" i="47"/>
  <c r="N30" i="47"/>
  <c r="N10" i="47"/>
  <c r="AB6" i="47"/>
  <c r="N18" i="47"/>
  <c r="AA21" i="47"/>
  <c r="AB23" i="47"/>
  <c r="P25" i="47"/>
  <c r="N27" i="47"/>
  <c r="AB30" i="47"/>
  <c r="P36" i="47"/>
  <c r="AA39" i="47"/>
  <c r="P45" i="47"/>
  <c r="N47" i="47"/>
  <c r="M49" i="47"/>
  <c r="AB52" i="47"/>
  <c r="N12" i="47"/>
  <c r="N21" i="47"/>
  <c r="Q48" i="47"/>
  <c r="N32" i="47"/>
  <c r="N43" i="47"/>
  <c r="N56" i="47"/>
  <c r="AA61" i="47"/>
  <c r="N14" i="47"/>
  <c r="N29" i="47"/>
  <c r="N23" i="47"/>
  <c r="N39" i="47"/>
  <c r="G6" i="46"/>
  <c r="AB19" i="47"/>
  <c r="N34" i="47"/>
  <c r="AA52" i="47"/>
  <c r="N58" i="47"/>
  <c r="E6" i="46"/>
  <c r="AB43" i="47"/>
  <c r="AA10" i="47"/>
  <c r="AA32" i="47"/>
  <c r="AA12" i="47"/>
  <c r="AA41" i="47"/>
  <c r="M22" i="47"/>
  <c r="AA56" i="47"/>
  <c r="AA25" i="47"/>
  <c r="AA36" i="47"/>
  <c r="AA45" i="47"/>
  <c r="AB36" i="47"/>
  <c r="O62" i="43"/>
  <c r="K62" i="43"/>
  <c r="V61" i="43"/>
  <c r="M61" i="43" s="1"/>
  <c r="U61" i="43"/>
  <c r="O61" i="43"/>
  <c r="K61" i="43"/>
  <c r="G61" i="43"/>
  <c r="V60" i="43"/>
  <c r="M60" i="43" s="1"/>
  <c r="U60" i="43"/>
  <c r="O60" i="43"/>
  <c r="K60" i="43"/>
  <c r="G60" i="43"/>
  <c r="V59" i="43"/>
  <c r="M59" i="43" s="1"/>
  <c r="U59" i="43"/>
  <c r="O59" i="43"/>
  <c r="K59" i="43"/>
  <c r="G59" i="43"/>
  <c r="V58" i="43"/>
  <c r="M58" i="43" s="1"/>
  <c r="U58" i="43"/>
  <c r="O58" i="43"/>
  <c r="K58" i="43"/>
  <c r="G58" i="43"/>
  <c r="V57" i="43"/>
  <c r="M57" i="43" s="1"/>
  <c r="U57" i="43"/>
  <c r="O57" i="43"/>
  <c r="K57" i="43"/>
  <c r="G57" i="43"/>
  <c r="X56" i="43"/>
  <c r="W56" i="43"/>
  <c r="V56" i="43"/>
  <c r="M56" i="43" s="1"/>
  <c r="U56" i="43"/>
  <c r="O56" i="43"/>
  <c r="K56" i="43"/>
  <c r="G56" i="43"/>
  <c r="V55" i="43"/>
  <c r="M55" i="43" s="1"/>
  <c r="O55" i="43"/>
  <c r="K55" i="43"/>
  <c r="G55" i="43"/>
  <c r="O54" i="43"/>
  <c r="M54" i="43"/>
  <c r="AB54" i="43" s="1"/>
  <c r="AC50" i="43" s="1"/>
  <c r="K54" i="43"/>
  <c r="V53" i="43"/>
  <c r="U53" i="43"/>
  <c r="O53" i="43"/>
  <c r="N53" i="43"/>
  <c r="Q53" i="43" s="1"/>
  <c r="M53" i="43"/>
  <c r="AB53" i="43" s="1"/>
  <c r="K53" i="43"/>
  <c r="G53" i="43"/>
  <c r="AB52" i="43"/>
  <c r="V52" i="43"/>
  <c r="U52" i="43"/>
  <c r="O52" i="43"/>
  <c r="N52" i="43"/>
  <c r="Q52" i="43" s="1"/>
  <c r="M52" i="43"/>
  <c r="AA52" i="43" s="1"/>
  <c r="K52" i="43"/>
  <c r="G52" i="43"/>
  <c r="AB51" i="43"/>
  <c r="AA51" i="43"/>
  <c r="V51" i="43"/>
  <c r="U51" i="43"/>
  <c r="O51" i="43"/>
  <c r="M51" i="43"/>
  <c r="N51" i="43" s="1"/>
  <c r="K51" i="43"/>
  <c r="G51" i="43"/>
  <c r="AB50" i="43"/>
  <c r="AA50" i="43"/>
  <c r="V50" i="43"/>
  <c r="O50" i="43"/>
  <c r="M50" i="43"/>
  <c r="N50" i="43" s="1"/>
  <c r="K50" i="43"/>
  <c r="G50" i="43"/>
  <c r="O49" i="43"/>
  <c r="K49" i="43"/>
  <c r="V48" i="43"/>
  <c r="M48" i="43" s="1"/>
  <c r="U48" i="43"/>
  <c r="O48" i="43"/>
  <c r="K48" i="43"/>
  <c r="G48" i="43"/>
  <c r="V47" i="43"/>
  <c r="M47" i="43" s="1"/>
  <c r="U47" i="43"/>
  <c r="O47" i="43"/>
  <c r="K47" i="43"/>
  <c r="G47" i="43"/>
  <c r="V46" i="43"/>
  <c r="U46" i="43"/>
  <c r="O46" i="43"/>
  <c r="M46" i="43"/>
  <c r="AB46" i="43" s="1"/>
  <c r="K46" i="43"/>
  <c r="G46" i="43"/>
  <c r="V45" i="43"/>
  <c r="U45" i="43"/>
  <c r="O45" i="43"/>
  <c r="M45" i="43"/>
  <c r="AB45" i="43" s="1"/>
  <c r="K45" i="43"/>
  <c r="G45" i="43"/>
  <c r="V44" i="43"/>
  <c r="U44" i="43"/>
  <c r="P44" i="43"/>
  <c r="O44" i="43"/>
  <c r="N44" i="43"/>
  <c r="Q44" i="43" s="1"/>
  <c r="M44" i="43"/>
  <c r="AB44" i="43" s="1"/>
  <c r="K44" i="43"/>
  <c r="G44" i="43"/>
  <c r="V43" i="43"/>
  <c r="P43" i="43"/>
  <c r="O43" i="43"/>
  <c r="N43" i="43"/>
  <c r="Q43" i="43" s="1"/>
  <c r="M43" i="43"/>
  <c r="AB43" i="43" s="1"/>
  <c r="K43" i="43"/>
  <c r="G43" i="43"/>
  <c r="O42" i="43"/>
  <c r="K42" i="43"/>
  <c r="V41" i="43"/>
  <c r="M41" i="43" s="1"/>
  <c r="U41" i="43"/>
  <c r="O41" i="43"/>
  <c r="K41" i="43"/>
  <c r="G41" i="43"/>
  <c r="V40" i="43"/>
  <c r="M40" i="43" s="1"/>
  <c r="U40" i="43"/>
  <c r="O40" i="43"/>
  <c r="K40" i="43"/>
  <c r="G40" i="43"/>
  <c r="V39" i="43"/>
  <c r="M39" i="43" s="1"/>
  <c r="U39" i="43"/>
  <c r="O39" i="43"/>
  <c r="K39" i="43"/>
  <c r="G39" i="43"/>
  <c r="V38" i="43"/>
  <c r="M38" i="43" s="1"/>
  <c r="U38" i="43"/>
  <c r="O38" i="43"/>
  <c r="K38" i="43"/>
  <c r="G38" i="43"/>
  <c r="X37" i="43"/>
  <c r="W37" i="43"/>
  <c r="V37" i="43"/>
  <c r="M37" i="43" s="1"/>
  <c r="U37" i="43"/>
  <c r="O37" i="43"/>
  <c r="K37" i="43"/>
  <c r="G37" i="43"/>
  <c r="V36" i="43"/>
  <c r="M36" i="43" s="1"/>
  <c r="O36" i="43"/>
  <c r="K36" i="43"/>
  <c r="G36" i="43"/>
  <c r="O35" i="43"/>
  <c r="M35" i="43"/>
  <c r="AB35" i="43" s="1"/>
  <c r="AC29" i="43" s="1"/>
  <c r="K35" i="43"/>
  <c r="V34" i="43"/>
  <c r="U34" i="43"/>
  <c r="P34" i="43"/>
  <c r="O34" i="43"/>
  <c r="N34" i="43"/>
  <c r="Q34" i="43" s="1"/>
  <c r="M34" i="43"/>
  <c r="AB34" i="43" s="1"/>
  <c r="K34" i="43"/>
  <c r="G34" i="43"/>
  <c r="X33" i="43"/>
  <c r="W33" i="43"/>
  <c r="V33" i="43"/>
  <c r="U33" i="43"/>
  <c r="O33" i="43"/>
  <c r="M33" i="43"/>
  <c r="AB33" i="43" s="1"/>
  <c r="K33" i="43"/>
  <c r="G33" i="43"/>
  <c r="V32" i="43"/>
  <c r="U32" i="43"/>
  <c r="P32" i="43"/>
  <c r="O32" i="43"/>
  <c r="N32" i="43"/>
  <c r="Q32" i="43" s="1"/>
  <c r="M32" i="43"/>
  <c r="AB32" i="43" s="1"/>
  <c r="K32" i="43"/>
  <c r="G32" i="43"/>
  <c r="V31" i="43"/>
  <c r="U31" i="43"/>
  <c r="O31" i="43"/>
  <c r="N31" i="43"/>
  <c r="Q31" i="43" s="1"/>
  <c r="M31" i="43"/>
  <c r="AB31" i="43" s="1"/>
  <c r="K31" i="43"/>
  <c r="G31" i="43"/>
  <c r="AB30" i="43"/>
  <c r="V30" i="43"/>
  <c r="U30" i="43"/>
  <c r="O30" i="43"/>
  <c r="N30" i="43"/>
  <c r="Q30" i="43" s="1"/>
  <c r="M30" i="43"/>
  <c r="AA30" i="43" s="1"/>
  <c r="K30" i="43"/>
  <c r="G30" i="43"/>
  <c r="AB29" i="43"/>
  <c r="X29" i="43"/>
  <c r="W29" i="43"/>
  <c r="V29" i="43"/>
  <c r="P29" i="43"/>
  <c r="O29" i="43"/>
  <c r="N29" i="43"/>
  <c r="Q29" i="43" s="1"/>
  <c r="M29" i="43"/>
  <c r="AA29" i="43" s="1"/>
  <c r="K29" i="43"/>
  <c r="G29" i="43"/>
  <c r="O28" i="43"/>
  <c r="K28" i="43"/>
  <c r="V27" i="43"/>
  <c r="M27" i="43" s="1"/>
  <c r="U27" i="43"/>
  <c r="O27" i="43"/>
  <c r="K27" i="43"/>
  <c r="G27" i="43"/>
  <c r="V26" i="43"/>
  <c r="M26" i="43" s="1"/>
  <c r="U26" i="43"/>
  <c r="O26" i="43"/>
  <c r="K26" i="43"/>
  <c r="G26" i="43"/>
  <c r="V25" i="43"/>
  <c r="M25" i="43" s="1"/>
  <c r="U25" i="43"/>
  <c r="O25" i="43"/>
  <c r="K25" i="43"/>
  <c r="G25" i="43"/>
  <c r="X24" i="43"/>
  <c r="W24" i="43"/>
  <c r="V24" i="43"/>
  <c r="M24" i="43" s="1"/>
  <c r="U24" i="43"/>
  <c r="O24" i="43"/>
  <c r="K24" i="43"/>
  <c r="G24" i="43"/>
  <c r="V23" i="43"/>
  <c r="M23" i="43" s="1"/>
  <c r="O23" i="43"/>
  <c r="K23" i="43"/>
  <c r="G23" i="43"/>
  <c r="O22" i="43"/>
  <c r="K22" i="43"/>
  <c r="V21" i="43"/>
  <c r="U21" i="43"/>
  <c r="O21" i="43"/>
  <c r="M21" i="43"/>
  <c r="AB21" i="43" s="1"/>
  <c r="K21" i="43"/>
  <c r="G21" i="43"/>
  <c r="V20" i="43"/>
  <c r="U20" i="43"/>
  <c r="P20" i="43"/>
  <c r="O20" i="43"/>
  <c r="N20" i="43"/>
  <c r="M20" i="43"/>
  <c r="AB20" i="43" s="1"/>
  <c r="K20" i="43"/>
  <c r="Q20" i="43" s="1"/>
  <c r="G20" i="43"/>
  <c r="V19" i="43"/>
  <c r="U19" i="43"/>
  <c r="Q19" i="43"/>
  <c r="P19" i="43"/>
  <c r="O19" i="43"/>
  <c r="N19" i="43"/>
  <c r="M19" i="43"/>
  <c r="AB19" i="43" s="1"/>
  <c r="K19" i="43"/>
  <c r="G19" i="43"/>
  <c r="V18" i="43"/>
  <c r="O18" i="43"/>
  <c r="M18" i="43"/>
  <c r="M22" i="43" s="1"/>
  <c r="K18" i="43"/>
  <c r="G18" i="43"/>
  <c r="O17" i="43"/>
  <c r="K17" i="43"/>
  <c r="AB16" i="43"/>
  <c r="AA16" i="43"/>
  <c r="V16" i="43"/>
  <c r="U16" i="43"/>
  <c r="O16" i="43"/>
  <c r="M16" i="43"/>
  <c r="N16" i="43" s="1"/>
  <c r="K16" i="43"/>
  <c r="G16" i="43"/>
  <c r="V15" i="43"/>
  <c r="M15" i="43" s="1"/>
  <c r="U15" i="43"/>
  <c r="O15" i="43"/>
  <c r="K15" i="43"/>
  <c r="G15" i="43"/>
  <c r="V14" i="43"/>
  <c r="M14" i="43" s="1"/>
  <c r="U14" i="43"/>
  <c r="O14" i="43"/>
  <c r="K14" i="43"/>
  <c r="G14" i="43"/>
  <c r="V13" i="43"/>
  <c r="M13" i="43" s="1"/>
  <c r="U13" i="43"/>
  <c r="O13" i="43"/>
  <c r="K13" i="43"/>
  <c r="G13" i="43"/>
  <c r="X12" i="43"/>
  <c r="W12" i="43"/>
  <c r="V12" i="43"/>
  <c r="M12" i="43" s="1"/>
  <c r="O12" i="43"/>
  <c r="K12" i="43"/>
  <c r="G12" i="43"/>
  <c r="O11" i="43"/>
  <c r="M11" i="43"/>
  <c r="AB11" i="43" s="1"/>
  <c r="AC9" i="43" s="1"/>
  <c r="K11" i="43"/>
  <c r="V10" i="43"/>
  <c r="U10" i="43"/>
  <c r="O10" i="43"/>
  <c r="N10" i="43"/>
  <c r="Q10" i="43" s="1"/>
  <c r="M10" i="43"/>
  <c r="AB10" i="43" s="1"/>
  <c r="K10" i="43"/>
  <c r="G10" i="43"/>
  <c r="V9" i="43"/>
  <c r="O9" i="43"/>
  <c r="N9" i="43"/>
  <c r="Q9" i="43" s="1"/>
  <c r="M9" i="43"/>
  <c r="AB9" i="43" s="1"/>
  <c r="K9" i="43"/>
  <c r="G9" i="43"/>
  <c r="F1" i="43" s="1"/>
  <c r="O8" i="43"/>
  <c r="K8" i="43"/>
  <c r="V7" i="43"/>
  <c r="M7" i="43" s="1"/>
  <c r="U7" i="43"/>
  <c r="O7" i="43"/>
  <c r="K7" i="43"/>
  <c r="G7" i="43"/>
  <c r="V6" i="43"/>
  <c r="M6" i="43" s="1"/>
  <c r="U6" i="43"/>
  <c r="O6" i="43"/>
  <c r="K6" i="43"/>
  <c r="G6" i="43"/>
  <c r="V5" i="43"/>
  <c r="M5" i="43" s="1"/>
  <c r="O5" i="43"/>
  <c r="K5" i="43"/>
  <c r="G5" i="43"/>
  <c r="H2" i="43"/>
  <c r="H1" i="43"/>
  <c r="D1" i="43"/>
  <c r="M18" i="42"/>
  <c r="L18" i="42"/>
  <c r="K18" i="42"/>
  <c r="J18" i="42"/>
  <c r="I18" i="42"/>
  <c r="H18" i="42"/>
  <c r="G18" i="42"/>
  <c r="F18" i="42"/>
  <c r="E18" i="42"/>
  <c r="D18" i="42"/>
  <c r="M17" i="42"/>
  <c r="L17" i="42"/>
  <c r="K17" i="42"/>
  <c r="J17" i="42"/>
  <c r="I17" i="42"/>
  <c r="H17" i="42"/>
  <c r="G17" i="42"/>
  <c r="F17" i="42"/>
  <c r="E17" i="42"/>
  <c r="D17" i="42"/>
  <c r="M16" i="42"/>
  <c r="L16" i="42"/>
  <c r="K16" i="42"/>
  <c r="J16" i="42"/>
  <c r="I16" i="42"/>
  <c r="H16" i="42"/>
  <c r="G16" i="42"/>
  <c r="F16" i="42"/>
  <c r="E16" i="42"/>
  <c r="D16" i="42"/>
  <c r="M13" i="42"/>
  <c r="L13" i="42"/>
  <c r="K13" i="42"/>
  <c r="I6" i="42" s="1"/>
  <c r="J13" i="42"/>
  <c r="I13" i="42"/>
  <c r="H13" i="42"/>
  <c r="E6" i="42" s="1"/>
  <c r="G13" i="42"/>
  <c r="F13" i="42"/>
  <c r="E13" i="42"/>
  <c r="D13" i="42"/>
  <c r="G6" i="42" s="1"/>
  <c r="F3" i="42"/>
  <c r="C3" i="42"/>
  <c r="G8" i="52" l="1"/>
  <c r="E8" i="52"/>
  <c r="F8" i="52"/>
  <c r="L15" i="50"/>
  <c r="I8" i="50" s="1"/>
  <c r="I7" i="50"/>
  <c r="E15" i="50"/>
  <c r="E7" i="50"/>
  <c r="G7" i="50"/>
  <c r="F7" i="50"/>
  <c r="D2" i="49"/>
  <c r="P55" i="49"/>
  <c r="E14" i="48"/>
  <c r="P12" i="49"/>
  <c r="Q12" i="49"/>
  <c r="R9" i="49" s="1"/>
  <c r="F14" i="48"/>
  <c r="F15" i="48" s="1"/>
  <c r="Q18" i="49"/>
  <c r="R13" i="49" s="1"/>
  <c r="P18" i="49"/>
  <c r="K14" i="48"/>
  <c r="P32" i="49"/>
  <c r="Q32" i="49"/>
  <c r="R24" i="49" s="1"/>
  <c r="J14" i="48"/>
  <c r="J15" i="48" s="1"/>
  <c r="Q60" i="49"/>
  <c r="R56" i="49" s="1"/>
  <c r="P60" i="49"/>
  <c r="Q71" i="49"/>
  <c r="R61" i="49" s="1"/>
  <c r="P71" i="49"/>
  <c r="Q50" i="47"/>
  <c r="P50" i="47"/>
  <c r="AB35" i="47"/>
  <c r="AC29" i="47" s="1"/>
  <c r="AA35" i="47"/>
  <c r="N35" i="47"/>
  <c r="P23" i="47"/>
  <c r="Q23" i="47"/>
  <c r="Q14" i="47"/>
  <c r="P14" i="47"/>
  <c r="Q16" i="47"/>
  <c r="P16" i="47"/>
  <c r="Q5" i="47"/>
  <c r="P5" i="47"/>
  <c r="AB28" i="47"/>
  <c r="AC23" i="47" s="1"/>
  <c r="AA28" i="47"/>
  <c r="N28" i="47"/>
  <c r="Q27" i="47"/>
  <c r="P27" i="47"/>
  <c r="Q31" i="47"/>
  <c r="P31" i="47"/>
  <c r="AB54" i="47"/>
  <c r="AC50" i="47" s="1"/>
  <c r="AA54" i="47"/>
  <c r="N54" i="47"/>
  <c r="Q46" i="47"/>
  <c r="P46" i="47"/>
  <c r="AA8" i="47"/>
  <c r="AB8" i="47"/>
  <c r="AC5" i="47" s="1"/>
  <c r="N8" i="47"/>
  <c r="P30" i="47"/>
  <c r="Q30" i="47"/>
  <c r="Q7" i="47"/>
  <c r="P7" i="47"/>
  <c r="Q58" i="47"/>
  <c r="P58" i="47"/>
  <c r="Q44" i="47"/>
  <c r="P44" i="47"/>
  <c r="Q59" i="47"/>
  <c r="P59" i="47"/>
  <c r="Q56" i="47"/>
  <c r="P56" i="47"/>
  <c r="P26" i="47"/>
  <c r="Q26" i="47"/>
  <c r="Q43" i="47"/>
  <c r="P43" i="47"/>
  <c r="P6" i="47"/>
  <c r="Q6" i="47"/>
  <c r="Q15" i="47"/>
  <c r="P15" i="47"/>
  <c r="Q57" i="47"/>
  <c r="P57" i="47"/>
  <c r="N42" i="47"/>
  <c r="AB42" i="47"/>
  <c r="AC36" i="47" s="1"/>
  <c r="AA42" i="47"/>
  <c r="Q10" i="47"/>
  <c r="P10" i="47"/>
  <c r="Q13" i="47"/>
  <c r="P13" i="47"/>
  <c r="Q32" i="47"/>
  <c r="P32" i="47"/>
  <c r="Q61" i="47"/>
  <c r="P61" i="47"/>
  <c r="Q20" i="47"/>
  <c r="P20" i="47"/>
  <c r="Q53" i="47"/>
  <c r="P53" i="47"/>
  <c r="AB62" i="47"/>
  <c r="AC55" i="47" s="1"/>
  <c r="AA62" i="47"/>
  <c r="N62" i="47"/>
  <c r="Q39" i="47"/>
  <c r="P39" i="47"/>
  <c r="Q29" i="47"/>
  <c r="P29" i="47"/>
  <c r="N22" i="47"/>
  <c r="AB22" i="47"/>
  <c r="AC18" i="47" s="1"/>
  <c r="AA22" i="47"/>
  <c r="Q19" i="47"/>
  <c r="P19" i="47"/>
  <c r="N11" i="47"/>
  <c r="AB11" i="47"/>
  <c r="AC9" i="47" s="1"/>
  <c r="AA11" i="47"/>
  <c r="Q47" i="47"/>
  <c r="P47" i="47"/>
  <c r="Q34" i="47"/>
  <c r="P34" i="47"/>
  <c r="Q18" i="47"/>
  <c r="P18" i="47"/>
  <c r="Q41" i="47"/>
  <c r="P41" i="47"/>
  <c r="Q60" i="47"/>
  <c r="P60" i="47"/>
  <c r="AB49" i="47"/>
  <c r="AC43" i="47" s="1"/>
  <c r="AA49" i="47"/>
  <c r="N49" i="47"/>
  <c r="Q33" i="47"/>
  <c r="P33" i="47"/>
  <c r="Q38" i="47"/>
  <c r="P38" i="47"/>
  <c r="Q55" i="47"/>
  <c r="P55" i="47"/>
  <c r="Q37" i="47"/>
  <c r="P37" i="47"/>
  <c r="Q21" i="47"/>
  <c r="P21" i="47"/>
  <c r="P24" i="47"/>
  <c r="Q24" i="47"/>
  <c r="Q12" i="47"/>
  <c r="P12" i="47"/>
  <c r="AA17" i="47"/>
  <c r="AB17" i="47"/>
  <c r="AC12" i="47" s="1"/>
  <c r="N17" i="47"/>
  <c r="Q9" i="47"/>
  <c r="P9" i="47"/>
  <c r="P40" i="47"/>
  <c r="Q40" i="47"/>
  <c r="N6" i="43"/>
  <c r="AB6" i="43"/>
  <c r="AA6" i="43"/>
  <c r="N36" i="43"/>
  <c r="M42" i="43"/>
  <c r="AB36" i="43"/>
  <c r="AA36" i="43"/>
  <c r="N38" i="43"/>
  <c r="AB38" i="43"/>
  <c r="AA38" i="43"/>
  <c r="N27" i="43"/>
  <c r="AB27" i="43"/>
  <c r="AA27" i="43"/>
  <c r="N25" i="43"/>
  <c r="AB25" i="43"/>
  <c r="AA25" i="43"/>
  <c r="N39" i="43"/>
  <c r="AB39" i="43"/>
  <c r="AA39" i="43"/>
  <c r="N48" i="43"/>
  <c r="AB48" i="43"/>
  <c r="AA48" i="43"/>
  <c r="N5" i="43"/>
  <c r="M8" i="43"/>
  <c r="AB5" i="43"/>
  <c r="AA5" i="43"/>
  <c r="F2" i="43"/>
  <c r="I3" i="42"/>
  <c r="N15" i="43"/>
  <c r="AB15" i="43"/>
  <c r="AA15" i="43"/>
  <c r="AB57" i="43"/>
  <c r="AA57" i="43"/>
  <c r="N57" i="43"/>
  <c r="N14" i="43"/>
  <c r="AB14" i="43"/>
  <c r="AA14" i="43"/>
  <c r="N41" i="43"/>
  <c r="AB41" i="43"/>
  <c r="AA41" i="43"/>
  <c r="N23" i="43"/>
  <c r="M28" i="43"/>
  <c r="AB23" i="43"/>
  <c r="AA23" i="43"/>
  <c r="N7" i="43"/>
  <c r="AB7" i="43"/>
  <c r="AA7" i="43"/>
  <c r="AB22" i="43"/>
  <c r="AC18" i="43" s="1"/>
  <c r="AA22" i="43"/>
  <c r="N22" i="43"/>
  <c r="N24" i="43"/>
  <c r="AB24" i="43"/>
  <c r="AA24" i="43"/>
  <c r="N26" i="43"/>
  <c r="AB26" i="43"/>
  <c r="AA26" i="43"/>
  <c r="N55" i="43"/>
  <c r="AB55" i="43"/>
  <c r="M62" i="43"/>
  <c r="AA55" i="43"/>
  <c r="AB13" i="43"/>
  <c r="AA13" i="43"/>
  <c r="N13" i="43"/>
  <c r="N40" i="43"/>
  <c r="AB40" i="43"/>
  <c r="AA40" i="43"/>
  <c r="P16" i="43"/>
  <c r="Q16" i="43"/>
  <c r="Q50" i="43"/>
  <c r="P50" i="43"/>
  <c r="N60" i="43"/>
  <c r="AB60" i="43"/>
  <c r="AA60" i="43"/>
  <c r="AB47" i="43"/>
  <c r="AA47" i="43"/>
  <c r="N47" i="43"/>
  <c r="N58" i="43"/>
  <c r="AB58" i="43"/>
  <c r="AA58" i="43"/>
  <c r="N61" i="43"/>
  <c r="AB61" i="43"/>
  <c r="AA61" i="43"/>
  <c r="Q51" i="43"/>
  <c r="P51" i="43"/>
  <c r="N56" i="43"/>
  <c r="AB56" i="43"/>
  <c r="AA56" i="43"/>
  <c r="N12" i="43"/>
  <c r="AB12" i="43"/>
  <c r="M17" i="43"/>
  <c r="AA12" i="43"/>
  <c r="N37" i="43"/>
  <c r="AB37" i="43"/>
  <c r="AA37" i="43"/>
  <c r="N59" i="43"/>
  <c r="AB59" i="43"/>
  <c r="AA59" i="43"/>
  <c r="N11" i="43"/>
  <c r="N35" i="43"/>
  <c r="N46" i="43"/>
  <c r="N21" i="43"/>
  <c r="N33" i="43"/>
  <c r="N45" i="43"/>
  <c r="N54" i="43"/>
  <c r="F6" i="42"/>
  <c r="N18" i="43"/>
  <c r="P9" i="43"/>
  <c r="P10" i="43"/>
  <c r="AA11" i="43"/>
  <c r="AA35" i="43"/>
  <c r="P31" i="43"/>
  <c r="P53" i="43"/>
  <c r="AA54" i="43"/>
  <c r="P30" i="43"/>
  <c r="AA46" i="43"/>
  <c r="P52" i="43"/>
  <c r="AA21" i="43"/>
  <c r="AA45" i="43"/>
  <c r="M49" i="43"/>
  <c r="AA9" i="43"/>
  <c r="AA10" i="43"/>
  <c r="AA20" i="43"/>
  <c r="AA32" i="43"/>
  <c r="AA34" i="43"/>
  <c r="AA43" i="43"/>
  <c r="AA44" i="43"/>
  <c r="AA18" i="43"/>
  <c r="AA19" i="43"/>
  <c r="AA31" i="43"/>
  <c r="AA33" i="43"/>
  <c r="AA53" i="43"/>
  <c r="AB18" i="43"/>
  <c r="O69" i="39"/>
  <c r="K69" i="39"/>
  <c r="V68" i="39"/>
  <c r="M68" i="39" s="1"/>
  <c r="U68" i="39"/>
  <c r="O68" i="39"/>
  <c r="K68" i="39"/>
  <c r="G68" i="39"/>
  <c r="V67" i="39"/>
  <c r="M67" i="39" s="1"/>
  <c r="U67" i="39"/>
  <c r="O67" i="39"/>
  <c r="K67" i="39"/>
  <c r="G67" i="39"/>
  <c r="X66" i="39"/>
  <c r="W66" i="39"/>
  <c r="V66" i="39"/>
  <c r="M66" i="39" s="1"/>
  <c r="U66" i="39"/>
  <c r="O66" i="39"/>
  <c r="K66" i="39"/>
  <c r="G66" i="39"/>
  <c r="V65" i="39"/>
  <c r="M65" i="39" s="1"/>
  <c r="U65" i="39"/>
  <c r="O65" i="39"/>
  <c r="K65" i="39"/>
  <c r="G65" i="39"/>
  <c r="V64" i="39"/>
  <c r="M64" i="39" s="1"/>
  <c r="U64" i="39"/>
  <c r="O64" i="39"/>
  <c r="K64" i="39"/>
  <c r="G64" i="39"/>
  <c r="V63" i="39"/>
  <c r="M63" i="39" s="1"/>
  <c r="U63" i="39"/>
  <c r="O63" i="39"/>
  <c r="K63" i="39"/>
  <c r="G63" i="39"/>
  <c r="V62" i="39"/>
  <c r="M62" i="39" s="1"/>
  <c r="U62" i="39"/>
  <c r="O62" i="39"/>
  <c r="K62" i="39"/>
  <c r="G62" i="39"/>
  <c r="V61" i="39"/>
  <c r="U61" i="39"/>
  <c r="O61" i="39"/>
  <c r="M61" i="39"/>
  <c r="AB61" i="39" s="1"/>
  <c r="K61" i="39"/>
  <c r="G61" i="39"/>
  <c r="X60" i="39"/>
  <c r="W60" i="39"/>
  <c r="V60" i="39"/>
  <c r="M60" i="39" s="1"/>
  <c r="O60" i="39"/>
  <c r="K60" i="39"/>
  <c r="G60" i="39"/>
  <c r="O59" i="39"/>
  <c r="M59" i="39"/>
  <c r="AB59" i="39" s="1"/>
  <c r="AC55" i="39" s="1"/>
  <c r="K59" i="39"/>
  <c r="V58" i="39"/>
  <c r="U58" i="39"/>
  <c r="O58" i="39"/>
  <c r="M58" i="39"/>
  <c r="AB58" i="39" s="1"/>
  <c r="K58" i="39"/>
  <c r="G58" i="39"/>
  <c r="AB57" i="39"/>
  <c r="V57" i="39"/>
  <c r="U57" i="39"/>
  <c r="O57" i="39"/>
  <c r="N57" i="39"/>
  <c r="Q57" i="39" s="1"/>
  <c r="M57" i="39"/>
  <c r="AA57" i="39" s="1"/>
  <c r="K57" i="39"/>
  <c r="G57" i="39"/>
  <c r="AB56" i="39"/>
  <c r="AA56" i="39"/>
  <c r="V56" i="39"/>
  <c r="U56" i="39"/>
  <c r="O56" i="39"/>
  <c r="M56" i="39"/>
  <c r="N56" i="39" s="1"/>
  <c r="K56" i="39"/>
  <c r="G56" i="39"/>
  <c r="AB55" i="39"/>
  <c r="AA55" i="39"/>
  <c r="V55" i="39"/>
  <c r="O55" i="39"/>
  <c r="M55" i="39"/>
  <c r="N55" i="39" s="1"/>
  <c r="K55" i="39"/>
  <c r="G55" i="39"/>
  <c r="O54" i="39"/>
  <c r="K54" i="39"/>
  <c r="V53" i="39"/>
  <c r="M53" i="39" s="1"/>
  <c r="U53" i="39"/>
  <c r="O53" i="39"/>
  <c r="K53" i="39"/>
  <c r="G53" i="39"/>
  <c r="V52" i="39"/>
  <c r="M52" i="39" s="1"/>
  <c r="U52" i="39"/>
  <c r="O52" i="39"/>
  <c r="K52" i="39"/>
  <c r="G52" i="39"/>
  <c r="V51" i="39"/>
  <c r="U51" i="39"/>
  <c r="O51" i="39"/>
  <c r="M51" i="39"/>
  <c r="AB51" i="39" s="1"/>
  <c r="K51" i="39"/>
  <c r="G51" i="39"/>
  <c r="V50" i="39"/>
  <c r="U50" i="39"/>
  <c r="O50" i="39"/>
  <c r="M50" i="39"/>
  <c r="AB50" i="39" s="1"/>
  <c r="K50" i="39"/>
  <c r="G50" i="39"/>
  <c r="V49" i="39"/>
  <c r="U49" i="39"/>
  <c r="O49" i="39"/>
  <c r="N49" i="39"/>
  <c r="Q49" i="39" s="1"/>
  <c r="M49" i="39"/>
  <c r="AB49" i="39" s="1"/>
  <c r="K49" i="39"/>
  <c r="P49" i="39" s="1"/>
  <c r="G49" i="39"/>
  <c r="V48" i="39"/>
  <c r="O48" i="39"/>
  <c r="N48" i="39"/>
  <c r="Q48" i="39" s="1"/>
  <c r="M48" i="39"/>
  <c r="AB48" i="39" s="1"/>
  <c r="K48" i="39"/>
  <c r="P48" i="39" s="1"/>
  <c r="G48" i="39"/>
  <c r="O47" i="39"/>
  <c r="K47" i="39"/>
  <c r="V46" i="39"/>
  <c r="M46" i="39" s="1"/>
  <c r="U46" i="39"/>
  <c r="O46" i="39"/>
  <c r="K46" i="39"/>
  <c r="G46" i="39"/>
  <c r="V45" i="39"/>
  <c r="M45" i="39" s="1"/>
  <c r="U45" i="39"/>
  <c r="O45" i="39"/>
  <c r="K45" i="39"/>
  <c r="G45" i="39"/>
  <c r="V44" i="39"/>
  <c r="M44" i="39" s="1"/>
  <c r="U44" i="39"/>
  <c r="O44" i="39"/>
  <c r="K44" i="39"/>
  <c r="G44" i="39"/>
  <c r="V43" i="39"/>
  <c r="M43" i="39" s="1"/>
  <c r="U43" i="39"/>
  <c r="O43" i="39"/>
  <c r="K43" i="39"/>
  <c r="G43" i="39"/>
  <c r="V42" i="39"/>
  <c r="M42" i="39" s="1"/>
  <c r="U42" i="39"/>
  <c r="O42" i="39"/>
  <c r="K42" i="39"/>
  <c r="G42" i="39"/>
  <c r="X41" i="39"/>
  <c r="W41" i="39"/>
  <c r="V41" i="39"/>
  <c r="M41" i="39" s="1"/>
  <c r="O41" i="39"/>
  <c r="K41" i="39"/>
  <c r="G41" i="39"/>
  <c r="O40" i="39"/>
  <c r="K40" i="39"/>
  <c r="V39" i="39"/>
  <c r="U39" i="39"/>
  <c r="O39" i="39"/>
  <c r="N39" i="39"/>
  <c r="Q39" i="39" s="1"/>
  <c r="M39" i="39"/>
  <c r="AB39" i="39" s="1"/>
  <c r="K39" i="39"/>
  <c r="P39" i="39" s="1"/>
  <c r="G39" i="39"/>
  <c r="V38" i="39"/>
  <c r="U38" i="39"/>
  <c r="O38" i="39"/>
  <c r="M38" i="39"/>
  <c r="AB38" i="39" s="1"/>
  <c r="K38" i="39"/>
  <c r="G38" i="39"/>
  <c r="AB37" i="39"/>
  <c r="V37" i="39"/>
  <c r="U37" i="39"/>
  <c r="O37" i="39"/>
  <c r="N37" i="39"/>
  <c r="Q37" i="39" s="1"/>
  <c r="M37" i="39"/>
  <c r="AA37" i="39" s="1"/>
  <c r="K37" i="39"/>
  <c r="G37" i="39"/>
  <c r="AB36" i="39"/>
  <c r="AA36" i="39"/>
  <c r="X36" i="39"/>
  <c r="W36" i="39"/>
  <c r="V36" i="39"/>
  <c r="U36" i="39"/>
  <c r="O36" i="39"/>
  <c r="M36" i="39"/>
  <c r="N36" i="39" s="1"/>
  <c r="K36" i="39"/>
  <c r="G36" i="39"/>
  <c r="AB35" i="39"/>
  <c r="V35" i="39"/>
  <c r="U35" i="39"/>
  <c r="O35" i="39"/>
  <c r="N35" i="39"/>
  <c r="Q35" i="39" s="1"/>
  <c r="M35" i="39"/>
  <c r="AA35" i="39" s="1"/>
  <c r="K35" i="39"/>
  <c r="G35" i="39"/>
  <c r="AB34" i="39"/>
  <c r="AA34" i="39"/>
  <c r="V34" i="39"/>
  <c r="U34" i="39"/>
  <c r="O34" i="39"/>
  <c r="M34" i="39"/>
  <c r="N34" i="39" s="1"/>
  <c r="K34" i="39"/>
  <c r="G34" i="39"/>
  <c r="V33" i="39"/>
  <c r="M33" i="39" s="1"/>
  <c r="U33" i="39"/>
  <c r="O33" i="39"/>
  <c r="K33" i="39"/>
  <c r="G33" i="39"/>
  <c r="AA32" i="39"/>
  <c r="X32" i="39"/>
  <c r="W32" i="39"/>
  <c r="V32" i="39"/>
  <c r="O32" i="39"/>
  <c r="N32" i="39"/>
  <c r="Q32" i="39" s="1"/>
  <c r="M32" i="39"/>
  <c r="AB32" i="39" s="1"/>
  <c r="K32" i="39"/>
  <c r="G32" i="39"/>
  <c r="O31" i="39"/>
  <c r="K31" i="39"/>
  <c r="V30" i="39"/>
  <c r="M30" i="39" s="1"/>
  <c r="U30" i="39"/>
  <c r="O30" i="39"/>
  <c r="K30" i="39"/>
  <c r="G30" i="39"/>
  <c r="V29" i="39"/>
  <c r="M29" i="39" s="1"/>
  <c r="U29" i="39"/>
  <c r="O29" i="39"/>
  <c r="K29" i="39"/>
  <c r="G29" i="39"/>
  <c r="V28" i="39"/>
  <c r="M28" i="39" s="1"/>
  <c r="U28" i="39"/>
  <c r="O28" i="39"/>
  <c r="K28" i="39"/>
  <c r="G28" i="39"/>
  <c r="X27" i="39"/>
  <c r="W27" i="39"/>
  <c r="V27" i="39"/>
  <c r="M27" i="39" s="1"/>
  <c r="U27" i="39"/>
  <c r="O27" i="39"/>
  <c r="K27" i="39"/>
  <c r="G27" i="39"/>
  <c r="V26" i="39"/>
  <c r="M26" i="39" s="1"/>
  <c r="U26" i="39"/>
  <c r="O26" i="39"/>
  <c r="K26" i="39"/>
  <c r="G26" i="39"/>
  <c r="V25" i="39"/>
  <c r="U25" i="39"/>
  <c r="O25" i="39"/>
  <c r="M25" i="39"/>
  <c r="AB25" i="39" s="1"/>
  <c r="K25" i="39"/>
  <c r="G25" i="39"/>
  <c r="V24" i="39"/>
  <c r="U24" i="39"/>
  <c r="O24" i="39"/>
  <c r="M24" i="39"/>
  <c r="AB24" i="39" s="1"/>
  <c r="K24" i="39"/>
  <c r="G24" i="39"/>
  <c r="X23" i="39"/>
  <c r="W23" i="39"/>
  <c r="V23" i="39"/>
  <c r="M23" i="39" s="1"/>
  <c r="O23" i="39"/>
  <c r="K23" i="39"/>
  <c r="G23" i="39"/>
  <c r="O22" i="39"/>
  <c r="K22" i="39"/>
  <c r="AB21" i="39"/>
  <c r="V21" i="39"/>
  <c r="U21" i="39"/>
  <c r="O21" i="39"/>
  <c r="N21" i="39"/>
  <c r="Q21" i="39" s="1"/>
  <c r="M21" i="39"/>
  <c r="AA21" i="39" s="1"/>
  <c r="K21" i="39"/>
  <c r="G21" i="39"/>
  <c r="AB20" i="39"/>
  <c r="AA20" i="39"/>
  <c r="V20" i="39"/>
  <c r="U20" i="39"/>
  <c r="O20" i="39"/>
  <c r="M20" i="39"/>
  <c r="N20" i="39" s="1"/>
  <c r="K20" i="39"/>
  <c r="G20" i="39"/>
  <c r="V19" i="39"/>
  <c r="M19" i="39" s="1"/>
  <c r="U19" i="39"/>
  <c r="O19" i="39"/>
  <c r="K19" i="39"/>
  <c r="G19" i="39"/>
  <c r="V18" i="39"/>
  <c r="M18" i="39" s="1"/>
  <c r="O18" i="39"/>
  <c r="K18" i="39"/>
  <c r="G18" i="39"/>
  <c r="O17" i="39"/>
  <c r="K17" i="39"/>
  <c r="V16" i="39"/>
  <c r="M16" i="39" s="1"/>
  <c r="U16" i="39"/>
  <c r="O16" i="39"/>
  <c r="K16" i="39"/>
  <c r="G16" i="39"/>
  <c r="V15" i="39"/>
  <c r="U15" i="39"/>
  <c r="O15" i="39"/>
  <c r="M15" i="39"/>
  <c r="AB15" i="39" s="1"/>
  <c r="K15" i="39"/>
  <c r="G15" i="39"/>
  <c r="V14" i="39"/>
  <c r="U14" i="39"/>
  <c r="O14" i="39"/>
  <c r="M14" i="39"/>
  <c r="AB14" i="39" s="1"/>
  <c r="K14" i="39"/>
  <c r="G14" i="39"/>
  <c r="V13" i="39"/>
  <c r="U13" i="39"/>
  <c r="O13" i="39"/>
  <c r="N13" i="39"/>
  <c r="Q13" i="39" s="1"/>
  <c r="M13" i="39"/>
  <c r="AB13" i="39" s="1"/>
  <c r="K13" i="39"/>
  <c r="P13" i="39" s="1"/>
  <c r="G13" i="39"/>
  <c r="F1" i="39" s="1"/>
  <c r="X12" i="39"/>
  <c r="W12" i="39"/>
  <c r="V12" i="39"/>
  <c r="O12" i="39"/>
  <c r="M12" i="39"/>
  <c r="AB12" i="39" s="1"/>
  <c r="K12" i="39"/>
  <c r="G12" i="39"/>
  <c r="O11" i="39"/>
  <c r="K11" i="39"/>
  <c r="AB10" i="39"/>
  <c r="AA10" i="39"/>
  <c r="V10" i="39"/>
  <c r="U10" i="39"/>
  <c r="O10" i="39"/>
  <c r="M10" i="39"/>
  <c r="N10" i="39" s="1"/>
  <c r="K10" i="39"/>
  <c r="G10" i="39"/>
  <c r="AB9" i="39"/>
  <c r="AA9" i="39"/>
  <c r="V9" i="39"/>
  <c r="O9" i="39"/>
  <c r="M9" i="39"/>
  <c r="N9" i="39" s="1"/>
  <c r="K9" i="39"/>
  <c r="G9" i="39"/>
  <c r="O8" i="39"/>
  <c r="K8" i="39"/>
  <c r="V7" i="39"/>
  <c r="M7" i="39" s="1"/>
  <c r="U7" i="39"/>
  <c r="O7" i="39"/>
  <c r="K7" i="39"/>
  <c r="G7" i="39"/>
  <c r="V6" i="39"/>
  <c r="M6" i="39" s="1"/>
  <c r="U6" i="39"/>
  <c r="O6" i="39"/>
  <c r="K6" i="39"/>
  <c r="G6" i="39"/>
  <c r="V5" i="39"/>
  <c r="M5" i="39" s="1"/>
  <c r="O5" i="39"/>
  <c r="K5" i="39"/>
  <c r="G5" i="39"/>
  <c r="H2" i="39"/>
  <c r="H1" i="39"/>
  <c r="D1" i="39"/>
  <c r="M18" i="38"/>
  <c r="L18" i="38"/>
  <c r="K18" i="38"/>
  <c r="J18" i="38"/>
  <c r="I18" i="38"/>
  <c r="H18" i="38"/>
  <c r="G18" i="38"/>
  <c r="F18" i="38"/>
  <c r="E18" i="38"/>
  <c r="D18" i="38"/>
  <c r="M17" i="38"/>
  <c r="L17" i="38"/>
  <c r="K17" i="38"/>
  <c r="J17" i="38"/>
  <c r="I17" i="38"/>
  <c r="H17" i="38"/>
  <c r="G17" i="38"/>
  <c r="F17" i="38"/>
  <c r="E17" i="38"/>
  <c r="D17" i="38"/>
  <c r="M16" i="38"/>
  <c r="L16" i="38"/>
  <c r="K16" i="38"/>
  <c r="J16" i="38"/>
  <c r="I16" i="38"/>
  <c r="H16" i="38"/>
  <c r="G16" i="38"/>
  <c r="F16" i="38"/>
  <c r="E16" i="38"/>
  <c r="D16" i="38"/>
  <c r="M13" i="38"/>
  <c r="L13" i="38"/>
  <c r="K13" i="38"/>
  <c r="I6" i="38" s="1"/>
  <c r="J13" i="38"/>
  <c r="I13" i="38"/>
  <c r="H13" i="38"/>
  <c r="G13" i="38"/>
  <c r="F13" i="38"/>
  <c r="E13" i="38"/>
  <c r="D13" i="38"/>
  <c r="G6" i="38" s="1"/>
  <c r="F3" i="38"/>
  <c r="C3" i="38"/>
  <c r="E8" i="50" l="1"/>
  <c r="F8" i="50"/>
  <c r="G8" i="50"/>
  <c r="I7" i="48"/>
  <c r="K15" i="48"/>
  <c r="I8" i="48" s="1"/>
  <c r="E15" i="48"/>
  <c r="G7" i="48"/>
  <c r="E7" i="48"/>
  <c r="F7" i="48"/>
  <c r="I14" i="46"/>
  <c r="I15" i="46" s="1"/>
  <c r="Q49" i="47"/>
  <c r="R43" i="47" s="1"/>
  <c r="P49" i="47"/>
  <c r="H14" i="46"/>
  <c r="H15" i="46" s="1"/>
  <c r="Q42" i="47"/>
  <c r="R36" i="47" s="1"/>
  <c r="P42" i="47"/>
  <c r="F14" i="46"/>
  <c r="F15" i="46" s="1"/>
  <c r="Q17" i="47"/>
  <c r="R12" i="47" s="1"/>
  <c r="P17" i="47"/>
  <c r="Q62" i="47"/>
  <c r="R55" i="47" s="1"/>
  <c r="P62" i="47"/>
  <c r="M14" i="46"/>
  <c r="M15" i="46" s="1"/>
  <c r="D14" i="46"/>
  <c r="D2" i="47"/>
  <c r="Q8" i="47"/>
  <c r="R5" i="47" s="1"/>
  <c r="P8" i="47"/>
  <c r="Q28" i="47"/>
  <c r="R23" i="47" s="1"/>
  <c r="P28" i="47"/>
  <c r="K14" i="46"/>
  <c r="Q35" i="47"/>
  <c r="R29" i="47" s="1"/>
  <c r="P35" i="47"/>
  <c r="L14" i="46"/>
  <c r="L15" i="46" s="1"/>
  <c r="P11" i="47"/>
  <c r="E14" i="46"/>
  <c r="E15" i="46" s="1"/>
  <c r="Q11" i="47"/>
  <c r="R9" i="47" s="1"/>
  <c r="Q22" i="47"/>
  <c r="R18" i="47" s="1"/>
  <c r="P22" i="47"/>
  <c r="G14" i="46"/>
  <c r="G15" i="46" s="1"/>
  <c r="Q54" i="47"/>
  <c r="R50" i="47" s="1"/>
  <c r="P54" i="47"/>
  <c r="J14" i="46"/>
  <c r="J15" i="46" s="1"/>
  <c r="Q46" i="43"/>
  <c r="P46" i="43"/>
  <c r="AB8" i="43"/>
  <c r="AC5" i="43" s="1"/>
  <c r="AA8" i="43"/>
  <c r="N8" i="43"/>
  <c r="P12" i="43"/>
  <c r="Q12" i="43"/>
  <c r="N49" i="43"/>
  <c r="AB49" i="43"/>
  <c r="AC43" i="43" s="1"/>
  <c r="AA49" i="43"/>
  <c r="P59" i="43"/>
  <c r="Q59" i="43"/>
  <c r="P60" i="43"/>
  <c r="Q60" i="43"/>
  <c r="AB62" i="43"/>
  <c r="AC55" i="43" s="1"/>
  <c r="AA62" i="43"/>
  <c r="N62" i="43"/>
  <c r="Q14" i="43"/>
  <c r="P14" i="43"/>
  <c r="P5" i="43"/>
  <c r="Q5" i="43"/>
  <c r="Q27" i="43"/>
  <c r="P27" i="43"/>
  <c r="Q55" i="43"/>
  <c r="P55" i="43"/>
  <c r="Q7" i="43"/>
  <c r="P7" i="43"/>
  <c r="Q18" i="43"/>
  <c r="P18" i="43"/>
  <c r="Q57" i="43"/>
  <c r="P57" i="43"/>
  <c r="Q54" i="43"/>
  <c r="R50" i="43" s="1"/>
  <c r="P54" i="43"/>
  <c r="J14" i="42"/>
  <c r="J15" i="42" s="1"/>
  <c r="P37" i="43"/>
  <c r="Q37" i="43"/>
  <c r="Q61" i="43"/>
  <c r="P61" i="43"/>
  <c r="Q48" i="43"/>
  <c r="P48" i="43"/>
  <c r="Q38" i="43"/>
  <c r="P38" i="43"/>
  <c r="Q45" i="43"/>
  <c r="P45" i="43"/>
  <c r="Q33" i="43"/>
  <c r="P33" i="43"/>
  <c r="AA17" i="43"/>
  <c r="N17" i="43"/>
  <c r="AB17" i="43"/>
  <c r="AC12" i="43" s="1"/>
  <c r="P26" i="43"/>
  <c r="Q26" i="43"/>
  <c r="AB28" i="43"/>
  <c r="AC23" i="43" s="1"/>
  <c r="AA28" i="43"/>
  <c r="N28" i="43"/>
  <c r="Q21" i="43"/>
  <c r="P21" i="43"/>
  <c r="Q58" i="43"/>
  <c r="P58" i="43"/>
  <c r="P23" i="43"/>
  <c r="Q23" i="43"/>
  <c r="P15" i="43"/>
  <c r="Q15" i="43"/>
  <c r="P39" i="43"/>
  <c r="Q39" i="43"/>
  <c r="AB42" i="43"/>
  <c r="AC36" i="43" s="1"/>
  <c r="AA42" i="43"/>
  <c r="N42" i="43"/>
  <c r="Q47" i="43"/>
  <c r="P47" i="43"/>
  <c r="P36" i="43"/>
  <c r="Q36" i="43"/>
  <c r="Q35" i="43"/>
  <c r="R29" i="43" s="1"/>
  <c r="P35" i="43"/>
  <c r="L14" i="42"/>
  <c r="L15" i="42" s="1"/>
  <c r="Q13" i="43"/>
  <c r="P13" i="43"/>
  <c r="P24" i="43"/>
  <c r="Q24" i="43"/>
  <c r="Q11" i="43"/>
  <c r="R9" i="43" s="1"/>
  <c r="P11" i="43"/>
  <c r="E14" i="42"/>
  <c r="E15" i="42" s="1"/>
  <c r="Q22" i="43"/>
  <c r="R18" i="43" s="1"/>
  <c r="G14" i="42"/>
  <c r="G15" i="42" s="1"/>
  <c r="P22" i="43"/>
  <c r="Q41" i="43"/>
  <c r="P41" i="43"/>
  <c r="P25" i="43"/>
  <c r="Q25" i="43"/>
  <c r="P40" i="43"/>
  <c r="Q40" i="43"/>
  <c r="Q56" i="43"/>
  <c r="P56" i="43"/>
  <c r="P6" i="43"/>
  <c r="Q6" i="43"/>
  <c r="AB6" i="39"/>
  <c r="AA6" i="39"/>
  <c r="N6" i="39"/>
  <c r="N60" i="39"/>
  <c r="AB60" i="39"/>
  <c r="AA60" i="39"/>
  <c r="M69" i="39"/>
  <c r="N18" i="39"/>
  <c r="M22" i="39"/>
  <c r="AB18" i="39"/>
  <c r="AA18" i="39"/>
  <c r="N33" i="39"/>
  <c r="AB33" i="39"/>
  <c r="AA33" i="39"/>
  <c r="M40" i="39"/>
  <c r="AB42" i="39"/>
  <c r="AA42" i="39"/>
  <c r="N42" i="39"/>
  <c r="AB62" i="39"/>
  <c r="AA62" i="39"/>
  <c r="N62" i="39"/>
  <c r="Q55" i="39"/>
  <c r="P55" i="39"/>
  <c r="N27" i="39"/>
  <c r="AB27" i="39"/>
  <c r="AA27" i="39"/>
  <c r="AB52" i="39"/>
  <c r="AA52" i="39"/>
  <c r="N52" i="39"/>
  <c r="Q34" i="39"/>
  <c r="P34" i="39"/>
  <c r="Q10" i="39"/>
  <c r="P10" i="39"/>
  <c r="N19" i="39"/>
  <c r="AB19" i="39"/>
  <c r="AA19" i="39"/>
  <c r="N41" i="39"/>
  <c r="AB41" i="39"/>
  <c r="AA41" i="39"/>
  <c r="M47" i="39"/>
  <c r="N43" i="39"/>
  <c r="AB43" i="39"/>
  <c r="AA43" i="39"/>
  <c r="N63" i="39"/>
  <c r="AB63" i="39"/>
  <c r="AA63" i="39"/>
  <c r="N65" i="39"/>
  <c r="AB65" i="39"/>
  <c r="AA65" i="39"/>
  <c r="M8" i="39"/>
  <c r="AB5" i="39"/>
  <c r="AA5" i="39"/>
  <c r="N5" i="39"/>
  <c r="AB16" i="39"/>
  <c r="AA16" i="39"/>
  <c r="N16" i="39"/>
  <c r="N67" i="39"/>
  <c r="AB67" i="39"/>
  <c r="AA67" i="39"/>
  <c r="F2" i="39"/>
  <c r="I3" i="38"/>
  <c r="Q36" i="39"/>
  <c r="P36" i="39"/>
  <c r="AB23" i="39"/>
  <c r="AA23" i="39"/>
  <c r="M31" i="39"/>
  <c r="N23" i="39"/>
  <c r="N45" i="39"/>
  <c r="AB45" i="39"/>
  <c r="AA45" i="39"/>
  <c r="Q20" i="39"/>
  <c r="P20" i="39"/>
  <c r="N30" i="39"/>
  <c r="AB30" i="39"/>
  <c r="AA30" i="39"/>
  <c r="N46" i="39"/>
  <c r="AB46" i="39"/>
  <c r="AA46" i="39"/>
  <c r="N66" i="39"/>
  <c r="AB66" i="39"/>
  <c r="AA66" i="39"/>
  <c r="N68" i="39"/>
  <c r="AB68" i="39"/>
  <c r="AA68" i="39"/>
  <c r="N29" i="39"/>
  <c r="AB29" i="39"/>
  <c r="AA29" i="39"/>
  <c r="Q9" i="39"/>
  <c r="P9" i="39"/>
  <c r="N53" i="39"/>
  <c r="AB53" i="39"/>
  <c r="AA53" i="39"/>
  <c r="Q56" i="39"/>
  <c r="P56" i="39"/>
  <c r="N7" i="39"/>
  <c r="AB7" i="39"/>
  <c r="AA7" i="39"/>
  <c r="AB26" i="39"/>
  <c r="AA26" i="39"/>
  <c r="N26" i="39"/>
  <c r="AB28" i="39"/>
  <c r="AA28" i="39"/>
  <c r="N28" i="39"/>
  <c r="N44" i="39"/>
  <c r="AB44" i="39"/>
  <c r="AA44" i="39"/>
  <c r="N64" i="39"/>
  <c r="AB64" i="39"/>
  <c r="AA64" i="39"/>
  <c r="N12" i="39"/>
  <c r="N15" i="39"/>
  <c r="N25" i="39"/>
  <c r="N51" i="39"/>
  <c r="N61" i="39"/>
  <c r="N14" i="39"/>
  <c r="N24" i="39"/>
  <c r="N50" i="39"/>
  <c r="N59" i="39"/>
  <c r="M11" i="39"/>
  <c r="N38" i="39"/>
  <c r="N58" i="39"/>
  <c r="E6" i="38"/>
  <c r="F6" i="38"/>
  <c r="AA59" i="39"/>
  <c r="AA15" i="39"/>
  <c r="P21" i="39"/>
  <c r="AA25" i="39"/>
  <c r="P32" i="39"/>
  <c r="P35" i="39"/>
  <c r="P37" i="39"/>
  <c r="AA51" i="39"/>
  <c r="P57" i="39"/>
  <c r="AA61" i="39"/>
  <c r="AA14" i="39"/>
  <c r="AA24" i="39"/>
  <c r="AA50" i="39"/>
  <c r="M54" i="39"/>
  <c r="AA12" i="39"/>
  <c r="AA13" i="39"/>
  <c r="M17" i="39"/>
  <c r="AA39" i="39"/>
  <c r="AA48" i="39"/>
  <c r="AA49" i="39"/>
  <c r="AA38" i="39"/>
  <c r="AA58" i="39"/>
  <c r="O69" i="35"/>
  <c r="K69" i="35"/>
  <c r="V68" i="35"/>
  <c r="M68" i="35" s="1"/>
  <c r="U68" i="35"/>
  <c r="O68" i="35"/>
  <c r="K68" i="35"/>
  <c r="G68" i="35"/>
  <c r="V67" i="35"/>
  <c r="M67" i="35" s="1"/>
  <c r="U67" i="35"/>
  <c r="O67" i="35"/>
  <c r="K67" i="35"/>
  <c r="G67" i="35"/>
  <c r="X66" i="35"/>
  <c r="W66" i="35"/>
  <c r="V66" i="35"/>
  <c r="M66" i="35" s="1"/>
  <c r="U66" i="35"/>
  <c r="O66" i="35"/>
  <c r="K66" i="35"/>
  <c r="G66" i="35"/>
  <c r="V65" i="35"/>
  <c r="M65" i="35" s="1"/>
  <c r="U65" i="35"/>
  <c r="O65" i="35"/>
  <c r="K65" i="35"/>
  <c r="G65" i="35"/>
  <c r="V64" i="35"/>
  <c r="U64" i="35"/>
  <c r="O64" i="35"/>
  <c r="M64" i="35"/>
  <c r="N64" i="35" s="1"/>
  <c r="K64" i="35"/>
  <c r="G64" i="35"/>
  <c r="V63" i="35"/>
  <c r="M63" i="35" s="1"/>
  <c r="U63" i="35"/>
  <c r="O63" i="35"/>
  <c r="K63" i="35"/>
  <c r="G63" i="35"/>
  <c r="V62" i="35"/>
  <c r="M62" i="35" s="1"/>
  <c r="U62" i="35"/>
  <c r="O62" i="35"/>
  <c r="K62" i="35"/>
  <c r="G62" i="35"/>
  <c r="AA61" i="35"/>
  <c r="X61" i="35"/>
  <c r="W61" i="35"/>
  <c r="V61" i="35"/>
  <c r="O61" i="35"/>
  <c r="M61" i="35"/>
  <c r="N61" i="35" s="1"/>
  <c r="K61" i="35"/>
  <c r="G61" i="35"/>
  <c r="O60" i="35"/>
  <c r="K60" i="35"/>
  <c r="V59" i="35"/>
  <c r="U59" i="35"/>
  <c r="O59" i="35"/>
  <c r="M59" i="35"/>
  <c r="AB59" i="35" s="1"/>
  <c r="K59" i="35"/>
  <c r="G59" i="35"/>
  <c r="V58" i="35"/>
  <c r="M58" i="35" s="1"/>
  <c r="U58" i="35"/>
  <c r="O58" i="35"/>
  <c r="K58" i="35"/>
  <c r="G58" i="35"/>
  <c r="AB57" i="35"/>
  <c r="V57" i="35"/>
  <c r="U57" i="35"/>
  <c r="O57" i="35"/>
  <c r="M57" i="35"/>
  <c r="AA57" i="35" s="1"/>
  <c r="K57" i="35"/>
  <c r="G57" i="35"/>
  <c r="AB56" i="35"/>
  <c r="V56" i="35"/>
  <c r="O56" i="35"/>
  <c r="M56" i="35"/>
  <c r="AA56" i="35" s="1"/>
  <c r="K56" i="35"/>
  <c r="G56" i="35"/>
  <c r="O55" i="35"/>
  <c r="K55" i="35"/>
  <c r="V54" i="35"/>
  <c r="U54" i="35"/>
  <c r="O54" i="35"/>
  <c r="M54" i="35"/>
  <c r="N54" i="35" s="1"/>
  <c r="K54" i="35"/>
  <c r="G54" i="35"/>
  <c r="V53" i="35"/>
  <c r="M53" i="35" s="1"/>
  <c r="U53" i="35"/>
  <c r="O53" i="35"/>
  <c r="K53" i="35"/>
  <c r="G53" i="35"/>
  <c r="V52" i="35"/>
  <c r="M52" i="35" s="1"/>
  <c r="U52" i="35"/>
  <c r="O52" i="35"/>
  <c r="K52" i="35"/>
  <c r="G52" i="35"/>
  <c r="V51" i="35"/>
  <c r="M51" i="35" s="1"/>
  <c r="U51" i="35"/>
  <c r="O51" i="35"/>
  <c r="K51" i="35"/>
  <c r="G51" i="35"/>
  <c r="V50" i="35"/>
  <c r="U50" i="35"/>
  <c r="O50" i="35"/>
  <c r="M50" i="35"/>
  <c r="AB50" i="35" s="1"/>
  <c r="K50" i="35"/>
  <c r="G50" i="35"/>
  <c r="V49" i="35"/>
  <c r="O49" i="35"/>
  <c r="M49" i="35"/>
  <c r="AB49" i="35" s="1"/>
  <c r="K49" i="35"/>
  <c r="G49" i="35"/>
  <c r="O48" i="35"/>
  <c r="K48" i="35"/>
  <c r="AB47" i="35"/>
  <c r="AA47" i="35"/>
  <c r="V47" i="35"/>
  <c r="U47" i="35"/>
  <c r="O47" i="35"/>
  <c r="M47" i="35"/>
  <c r="N47" i="35" s="1"/>
  <c r="K47" i="35"/>
  <c r="G47" i="35"/>
  <c r="V46" i="35"/>
  <c r="M46" i="35" s="1"/>
  <c r="U46" i="35"/>
  <c r="O46" i="35"/>
  <c r="K46" i="35"/>
  <c r="G46" i="35"/>
  <c r="V45" i="35"/>
  <c r="M45" i="35" s="1"/>
  <c r="U45" i="35"/>
  <c r="O45" i="35"/>
  <c r="K45" i="35"/>
  <c r="G45" i="35"/>
  <c r="V44" i="35"/>
  <c r="U44" i="35"/>
  <c r="O44" i="35"/>
  <c r="M44" i="35"/>
  <c r="N44" i="35" s="1"/>
  <c r="K44" i="35"/>
  <c r="G44" i="35"/>
  <c r="V43" i="35"/>
  <c r="M43" i="35" s="1"/>
  <c r="U43" i="35"/>
  <c r="O43" i="35"/>
  <c r="K43" i="35"/>
  <c r="G43" i="35"/>
  <c r="X42" i="35"/>
  <c r="W42" i="35"/>
  <c r="V42" i="35"/>
  <c r="M42" i="35" s="1"/>
  <c r="O42" i="35"/>
  <c r="K42" i="35"/>
  <c r="G42" i="35"/>
  <c r="O41" i="35"/>
  <c r="K41" i="35"/>
  <c r="V40" i="35"/>
  <c r="U40" i="35"/>
  <c r="O40" i="35"/>
  <c r="M40" i="35"/>
  <c r="AB40" i="35" s="1"/>
  <c r="K40" i="35"/>
  <c r="G40" i="35"/>
  <c r="V39" i="35"/>
  <c r="U39" i="35"/>
  <c r="O39" i="35"/>
  <c r="M39" i="35"/>
  <c r="AB39" i="35" s="1"/>
  <c r="K39" i="35"/>
  <c r="G39" i="35"/>
  <c r="V38" i="35"/>
  <c r="M38" i="35" s="1"/>
  <c r="U38" i="35"/>
  <c r="O38" i="35"/>
  <c r="K38" i="35"/>
  <c r="G38" i="35"/>
  <c r="X37" i="35"/>
  <c r="W37" i="35"/>
  <c r="V37" i="35"/>
  <c r="U37" i="35"/>
  <c r="O37" i="35"/>
  <c r="M37" i="35"/>
  <c r="AA37" i="35" s="1"/>
  <c r="K37" i="35"/>
  <c r="G37" i="35"/>
  <c r="V36" i="35"/>
  <c r="M36" i="35" s="1"/>
  <c r="U36" i="35"/>
  <c r="O36" i="35"/>
  <c r="K36" i="35"/>
  <c r="G36" i="35"/>
  <c r="V35" i="35"/>
  <c r="U35" i="35"/>
  <c r="O35" i="35"/>
  <c r="M35" i="35"/>
  <c r="AA35" i="35" s="1"/>
  <c r="K35" i="35"/>
  <c r="G35" i="35"/>
  <c r="AB34" i="35"/>
  <c r="V34" i="35"/>
  <c r="U34" i="35"/>
  <c r="O34" i="35"/>
  <c r="N34" i="35"/>
  <c r="Q34" i="35" s="1"/>
  <c r="M34" i="35"/>
  <c r="AA34" i="35" s="1"/>
  <c r="K34" i="35"/>
  <c r="G34" i="35"/>
  <c r="X33" i="35"/>
  <c r="W33" i="35"/>
  <c r="V33" i="35"/>
  <c r="M33" i="35" s="1"/>
  <c r="O33" i="35"/>
  <c r="K33" i="35"/>
  <c r="G33" i="35"/>
  <c r="O32" i="35"/>
  <c r="K32" i="35"/>
  <c r="V31" i="35"/>
  <c r="M31" i="35" s="1"/>
  <c r="U31" i="35"/>
  <c r="O31" i="35"/>
  <c r="K31" i="35"/>
  <c r="G31" i="35"/>
  <c r="V30" i="35"/>
  <c r="U30" i="35"/>
  <c r="O30" i="35"/>
  <c r="M30" i="35"/>
  <c r="N30" i="35" s="1"/>
  <c r="K30" i="35"/>
  <c r="G30" i="35"/>
  <c r="V29" i="35"/>
  <c r="M29" i="35" s="1"/>
  <c r="U29" i="35"/>
  <c r="O29" i="35"/>
  <c r="K29" i="35"/>
  <c r="G29" i="35"/>
  <c r="AA28" i="35"/>
  <c r="X28" i="35"/>
  <c r="W28" i="35"/>
  <c r="V28" i="35"/>
  <c r="U28" i="35"/>
  <c r="O28" i="35"/>
  <c r="M28" i="35"/>
  <c r="N28" i="35" s="1"/>
  <c r="K28" i="35"/>
  <c r="G28" i="35"/>
  <c r="V27" i="35"/>
  <c r="M27" i="35" s="1"/>
  <c r="U27" i="35"/>
  <c r="O27" i="35"/>
  <c r="K27" i="35"/>
  <c r="G27" i="35"/>
  <c r="V26" i="35"/>
  <c r="M26" i="35" s="1"/>
  <c r="U26" i="35"/>
  <c r="O26" i="35"/>
  <c r="K26" i="35"/>
  <c r="G26" i="35"/>
  <c r="V25" i="35"/>
  <c r="M25" i="35" s="1"/>
  <c r="U25" i="35"/>
  <c r="O25" i="35"/>
  <c r="K25" i="35"/>
  <c r="G25" i="35"/>
  <c r="X24" i="35"/>
  <c r="W24" i="35"/>
  <c r="V24" i="35"/>
  <c r="M24" i="35" s="1"/>
  <c r="O24" i="35"/>
  <c r="K24" i="35"/>
  <c r="G24" i="35"/>
  <c r="O23" i="35"/>
  <c r="K23" i="35"/>
  <c r="V22" i="35"/>
  <c r="M22" i="35" s="1"/>
  <c r="U22" i="35"/>
  <c r="O22" i="35"/>
  <c r="K22" i="35"/>
  <c r="G22" i="35"/>
  <c r="V21" i="35"/>
  <c r="U21" i="35"/>
  <c r="O21" i="35"/>
  <c r="M21" i="35"/>
  <c r="AA21" i="35" s="1"/>
  <c r="K21" i="35"/>
  <c r="G21" i="35"/>
  <c r="AB20" i="35"/>
  <c r="V20" i="35"/>
  <c r="U20" i="35"/>
  <c r="O20" i="35"/>
  <c r="N20" i="35"/>
  <c r="Q20" i="35" s="1"/>
  <c r="M20" i="35"/>
  <c r="AA20" i="35" s="1"/>
  <c r="K20" i="35"/>
  <c r="G20" i="35"/>
  <c r="AB19" i="35"/>
  <c r="V19" i="35"/>
  <c r="O19" i="35"/>
  <c r="N19" i="35"/>
  <c r="Q19" i="35" s="1"/>
  <c r="M19" i="35"/>
  <c r="AA19" i="35" s="1"/>
  <c r="K19" i="35"/>
  <c r="G19" i="35"/>
  <c r="O18" i="35"/>
  <c r="K18" i="35"/>
  <c r="V17" i="35"/>
  <c r="M17" i="35" s="1"/>
  <c r="U17" i="35"/>
  <c r="O17" i="35"/>
  <c r="K17" i="35"/>
  <c r="G17" i="35"/>
  <c r="V16" i="35"/>
  <c r="M16" i="35" s="1"/>
  <c r="U16" i="35"/>
  <c r="O16" i="35"/>
  <c r="K16" i="35"/>
  <c r="G16" i="35"/>
  <c r="V15" i="35"/>
  <c r="M15" i="35" s="1"/>
  <c r="U15" i="35"/>
  <c r="O15" i="35"/>
  <c r="K15" i="35"/>
  <c r="G15" i="35"/>
  <c r="V14" i="35"/>
  <c r="U14" i="35"/>
  <c r="O14" i="35"/>
  <c r="M14" i="35"/>
  <c r="AB14" i="35" s="1"/>
  <c r="K14" i="35"/>
  <c r="G14" i="35"/>
  <c r="V13" i="35"/>
  <c r="U13" i="35"/>
  <c r="O13" i="35"/>
  <c r="M13" i="35"/>
  <c r="AB13" i="35" s="1"/>
  <c r="K13" i="35"/>
  <c r="G13" i="35"/>
  <c r="X12" i="35"/>
  <c r="W12" i="35"/>
  <c r="V12" i="35"/>
  <c r="M12" i="35" s="1"/>
  <c r="O12" i="35"/>
  <c r="K12" i="35"/>
  <c r="G12" i="35"/>
  <c r="AB11" i="35"/>
  <c r="O11" i="35"/>
  <c r="N11" i="35"/>
  <c r="Q11" i="35" s="1"/>
  <c r="R9" i="35" s="1"/>
  <c r="M11" i="35"/>
  <c r="AA11" i="35" s="1"/>
  <c r="K11" i="35"/>
  <c r="P11" i="35" s="1"/>
  <c r="AB10" i="35"/>
  <c r="V10" i="35"/>
  <c r="U10" i="35"/>
  <c r="O10" i="35"/>
  <c r="N10" i="35"/>
  <c r="Q10" i="35" s="1"/>
  <c r="M10" i="35"/>
  <c r="AA10" i="35" s="1"/>
  <c r="K10" i="35"/>
  <c r="G10" i="35"/>
  <c r="AC9" i="35"/>
  <c r="AB9" i="35"/>
  <c r="V9" i="35"/>
  <c r="O9" i="35"/>
  <c r="N9" i="35"/>
  <c r="Q9" i="35" s="1"/>
  <c r="M9" i="35"/>
  <c r="AA9" i="35" s="1"/>
  <c r="K9" i="35"/>
  <c r="G9" i="35"/>
  <c r="O8" i="35"/>
  <c r="K8" i="35"/>
  <c r="V7" i="35"/>
  <c r="M7" i="35" s="1"/>
  <c r="U7" i="35"/>
  <c r="O7" i="35"/>
  <c r="K7" i="35"/>
  <c r="G7" i="35"/>
  <c r="V6" i="35"/>
  <c r="M6" i="35" s="1"/>
  <c r="U6" i="35"/>
  <c r="O6" i="35"/>
  <c r="K6" i="35"/>
  <c r="G6" i="35"/>
  <c r="V5" i="35"/>
  <c r="M5" i="35" s="1"/>
  <c r="O5" i="35"/>
  <c r="K5" i="35"/>
  <c r="G5" i="35"/>
  <c r="F1" i="35" s="1"/>
  <c r="H2" i="35"/>
  <c r="H1" i="35"/>
  <c r="D1" i="35"/>
  <c r="M18" i="34"/>
  <c r="L18" i="34"/>
  <c r="K18" i="34"/>
  <c r="J18" i="34"/>
  <c r="I18" i="34"/>
  <c r="H18" i="34"/>
  <c r="G18" i="34"/>
  <c r="F18" i="34"/>
  <c r="E18" i="34"/>
  <c r="D18" i="34"/>
  <c r="M17" i="34"/>
  <c r="L17" i="34"/>
  <c r="K17" i="34"/>
  <c r="J17" i="34"/>
  <c r="I17" i="34"/>
  <c r="H17" i="34"/>
  <c r="G17" i="34"/>
  <c r="F17" i="34"/>
  <c r="E17" i="34"/>
  <c r="D17" i="34"/>
  <c r="M16" i="34"/>
  <c r="L16" i="34"/>
  <c r="K16" i="34"/>
  <c r="J16" i="34"/>
  <c r="I16" i="34"/>
  <c r="H16" i="34"/>
  <c r="G16" i="34"/>
  <c r="F16" i="34"/>
  <c r="E16" i="34"/>
  <c r="D16" i="34"/>
  <c r="E14" i="34"/>
  <c r="M13" i="34"/>
  <c r="L13" i="34"/>
  <c r="K13" i="34"/>
  <c r="I6" i="34" s="1"/>
  <c r="J13" i="34"/>
  <c r="I13" i="34"/>
  <c r="H13" i="34"/>
  <c r="G13" i="34"/>
  <c r="F13" i="34"/>
  <c r="D13" i="34"/>
  <c r="F3" i="34"/>
  <c r="C3" i="34"/>
  <c r="G8" i="48" l="1"/>
  <c r="F8" i="48"/>
  <c r="E8" i="48"/>
  <c r="I7" i="46"/>
  <c r="K15" i="46"/>
  <c r="I8" i="46" s="1"/>
  <c r="G7" i="46"/>
  <c r="F7" i="46"/>
  <c r="E7" i="46"/>
  <c r="D15" i="46"/>
  <c r="Q17" i="43"/>
  <c r="R12" i="43" s="1"/>
  <c r="P17" i="43"/>
  <c r="F14" i="42"/>
  <c r="F15" i="42" s="1"/>
  <c r="P49" i="43"/>
  <c r="I14" i="42"/>
  <c r="I15" i="42" s="1"/>
  <c r="Q49" i="43"/>
  <c r="R43" i="43" s="1"/>
  <c r="Q42" i="43"/>
  <c r="R36" i="43" s="1"/>
  <c r="P42" i="43"/>
  <c r="H14" i="42"/>
  <c r="H15" i="42" s="1"/>
  <c r="Q28" i="43"/>
  <c r="R23" i="43" s="1"/>
  <c r="P28" i="43"/>
  <c r="K14" i="42"/>
  <c r="Q62" i="43"/>
  <c r="R55" i="43" s="1"/>
  <c r="P62" i="43"/>
  <c r="M14" i="42"/>
  <c r="M15" i="42" s="1"/>
  <c r="Q8" i="43"/>
  <c r="R5" i="43" s="1"/>
  <c r="P8" i="43"/>
  <c r="D2" i="43"/>
  <c r="D14" i="42"/>
  <c r="AB11" i="39"/>
  <c r="AC9" i="39" s="1"/>
  <c r="AA11" i="39"/>
  <c r="N11" i="39"/>
  <c r="Q38" i="39"/>
  <c r="P38" i="39"/>
  <c r="Q27" i="39"/>
  <c r="P27" i="39"/>
  <c r="Q33" i="39"/>
  <c r="P33" i="39"/>
  <c r="Q59" i="39"/>
  <c r="R55" i="39" s="1"/>
  <c r="J14" i="38"/>
  <c r="J15" i="38" s="1"/>
  <c r="P59" i="39"/>
  <c r="Q68" i="39"/>
  <c r="P68" i="39"/>
  <c r="Q19" i="39"/>
  <c r="P19" i="39"/>
  <c r="Q50" i="39"/>
  <c r="P50" i="39"/>
  <c r="P67" i="39"/>
  <c r="Q67" i="39"/>
  <c r="Q62" i="39"/>
  <c r="P62" i="39"/>
  <c r="AB22" i="39"/>
  <c r="AC18" i="39" s="1"/>
  <c r="AA22" i="39"/>
  <c r="N22" i="39"/>
  <c r="N17" i="39"/>
  <c r="AB17" i="39"/>
  <c r="AC12" i="39" s="1"/>
  <c r="AA17" i="39"/>
  <c r="Q24" i="39"/>
  <c r="P24" i="39"/>
  <c r="Q44" i="39"/>
  <c r="P44" i="39"/>
  <c r="P45" i="39"/>
  <c r="Q45" i="39"/>
  <c r="Q16" i="39"/>
  <c r="P16" i="39"/>
  <c r="Q63" i="39"/>
  <c r="P63" i="39"/>
  <c r="Q18" i="39"/>
  <c r="P18" i="39"/>
  <c r="Q14" i="39"/>
  <c r="P14" i="39"/>
  <c r="Q28" i="39"/>
  <c r="P28" i="39"/>
  <c r="Q66" i="39"/>
  <c r="P66" i="39"/>
  <c r="Q23" i="39"/>
  <c r="P23" i="39"/>
  <c r="AB69" i="39"/>
  <c r="AC60" i="39" s="1"/>
  <c r="AA69" i="39"/>
  <c r="N69" i="39"/>
  <c r="P65" i="39"/>
  <c r="Q65" i="39"/>
  <c r="Q61" i="39"/>
  <c r="P61" i="39"/>
  <c r="Q53" i="39"/>
  <c r="P53" i="39"/>
  <c r="N31" i="39"/>
  <c r="AB31" i="39"/>
  <c r="AC23" i="39" s="1"/>
  <c r="AA31" i="39"/>
  <c r="Q42" i="39"/>
  <c r="P42" i="39"/>
  <c r="N54" i="39"/>
  <c r="AB54" i="39"/>
  <c r="AC48" i="39" s="1"/>
  <c r="AA54" i="39"/>
  <c r="Q51" i="39"/>
  <c r="P51" i="39"/>
  <c r="Q5" i="39"/>
  <c r="P5" i="39"/>
  <c r="Q43" i="39"/>
  <c r="P43" i="39"/>
  <c r="Q52" i="39"/>
  <c r="P52" i="39"/>
  <c r="Q7" i="39"/>
  <c r="P7" i="39"/>
  <c r="Q25" i="39"/>
  <c r="P25" i="39"/>
  <c r="Q26" i="39"/>
  <c r="P26" i="39"/>
  <c r="Q46" i="39"/>
  <c r="P46" i="39"/>
  <c r="AB47" i="39"/>
  <c r="AC41" i="39" s="1"/>
  <c r="AA47" i="39"/>
  <c r="N47" i="39"/>
  <c r="Q60" i="39"/>
  <c r="P60" i="39"/>
  <c r="Q15" i="39"/>
  <c r="P15" i="39"/>
  <c r="AB40" i="39"/>
  <c r="AC32" i="39" s="1"/>
  <c r="AA40" i="39"/>
  <c r="N40" i="39"/>
  <c r="Q6" i="39"/>
  <c r="P6" i="39"/>
  <c r="Q64" i="39"/>
  <c r="P64" i="39"/>
  <c r="Q12" i="39"/>
  <c r="P12" i="39"/>
  <c r="N8" i="39"/>
  <c r="AB8" i="39"/>
  <c r="AC5" i="39" s="1"/>
  <c r="AA8" i="39"/>
  <c r="Q58" i="39"/>
  <c r="P58" i="39"/>
  <c r="Q29" i="39"/>
  <c r="P29" i="39"/>
  <c r="Q30" i="39"/>
  <c r="P30" i="39"/>
  <c r="Q41" i="39"/>
  <c r="P41" i="39"/>
  <c r="AB22" i="35"/>
  <c r="AA22" i="35"/>
  <c r="M23" i="35"/>
  <c r="N22" i="35"/>
  <c r="AB26" i="35"/>
  <c r="AA26" i="35"/>
  <c r="N26" i="35"/>
  <c r="AB6" i="35"/>
  <c r="AA6" i="35"/>
  <c r="N6" i="35"/>
  <c r="N17" i="35"/>
  <c r="AB17" i="35"/>
  <c r="AA17" i="35"/>
  <c r="Q44" i="35"/>
  <c r="P44" i="35"/>
  <c r="AB62" i="35"/>
  <c r="AA62" i="35"/>
  <c r="N62" i="35"/>
  <c r="N46" i="35"/>
  <c r="AA46" i="35"/>
  <c r="AB46" i="35"/>
  <c r="AB15" i="35"/>
  <c r="AA15" i="35"/>
  <c r="N15" i="35"/>
  <c r="N42" i="35"/>
  <c r="AB42" i="35"/>
  <c r="AA42" i="35"/>
  <c r="M48" i="35"/>
  <c r="Q61" i="35"/>
  <c r="P61" i="35"/>
  <c r="AB58" i="35"/>
  <c r="AA58" i="35"/>
  <c r="N58" i="35"/>
  <c r="M60" i="35"/>
  <c r="Q47" i="35"/>
  <c r="P47" i="35"/>
  <c r="Q54" i="35"/>
  <c r="P54" i="35"/>
  <c r="N65" i="35"/>
  <c r="AB65" i="35"/>
  <c r="AA65" i="35"/>
  <c r="N67" i="35"/>
  <c r="AB67" i="35"/>
  <c r="AA67" i="35"/>
  <c r="N63" i="35"/>
  <c r="AB63" i="35"/>
  <c r="AA63" i="35"/>
  <c r="N53" i="35"/>
  <c r="AB53" i="35"/>
  <c r="AA53" i="35"/>
  <c r="N31" i="35"/>
  <c r="AB31" i="35"/>
  <c r="AA31" i="35"/>
  <c r="N29" i="35"/>
  <c r="AB29" i="35"/>
  <c r="AA29" i="35"/>
  <c r="M8" i="35"/>
  <c r="AB5" i="35"/>
  <c r="AA5" i="35"/>
  <c r="N5" i="35"/>
  <c r="Q28" i="35"/>
  <c r="P28" i="35"/>
  <c r="AB12" i="35"/>
  <c r="AA12" i="35"/>
  <c r="M18" i="35"/>
  <c r="N12" i="35"/>
  <c r="AB16" i="35"/>
  <c r="AA16" i="35"/>
  <c r="N16" i="35"/>
  <c r="AB36" i="35"/>
  <c r="AA36" i="35"/>
  <c r="N36" i="35"/>
  <c r="F2" i="35"/>
  <c r="I3" i="34"/>
  <c r="N27" i="35"/>
  <c r="AB27" i="35"/>
  <c r="AA27" i="35"/>
  <c r="AB51" i="35"/>
  <c r="AA51" i="35"/>
  <c r="N51" i="35"/>
  <c r="N7" i="35"/>
  <c r="AB7" i="35"/>
  <c r="AA7" i="35"/>
  <c r="AB25" i="35"/>
  <c r="AA25" i="35"/>
  <c r="N25" i="35"/>
  <c r="Q30" i="35"/>
  <c r="P30" i="35"/>
  <c r="AB38" i="35"/>
  <c r="AA38" i="35"/>
  <c r="N38" i="35"/>
  <c r="N45" i="35"/>
  <c r="AB45" i="35"/>
  <c r="AA45" i="35"/>
  <c r="AB52" i="35"/>
  <c r="AA52" i="35"/>
  <c r="N52" i="35"/>
  <c r="Q64" i="35"/>
  <c r="P64" i="35"/>
  <c r="N43" i="35"/>
  <c r="AB43" i="35"/>
  <c r="AA43" i="35"/>
  <c r="N66" i="35"/>
  <c r="AB66" i="35"/>
  <c r="AA66" i="35"/>
  <c r="N68" i="35"/>
  <c r="AA68" i="35"/>
  <c r="AB68" i="35"/>
  <c r="N24" i="35"/>
  <c r="AB24" i="35"/>
  <c r="AA24" i="35"/>
  <c r="M32" i="35"/>
  <c r="M41" i="35"/>
  <c r="AB33" i="35"/>
  <c r="N33" i="35"/>
  <c r="AA33" i="35"/>
  <c r="AB21" i="35"/>
  <c r="AB35" i="35"/>
  <c r="AB37" i="35"/>
  <c r="N13" i="35"/>
  <c r="N37" i="35"/>
  <c r="N39" i="35"/>
  <c r="N59" i="35"/>
  <c r="AA30" i="35"/>
  <c r="AA44" i="35"/>
  <c r="AA54" i="35"/>
  <c r="AA64" i="35"/>
  <c r="N21" i="35"/>
  <c r="AB30" i="35"/>
  <c r="N35" i="35"/>
  <c r="AB44" i="35"/>
  <c r="AB54" i="35"/>
  <c r="N56" i="35"/>
  <c r="N57" i="35"/>
  <c r="AB64" i="35"/>
  <c r="M69" i="35"/>
  <c r="N14" i="35"/>
  <c r="N40" i="35"/>
  <c r="N49" i="35"/>
  <c r="N50" i="35"/>
  <c r="E13" i="34"/>
  <c r="E15" i="34" s="1"/>
  <c r="AB28" i="35"/>
  <c r="M55" i="35"/>
  <c r="AB61" i="35"/>
  <c r="P9" i="35"/>
  <c r="P10" i="35"/>
  <c r="AA14" i="35"/>
  <c r="P19" i="35"/>
  <c r="P20" i="35"/>
  <c r="P34" i="35"/>
  <c r="AA40" i="35"/>
  <c r="AA49" i="35"/>
  <c r="AA50" i="35"/>
  <c r="AA13" i="35"/>
  <c r="AA39" i="35"/>
  <c r="AA59" i="35"/>
  <c r="O68" i="33"/>
  <c r="K68" i="33"/>
  <c r="V67" i="33"/>
  <c r="M67" i="33" s="1"/>
  <c r="U67" i="33"/>
  <c r="O67" i="33"/>
  <c r="K67" i="33"/>
  <c r="G67" i="33"/>
  <c r="V66" i="33"/>
  <c r="M66" i="33" s="1"/>
  <c r="U66" i="33"/>
  <c r="O66" i="33"/>
  <c r="K66" i="33"/>
  <c r="G66" i="33"/>
  <c r="X65" i="33"/>
  <c r="W65" i="33"/>
  <c r="V65" i="33"/>
  <c r="M65" i="33" s="1"/>
  <c r="U65" i="33"/>
  <c r="O65" i="33"/>
  <c r="K65" i="33"/>
  <c r="G65" i="33"/>
  <c r="V64" i="33"/>
  <c r="M64" i="33" s="1"/>
  <c r="U64" i="33"/>
  <c r="O64" i="33"/>
  <c r="K64" i="33"/>
  <c r="G64" i="33"/>
  <c r="V63" i="33"/>
  <c r="M63" i="33" s="1"/>
  <c r="U63" i="33"/>
  <c r="O63" i="33"/>
  <c r="K63" i="33"/>
  <c r="G63" i="33"/>
  <c r="V62" i="33"/>
  <c r="M62" i="33" s="1"/>
  <c r="U62" i="33"/>
  <c r="O62" i="33"/>
  <c r="K62" i="33"/>
  <c r="G62" i="33"/>
  <c r="V61" i="33"/>
  <c r="M61" i="33" s="1"/>
  <c r="U61" i="33"/>
  <c r="O61" i="33"/>
  <c r="K61" i="33"/>
  <c r="G61" i="33"/>
  <c r="X60" i="33"/>
  <c r="W60" i="33"/>
  <c r="V60" i="33"/>
  <c r="M60" i="33" s="1"/>
  <c r="O60" i="33"/>
  <c r="K60" i="33"/>
  <c r="G60" i="33"/>
  <c r="O59" i="33"/>
  <c r="M59" i="33"/>
  <c r="AB59" i="33" s="1"/>
  <c r="AC55" i="33" s="1"/>
  <c r="K59" i="33"/>
  <c r="V58" i="33"/>
  <c r="U58" i="33"/>
  <c r="O58" i="33"/>
  <c r="M58" i="33"/>
  <c r="AB58" i="33" s="1"/>
  <c r="K58" i="33"/>
  <c r="G58" i="33"/>
  <c r="V57" i="33"/>
  <c r="U57" i="33"/>
  <c r="O57" i="33"/>
  <c r="N57" i="33"/>
  <c r="Q57" i="33" s="1"/>
  <c r="M57" i="33"/>
  <c r="AB57" i="33" s="1"/>
  <c r="K57" i="33"/>
  <c r="G57" i="33"/>
  <c r="AB56" i="33"/>
  <c r="V56" i="33"/>
  <c r="U56" i="33"/>
  <c r="O56" i="33"/>
  <c r="M56" i="33"/>
  <c r="AA56" i="33" s="1"/>
  <c r="K56" i="33"/>
  <c r="G56" i="33"/>
  <c r="AB55" i="33"/>
  <c r="V55" i="33"/>
  <c r="O55" i="33"/>
  <c r="M55" i="33"/>
  <c r="AA55" i="33" s="1"/>
  <c r="K55" i="33"/>
  <c r="G55" i="33"/>
  <c r="O54" i="33"/>
  <c r="K54" i="33"/>
  <c r="V53" i="33"/>
  <c r="M53" i="33" s="1"/>
  <c r="U53" i="33"/>
  <c r="O53" i="33"/>
  <c r="K53" i="33"/>
  <c r="G53" i="33"/>
  <c r="V52" i="33"/>
  <c r="M52" i="33" s="1"/>
  <c r="U52" i="33"/>
  <c r="O52" i="33"/>
  <c r="K52" i="33"/>
  <c r="G52" i="33"/>
  <c r="V51" i="33"/>
  <c r="M51" i="33" s="1"/>
  <c r="U51" i="33"/>
  <c r="O51" i="33"/>
  <c r="K51" i="33"/>
  <c r="G51" i="33"/>
  <c r="V50" i="33"/>
  <c r="U50" i="33"/>
  <c r="O50" i="33"/>
  <c r="M50" i="33"/>
  <c r="AB50" i="33" s="1"/>
  <c r="K50" i="33"/>
  <c r="G50" i="33"/>
  <c r="V49" i="33"/>
  <c r="U49" i="33"/>
  <c r="O49" i="33"/>
  <c r="M49" i="33"/>
  <c r="AB49" i="33" s="1"/>
  <c r="K49" i="33"/>
  <c r="G49" i="33"/>
  <c r="V48" i="33"/>
  <c r="O48" i="33"/>
  <c r="M48" i="33"/>
  <c r="AB48" i="33" s="1"/>
  <c r="K48" i="33"/>
  <c r="G48" i="33"/>
  <c r="O47" i="33"/>
  <c r="K47" i="33"/>
  <c r="V46" i="33"/>
  <c r="M46" i="33" s="1"/>
  <c r="U46" i="33"/>
  <c r="O46" i="33"/>
  <c r="K46" i="33"/>
  <c r="G46" i="33"/>
  <c r="V45" i="33"/>
  <c r="M45" i="33" s="1"/>
  <c r="U45" i="33"/>
  <c r="O45" i="33"/>
  <c r="K45" i="33"/>
  <c r="G45" i="33"/>
  <c r="V44" i="33"/>
  <c r="M44" i="33" s="1"/>
  <c r="U44" i="33"/>
  <c r="O44" i="33"/>
  <c r="K44" i="33"/>
  <c r="G44" i="33"/>
  <c r="V43" i="33"/>
  <c r="M43" i="33" s="1"/>
  <c r="U43" i="33"/>
  <c r="O43" i="33"/>
  <c r="K43" i="33"/>
  <c r="G43" i="33"/>
  <c r="V42" i="33"/>
  <c r="M42" i="33" s="1"/>
  <c r="U42" i="33"/>
  <c r="O42" i="33"/>
  <c r="K42" i="33"/>
  <c r="G42" i="33"/>
  <c r="X41" i="33"/>
  <c r="W41" i="33"/>
  <c r="V41" i="33"/>
  <c r="M41" i="33" s="1"/>
  <c r="O41" i="33"/>
  <c r="K41" i="33"/>
  <c r="G41" i="33"/>
  <c r="O40" i="33"/>
  <c r="K40" i="33"/>
  <c r="V39" i="33"/>
  <c r="U39" i="33"/>
  <c r="O39" i="33"/>
  <c r="M39" i="33"/>
  <c r="AB39" i="33" s="1"/>
  <c r="K39" i="33"/>
  <c r="G39" i="33"/>
  <c r="V38" i="33"/>
  <c r="U38" i="33"/>
  <c r="O38" i="33"/>
  <c r="M38" i="33"/>
  <c r="AB38" i="33" s="1"/>
  <c r="K38" i="33"/>
  <c r="G38" i="33"/>
  <c r="V37" i="33"/>
  <c r="U37" i="33"/>
  <c r="O37" i="33"/>
  <c r="N37" i="33"/>
  <c r="Q37" i="33" s="1"/>
  <c r="M37" i="33"/>
  <c r="AB37" i="33" s="1"/>
  <c r="K37" i="33"/>
  <c r="G37" i="33"/>
  <c r="AB36" i="33"/>
  <c r="X36" i="33"/>
  <c r="W36" i="33"/>
  <c r="V36" i="33"/>
  <c r="U36" i="33"/>
  <c r="O36" i="33"/>
  <c r="M36" i="33"/>
  <c r="AA36" i="33" s="1"/>
  <c r="K36" i="33"/>
  <c r="G36" i="33"/>
  <c r="V35" i="33"/>
  <c r="U35" i="33"/>
  <c r="O35" i="33"/>
  <c r="N35" i="33"/>
  <c r="Q35" i="33" s="1"/>
  <c r="M35" i="33"/>
  <c r="AB35" i="33" s="1"/>
  <c r="K35" i="33"/>
  <c r="G35" i="33"/>
  <c r="AB34" i="33"/>
  <c r="V34" i="33"/>
  <c r="U34" i="33"/>
  <c r="O34" i="33"/>
  <c r="M34" i="33"/>
  <c r="AA34" i="33" s="1"/>
  <c r="K34" i="33"/>
  <c r="G34" i="33"/>
  <c r="AB33" i="33"/>
  <c r="AA33" i="33"/>
  <c r="V33" i="33"/>
  <c r="U33" i="33"/>
  <c r="O33" i="33"/>
  <c r="M33" i="33"/>
  <c r="N33" i="33" s="1"/>
  <c r="K33" i="33"/>
  <c r="G33" i="33"/>
  <c r="AB32" i="33"/>
  <c r="AA32" i="33"/>
  <c r="X32" i="33"/>
  <c r="W32" i="33"/>
  <c r="V32" i="33"/>
  <c r="O32" i="33"/>
  <c r="N32" i="33"/>
  <c r="Q32" i="33" s="1"/>
  <c r="M32" i="33"/>
  <c r="M40" i="33" s="1"/>
  <c r="K32" i="33"/>
  <c r="G32" i="33"/>
  <c r="O31" i="33"/>
  <c r="K31" i="33"/>
  <c r="V30" i="33"/>
  <c r="M30" i="33" s="1"/>
  <c r="U30" i="33"/>
  <c r="O30" i="33"/>
  <c r="K30" i="33"/>
  <c r="G30" i="33"/>
  <c r="V29" i="33"/>
  <c r="M29" i="33" s="1"/>
  <c r="U29" i="33"/>
  <c r="O29" i="33"/>
  <c r="K29" i="33"/>
  <c r="G29" i="33"/>
  <c r="X28" i="33"/>
  <c r="W28" i="33"/>
  <c r="V28" i="33"/>
  <c r="M28" i="33" s="1"/>
  <c r="U28" i="33"/>
  <c r="O28" i="33"/>
  <c r="K28" i="33"/>
  <c r="G28" i="33"/>
  <c r="V27" i="33"/>
  <c r="M27" i="33" s="1"/>
  <c r="U27" i="33"/>
  <c r="O27" i="33"/>
  <c r="K27" i="33"/>
  <c r="G27" i="33"/>
  <c r="V26" i="33"/>
  <c r="M26" i="33" s="1"/>
  <c r="U26" i="33"/>
  <c r="O26" i="33"/>
  <c r="K26" i="33"/>
  <c r="G26" i="33"/>
  <c r="V25" i="33"/>
  <c r="M25" i="33" s="1"/>
  <c r="U25" i="33"/>
  <c r="O25" i="33"/>
  <c r="K25" i="33"/>
  <c r="G25" i="33"/>
  <c r="X24" i="33"/>
  <c r="W24" i="33"/>
  <c r="V24" i="33"/>
  <c r="M24" i="33" s="1"/>
  <c r="O24" i="33"/>
  <c r="K24" i="33"/>
  <c r="G24" i="33"/>
  <c r="O23" i="33"/>
  <c r="M23" i="33"/>
  <c r="AB23" i="33" s="1"/>
  <c r="AC19" i="33" s="1"/>
  <c r="K23" i="33"/>
  <c r="V22" i="33"/>
  <c r="U22" i="33"/>
  <c r="O22" i="33"/>
  <c r="M22" i="33"/>
  <c r="AB22" i="33" s="1"/>
  <c r="K22" i="33"/>
  <c r="G22" i="33"/>
  <c r="V21" i="33"/>
  <c r="U21" i="33"/>
  <c r="O21" i="33"/>
  <c r="N21" i="33"/>
  <c r="Q21" i="33" s="1"/>
  <c r="M21" i="33"/>
  <c r="AB21" i="33" s="1"/>
  <c r="K21" i="33"/>
  <c r="G21" i="33"/>
  <c r="F1" i="33" s="1"/>
  <c r="AB20" i="33"/>
  <c r="V20" i="33"/>
  <c r="U20" i="33"/>
  <c r="O20" i="33"/>
  <c r="M20" i="33"/>
  <c r="AA20" i="33" s="1"/>
  <c r="K20" i="33"/>
  <c r="G20" i="33"/>
  <c r="AB19" i="33"/>
  <c r="V19" i="33"/>
  <c r="O19" i="33"/>
  <c r="M19" i="33"/>
  <c r="AA19" i="33" s="1"/>
  <c r="K19" i="33"/>
  <c r="G19" i="33"/>
  <c r="O18" i="33"/>
  <c r="K18" i="33"/>
  <c r="V17" i="33"/>
  <c r="M17" i="33" s="1"/>
  <c r="U17" i="33"/>
  <c r="O17" i="33"/>
  <c r="K17" i="33"/>
  <c r="G17" i="33"/>
  <c r="V16" i="33"/>
  <c r="M16" i="33" s="1"/>
  <c r="U16" i="33"/>
  <c r="O16" i="33"/>
  <c r="K16" i="33"/>
  <c r="G16" i="33"/>
  <c r="V15" i="33"/>
  <c r="M15" i="33" s="1"/>
  <c r="U15" i="33"/>
  <c r="O15" i="33"/>
  <c r="K15" i="33"/>
  <c r="G15" i="33"/>
  <c r="V14" i="33"/>
  <c r="U14" i="33"/>
  <c r="O14" i="33"/>
  <c r="M14" i="33"/>
  <c r="AB14" i="33" s="1"/>
  <c r="K14" i="33"/>
  <c r="G14" i="33"/>
  <c r="V13" i="33"/>
  <c r="U13" i="33"/>
  <c r="O13" i="33"/>
  <c r="M13" i="33"/>
  <c r="AB13" i="33" s="1"/>
  <c r="K13" i="33"/>
  <c r="G13" i="33"/>
  <c r="X12" i="33"/>
  <c r="W12" i="33"/>
  <c r="V12" i="33"/>
  <c r="M12" i="33" s="1"/>
  <c r="O12" i="33"/>
  <c r="K12" i="33"/>
  <c r="G12" i="33"/>
  <c r="O11" i="33"/>
  <c r="K11" i="33"/>
  <c r="AB10" i="33"/>
  <c r="V10" i="33"/>
  <c r="U10" i="33"/>
  <c r="O10" i="33"/>
  <c r="M10" i="33"/>
  <c r="AA10" i="33" s="1"/>
  <c r="K10" i="33"/>
  <c r="G10" i="33"/>
  <c r="AB9" i="33"/>
  <c r="V9" i="33"/>
  <c r="O9" i="33"/>
  <c r="M9" i="33"/>
  <c r="AA9" i="33" s="1"/>
  <c r="K9" i="33"/>
  <c r="G9" i="33"/>
  <c r="O8" i="33"/>
  <c r="K8" i="33"/>
  <c r="V7" i="33"/>
  <c r="M7" i="33" s="1"/>
  <c r="U7" i="33"/>
  <c r="O7" i="33"/>
  <c r="K7" i="33"/>
  <c r="G7" i="33"/>
  <c r="V6" i="33"/>
  <c r="M6" i="33" s="1"/>
  <c r="U6" i="33"/>
  <c r="O6" i="33"/>
  <c r="K6" i="33"/>
  <c r="G6" i="33"/>
  <c r="V5" i="33"/>
  <c r="M5" i="33" s="1"/>
  <c r="O5" i="33"/>
  <c r="K5" i="33"/>
  <c r="G5" i="33"/>
  <c r="H2" i="33"/>
  <c r="H1" i="33"/>
  <c r="D1" i="33"/>
  <c r="M18" i="32"/>
  <c r="L18" i="32"/>
  <c r="K18" i="32"/>
  <c r="J18" i="32"/>
  <c r="I18" i="32"/>
  <c r="H18" i="32"/>
  <c r="G18" i="32"/>
  <c r="F18" i="32"/>
  <c r="E18" i="32"/>
  <c r="D18" i="32"/>
  <c r="M17" i="32"/>
  <c r="L17" i="32"/>
  <c r="K17" i="32"/>
  <c r="J17" i="32"/>
  <c r="I17" i="32"/>
  <c r="H17" i="32"/>
  <c r="G17" i="32"/>
  <c r="F17" i="32"/>
  <c r="E17" i="32"/>
  <c r="D17" i="32"/>
  <c r="M16" i="32"/>
  <c r="L16" i="32"/>
  <c r="K16" i="32"/>
  <c r="J16" i="32"/>
  <c r="I16" i="32"/>
  <c r="H16" i="32"/>
  <c r="G16" i="32"/>
  <c r="F16" i="32"/>
  <c r="E16" i="32"/>
  <c r="D16" i="32"/>
  <c r="M13" i="32"/>
  <c r="L13" i="32"/>
  <c r="K13" i="32"/>
  <c r="I6" i="32" s="1"/>
  <c r="J13" i="32"/>
  <c r="I13" i="32"/>
  <c r="H13" i="32"/>
  <c r="G13" i="32"/>
  <c r="F13" i="32"/>
  <c r="E13" i="32"/>
  <c r="D13" i="32"/>
  <c r="F3" i="32"/>
  <c r="C3" i="32"/>
  <c r="G8" i="46" l="1"/>
  <c r="F8" i="46"/>
  <c r="E8" i="46"/>
  <c r="K15" i="42"/>
  <c r="I8" i="42" s="1"/>
  <c r="I7" i="42"/>
  <c r="D15" i="42"/>
  <c r="G7" i="42"/>
  <c r="F7" i="42"/>
  <c r="E7" i="42"/>
  <c r="Q47" i="39"/>
  <c r="R41" i="39" s="1"/>
  <c r="P47" i="39"/>
  <c r="H14" i="38"/>
  <c r="H15" i="38" s="1"/>
  <c r="Q31" i="39"/>
  <c r="R23" i="39" s="1"/>
  <c r="P31" i="39"/>
  <c r="K14" i="38"/>
  <c r="L14" i="38"/>
  <c r="L15" i="38" s="1"/>
  <c r="Q40" i="39"/>
  <c r="R32" i="39" s="1"/>
  <c r="P40" i="39"/>
  <c r="P54" i="39"/>
  <c r="I14" i="38"/>
  <c r="I15" i="38" s="1"/>
  <c r="Q54" i="39"/>
  <c r="R48" i="39" s="1"/>
  <c r="Q69" i="39"/>
  <c r="R60" i="39" s="1"/>
  <c r="P69" i="39"/>
  <c r="M14" i="38"/>
  <c r="M15" i="38" s="1"/>
  <c r="Q11" i="39"/>
  <c r="R9" i="39" s="1"/>
  <c r="P11" i="39"/>
  <c r="E14" i="38"/>
  <c r="E15" i="38" s="1"/>
  <c r="P8" i="39"/>
  <c r="D2" i="39"/>
  <c r="D14" i="38"/>
  <c r="Q8" i="39"/>
  <c r="R5" i="39" s="1"/>
  <c r="F14" i="38"/>
  <c r="F15" i="38" s="1"/>
  <c r="Q17" i="39"/>
  <c r="R12" i="39" s="1"/>
  <c r="P17" i="39"/>
  <c r="Q22" i="39"/>
  <c r="R18" i="39" s="1"/>
  <c r="P22" i="39"/>
  <c r="G14" i="38"/>
  <c r="G15" i="38" s="1"/>
  <c r="Q35" i="35"/>
  <c r="P35" i="35"/>
  <c r="Q36" i="35"/>
  <c r="P36" i="35"/>
  <c r="P5" i="35"/>
  <c r="Q5" i="35"/>
  <c r="Q53" i="35"/>
  <c r="P53" i="35"/>
  <c r="Q15" i="35"/>
  <c r="P15" i="35"/>
  <c r="Q17" i="35"/>
  <c r="P17" i="35"/>
  <c r="E6" i="34"/>
  <c r="Q68" i="35"/>
  <c r="P68" i="35"/>
  <c r="Q50" i="35"/>
  <c r="P50" i="35"/>
  <c r="Q21" i="35"/>
  <c r="P21" i="35"/>
  <c r="AB60" i="35"/>
  <c r="AC56" i="35" s="1"/>
  <c r="AA60" i="35"/>
  <c r="N60" i="35"/>
  <c r="P6" i="35"/>
  <c r="Q6" i="35"/>
  <c r="Q40" i="35"/>
  <c r="P40" i="35"/>
  <c r="Q33" i="35"/>
  <c r="P33" i="35"/>
  <c r="Q66" i="35"/>
  <c r="P66" i="35"/>
  <c r="Q38" i="35"/>
  <c r="P38" i="35"/>
  <c r="Q51" i="35"/>
  <c r="P51" i="35"/>
  <c r="Q14" i="35"/>
  <c r="P14" i="35"/>
  <c r="Q46" i="35"/>
  <c r="P46" i="35"/>
  <c r="P26" i="35"/>
  <c r="Q26" i="35"/>
  <c r="Q63" i="35"/>
  <c r="P63" i="35"/>
  <c r="AB69" i="35"/>
  <c r="AC61" i="35" s="1"/>
  <c r="AA69" i="35"/>
  <c r="N69" i="35"/>
  <c r="AB41" i="35"/>
  <c r="AC33" i="35" s="1"/>
  <c r="AA41" i="35"/>
  <c r="N41" i="35"/>
  <c r="Q12" i="35"/>
  <c r="P12" i="35"/>
  <c r="Q29" i="35"/>
  <c r="P29" i="35"/>
  <c r="P67" i="35"/>
  <c r="Q67" i="35"/>
  <c r="P62" i="35"/>
  <c r="Q62" i="35"/>
  <c r="P16" i="35"/>
  <c r="Q16" i="35"/>
  <c r="AA32" i="35"/>
  <c r="N32" i="35"/>
  <c r="AB32" i="35"/>
  <c r="AC24" i="35" s="1"/>
  <c r="Q43" i="35"/>
  <c r="P43" i="35"/>
  <c r="N18" i="35"/>
  <c r="AB18" i="35"/>
  <c r="AC12" i="35" s="1"/>
  <c r="AA18" i="35"/>
  <c r="Q49" i="35"/>
  <c r="P49" i="35"/>
  <c r="Q7" i="35"/>
  <c r="P7" i="35"/>
  <c r="Q57" i="35"/>
  <c r="P57" i="35"/>
  <c r="Q59" i="35"/>
  <c r="P59" i="35"/>
  <c r="AB48" i="35"/>
  <c r="AC42" i="35" s="1"/>
  <c r="AA48" i="35"/>
  <c r="N48" i="35"/>
  <c r="Q22" i="35"/>
  <c r="P22" i="35"/>
  <c r="F6" i="34"/>
  <c r="Q58" i="35"/>
  <c r="P58" i="35"/>
  <c r="Q56" i="35"/>
  <c r="P56" i="35"/>
  <c r="Q39" i="35"/>
  <c r="P39" i="35"/>
  <c r="G6" i="34"/>
  <c r="Q27" i="35"/>
  <c r="P27" i="35"/>
  <c r="P31" i="35"/>
  <c r="Q31" i="35"/>
  <c r="P65" i="35"/>
  <c r="Q65" i="35"/>
  <c r="AB23" i="35"/>
  <c r="AC19" i="35" s="1"/>
  <c r="AA23" i="35"/>
  <c r="N23" i="35"/>
  <c r="N8" i="35"/>
  <c r="AB8" i="35"/>
  <c r="AC5" i="35" s="1"/>
  <c r="AA8" i="35"/>
  <c r="N55" i="35"/>
  <c r="AB55" i="35"/>
  <c r="AC49" i="35" s="1"/>
  <c r="AA55" i="35"/>
  <c r="Q37" i="35"/>
  <c r="P37" i="35"/>
  <c r="Q24" i="35"/>
  <c r="P24" i="35"/>
  <c r="P52" i="35"/>
  <c r="Q52" i="35"/>
  <c r="Q25" i="35"/>
  <c r="P25" i="35"/>
  <c r="P45" i="35"/>
  <c r="Q45" i="35"/>
  <c r="Q13" i="35"/>
  <c r="P13" i="35"/>
  <c r="P42" i="35"/>
  <c r="Q42" i="35"/>
  <c r="F6" i="32"/>
  <c r="N28" i="33"/>
  <c r="AB28" i="33"/>
  <c r="AA28" i="33"/>
  <c r="N30" i="33"/>
  <c r="AB30" i="33"/>
  <c r="AA30" i="33"/>
  <c r="N7" i="33"/>
  <c r="AB7" i="33"/>
  <c r="AA7" i="33"/>
  <c r="N44" i="33"/>
  <c r="AB44" i="33"/>
  <c r="AA44" i="33"/>
  <c r="N63" i="33"/>
  <c r="AB63" i="33"/>
  <c r="AA63" i="33"/>
  <c r="N24" i="33"/>
  <c r="AB24" i="33"/>
  <c r="M31" i="33"/>
  <c r="AA24" i="33"/>
  <c r="N26" i="33"/>
  <c r="AB26" i="33"/>
  <c r="AA26" i="33"/>
  <c r="N5" i="33"/>
  <c r="M8" i="33"/>
  <c r="AB5" i="33"/>
  <c r="AA5" i="33"/>
  <c r="N17" i="33"/>
  <c r="AB17" i="33"/>
  <c r="AA17" i="33"/>
  <c r="Q33" i="33"/>
  <c r="P33" i="33"/>
  <c r="N42" i="33"/>
  <c r="AB42" i="33"/>
  <c r="AA42" i="33"/>
  <c r="AB61" i="33"/>
  <c r="AA61" i="33"/>
  <c r="N61" i="33"/>
  <c r="N52" i="33"/>
  <c r="AB52" i="33"/>
  <c r="AA52" i="33"/>
  <c r="AB40" i="33"/>
  <c r="AC32" i="33" s="1"/>
  <c r="AA40" i="33"/>
  <c r="N40" i="33"/>
  <c r="F2" i="33"/>
  <c r="I3" i="32"/>
  <c r="N27" i="33"/>
  <c r="AB27" i="33"/>
  <c r="AA27" i="33"/>
  <c r="N29" i="33"/>
  <c r="AB29" i="33"/>
  <c r="AA29" i="33"/>
  <c r="N6" i="33"/>
  <c r="AB6" i="33"/>
  <c r="AA6" i="33"/>
  <c r="N41" i="33"/>
  <c r="AB41" i="33"/>
  <c r="AA41" i="33"/>
  <c r="M47" i="33"/>
  <c r="N43" i="33"/>
  <c r="AB43" i="33"/>
  <c r="AA43" i="33"/>
  <c r="N60" i="33"/>
  <c r="AB60" i="33"/>
  <c r="AA60" i="33"/>
  <c r="M68" i="33"/>
  <c r="N62" i="33"/>
  <c r="AB62" i="33"/>
  <c r="AA62" i="33"/>
  <c r="AB25" i="33"/>
  <c r="AA25" i="33"/>
  <c r="N25" i="33"/>
  <c r="N53" i="33"/>
  <c r="AB53" i="33"/>
  <c r="AA53" i="33"/>
  <c r="N16" i="33"/>
  <c r="AB16" i="33"/>
  <c r="AA16" i="33"/>
  <c r="AB15" i="33"/>
  <c r="AA15" i="33"/>
  <c r="N15" i="33"/>
  <c r="N45" i="33"/>
  <c r="AB45" i="33"/>
  <c r="AA45" i="33"/>
  <c r="N64" i="33"/>
  <c r="AB64" i="33"/>
  <c r="AA64" i="33"/>
  <c r="N66" i="33"/>
  <c r="AB66" i="33"/>
  <c r="AA66" i="33"/>
  <c r="AB12" i="33"/>
  <c r="AA12" i="33"/>
  <c r="M18" i="33"/>
  <c r="N12" i="33"/>
  <c r="N46" i="33"/>
  <c r="AB46" i="33"/>
  <c r="AA46" i="33"/>
  <c r="AB51" i="33"/>
  <c r="AA51" i="33"/>
  <c r="N51" i="33"/>
  <c r="N65" i="33"/>
  <c r="AB65" i="33"/>
  <c r="AA65" i="33"/>
  <c r="N67" i="33"/>
  <c r="AB67" i="33"/>
  <c r="AA67" i="33"/>
  <c r="N14" i="33"/>
  <c r="N23" i="33"/>
  <c r="N50" i="33"/>
  <c r="N59" i="33"/>
  <c r="M11" i="33"/>
  <c r="N13" i="33"/>
  <c r="N39" i="33"/>
  <c r="N48" i="33"/>
  <c r="N49" i="33"/>
  <c r="N22" i="33"/>
  <c r="N36" i="33"/>
  <c r="N38" i="33"/>
  <c r="N58" i="33"/>
  <c r="G6" i="32"/>
  <c r="E6" i="32"/>
  <c r="N9" i="33"/>
  <c r="N10" i="33"/>
  <c r="N19" i="33"/>
  <c r="N20" i="33"/>
  <c r="AA23" i="33"/>
  <c r="N34" i="33"/>
  <c r="N55" i="33"/>
  <c r="N56" i="33"/>
  <c r="AA59" i="33"/>
  <c r="P21" i="33"/>
  <c r="P32" i="33"/>
  <c r="P35" i="33"/>
  <c r="P37" i="33"/>
  <c r="P57" i="33"/>
  <c r="AA14" i="33"/>
  <c r="AA50" i="33"/>
  <c r="M54" i="33"/>
  <c r="AA13" i="33"/>
  <c r="AA39" i="33"/>
  <c r="AA48" i="33"/>
  <c r="AA49" i="33"/>
  <c r="AA22" i="33"/>
  <c r="AA38" i="33"/>
  <c r="AA58" i="33"/>
  <c r="AA21" i="33"/>
  <c r="AA35" i="33"/>
  <c r="AA37" i="33"/>
  <c r="AA57" i="33"/>
  <c r="O67" i="29"/>
  <c r="K67" i="29"/>
  <c r="V66" i="29"/>
  <c r="M66" i="29" s="1"/>
  <c r="U66" i="29"/>
  <c r="O66" i="29"/>
  <c r="K66" i="29"/>
  <c r="G66" i="29"/>
  <c r="AB65" i="29"/>
  <c r="AA65" i="29"/>
  <c r="V65" i="29"/>
  <c r="U65" i="29"/>
  <c r="Q65" i="29"/>
  <c r="O65" i="29"/>
  <c r="N65" i="29"/>
  <c r="P65" i="29" s="1"/>
  <c r="M65" i="29"/>
  <c r="K65" i="29"/>
  <c r="G65" i="29"/>
  <c r="X64" i="29"/>
  <c r="W64" i="29"/>
  <c r="V64" i="29"/>
  <c r="M64" i="29" s="1"/>
  <c r="U64" i="29"/>
  <c r="O64" i="29"/>
  <c r="K64" i="29"/>
  <c r="G64" i="29"/>
  <c r="AB63" i="29"/>
  <c r="AA63" i="29"/>
  <c r="V63" i="29"/>
  <c r="U63" i="29"/>
  <c r="Q63" i="29"/>
  <c r="O63" i="29"/>
  <c r="N63" i="29"/>
  <c r="P63" i="29" s="1"/>
  <c r="M63" i="29"/>
  <c r="K63" i="29"/>
  <c r="G63" i="29"/>
  <c r="V62" i="29"/>
  <c r="U62" i="29"/>
  <c r="O62" i="29"/>
  <c r="M62" i="29"/>
  <c r="N62" i="29" s="1"/>
  <c r="K62" i="29"/>
  <c r="G62" i="29"/>
  <c r="AA61" i="29"/>
  <c r="V61" i="29"/>
  <c r="U61" i="29"/>
  <c r="O61" i="29"/>
  <c r="M61" i="29"/>
  <c r="N61" i="29" s="1"/>
  <c r="K61" i="29"/>
  <c r="G61" i="29"/>
  <c r="AB60" i="29"/>
  <c r="AA60" i="29"/>
  <c r="V60" i="29"/>
  <c r="U60" i="29"/>
  <c r="O60" i="29"/>
  <c r="N60" i="29"/>
  <c r="P60" i="29" s="1"/>
  <c r="M60" i="29"/>
  <c r="K60" i="29"/>
  <c r="G60" i="29"/>
  <c r="V59" i="29"/>
  <c r="U59" i="29"/>
  <c r="O59" i="29"/>
  <c r="M59" i="29"/>
  <c r="AB59" i="29" s="1"/>
  <c r="K59" i="29"/>
  <c r="G59" i="29"/>
  <c r="AB58" i="29"/>
  <c r="AA58" i="29"/>
  <c r="X58" i="29"/>
  <c r="W58" i="29"/>
  <c r="V58" i="29"/>
  <c r="O58" i="29"/>
  <c r="M58" i="29"/>
  <c r="N58" i="29" s="1"/>
  <c r="K58" i="29"/>
  <c r="G58" i="29"/>
  <c r="O57" i="29"/>
  <c r="M57" i="29"/>
  <c r="AB57" i="29" s="1"/>
  <c r="AC53" i="29" s="1"/>
  <c r="K57" i="29"/>
  <c r="J13" i="28" s="1"/>
  <c r="AB56" i="29"/>
  <c r="AA56" i="29"/>
  <c r="V56" i="29"/>
  <c r="U56" i="29"/>
  <c r="Q56" i="29"/>
  <c r="P56" i="29"/>
  <c r="O56" i="29"/>
  <c r="N56" i="29"/>
  <c r="M56" i="29"/>
  <c r="K56" i="29"/>
  <c r="G56" i="29"/>
  <c r="AB55" i="29"/>
  <c r="AA55" i="29"/>
  <c r="V55" i="29"/>
  <c r="U55" i="29"/>
  <c r="P55" i="29"/>
  <c r="O55" i="29"/>
  <c r="N55" i="29"/>
  <c r="Q55" i="29" s="1"/>
  <c r="M55" i="29"/>
  <c r="K55" i="29"/>
  <c r="G55" i="29"/>
  <c r="AB54" i="29"/>
  <c r="AA54" i="29"/>
  <c r="V54" i="29"/>
  <c r="U54" i="29"/>
  <c r="Q54" i="29"/>
  <c r="P54" i="29"/>
  <c r="O54" i="29"/>
  <c r="N54" i="29"/>
  <c r="M54" i="29"/>
  <c r="K54" i="29"/>
  <c r="G54" i="29"/>
  <c r="AB53" i="29"/>
  <c r="AA53" i="29"/>
  <c r="V53" i="29"/>
  <c r="Q53" i="29"/>
  <c r="P53" i="29"/>
  <c r="O53" i="29"/>
  <c r="N53" i="29"/>
  <c r="M53" i="29"/>
  <c r="K53" i="29"/>
  <c r="G53" i="29"/>
  <c r="O52" i="29"/>
  <c r="K52" i="29"/>
  <c r="AA51" i="29"/>
  <c r="V51" i="29"/>
  <c r="U51" i="29"/>
  <c r="O51" i="29"/>
  <c r="M51" i="29"/>
  <c r="N51" i="29" s="1"/>
  <c r="K51" i="29"/>
  <c r="G51" i="29"/>
  <c r="AB50" i="29"/>
  <c r="AA50" i="29"/>
  <c r="V50" i="29"/>
  <c r="U50" i="29"/>
  <c r="O50" i="29"/>
  <c r="N50" i="29"/>
  <c r="P50" i="29" s="1"/>
  <c r="M50" i="29"/>
  <c r="K50" i="29"/>
  <c r="G50" i="29"/>
  <c r="V49" i="29"/>
  <c r="U49" i="29"/>
  <c r="O49" i="29"/>
  <c r="M49" i="29"/>
  <c r="AB49" i="29" s="1"/>
  <c r="K49" i="29"/>
  <c r="G49" i="29"/>
  <c r="V48" i="29"/>
  <c r="U48" i="29"/>
  <c r="O48" i="29"/>
  <c r="M48" i="29"/>
  <c r="AB48" i="29" s="1"/>
  <c r="K48" i="29"/>
  <c r="G48" i="29"/>
  <c r="V47" i="29"/>
  <c r="U47" i="29"/>
  <c r="O47" i="29"/>
  <c r="M47" i="29"/>
  <c r="AB47" i="29" s="1"/>
  <c r="K47" i="29"/>
  <c r="G47" i="29"/>
  <c r="V46" i="29"/>
  <c r="O46" i="29"/>
  <c r="M46" i="29"/>
  <c r="AB46" i="29" s="1"/>
  <c r="K46" i="29"/>
  <c r="G46" i="29"/>
  <c r="O45" i="29"/>
  <c r="K45" i="29"/>
  <c r="V44" i="29"/>
  <c r="M44" i="29" s="1"/>
  <c r="U44" i="29"/>
  <c r="O44" i="29"/>
  <c r="K44" i="29"/>
  <c r="G44" i="29"/>
  <c r="V43" i="29"/>
  <c r="M43" i="29" s="1"/>
  <c r="U43" i="29"/>
  <c r="O43" i="29"/>
  <c r="K43" i="29"/>
  <c r="G43" i="29"/>
  <c r="V42" i="29"/>
  <c r="U42" i="29"/>
  <c r="O42" i="29"/>
  <c r="M42" i="29"/>
  <c r="N42" i="29" s="1"/>
  <c r="K42" i="29"/>
  <c r="G42" i="29"/>
  <c r="AA41" i="29"/>
  <c r="V41" i="29"/>
  <c r="U41" i="29"/>
  <c r="O41" i="29"/>
  <c r="M41" i="29"/>
  <c r="N41" i="29" s="1"/>
  <c r="K41" i="29"/>
  <c r="G41" i="29"/>
  <c r="AB40" i="29"/>
  <c r="AA40" i="29"/>
  <c r="V40" i="29"/>
  <c r="U40" i="29"/>
  <c r="O40" i="29"/>
  <c r="N40" i="29"/>
  <c r="P40" i="29" s="1"/>
  <c r="M40" i="29"/>
  <c r="K40" i="29"/>
  <c r="G40" i="29"/>
  <c r="AB39" i="29"/>
  <c r="X39" i="29"/>
  <c r="W39" i="29"/>
  <c r="V39" i="29"/>
  <c r="O39" i="29"/>
  <c r="M39" i="29"/>
  <c r="N39" i="29" s="1"/>
  <c r="K39" i="29"/>
  <c r="G39" i="29"/>
  <c r="O38" i="29"/>
  <c r="K38" i="29"/>
  <c r="V37" i="29"/>
  <c r="U37" i="29"/>
  <c r="O37" i="29"/>
  <c r="M37" i="29"/>
  <c r="AB37" i="29" s="1"/>
  <c r="K37" i="29"/>
  <c r="G37" i="29"/>
  <c r="AB36" i="29"/>
  <c r="AA36" i="29"/>
  <c r="V36" i="29"/>
  <c r="U36" i="29"/>
  <c r="O36" i="29"/>
  <c r="N36" i="29"/>
  <c r="M36" i="29"/>
  <c r="K36" i="29"/>
  <c r="Q36" i="29" s="1"/>
  <c r="G36" i="29"/>
  <c r="AB35" i="29"/>
  <c r="AA35" i="29"/>
  <c r="V35" i="29"/>
  <c r="U35" i="29"/>
  <c r="P35" i="29"/>
  <c r="O35" i="29"/>
  <c r="N35" i="29"/>
  <c r="Q35" i="29" s="1"/>
  <c r="M35" i="29"/>
  <c r="K35" i="29"/>
  <c r="G35" i="29"/>
  <c r="AB34" i="29"/>
  <c r="AA34" i="29"/>
  <c r="X34" i="29"/>
  <c r="W34" i="29"/>
  <c r="V34" i="29"/>
  <c r="U34" i="29"/>
  <c r="O34" i="29"/>
  <c r="N34" i="29"/>
  <c r="M34" i="29"/>
  <c r="K34" i="29"/>
  <c r="Q34" i="29" s="1"/>
  <c r="G34" i="29"/>
  <c r="AB33" i="29"/>
  <c r="AA33" i="29"/>
  <c r="V33" i="29"/>
  <c r="U33" i="29"/>
  <c r="P33" i="29"/>
  <c r="O33" i="29"/>
  <c r="N33" i="29"/>
  <c r="Q33" i="29" s="1"/>
  <c r="M33" i="29"/>
  <c r="K33" i="29"/>
  <c r="G33" i="29"/>
  <c r="AB32" i="29"/>
  <c r="AA32" i="29"/>
  <c r="V32" i="29"/>
  <c r="U32" i="29"/>
  <c r="Q32" i="29"/>
  <c r="P32" i="29"/>
  <c r="O32" i="29"/>
  <c r="N32" i="29"/>
  <c r="M32" i="29"/>
  <c r="K32" i="29"/>
  <c r="G32" i="29"/>
  <c r="V31" i="29"/>
  <c r="M31" i="29" s="1"/>
  <c r="U31" i="29"/>
  <c r="O31" i="29"/>
  <c r="K31" i="29"/>
  <c r="G31" i="29"/>
  <c r="AB30" i="29"/>
  <c r="AA30" i="29"/>
  <c r="X30" i="29"/>
  <c r="W30" i="29"/>
  <c r="V30" i="29"/>
  <c r="P30" i="29"/>
  <c r="O30" i="29"/>
  <c r="N30" i="29"/>
  <c r="Q30" i="29" s="1"/>
  <c r="M30" i="29"/>
  <c r="K30" i="29"/>
  <c r="G30" i="29"/>
  <c r="O29" i="29"/>
  <c r="K29" i="29"/>
  <c r="V28" i="29"/>
  <c r="U28" i="29"/>
  <c r="O28" i="29"/>
  <c r="M28" i="29"/>
  <c r="N28" i="29" s="1"/>
  <c r="K28" i="29"/>
  <c r="G28" i="29"/>
  <c r="AA27" i="29"/>
  <c r="V27" i="29"/>
  <c r="U27" i="29"/>
  <c r="O27" i="29"/>
  <c r="M27" i="29"/>
  <c r="N27" i="29" s="1"/>
  <c r="K27" i="29"/>
  <c r="G27" i="29"/>
  <c r="AB26" i="29"/>
  <c r="X26" i="29"/>
  <c r="W26" i="29"/>
  <c r="V26" i="29"/>
  <c r="U26" i="29"/>
  <c r="O26" i="29"/>
  <c r="M26" i="29"/>
  <c r="N26" i="29" s="1"/>
  <c r="K26" i="29"/>
  <c r="G26" i="29"/>
  <c r="AA25" i="29"/>
  <c r="V25" i="29"/>
  <c r="U25" i="29"/>
  <c r="O25" i="29"/>
  <c r="M25" i="29"/>
  <c r="N25" i="29" s="1"/>
  <c r="K25" i="29"/>
  <c r="G25" i="29"/>
  <c r="AB24" i="29"/>
  <c r="AA24" i="29"/>
  <c r="V24" i="29"/>
  <c r="U24" i="29"/>
  <c r="O24" i="29"/>
  <c r="N24" i="29"/>
  <c r="P24" i="29" s="1"/>
  <c r="M24" i="29"/>
  <c r="K24" i="29"/>
  <c r="G24" i="29"/>
  <c r="V23" i="29"/>
  <c r="U23" i="29"/>
  <c r="O23" i="29"/>
  <c r="M23" i="29"/>
  <c r="AB23" i="29" s="1"/>
  <c r="K23" i="29"/>
  <c r="G23" i="29"/>
  <c r="AB22" i="29"/>
  <c r="AA22" i="29"/>
  <c r="X22" i="29"/>
  <c r="W22" i="29"/>
  <c r="V22" i="29"/>
  <c r="O22" i="29"/>
  <c r="M22" i="29"/>
  <c r="N22" i="29" s="1"/>
  <c r="K22" i="29"/>
  <c r="G22" i="29"/>
  <c r="O21" i="29"/>
  <c r="M21" i="29"/>
  <c r="AB21" i="29" s="1"/>
  <c r="AC17" i="29" s="1"/>
  <c r="K21" i="29"/>
  <c r="G13" i="28" s="1"/>
  <c r="AB20" i="29"/>
  <c r="AA20" i="29"/>
  <c r="V20" i="29"/>
  <c r="U20" i="29"/>
  <c r="O20" i="29"/>
  <c r="N20" i="29"/>
  <c r="M20" i="29"/>
  <c r="K20" i="29"/>
  <c r="Q20" i="29" s="1"/>
  <c r="G20" i="29"/>
  <c r="AB19" i="29"/>
  <c r="AA19" i="29"/>
  <c r="V19" i="29"/>
  <c r="U19" i="29"/>
  <c r="P19" i="29"/>
  <c r="O19" i="29"/>
  <c r="N19" i="29"/>
  <c r="Q19" i="29" s="1"/>
  <c r="M19" i="29"/>
  <c r="K19" i="29"/>
  <c r="G19" i="29"/>
  <c r="F1" i="29" s="1"/>
  <c r="AB18" i="29"/>
  <c r="AA18" i="29"/>
  <c r="V18" i="29"/>
  <c r="U18" i="29"/>
  <c r="Q18" i="29"/>
  <c r="P18" i="29"/>
  <c r="O18" i="29"/>
  <c r="N18" i="29"/>
  <c r="M18" i="29"/>
  <c r="K18" i="29"/>
  <c r="G18" i="29"/>
  <c r="AB17" i="29"/>
  <c r="AA17" i="29"/>
  <c r="V17" i="29"/>
  <c r="Q17" i="29"/>
  <c r="P17" i="29"/>
  <c r="O17" i="29"/>
  <c r="N17" i="29"/>
  <c r="M17" i="29"/>
  <c r="K17" i="29"/>
  <c r="G17" i="29"/>
  <c r="O16" i="29"/>
  <c r="K16" i="29"/>
  <c r="AA15" i="29"/>
  <c r="V15" i="29"/>
  <c r="U15" i="29"/>
  <c r="O15" i="29"/>
  <c r="M15" i="29"/>
  <c r="N15" i="29" s="1"/>
  <c r="K15" i="29"/>
  <c r="G15" i="29"/>
  <c r="AB14" i="29"/>
  <c r="AA14" i="29"/>
  <c r="V14" i="29"/>
  <c r="U14" i="29"/>
  <c r="O14" i="29"/>
  <c r="N14" i="29"/>
  <c r="P14" i="29" s="1"/>
  <c r="M14" i="29"/>
  <c r="K14" i="29"/>
  <c r="G14" i="29"/>
  <c r="V13" i="29"/>
  <c r="U13" i="29"/>
  <c r="O13" i="29"/>
  <c r="M13" i="29"/>
  <c r="AB13" i="29" s="1"/>
  <c r="K13" i="29"/>
  <c r="G13" i="29"/>
  <c r="V12" i="29"/>
  <c r="O12" i="29"/>
  <c r="M12" i="29"/>
  <c r="M16" i="29" s="1"/>
  <c r="K12" i="29"/>
  <c r="G12" i="29"/>
  <c r="O11" i="29"/>
  <c r="M11" i="29"/>
  <c r="AB11" i="29" s="1"/>
  <c r="AC9" i="29" s="1"/>
  <c r="K11" i="29"/>
  <c r="E13" i="28" s="1"/>
  <c r="AB10" i="29"/>
  <c r="AA10" i="29"/>
  <c r="V10" i="29"/>
  <c r="U10" i="29"/>
  <c r="Q10" i="29"/>
  <c r="P10" i="29"/>
  <c r="O10" i="29"/>
  <c r="N10" i="29"/>
  <c r="M10" i="29"/>
  <c r="K10" i="29"/>
  <c r="G10" i="29"/>
  <c r="AB9" i="29"/>
  <c r="AA9" i="29"/>
  <c r="V9" i="29"/>
  <c r="Q9" i="29"/>
  <c r="P9" i="29"/>
  <c r="O9" i="29"/>
  <c r="N9" i="29"/>
  <c r="M9" i="29"/>
  <c r="K9" i="29"/>
  <c r="G9" i="29"/>
  <c r="AB8" i="29"/>
  <c r="AC5" i="29" s="1"/>
  <c r="AA8" i="29"/>
  <c r="Q8" i="29"/>
  <c r="R5" i="29" s="1"/>
  <c r="O8" i="29"/>
  <c r="N8" i="29"/>
  <c r="P8" i="29" s="1"/>
  <c r="M8" i="29"/>
  <c r="K8" i="29"/>
  <c r="AA7" i="29"/>
  <c r="V7" i="29"/>
  <c r="U7" i="29"/>
  <c r="O7" i="29"/>
  <c r="M7" i="29"/>
  <c r="N7" i="29" s="1"/>
  <c r="K7" i="29"/>
  <c r="G7" i="29"/>
  <c r="AB6" i="29"/>
  <c r="AA6" i="29"/>
  <c r="V6" i="29"/>
  <c r="U6" i="29"/>
  <c r="O6" i="29"/>
  <c r="N6" i="29"/>
  <c r="P6" i="29" s="1"/>
  <c r="M6" i="29"/>
  <c r="K6" i="29"/>
  <c r="G6" i="29"/>
  <c r="AB5" i="29"/>
  <c r="AA5" i="29"/>
  <c r="V5" i="29"/>
  <c r="O5" i="29"/>
  <c r="N5" i="29"/>
  <c r="P5" i="29" s="1"/>
  <c r="M5" i="29"/>
  <c r="K5" i="29"/>
  <c r="G5" i="29"/>
  <c r="H2" i="29"/>
  <c r="H1" i="29"/>
  <c r="D1" i="29"/>
  <c r="M18" i="28"/>
  <c r="L18" i="28"/>
  <c r="K18" i="28"/>
  <c r="J18" i="28"/>
  <c r="I18" i="28"/>
  <c r="H18" i="28"/>
  <c r="G18" i="28"/>
  <c r="F18" i="28"/>
  <c r="E18" i="28"/>
  <c r="D18" i="28"/>
  <c r="M17" i="28"/>
  <c r="L17" i="28"/>
  <c r="K17" i="28"/>
  <c r="J17" i="28"/>
  <c r="I17" i="28"/>
  <c r="H17" i="28"/>
  <c r="G17" i="28"/>
  <c r="F17" i="28"/>
  <c r="E17" i="28"/>
  <c r="D17" i="28"/>
  <c r="M16" i="28"/>
  <c r="L16" i="28"/>
  <c r="K16" i="28"/>
  <c r="J16" i="28"/>
  <c r="I16" i="28"/>
  <c r="H16" i="28"/>
  <c r="G16" i="28"/>
  <c r="F16" i="28"/>
  <c r="E16" i="28"/>
  <c r="D16" i="28"/>
  <c r="D14" i="28"/>
  <c r="D15" i="28" s="1"/>
  <c r="M13" i="28"/>
  <c r="L13" i="28"/>
  <c r="K13" i="28"/>
  <c r="I6" i="28" s="1"/>
  <c r="I13" i="28"/>
  <c r="H13" i="28"/>
  <c r="F13" i="28"/>
  <c r="D13" i="28"/>
  <c r="F3" i="28"/>
  <c r="C3" i="28"/>
  <c r="G8" i="42" l="1"/>
  <c r="F8" i="42"/>
  <c r="E8" i="42"/>
  <c r="D15" i="38"/>
  <c r="G7" i="38"/>
  <c r="F7" i="38"/>
  <c r="E7" i="38"/>
  <c r="K15" i="38"/>
  <c r="I8" i="38" s="1"/>
  <c r="I7" i="38"/>
  <c r="Q23" i="35"/>
  <c r="R19" i="35" s="1"/>
  <c r="G14" i="34"/>
  <c r="G15" i="34" s="1"/>
  <c r="P23" i="35"/>
  <c r="Q32" i="35"/>
  <c r="R24" i="35" s="1"/>
  <c r="P32" i="35"/>
  <c r="K14" i="34"/>
  <c r="P41" i="35"/>
  <c r="Q41" i="35"/>
  <c r="R33" i="35" s="1"/>
  <c r="L14" i="34"/>
  <c r="L15" i="34" s="1"/>
  <c r="Q60" i="35"/>
  <c r="R56" i="35" s="1"/>
  <c r="P60" i="35"/>
  <c r="J14" i="34"/>
  <c r="J15" i="34" s="1"/>
  <c r="Q69" i="35"/>
  <c r="R61" i="35" s="1"/>
  <c r="P69" i="35"/>
  <c r="M14" i="34"/>
  <c r="M15" i="34" s="1"/>
  <c r="Q48" i="35"/>
  <c r="R42" i="35" s="1"/>
  <c r="P48" i="35"/>
  <c r="H14" i="34"/>
  <c r="H15" i="34" s="1"/>
  <c r="Q55" i="35"/>
  <c r="R49" i="35" s="1"/>
  <c r="P55" i="35"/>
  <c r="I14" i="34"/>
  <c r="I15" i="34" s="1"/>
  <c r="P18" i="35"/>
  <c r="F14" i="34"/>
  <c r="F15" i="34" s="1"/>
  <c r="Q18" i="35"/>
  <c r="R12" i="35" s="1"/>
  <c r="P8" i="35"/>
  <c r="D2" i="35"/>
  <c r="D14" i="34"/>
  <c r="Q8" i="35"/>
  <c r="R5" i="35" s="1"/>
  <c r="Q50" i="33"/>
  <c r="P50" i="33"/>
  <c r="P64" i="33"/>
  <c r="Q64" i="33"/>
  <c r="G14" i="32"/>
  <c r="G15" i="32" s="1"/>
  <c r="Q23" i="33"/>
  <c r="R19" i="33" s="1"/>
  <c r="P23" i="33"/>
  <c r="Q25" i="33"/>
  <c r="P25" i="33"/>
  <c r="P43" i="33"/>
  <c r="Q43" i="33"/>
  <c r="Q5" i="33"/>
  <c r="P5" i="33"/>
  <c r="P53" i="33"/>
  <c r="Q53" i="33"/>
  <c r="Q58" i="33"/>
  <c r="P58" i="33"/>
  <c r="Q14" i="33"/>
  <c r="P14" i="33"/>
  <c r="Q46" i="33"/>
  <c r="P46" i="33"/>
  <c r="AB47" i="33"/>
  <c r="AC41" i="33" s="1"/>
  <c r="AA47" i="33"/>
  <c r="N47" i="33"/>
  <c r="P27" i="33"/>
  <c r="Q27" i="33"/>
  <c r="P44" i="33"/>
  <c r="Q44" i="33"/>
  <c r="N8" i="33"/>
  <c r="AA8" i="33"/>
  <c r="AB8" i="33"/>
  <c r="AC5" i="33" s="1"/>
  <c r="Q38" i="33"/>
  <c r="P38" i="33"/>
  <c r="Q12" i="33"/>
  <c r="P12" i="33"/>
  <c r="Q45" i="33"/>
  <c r="P45" i="33"/>
  <c r="Q56" i="33"/>
  <c r="P56" i="33"/>
  <c r="Q36" i="33"/>
  <c r="P36" i="33"/>
  <c r="N18" i="33"/>
  <c r="AA18" i="33"/>
  <c r="AB18" i="33"/>
  <c r="AC12" i="33" s="1"/>
  <c r="Q15" i="33"/>
  <c r="P15" i="33"/>
  <c r="Q42" i="33"/>
  <c r="P42" i="33"/>
  <c r="Q26" i="33"/>
  <c r="P26" i="33"/>
  <c r="Q55" i="33"/>
  <c r="P55" i="33"/>
  <c r="Q22" i="33"/>
  <c r="P22" i="33"/>
  <c r="Q67" i="33"/>
  <c r="P67" i="33"/>
  <c r="P41" i="33"/>
  <c r="Q41" i="33"/>
  <c r="L14" i="32"/>
  <c r="L15" i="32" s="1"/>
  <c r="Q40" i="33"/>
  <c r="R32" i="33" s="1"/>
  <c r="P40" i="33"/>
  <c r="P7" i="33"/>
  <c r="Q7" i="33"/>
  <c r="Q34" i="33"/>
  <c r="P34" i="33"/>
  <c r="Q49" i="33"/>
  <c r="P49" i="33"/>
  <c r="Q62" i="33"/>
  <c r="P62" i="33"/>
  <c r="AA31" i="33"/>
  <c r="N31" i="33"/>
  <c r="AB31" i="33"/>
  <c r="AC24" i="33" s="1"/>
  <c r="N54" i="33"/>
  <c r="AA54" i="33"/>
  <c r="AB54" i="33"/>
  <c r="AC48" i="33" s="1"/>
  <c r="Q48" i="33"/>
  <c r="P48" i="33"/>
  <c r="AB68" i="33"/>
  <c r="AC60" i="33" s="1"/>
  <c r="AA68" i="33"/>
  <c r="N68" i="33"/>
  <c r="Q20" i="33"/>
  <c r="P20" i="33"/>
  <c r="Q39" i="33"/>
  <c r="P39" i="33"/>
  <c r="Q65" i="33"/>
  <c r="P65" i="33"/>
  <c r="Q6" i="33"/>
  <c r="P6" i="33"/>
  <c r="P24" i="33"/>
  <c r="Q24" i="33"/>
  <c r="P30" i="33"/>
  <c r="Q30" i="33"/>
  <c r="Q19" i="33"/>
  <c r="P19" i="33"/>
  <c r="Q13" i="33"/>
  <c r="P13" i="33"/>
  <c r="Q51" i="33"/>
  <c r="P51" i="33"/>
  <c r="P66" i="33"/>
  <c r="Q66" i="33"/>
  <c r="Q16" i="33"/>
  <c r="P16" i="33"/>
  <c r="P17" i="33"/>
  <c r="Q17" i="33"/>
  <c r="Q10" i="33"/>
  <c r="P10" i="33"/>
  <c r="AB11" i="33"/>
  <c r="AC9" i="33" s="1"/>
  <c r="AA11" i="33"/>
  <c r="N11" i="33"/>
  <c r="P60" i="33"/>
  <c r="Q60" i="33"/>
  <c r="Q52" i="33"/>
  <c r="P52" i="33"/>
  <c r="Q9" i="33"/>
  <c r="P9" i="33"/>
  <c r="J14" i="32"/>
  <c r="J15" i="32" s="1"/>
  <c r="Q59" i="33"/>
  <c r="R55" i="33" s="1"/>
  <c r="P59" i="33"/>
  <c r="P29" i="33"/>
  <c r="Q29" i="33"/>
  <c r="Q61" i="33"/>
  <c r="P61" i="33"/>
  <c r="P63" i="33"/>
  <c r="Q63" i="33"/>
  <c r="P28" i="33"/>
  <c r="Q28" i="33"/>
  <c r="P41" i="29"/>
  <c r="Q41" i="29"/>
  <c r="Q27" i="29"/>
  <c r="P27" i="29"/>
  <c r="N43" i="29"/>
  <c r="AB43" i="29"/>
  <c r="AA43" i="29"/>
  <c r="P61" i="29"/>
  <c r="Q61" i="29"/>
  <c r="P26" i="29"/>
  <c r="Q26" i="29"/>
  <c r="Q7" i="29"/>
  <c r="P7" i="29"/>
  <c r="P39" i="29"/>
  <c r="Q39" i="29"/>
  <c r="P42" i="29"/>
  <c r="Q42" i="29"/>
  <c r="G6" i="28"/>
  <c r="E6" i="28"/>
  <c r="F6" i="28"/>
  <c r="N64" i="29"/>
  <c r="AA64" i="29"/>
  <c r="AB64" i="29"/>
  <c r="Q15" i="29"/>
  <c r="P15" i="29"/>
  <c r="P28" i="29"/>
  <c r="Q28" i="29"/>
  <c r="N44" i="29"/>
  <c r="AA44" i="29"/>
  <c r="AB44" i="29"/>
  <c r="N16" i="29"/>
  <c r="AB16" i="29"/>
  <c r="AC12" i="29" s="1"/>
  <c r="AA16" i="29"/>
  <c r="F2" i="29"/>
  <c r="I3" i="28"/>
  <c r="Q22" i="29"/>
  <c r="P22" i="29"/>
  <c r="P25" i="29"/>
  <c r="Q25" i="29"/>
  <c r="P51" i="29"/>
  <c r="Q51" i="29"/>
  <c r="N66" i="29"/>
  <c r="AA66" i="29"/>
  <c r="AB66" i="29"/>
  <c r="P62" i="29"/>
  <c r="Q62" i="29"/>
  <c r="P58" i="29"/>
  <c r="Q58" i="29"/>
  <c r="M38" i="29"/>
  <c r="N31" i="29"/>
  <c r="AB31" i="29"/>
  <c r="AA31" i="29"/>
  <c r="Q5" i="29"/>
  <c r="Q6" i="29"/>
  <c r="Q14" i="29"/>
  <c r="Q24" i="29"/>
  <c r="N37" i="29"/>
  <c r="Q40" i="29"/>
  <c r="N46" i="29"/>
  <c r="N47" i="29"/>
  <c r="Q50" i="29"/>
  <c r="Q60" i="29"/>
  <c r="AB28" i="29"/>
  <c r="AB42" i="29"/>
  <c r="M45" i="29"/>
  <c r="AB62" i="29"/>
  <c r="M67" i="29"/>
  <c r="N12" i="29"/>
  <c r="N21" i="29"/>
  <c r="N48" i="29"/>
  <c r="N57" i="29"/>
  <c r="N11" i="29"/>
  <c r="AA28" i="29"/>
  <c r="AA42" i="29"/>
  <c r="AA62" i="29"/>
  <c r="AB7" i="29"/>
  <c r="AB15" i="29"/>
  <c r="P20" i="29"/>
  <c r="AA21" i="29"/>
  <c r="AB25" i="29"/>
  <c r="AA26" i="29"/>
  <c r="AB27" i="29"/>
  <c r="P34" i="29"/>
  <c r="P36" i="29"/>
  <c r="AA39" i="29"/>
  <c r="AB41" i="29"/>
  <c r="AB51" i="29"/>
  <c r="AA57" i="29"/>
  <c r="AB61" i="29"/>
  <c r="N13" i="29"/>
  <c r="N23" i="29"/>
  <c r="N49" i="29"/>
  <c r="N59" i="29"/>
  <c r="AA12" i="29"/>
  <c r="AA13" i="29"/>
  <c r="AA23" i="29"/>
  <c r="M29" i="29"/>
  <c r="AA49" i="29"/>
  <c r="AA59" i="29"/>
  <c r="AA11" i="29"/>
  <c r="AB12" i="29"/>
  <c r="AA48" i="29"/>
  <c r="M52" i="29"/>
  <c r="AA37" i="29"/>
  <c r="AA46" i="29"/>
  <c r="AA47" i="29"/>
  <c r="O69" i="26"/>
  <c r="K69" i="26"/>
  <c r="V68" i="26"/>
  <c r="M68" i="26" s="1"/>
  <c r="U68" i="26"/>
  <c r="O68" i="26"/>
  <c r="K68" i="26"/>
  <c r="G68" i="26"/>
  <c r="V67" i="26"/>
  <c r="M67" i="26" s="1"/>
  <c r="U67" i="26"/>
  <c r="O67" i="26"/>
  <c r="K67" i="26"/>
  <c r="G67" i="26"/>
  <c r="V66" i="26"/>
  <c r="M66" i="26" s="1"/>
  <c r="U66" i="26"/>
  <c r="O66" i="26"/>
  <c r="K66" i="26"/>
  <c r="G66" i="26"/>
  <c r="X65" i="26"/>
  <c r="W65" i="26"/>
  <c r="V65" i="26"/>
  <c r="M65" i="26" s="1"/>
  <c r="U65" i="26"/>
  <c r="O65" i="26"/>
  <c r="K65" i="26"/>
  <c r="G65" i="26"/>
  <c r="V64" i="26"/>
  <c r="M64" i="26" s="1"/>
  <c r="U64" i="26"/>
  <c r="O64" i="26"/>
  <c r="K64" i="26"/>
  <c r="G64" i="26"/>
  <c r="V63" i="26"/>
  <c r="M63" i="26" s="1"/>
  <c r="U63" i="26"/>
  <c r="O63" i="26"/>
  <c r="K63" i="26"/>
  <c r="G63" i="26"/>
  <c r="V62" i="26"/>
  <c r="M62" i="26" s="1"/>
  <c r="U62" i="26"/>
  <c r="O62" i="26"/>
  <c r="K62" i="26"/>
  <c r="G62" i="26"/>
  <c r="V61" i="26"/>
  <c r="M61" i="26" s="1"/>
  <c r="U61" i="26"/>
  <c r="O61" i="26"/>
  <c r="K61" i="26"/>
  <c r="G61" i="26"/>
  <c r="V60" i="26"/>
  <c r="U60" i="26"/>
  <c r="O60" i="26"/>
  <c r="M60" i="26"/>
  <c r="AB60" i="26" s="1"/>
  <c r="K60" i="26"/>
  <c r="G60" i="26"/>
  <c r="X59" i="26"/>
  <c r="W59" i="26"/>
  <c r="V59" i="26"/>
  <c r="M59" i="26" s="1"/>
  <c r="O59" i="26"/>
  <c r="K59" i="26"/>
  <c r="G59" i="26"/>
  <c r="O58" i="26"/>
  <c r="K58" i="26"/>
  <c r="V57" i="26"/>
  <c r="U57" i="26"/>
  <c r="O57" i="26"/>
  <c r="M57" i="26"/>
  <c r="AA57" i="26" s="1"/>
  <c r="K57" i="26"/>
  <c r="G57" i="26"/>
  <c r="V56" i="26"/>
  <c r="U56" i="26"/>
  <c r="O56" i="26"/>
  <c r="M56" i="26"/>
  <c r="N56" i="26" s="1"/>
  <c r="K56" i="26"/>
  <c r="G56" i="26"/>
  <c r="V55" i="26"/>
  <c r="U55" i="26"/>
  <c r="O55" i="26"/>
  <c r="M55" i="26"/>
  <c r="N55" i="26" s="1"/>
  <c r="K55" i="26"/>
  <c r="G55" i="26"/>
  <c r="V54" i="26"/>
  <c r="O54" i="26"/>
  <c r="M54" i="26"/>
  <c r="N54" i="26" s="1"/>
  <c r="K54" i="26"/>
  <c r="G54" i="26"/>
  <c r="O53" i="26"/>
  <c r="K53" i="26"/>
  <c r="V52" i="26"/>
  <c r="M52" i="26" s="1"/>
  <c r="U52" i="26"/>
  <c r="O52" i="26"/>
  <c r="K52" i="26"/>
  <c r="G52" i="26"/>
  <c r="V51" i="26"/>
  <c r="M51" i="26" s="1"/>
  <c r="U51" i="26"/>
  <c r="O51" i="26"/>
  <c r="K51" i="26"/>
  <c r="G51" i="26"/>
  <c r="V50" i="26"/>
  <c r="U50" i="26"/>
  <c r="O50" i="26"/>
  <c r="M50" i="26"/>
  <c r="AB50" i="26" s="1"/>
  <c r="K50" i="26"/>
  <c r="G50" i="26"/>
  <c r="V49" i="26"/>
  <c r="U49" i="26"/>
  <c r="Q49" i="26"/>
  <c r="P49" i="26"/>
  <c r="O49" i="26"/>
  <c r="N49" i="26"/>
  <c r="M49" i="26"/>
  <c r="AB49" i="26" s="1"/>
  <c r="K49" i="26"/>
  <c r="G49" i="26"/>
  <c r="V48" i="26"/>
  <c r="U48" i="26"/>
  <c r="O48" i="26"/>
  <c r="N48" i="26"/>
  <c r="Q48" i="26" s="1"/>
  <c r="M48" i="26"/>
  <c r="AB48" i="26" s="1"/>
  <c r="K48" i="26"/>
  <c r="G48" i="26"/>
  <c r="V47" i="26"/>
  <c r="O47" i="26"/>
  <c r="N47" i="26"/>
  <c r="Q47" i="26" s="1"/>
  <c r="M47" i="26"/>
  <c r="AB47" i="26" s="1"/>
  <c r="K47" i="26"/>
  <c r="G47" i="26"/>
  <c r="O46" i="26"/>
  <c r="K46" i="26"/>
  <c r="V45" i="26"/>
  <c r="M45" i="26" s="1"/>
  <c r="U45" i="26"/>
  <c r="O45" i="26"/>
  <c r="K45" i="26"/>
  <c r="G45" i="26"/>
  <c r="X44" i="26"/>
  <c r="W44" i="26"/>
  <c r="V44" i="26"/>
  <c r="M44" i="26" s="1"/>
  <c r="U44" i="26"/>
  <c r="O44" i="26"/>
  <c r="K44" i="26"/>
  <c r="G44" i="26"/>
  <c r="V43" i="26"/>
  <c r="M43" i="26" s="1"/>
  <c r="U43" i="26"/>
  <c r="O43" i="26"/>
  <c r="K43" i="26"/>
  <c r="G43" i="26"/>
  <c r="V42" i="26"/>
  <c r="M42" i="26" s="1"/>
  <c r="U42" i="26"/>
  <c r="O42" i="26"/>
  <c r="K42" i="26"/>
  <c r="G42" i="26"/>
  <c r="V41" i="26"/>
  <c r="M41" i="26" s="1"/>
  <c r="U41" i="26"/>
  <c r="O41" i="26"/>
  <c r="K41" i="26"/>
  <c r="G41" i="26"/>
  <c r="V40" i="26"/>
  <c r="M40" i="26" s="1"/>
  <c r="U40" i="26"/>
  <c r="O40" i="26"/>
  <c r="K40" i="26"/>
  <c r="G40" i="26"/>
  <c r="X39" i="26"/>
  <c r="W39" i="26"/>
  <c r="V39" i="26"/>
  <c r="M39" i="26" s="1"/>
  <c r="O39" i="26"/>
  <c r="K39" i="26"/>
  <c r="G39" i="26"/>
  <c r="O38" i="26"/>
  <c r="K38" i="26"/>
  <c r="V37" i="26"/>
  <c r="U37" i="26"/>
  <c r="Q37" i="26"/>
  <c r="P37" i="26"/>
  <c r="O37" i="26"/>
  <c r="N37" i="26"/>
  <c r="M37" i="26"/>
  <c r="AB37" i="26" s="1"/>
  <c r="K37" i="26"/>
  <c r="G37" i="26"/>
  <c r="V36" i="26"/>
  <c r="U36" i="26"/>
  <c r="O36" i="26"/>
  <c r="N36" i="26"/>
  <c r="Q36" i="26" s="1"/>
  <c r="M36" i="26"/>
  <c r="AB36" i="26" s="1"/>
  <c r="K36" i="26"/>
  <c r="G36" i="26"/>
  <c r="V35" i="26"/>
  <c r="U35" i="26"/>
  <c r="O35" i="26"/>
  <c r="M35" i="26"/>
  <c r="AA35" i="26" s="1"/>
  <c r="K35" i="26"/>
  <c r="G35" i="26"/>
  <c r="AB34" i="26"/>
  <c r="X34" i="26"/>
  <c r="W34" i="26"/>
  <c r="V34" i="26"/>
  <c r="U34" i="26"/>
  <c r="O34" i="26"/>
  <c r="N34" i="26"/>
  <c r="Q34" i="26" s="1"/>
  <c r="M34" i="26"/>
  <c r="AA34" i="26" s="1"/>
  <c r="K34" i="26"/>
  <c r="G34" i="26"/>
  <c r="V33" i="26"/>
  <c r="U33" i="26"/>
  <c r="O33" i="26"/>
  <c r="M33" i="26"/>
  <c r="AA33" i="26" s="1"/>
  <c r="K33" i="26"/>
  <c r="G33" i="26"/>
  <c r="V32" i="26"/>
  <c r="U32" i="26"/>
  <c r="O32" i="26"/>
  <c r="M32" i="26"/>
  <c r="N32" i="26" s="1"/>
  <c r="K32" i="26"/>
  <c r="G32" i="26"/>
  <c r="V31" i="26"/>
  <c r="U31" i="26"/>
  <c r="O31" i="26"/>
  <c r="M31" i="26"/>
  <c r="N31" i="26" s="1"/>
  <c r="K31" i="26"/>
  <c r="G31" i="26"/>
  <c r="X30" i="26"/>
  <c r="W30" i="26"/>
  <c r="V30" i="26"/>
  <c r="O30" i="26"/>
  <c r="M30" i="26"/>
  <c r="N30" i="26" s="1"/>
  <c r="K30" i="26"/>
  <c r="G30" i="26"/>
  <c r="O29" i="26"/>
  <c r="K29" i="26"/>
  <c r="V28" i="26"/>
  <c r="M28" i="26" s="1"/>
  <c r="U28" i="26"/>
  <c r="O28" i="26"/>
  <c r="K28" i="26"/>
  <c r="G28" i="26"/>
  <c r="V27" i="26"/>
  <c r="M27" i="26" s="1"/>
  <c r="U27" i="26"/>
  <c r="O27" i="26"/>
  <c r="K27" i="26"/>
  <c r="G27" i="26"/>
  <c r="X26" i="26"/>
  <c r="W26" i="26"/>
  <c r="V26" i="26"/>
  <c r="M26" i="26" s="1"/>
  <c r="U26" i="26"/>
  <c r="O26" i="26"/>
  <c r="K26" i="26"/>
  <c r="G26" i="26"/>
  <c r="V25" i="26"/>
  <c r="M25" i="26" s="1"/>
  <c r="U25" i="26"/>
  <c r="O25" i="26"/>
  <c r="K25" i="26"/>
  <c r="G25" i="26"/>
  <c r="V24" i="26"/>
  <c r="M24" i="26" s="1"/>
  <c r="U24" i="26"/>
  <c r="O24" i="26"/>
  <c r="K24" i="26"/>
  <c r="G24" i="26"/>
  <c r="V23" i="26"/>
  <c r="M23" i="26" s="1"/>
  <c r="U23" i="26"/>
  <c r="O23" i="26"/>
  <c r="K23" i="26"/>
  <c r="G23" i="26"/>
  <c r="X22" i="26"/>
  <c r="W22" i="26"/>
  <c r="V22" i="26"/>
  <c r="M22" i="26" s="1"/>
  <c r="O22" i="26"/>
  <c r="K22" i="26"/>
  <c r="G22" i="26"/>
  <c r="O21" i="26"/>
  <c r="K21" i="26"/>
  <c r="V20" i="26"/>
  <c r="U20" i="26"/>
  <c r="O20" i="26"/>
  <c r="N20" i="26"/>
  <c r="Q20" i="26" s="1"/>
  <c r="M20" i="26"/>
  <c r="AB20" i="26" s="1"/>
  <c r="K20" i="26"/>
  <c r="G20" i="26"/>
  <c r="V19" i="26"/>
  <c r="U19" i="26"/>
  <c r="O19" i="26"/>
  <c r="M19" i="26"/>
  <c r="AA19" i="26" s="1"/>
  <c r="K19" i="26"/>
  <c r="G19" i="26"/>
  <c r="V18" i="26"/>
  <c r="U18" i="26"/>
  <c r="O18" i="26"/>
  <c r="M18" i="26"/>
  <c r="N18" i="26" s="1"/>
  <c r="K18" i="26"/>
  <c r="G18" i="26"/>
  <c r="V17" i="26"/>
  <c r="O17" i="26"/>
  <c r="M17" i="26"/>
  <c r="N17" i="26" s="1"/>
  <c r="K17" i="26"/>
  <c r="G17" i="26"/>
  <c r="O16" i="26"/>
  <c r="K16" i="26"/>
  <c r="V15" i="26"/>
  <c r="M15" i="26" s="1"/>
  <c r="U15" i="26"/>
  <c r="O15" i="26"/>
  <c r="K15" i="26"/>
  <c r="G15" i="26"/>
  <c r="V14" i="26"/>
  <c r="M14" i="26" s="1"/>
  <c r="U14" i="26"/>
  <c r="O14" i="26"/>
  <c r="K14" i="26"/>
  <c r="G14" i="26"/>
  <c r="V13" i="26"/>
  <c r="M13" i="26" s="1"/>
  <c r="U13" i="26"/>
  <c r="O13" i="26"/>
  <c r="K13" i="26"/>
  <c r="G13" i="26"/>
  <c r="V12" i="26"/>
  <c r="M12" i="26" s="1"/>
  <c r="O12" i="26"/>
  <c r="K12" i="26"/>
  <c r="G12" i="26"/>
  <c r="O11" i="26"/>
  <c r="K11" i="26"/>
  <c r="V10" i="26"/>
  <c r="U10" i="26"/>
  <c r="O10" i="26"/>
  <c r="M10" i="26"/>
  <c r="N10" i="26" s="1"/>
  <c r="K10" i="26"/>
  <c r="G10" i="26"/>
  <c r="V9" i="26"/>
  <c r="O9" i="26"/>
  <c r="M9" i="26"/>
  <c r="N9" i="26" s="1"/>
  <c r="K9" i="26"/>
  <c r="G9" i="26"/>
  <c r="O8" i="26"/>
  <c r="K8" i="26"/>
  <c r="V7" i="26"/>
  <c r="M7" i="26" s="1"/>
  <c r="U7" i="26"/>
  <c r="O7" i="26"/>
  <c r="K7" i="26"/>
  <c r="G7" i="26"/>
  <c r="V6" i="26"/>
  <c r="M6" i="26" s="1"/>
  <c r="U6" i="26"/>
  <c r="O6" i="26"/>
  <c r="K6" i="26"/>
  <c r="G6" i="26"/>
  <c r="V5" i="26"/>
  <c r="M5" i="26" s="1"/>
  <c r="O5" i="26"/>
  <c r="K5" i="26"/>
  <c r="G5" i="26"/>
  <c r="H2" i="26"/>
  <c r="H1" i="26"/>
  <c r="F1" i="26"/>
  <c r="F2" i="26" s="1"/>
  <c r="D1" i="26"/>
  <c r="M18" i="25"/>
  <c r="L18" i="25"/>
  <c r="K18" i="25"/>
  <c r="J18" i="25"/>
  <c r="I18" i="25"/>
  <c r="H18" i="25"/>
  <c r="G18" i="25"/>
  <c r="F18" i="25"/>
  <c r="E18" i="25"/>
  <c r="D18" i="25"/>
  <c r="M17" i="25"/>
  <c r="L17" i="25"/>
  <c r="K17" i="25"/>
  <c r="J17" i="25"/>
  <c r="I17" i="25"/>
  <c r="H17" i="25"/>
  <c r="G17" i="25"/>
  <c r="F17" i="25"/>
  <c r="E17" i="25"/>
  <c r="D17" i="25"/>
  <c r="M16" i="25"/>
  <c r="L16" i="25"/>
  <c r="K16" i="25"/>
  <c r="J16" i="25"/>
  <c r="I16" i="25"/>
  <c r="H16" i="25"/>
  <c r="G16" i="25"/>
  <c r="F16" i="25"/>
  <c r="E16" i="25"/>
  <c r="D16" i="25"/>
  <c r="M13" i="25"/>
  <c r="L13" i="25"/>
  <c r="K13" i="25"/>
  <c r="I6" i="25" s="1"/>
  <c r="J13" i="25"/>
  <c r="I13" i="25"/>
  <c r="H13" i="25"/>
  <c r="G13" i="25"/>
  <c r="F13" i="25"/>
  <c r="E13" i="25"/>
  <c r="D13" i="25"/>
  <c r="G6" i="25" s="1"/>
  <c r="I3" i="25"/>
  <c r="F3" i="25"/>
  <c r="C3" i="25"/>
  <c r="F8" i="38" l="1"/>
  <c r="G8" i="38"/>
  <c r="E8" i="38"/>
  <c r="K15" i="34"/>
  <c r="I8" i="34" s="1"/>
  <c r="I7" i="34"/>
  <c r="D15" i="34"/>
  <c r="G7" i="34"/>
  <c r="F7" i="34"/>
  <c r="E7" i="34"/>
  <c r="Q11" i="33"/>
  <c r="R9" i="33" s="1"/>
  <c r="P11" i="33"/>
  <c r="E14" i="32"/>
  <c r="E15" i="32" s="1"/>
  <c r="Q54" i="33"/>
  <c r="R48" i="33" s="1"/>
  <c r="P54" i="33"/>
  <c r="I14" i="32"/>
  <c r="I15" i="32" s="1"/>
  <c r="Q47" i="33"/>
  <c r="R41" i="33" s="1"/>
  <c r="P47" i="33"/>
  <c r="H14" i="32"/>
  <c r="H15" i="32" s="1"/>
  <c r="Q31" i="33"/>
  <c r="R24" i="33" s="1"/>
  <c r="P31" i="33"/>
  <c r="K14" i="32"/>
  <c r="Q18" i="33"/>
  <c r="R12" i="33" s="1"/>
  <c r="P18" i="33"/>
  <c r="F14" i="32"/>
  <c r="F15" i="32" s="1"/>
  <c r="Q68" i="33"/>
  <c r="R60" i="33" s="1"/>
  <c r="P68" i="33"/>
  <c r="M14" i="32"/>
  <c r="M15" i="32" s="1"/>
  <c r="Q8" i="33"/>
  <c r="R5" i="33" s="1"/>
  <c r="P8" i="33"/>
  <c r="D2" i="33"/>
  <c r="D14" i="32"/>
  <c r="P21" i="29"/>
  <c r="G14" i="28"/>
  <c r="G15" i="28" s="1"/>
  <c r="Q21" i="29"/>
  <c r="R17" i="29" s="1"/>
  <c r="Q12" i="29"/>
  <c r="P12" i="29"/>
  <c r="AB67" i="29"/>
  <c r="AC58" i="29" s="1"/>
  <c r="AA67" i="29"/>
  <c r="N67" i="29"/>
  <c r="Q66" i="29"/>
  <c r="P66" i="29"/>
  <c r="N29" i="29"/>
  <c r="AB29" i="29"/>
  <c r="AC22" i="29" s="1"/>
  <c r="AA29" i="29"/>
  <c r="Q31" i="29"/>
  <c r="P31" i="29"/>
  <c r="P43" i="29"/>
  <c r="Q43" i="29"/>
  <c r="AB38" i="29"/>
  <c r="AC30" i="29" s="1"/>
  <c r="N38" i="29"/>
  <c r="AA38" i="29"/>
  <c r="Q44" i="29"/>
  <c r="P44" i="29"/>
  <c r="Q23" i="29"/>
  <c r="P23" i="29"/>
  <c r="N52" i="29"/>
  <c r="AA52" i="29"/>
  <c r="AB52" i="29"/>
  <c r="AC46" i="29" s="1"/>
  <c r="Q37" i="29"/>
  <c r="P37" i="29"/>
  <c r="Q13" i="29"/>
  <c r="P13" i="29"/>
  <c r="AB45" i="29"/>
  <c r="AC39" i="29" s="1"/>
  <c r="AA45" i="29"/>
  <c r="N45" i="29"/>
  <c r="P16" i="29"/>
  <c r="F14" i="28"/>
  <c r="F15" i="28" s="1"/>
  <c r="Q16" i="29"/>
  <c r="R12" i="29" s="1"/>
  <c r="E14" i="28"/>
  <c r="Q11" i="29"/>
  <c r="R9" i="29" s="1"/>
  <c r="P11" i="29"/>
  <c r="J14" i="28"/>
  <c r="J15" i="28" s="1"/>
  <c r="P57" i="29"/>
  <c r="Q57" i="29"/>
  <c r="R53" i="29" s="1"/>
  <c r="Q46" i="29"/>
  <c r="P46" i="29"/>
  <c r="Q49" i="29"/>
  <c r="P49" i="29"/>
  <c r="Q64" i="29"/>
  <c r="P64" i="29"/>
  <c r="Q47" i="29"/>
  <c r="P47" i="29"/>
  <c r="Q59" i="29"/>
  <c r="P59" i="29"/>
  <c r="P48" i="29"/>
  <c r="Q48" i="29"/>
  <c r="AB24" i="26"/>
  <c r="AA24" i="26"/>
  <c r="N24" i="26"/>
  <c r="M16" i="26"/>
  <c r="AB12" i="26"/>
  <c r="AA12" i="26"/>
  <c r="N12" i="26"/>
  <c r="N43" i="26"/>
  <c r="AB43" i="26"/>
  <c r="AA43" i="26"/>
  <c r="Q18" i="26"/>
  <c r="P18" i="26"/>
  <c r="Q30" i="26"/>
  <c r="P30" i="26"/>
  <c r="N41" i="26"/>
  <c r="AB41" i="26"/>
  <c r="AA41" i="26"/>
  <c r="Q55" i="26"/>
  <c r="P55" i="26"/>
  <c r="N25" i="26"/>
  <c r="AB25" i="26"/>
  <c r="AA25" i="26"/>
  <c r="N27" i="26"/>
  <c r="AB27" i="26"/>
  <c r="AA27" i="26"/>
  <c r="AB52" i="26"/>
  <c r="AA52" i="26"/>
  <c r="N52" i="26"/>
  <c r="AB62" i="26"/>
  <c r="AA62" i="26"/>
  <c r="N62" i="26"/>
  <c r="N42" i="26"/>
  <c r="AB42" i="26"/>
  <c r="AA42" i="26"/>
  <c r="N67" i="26"/>
  <c r="AB67" i="26"/>
  <c r="AA67" i="26"/>
  <c r="N7" i="26"/>
  <c r="AB7" i="26"/>
  <c r="AA7" i="26"/>
  <c r="AB13" i="26"/>
  <c r="AA13" i="26"/>
  <c r="N13" i="26"/>
  <c r="N44" i="26"/>
  <c r="AB44" i="26"/>
  <c r="AA44" i="26"/>
  <c r="AB23" i="26"/>
  <c r="AA23" i="26"/>
  <c r="N23" i="26"/>
  <c r="M8" i="26"/>
  <c r="AB5" i="26"/>
  <c r="AA5" i="26"/>
  <c r="N5" i="26"/>
  <c r="Q17" i="26"/>
  <c r="P17" i="26"/>
  <c r="Q56" i="26"/>
  <c r="P56" i="26"/>
  <c r="N65" i="26"/>
  <c r="AB65" i="26"/>
  <c r="AA65" i="26"/>
  <c r="N26" i="26"/>
  <c r="AB26" i="26"/>
  <c r="AA26" i="26"/>
  <c r="N28" i="26"/>
  <c r="AB28" i="26"/>
  <c r="AA28" i="26"/>
  <c r="Q31" i="26"/>
  <c r="P31" i="26"/>
  <c r="AB40" i="26"/>
  <c r="AA40" i="26"/>
  <c r="N40" i="26"/>
  <c r="Q54" i="26"/>
  <c r="P54" i="26"/>
  <c r="Q9" i="26"/>
  <c r="P9" i="26"/>
  <c r="AB14" i="26"/>
  <c r="AA14" i="26"/>
  <c r="N14" i="26"/>
  <c r="N63" i="26"/>
  <c r="AB63" i="26"/>
  <c r="AA63" i="26"/>
  <c r="AB59" i="26"/>
  <c r="AA59" i="26"/>
  <c r="M69" i="26"/>
  <c r="N59" i="26"/>
  <c r="AB61" i="26"/>
  <c r="AA61" i="26"/>
  <c r="N61" i="26"/>
  <c r="N68" i="26"/>
  <c r="AB68" i="26"/>
  <c r="AA68" i="26"/>
  <c r="N22" i="26"/>
  <c r="AB22" i="26"/>
  <c r="M29" i="26"/>
  <c r="AA22" i="26"/>
  <c r="AB51" i="26"/>
  <c r="AA51" i="26"/>
  <c r="N51" i="26"/>
  <c r="AB6" i="26"/>
  <c r="AA6" i="26"/>
  <c r="N6" i="26"/>
  <c r="N45" i="26"/>
  <c r="AB45" i="26"/>
  <c r="AA45" i="26"/>
  <c r="N39" i="26"/>
  <c r="AB39" i="26"/>
  <c r="M46" i="26"/>
  <c r="AA39" i="26"/>
  <c r="Q10" i="26"/>
  <c r="P10" i="26"/>
  <c r="N15" i="26"/>
  <c r="AB15" i="26"/>
  <c r="AA15" i="26"/>
  <c r="Q32" i="26"/>
  <c r="P32" i="26"/>
  <c r="N64" i="26"/>
  <c r="AB64" i="26"/>
  <c r="AA64" i="26"/>
  <c r="N66" i="26"/>
  <c r="AB66" i="26"/>
  <c r="AA66" i="26"/>
  <c r="AA9" i="26"/>
  <c r="AA10" i="26"/>
  <c r="AA17" i="26"/>
  <c r="AA18" i="26"/>
  <c r="AB19" i="26"/>
  <c r="AA32" i="26"/>
  <c r="AB33" i="26"/>
  <c r="AB35" i="26"/>
  <c r="M38" i="26"/>
  <c r="AA56" i="26"/>
  <c r="AB57" i="26"/>
  <c r="AB9" i="26"/>
  <c r="AB10" i="26"/>
  <c r="AB17" i="26"/>
  <c r="AB18" i="26"/>
  <c r="M21" i="26"/>
  <c r="AA30" i="26"/>
  <c r="AA31" i="26"/>
  <c r="AB32" i="26"/>
  <c r="AA54" i="26"/>
  <c r="AA55" i="26"/>
  <c r="AB56" i="26"/>
  <c r="AB30" i="26"/>
  <c r="AB31" i="26"/>
  <c r="N50" i="26"/>
  <c r="AB54" i="26"/>
  <c r="AB55" i="26"/>
  <c r="M58" i="26"/>
  <c r="N60" i="26"/>
  <c r="M11" i="26"/>
  <c r="E6" i="25"/>
  <c r="F6" i="25"/>
  <c r="N33" i="26"/>
  <c r="N19" i="26"/>
  <c r="N35" i="26"/>
  <c r="N57" i="26"/>
  <c r="P20" i="26"/>
  <c r="P34" i="26"/>
  <c r="P36" i="26"/>
  <c r="P47" i="26"/>
  <c r="P48" i="26"/>
  <c r="AA50" i="26"/>
  <c r="AA60" i="26"/>
  <c r="AA37" i="26"/>
  <c r="AA49" i="26"/>
  <c r="M53" i="26"/>
  <c r="AA20" i="26"/>
  <c r="AA36" i="26"/>
  <c r="AA47" i="26"/>
  <c r="AA48" i="26"/>
  <c r="G8" i="34" l="1"/>
  <c r="F8" i="34"/>
  <c r="E8" i="34"/>
  <c r="K15" i="32"/>
  <c r="I8" i="32" s="1"/>
  <c r="I7" i="32"/>
  <c r="D15" i="32"/>
  <c r="G7" i="32"/>
  <c r="F7" i="32"/>
  <c r="E7" i="32"/>
  <c r="Q29" i="29"/>
  <c r="R22" i="29" s="1"/>
  <c r="P29" i="29"/>
  <c r="K14" i="28"/>
  <c r="Q45" i="29"/>
  <c r="R39" i="29" s="1"/>
  <c r="P45" i="29"/>
  <c r="H14" i="28"/>
  <c r="H15" i="28" s="1"/>
  <c r="D2" i="29"/>
  <c r="L14" i="28"/>
  <c r="L15" i="28" s="1"/>
  <c r="Q38" i="29"/>
  <c r="R30" i="29" s="1"/>
  <c r="P38" i="29"/>
  <c r="M14" i="28"/>
  <c r="M15" i="28" s="1"/>
  <c r="Q67" i="29"/>
  <c r="R58" i="29" s="1"/>
  <c r="P67" i="29"/>
  <c r="E15" i="28"/>
  <c r="P52" i="29"/>
  <c r="Q52" i="29"/>
  <c r="R46" i="29" s="1"/>
  <c r="I14" i="28"/>
  <c r="I15" i="28" s="1"/>
  <c r="Q35" i="26"/>
  <c r="P35" i="26"/>
  <c r="N53" i="26"/>
  <c r="AB53" i="26"/>
  <c r="AC47" i="26" s="1"/>
  <c r="AA53" i="26"/>
  <c r="Q40" i="26"/>
  <c r="P40" i="26"/>
  <c r="Q39" i="26"/>
  <c r="P39" i="26"/>
  <c r="Q19" i="26"/>
  <c r="P19" i="26"/>
  <c r="Q27" i="26"/>
  <c r="P27" i="26"/>
  <c r="Q44" i="26"/>
  <c r="P44" i="26"/>
  <c r="Q42" i="26"/>
  <c r="P42" i="26"/>
  <c r="Q25" i="26"/>
  <c r="P25" i="26"/>
  <c r="P43" i="26"/>
  <c r="Q43" i="26"/>
  <c r="AB69" i="26"/>
  <c r="AC59" i="26" s="1"/>
  <c r="AA69" i="26"/>
  <c r="N69" i="26"/>
  <c r="Q64" i="26"/>
  <c r="P64" i="26"/>
  <c r="Q13" i="26"/>
  <c r="P13" i="26"/>
  <c r="Q62" i="26"/>
  <c r="P62" i="26"/>
  <c r="Q12" i="26"/>
  <c r="P12" i="26"/>
  <c r="N29" i="26"/>
  <c r="AB29" i="26"/>
  <c r="AC22" i="26" s="1"/>
  <c r="AA29" i="26"/>
  <c r="Q22" i="26"/>
  <c r="P22" i="26"/>
  <c r="AB38" i="26"/>
  <c r="AC30" i="26" s="1"/>
  <c r="AA38" i="26"/>
  <c r="N38" i="26"/>
  <c r="Q60" i="26"/>
  <c r="P60" i="26"/>
  <c r="P45" i="26"/>
  <c r="Q45" i="26"/>
  <c r="Q14" i="26"/>
  <c r="P14" i="26"/>
  <c r="Q5" i="26"/>
  <c r="P5" i="26"/>
  <c r="AB21" i="26"/>
  <c r="AC17" i="26" s="1"/>
  <c r="AA21" i="26"/>
  <c r="N21" i="26"/>
  <c r="Q61" i="26"/>
  <c r="P61" i="26"/>
  <c r="Q28" i="26"/>
  <c r="P28" i="26"/>
  <c r="Q52" i="26"/>
  <c r="P52" i="26"/>
  <c r="N16" i="26"/>
  <c r="AB16" i="26"/>
  <c r="AC12" i="26" s="1"/>
  <c r="AA16" i="26"/>
  <c r="Q66" i="26"/>
  <c r="P66" i="26"/>
  <c r="AB11" i="26"/>
  <c r="AC9" i="26" s="1"/>
  <c r="AA11" i="26"/>
  <c r="N11" i="26"/>
  <c r="Q63" i="26"/>
  <c r="P63" i="26"/>
  <c r="AB58" i="26"/>
  <c r="AC54" i="26" s="1"/>
  <c r="AA58" i="26"/>
  <c r="N58" i="26"/>
  <c r="Q68" i="26"/>
  <c r="P68" i="26"/>
  <c r="Q15" i="26"/>
  <c r="P15" i="26"/>
  <c r="Q41" i="26"/>
  <c r="P41" i="26"/>
  <c r="Q24" i="26"/>
  <c r="P24" i="26"/>
  <c r="AA46" i="26"/>
  <c r="N46" i="26"/>
  <c r="AB46" i="26"/>
  <c r="AC39" i="26" s="1"/>
  <c r="Q33" i="26"/>
  <c r="P33" i="26"/>
  <c r="P65" i="26"/>
  <c r="Q65" i="26"/>
  <c r="Q6" i="26"/>
  <c r="P6" i="26"/>
  <c r="Q50" i="26"/>
  <c r="P50" i="26"/>
  <c r="Q51" i="26"/>
  <c r="P51" i="26"/>
  <c r="N8" i="26"/>
  <c r="AB8" i="26"/>
  <c r="AC5" i="26" s="1"/>
  <c r="AA8" i="26"/>
  <c r="Q7" i="26"/>
  <c r="P7" i="26"/>
  <c r="P67" i="26"/>
  <c r="Q67" i="26"/>
  <c r="Q57" i="26"/>
  <c r="P57" i="26"/>
  <c r="Q59" i="26"/>
  <c r="P59" i="26"/>
  <c r="Q26" i="26"/>
  <c r="P26" i="26"/>
  <c r="Q23" i="26"/>
  <c r="P23" i="26"/>
  <c r="G8" i="32" l="1"/>
  <c r="F8" i="32"/>
  <c r="E8" i="32"/>
  <c r="F7" i="28"/>
  <c r="G7" i="28"/>
  <c r="E7" i="28"/>
  <c r="F8" i="28"/>
  <c r="G8" i="28"/>
  <c r="I7" i="28"/>
  <c r="K15" i="28"/>
  <c r="I8" i="28" s="1"/>
  <c r="P16" i="26"/>
  <c r="F14" i="25"/>
  <c r="F15" i="25" s="1"/>
  <c r="Q16" i="26"/>
  <c r="R12" i="26" s="1"/>
  <c r="Q11" i="26"/>
  <c r="R9" i="26" s="1"/>
  <c r="P11" i="26"/>
  <c r="E14" i="25"/>
  <c r="E15" i="25" s="1"/>
  <c r="L14" i="25"/>
  <c r="L15" i="25" s="1"/>
  <c r="Q38" i="26"/>
  <c r="R30" i="26" s="1"/>
  <c r="P38" i="26"/>
  <c r="Q69" i="26"/>
  <c r="R59" i="26" s="1"/>
  <c r="P69" i="26"/>
  <c r="M14" i="25"/>
  <c r="M15" i="25" s="1"/>
  <c r="P8" i="26"/>
  <c r="D2" i="26"/>
  <c r="D14" i="25"/>
  <c r="Q8" i="26"/>
  <c r="R5" i="26" s="1"/>
  <c r="I14" i="25"/>
  <c r="I15" i="25" s="1"/>
  <c r="Q53" i="26"/>
  <c r="R47" i="26" s="1"/>
  <c r="P53" i="26"/>
  <c r="Q58" i="26"/>
  <c r="R54" i="26" s="1"/>
  <c r="P58" i="26"/>
  <c r="J14" i="25"/>
  <c r="J15" i="25" s="1"/>
  <c r="Q46" i="26"/>
  <c r="R39" i="26" s="1"/>
  <c r="P46" i="26"/>
  <c r="H14" i="25"/>
  <c r="H15" i="25" s="1"/>
  <c r="Q29" i="26"/>
  <c r="R22" i="26" s="1"/>
  <c r="P29" i="26"/>
  <c r="K14" i="25"/>
  <c r="Q21" i="26"/>
  <c r="R17" i="26" s="1"/>
  <c r="G14" i="25"/>
  <c r="G15" i="25" s="1"/>
  <c r="P21" i="26"/>
  <c r="E8" i="28" l="1"/>
  <c r="K15" i="25"/>
  <c r="I8" i="25" s="1"/>
  <c r="I7" i="25"/>
  <c r="D15" i="25"/>
  <c r="G7" i="25"/>
  <c r="F7" i="25"/>
  <c r="E7" i="25"/>
  <c r="G8" i="25" l="1"/>
  <c r="E8" i="25"/>
  <c r="F8" i="25"/>
  <c r="O60" i="24" l="1"/>
  <c r="K60" i="24"/>
  <c r="V59" i="24"/>
  <c r="M59" i="24" s="1"/>
  <c r="N59" i="24" s="1"/>
  <c r="U59" i="24"/>
  <c r="O59" i="24"/>
  <c r="K59" i="24"/>
  <c r="G59" i="24"/>
  <c r="AB58" i="24"/>
  <c r="AA58" i="24"/>
  <c r="V58" i="24"/>
  <c r="U58" i="24"/>
  <c r="O58" i="24"/>
  <c r="N58" i="24"/>
  <c r="Q58" i="24" s="1"/>
  <c r="M58" i="24"/>
  <c r="K58" i="24"/>
  <c r="G58" i="24"/>
  <c r="V57" i="24"/>
  <c r="M57" i="24" s="1"/>
  <c r="U57" i="24"/>
  <c r="O57" i="24"/>
  <c r="K57" i="24"/>
  <c r="G57" i="24"/>
  <c r="V56" i="24"/>
  <c r="U56" i="24"/>
  <c r="O56" i="24"/>
  <c r="M56" i="24"/>
  <c r="AB56" i="24" s="1"/>
  <c r="K56" i="24"/>
  <c r="G56" i="24"/>
  <c r="AB55" i="24"/>
  <c r="AA55" i="24"/>
  <c r="V55" i="24"/>
  <c r="U55" i="24"/>
  <c r="O55" i="24"/>
  <c r="N55" i="24"/>
  <c r="Q55" i="24" s="1"/>
  <c r="M55" i="24"/>
  <c r="K55" i="24"/>
  <c r="G55" i="24"/>
  <c r="V54" i="24"/>
  <c r="U54" i="24"/>
  <c r="O54" i="24"/>
  <c r="M54" i="24"/>
  <c r="AB54" i="24" s="1"/>
  <c r="K54" i="24"/>
  <c r="G54" i="24"/>
  <c r="X53" i="24"/>
  <c r="W53" i="24"/>
  <c r="V53" i="24"/>
  <c r="M53" i="24" s="1"/>
  <c r="O53" i="24"/>
  <c r="K53" i="24"/>
  <c r="G53" i="24"/>
  <c r="O52" i="24"/>
  <c r="M52" i="24"/>
  <c r="K52" i="24"/>
  <c r="AB51" i="24"/>
  <c r="AA51" i="24"/>
  <c r="V51" i="24"/>
  <c r="U51" i="24"/>
  <c r="O51" i="24"/>
  <c r="M51" i="24"/>
  <c r="N51" i="24" s="1"/>
  <c r="K51" i="24"/>
  <c r="G51" i="24"/>
  <c r="V50" i="24"/>
  <c r="U50" i="24"/>
  <c r="O50" i="24"/>
  <c r="M50" i="24"/>
  <c r="K50" i="24"/>
  <c r="G50" i="24"/>
  <c r="AB49" i="24"/>
  <c r="AA49" i="24"/>
  <c r="V49" i="24"/>
  <c r="U49" i="24"/>
  <c r="O49" i="24"/>
  <c r="M49" i="24"/>
  <c r="N49" i="24" s="1"/>
  <c r="K49" i="24"/>
  <c r="G49" i="24"/>
  <c r="V48" i="24"/>
  <c r="M48" i="24" s="1"/>
  <c r="O48" i="24"/>
  <c r="K48" i="24"/>
  <c r="G48" i="24"/>
  <c r="O47" i="24"/>
  <c r="K47" i="24"/>
  <c r="V46" i="24"/>
  <c r="M46" i="24" s="1"/>
  <c r="U46" i="24"/>
  <c r="O46" i="24"/>
  <c r="K46" i="24"/>
  <c r="G46" i="24"/>
  <c r="AB45" i="24"/>
  <c r="AA45" i="24"/>
  <c r="V45" i="24"/>
  <c r="U45" i="24"/>
  <c r="O45" i="24"/>
  <c r="N45" i="24"/>
  <c r="M45" i="24"/>
  <c r="K45" i="24"/>
  <c r="Q45" i="24" s="1"/>
  <c r="G45" i="24"/>
  <c r="V44" i="24"/>
  <c r="M44" i="24" s="1"/>
  <c r="U44" i="24"/>
  <c r="O44" i="24"/>
  <c r="K44" i="24"/>
  <c r="G44" i="24"/>
  <c r="V43" i="24"/>
  <c r="U43" i="24"/>
  <c r="O43" i="24"/>
  <c r="M43" i="24"/>
  <c r="AA43" i="24" s="1"/>
  <c r="K43" i="24"/>
  <c r="G43" i="24"/>
  <c r="AB42" i="24"/>
  <c r="AA42" i="24"/>
  <c r="V42" i="24"/>
  <c r="U42" i="24"/>
  <c r="O42" i="24"/>
  <c r="M42" i="24"/>
  <c r="N42" i="24" s="1"/>
  <c r="K42" i="24"/>
  <c r="G42" i="24"/>
  <c r="V41" i="24"/>
  <c r="O41" i="24"/>
  <c r="M41" i="24"/>
  <c r="K41" i="24"/>
  <c r="G41" i="24"/>
  <c r="O40" i="24"/>
  <c r="K40" i="24"/>
  <c r="V39" i="24"/>
  <c r="U39" i="24"/>
  <c r="O39" i="24"/>
  <c r="M39" i="24"/>
  <c r="AB39" i="24" s="1"/>
  <c r="K39" i="24"/>
  <c r="G39" i="24"/>
  <c r="AB38" i="24"/>
  <c r="AA38" i="24"/>
  <c r="V38" i="24"/>
  <c r="U38" i="24"/>
  <c r="O38" i="24"/>
  <c r="M38" i="24"/>
  <c r="N38" i="24" s="1"/>
  <c r="K38" i="24"/>
  <c r="G38" i="24"/>
  <c r="AB37" i="24"/>
  <c r="AA37" i="24"/>
  <c r="V37" i="24"/>
  <c r="U37" i="24"/>
  <c r="O37" i="24"/>
  <c r="N37" i="24"/>
  <c r="M37" i="24"/>
  <c r="K37" i="24"/>
  <c r="G37" i="24"/>
  <c r="V36" i="24"/>
  <c r="M36" i="24" s="1"/>
  <c r="U36" i="24"/>
  <c r="O36" i="24"/>
  <c r="K36" i="24"/>
  <c r="G36" i="24"/>
  <c r="V35" i="24"/>
  <c r="U35" i="24"/>
  <c r="P35" i="24"/>
  <c r="O35" i="24"/>
  <c r="N35" i="24"/>
  <c r="Q35" i="24" s="1"/>
  <c r="M35" i="24"/>
  <c r="AB35" i="24" s="1"/>
  <c r="K35" i="24"/>
  <c r="G35" i="24"/>
  <c r="X34" i="24"/>
  <c r="W34" i="24"/>
  <c r="V34" i="24"/>
  <c r="O34" i="24"/>
  <c r="M34" i="24"/>
  <c r="AB34" i="24" s="1"/>
  <c r="K34" i="24"/>
  <c r="G34" i="24"/>
  <c r="AB33" i="24"/>
  <c r="AC28" i="24" s="1"/>
  <c r="AA33" i="24"/>
  <c r="O33" i="24"/>
  <c r="M33" i="24"/>
  <c r="N33" i="24" s="1"/>
  <c r="K33" i="24"/>
  <c r="V32" i="24"/>
  <c r="U32" i="24"/>
  <c r="O32" i="24"/>
  <c r="M32" i="24"/>
  <c r="AB32" i="24" s="1"/>
  <c r="K32" i="24"/>
  <c r="G32" i="24"/>
  <c r="AB31" i="24"/>
  <c r="AA31" i="24"/>
  <c r="V31" i="24"/>
  <c r="U31" i="24"/>
  <c r="O31" i="24"/>
  <c r="N31" i="24"/>
  <c r="Q31" i="24" s="1"/>
  <c r="M31" i="24"/>
  <c r="K31" i="24"/>
  <c r="G31" i="24"/>
  <c r="V30" i="24"/>
  <c r="U30" i="24"/>
  <c r="O30" i="24"/>
  <c r="M30" i="24"/>
  <c r="AB30" i="24" s="1"/>
  <c r="K30" i="24"/>
  <c r="G30" i="24"/>
  <c r="AB29" i="24"/>
  <c r="AA29" i="24"/>
  <c r="V29" i="24"/>
  <c r="U29" i="24"/>
  <c r="O29" i="24"/>
  <c r="M29" i="24"/>
  <c r="N29" i="24" s="1"/>
  <c r="K29" i="24"/>
  <c r="G29" i="24"/>
  <c r="X28" i="24"/>
  <c r="W28" i="24"/>
  <c r="V28" i="24"/>
  <c r="O28" i="24"/>
  <c r="N28" i="24"/>
  <c r="Q28" i="24" s="1"/>
  <c r="M28" i="24"/>
  <c r="AB28" i="24" s="1"/>
  <c r="K28" i="24"/>
  <c r="G28" i="24"/>
  <c r="O27" i="24"/>
  <c r="K27" i="24"/>
  <c r="K13" i="23" s="1"/>
  <c r="I6" i="23" s="1"/>
  <c r="V26" i="24"/>
  <c r="U26" i="24"/>
  <c r="O26" i="24"/>
  <c r="M26" i="24"/>
  <c r="K26" i="24"/>
  <c r="G26" i="24"/>
  <c r="AB25" i="24"/>
  <c r="AA25" i="24"/>
  <c r="V25" i="24"/>
  <c r="U25" i="24"/>
  <c r="O25" i="24"/>
  <c r="M25" i="24"/>
  <c r="N25" i="24" s="1"/>
  <c r="K25" i="24"/>
  <c r="G25" i="24"/>
  <c r="V24" i="24"/>
  <c r="M24" i="24" s="1"/>
  <c r="U24" i="24"/>
  <c r="O24" i="24"/>
  <c r="K24" i="24"/>
  <c r="G24" i="24"/>
  <c r="AB23" i="24"/>
  <c r="AA23" i="24"/>
  <c r="V23" i="24"/>
  <c r="U23" i="24"/>
  <c r="O23" i="24"/>
  <c r="N23" i="24"/>
  <c r="M23" i="24"/>
  <c r="K23" i="24"/>
  <c r="Q23" i="24" s="1"/>
  <c r="G23" i="24"/>
  <c r="AB22" i="24"/>
  <c r="AA22" i="24"/>
  <c r="X22" i="24"/>
  <c r="W22" i="24"/>
  <c r="V22" i="24"/>
  <c r="O22" i="24"/>
  <c r="M22" i="24"/>
  <c r="N22" i="24" s="1"/>
  <c r="K22" i="24"/>
  <c r="G22" i="24"/>
  <c r="O21" i="24"/>
  <c r="K21" i="24"/>
  <c r="G13" i="23" s="1"/>
  <c r="G6" i="23" s="1"/>
  <c r="AB20" i="24"/>
  <c r="AA20" i="24"/>
  <c r="V20" i="24"/>
  <c r="U20" i="24"/>
  <c r="O20" i="24"/>
  <c r="M20" i="24"/>
  <c r="N20" i="24" s="1"/>
  <c r="K20" i="24"/>
  <c r="G20" i="24"/>
  <c r="V19" i="24"/>
  <c r="U19" i="24"/>
  <c r="O19" i="24"/>
  <c r="M19" i="24"/>
  <c r="AB19" i="24" s="1"/>
  <c r="K19" i="24"/>
  <c r="G19" i="24"/>
  <c r="AB18" i="24"/>
  <c r="AA18" i="24"/>
  <c r="V18" i="24"/>
  <c r="U18" i="24"/>
  <c r="O18" i="24"/>
  <c r="M18" i="24"/>
  <c r="N18" i="24" s="1"/>
  <c r="K18" i="24"/>
  <c r="G18" i="24"/>
  <c r="V17" i="24"/>
  <c r="O17" i="24"/>
  <c r="M17" i="24"/>
  <c r="N17" i="24" s="1"/>
  <c r="K17" i="24"/>
  <c r="G17" i="24"/>
  <c r="O16" i="24"/>
  <c r="K16" i="24"/>
  <c r="AB15" i="24"/>
  <c r="AA15" i="24"/>
  <c r="V15" i="24"/>
  <c r="U15" i="24"/>
  <c r="O15" i="24"/>
  <c r="N15" i="24"/>
  <c r="M15" i="24"/>
  <c r="K15" i="24"/>
  <c r="G15" i="24"/>
  <c r="V14" i="24"/>
  <c r="M14" i="24" s="1"/>
  <c r="U14" i="24"/>
  <c r="O14" i="24"/>
  <c r="K14" i="24"/>
  <c r="G14" i="24"/>
  <c r="V13" i="24"/>
  <c r="U13" i="24"/>
  <c r="O13" i="24"/>
  <c r="N13" i="24"/>
  <c r="Q13" i="24" s="1"/>
  <c r="M13" i="24"/>
  <c r="M16" i="24" s="1"/>
  <c r="K13" i="24"/>
  <c r="G13" i="24"/>
  <c r="AB12" i="24"/>
  <c r="AA12" i="24"/>
  <c r="V12" i="24"/>
  <c r="O12" i="24"/>
  <c r="N12" i="24"/>
  <c r="M12" i="24"/>
  <c r="K12" i="24"/>
  <c r="Q12" i="24" s="1"/>
  <c r="G12" i="24"/>
  <c r="O11" i="24"/>
  <c r="K11" i="24"/>
  <c r="E13" i="23" s="1"/>
  <c r="AB10" i="24"/>
  <c r="AA10" i="24"/>
  <c r="V10" i="24"/>
  <c r="U10" i="24"/>
  <c r="O10" i="24"/>
  <c r="N10" i="24"/>
  <c r="Q10" i="24" s="1"/>
  <c r="M10" i="24"/>
  <c r="K10" i="24"/>
  <c r="G10" i="24"/>
  <c r="V9" i="24"/>
  <c r="M9" i="24" s="1"/>
  <c r="O9" i="24"/>
  <c r="K9" i="24"/>
  <c r="G9" i="24"/>
  <c r="O8" i="24"/>
  <c r="K8" i="24"/>
  <c r="V7" i="24"/>
  <c r="M7" i="24" s="1"/>
  <c r="U7" i="24"/>
  <c r="O7" i="24"/>
  <c r="K7" i="24"/>
  <c r="G7" i="24"/>
  <c r="V6" i="24"/>
  <c r="U6" i="24"/>
  <c r="O6" i="24"/>
  <c r="M6" i="24"/>
  <c r="AB6" i="24" s="1"/>
  <c r="K6" i="24"/>
  <c r="G6" i="24"/>
  <c r="F1" i="24" s="1"/>
  <c r="AB5" i="24"/>
  <c r="AA5" i="24"/>
  <c r="V5" i="24"/>
  <c r="O5" i="24"/>
  <c r="M5" i="24"/>
  <c r="N5" i="24" s="1"/>
  <c r="K5" i="24"/>
  <c r="G5" i="24"/>
  <c r="H2" i="24"/>
  <c r="H1" i="24"/>
  <c r="D1" i="24"/>
  <c r="F3" i="23" s="1"/>
  <c r="M18" i="23"/>
  <c r="L18" i="23"/>
  <c r="K18" i="23"/>
  <c r="J18" i="23"/>
  <c r="I18" i="23"/>
  <c r="H18" i="23"/>
  <c r="G18" i="23"/>
  <c r="F18" i="23"/>
  <c r="E18" i="23"/>
  <c r="D18" i="23"/>
  <c r="M17" i="23"/>
  <c r="L17" i="23"/>
  <c r="K17" i="23"/>
  <c r="J17" i="23"/>
  <c r="I17" i="23"/>
  <c r="H17" i="23"/>
  <c r="G17" i="23"/>
  <c r="F17" i="23"/>
  <c r="E17" i="23"/>
  <c r="D17" i="23"/>
  <c r="M16" i="23"/>
  <c r="L16" i="23"/>
  <c r="K16" i="23"/>
  <c r="J16" i="23"/>
  <c r="I16" i="23"/>
  <c r="H16" i="23"/>
  <c r="G16" i="23"/>
  <c r="F16" i="23"/>
  <c r="E16" i="23"/>
  <c r="D16" i="23"/>
  <c r="M13" i="23"/>
  <c r="L13" i="23"/>
  <c r="J13" i="23"/>
  <c r="I13" i="23"/>
  <c r="H13" i="23"/>
  <c r="F13" i="23"/>
  <c r="D13" i="23"/>
  <c r="C3" i="23"/>
  <c r="Q59" i="24" l="1"/>
  <c r="P59" i="24"/>
  <c r="Q17" i="24"/>
  <c r="P17" i="24"/>
  <c r="AB9" i="24"/>
  <c r="AA9" i="24"/>
  <c r="M11" i="24"/>
  <c r="N9" i="24"/>
  <c r="N36" i="24"/>
  <c r="AB36" i="24"/>
  <c r="AA36" i="24"/>
  <c r="AB52" i="24"/>
  <c r="AC48" i="24" s="1"/>
  <c r="N52" i="24"/>
  <c r="AA52" i="24"/>
  <c r="P25" i="24"/>
  <c r="Q25" i="24"/>
  <c r="P28" i="24"/>
  <c r="N16" i="24"/>
  <c r="AA16" i="24"/>
  <c r="AB16" i="24"/>
  <c r="AC12" i="24" s="1"/>
  <c r="Q37" i="24"/>
  <c r="P37" i="24"/>
  <c r="N53" i="24"/>
  <c r="M60" i="24"/>
  <c r="AA53" i="24"/>
  <c r="P13" i="24"/>
  <c r="AB50" i="24"/>
  <c r="AA50" i="24"/>
  <c r="Q20" i="24"/>
  <c r="P20" i="24"/>
  <c r="Q29" i="24"/>
  <c r="P29" i="24"/>
  <c r="AB41" i="24"/>
  <c r="AA41" i="24"/>
  <c r="M47" i="24"/>
  <c r="N41" i="24"/>
  <c r="AB53" i="24"/>
  <c r="F6" i="23"/>
  <c r="AB26" i="24"/>
  <c r="AA26" i="24"/>
  <c r="AB44" i="24"/>
  <c r="AA44" i="24"/>
  <c r="N44" i="24"/>
  <c r="AB7" i="24"/>
  <c r="AA7" i="24"/>
  <c r="N7" i="24"/>
  <c r="N26" i="24"/>
  <c r="L14" i="23"/>
  <c r="L15" i="23" s="1"/>
  <c r="P33" i="24"/>
  <c r="Q22" i="24"/>
  <c r="P22" i="24"/>
  <c r="AB57" i="24"/>
  <c r="AA57" i="24"/>
  <c r="N57" i="24"/>
  <c r="Q33" i="24"/>
  <c r="R28" i="24" s="1"/>
  <c r="P49" i="24"/>
  <c r="Q49" i="24"/>
  <c r="M27" i="24"/>
  <c r="AA24" i="24"/>
  <c r="AB24" i="24"/>
  <c r="N24" i="24"/>
  <c r="Q51" i="24"/>
  <c r="P51" i="24"/>
  <c r="Q5" i="24"/>
  <c r="P5" i="24"/>
  <c r="Q15" i="24"/>
  <c r="P15" i="24"/>
  <c r="I3" i="23"/>
  <c r="F2" i="24"/>
  <c r="AA46" i="24"/>
  <c r="AB46" i="24"/>
  <c r="N46" i="24"/>
  <c r="AB17" i="24"/>
  <c r="AA17" i="24"/>
  <c r="M21" i="24"/>
  <c r="N50" i="24"/>
  <c r="P38" i="24"/>
  <c r="Q38" i="24"/>
  <c r="N14" i="24"/>
  <c r="AB14" i="24"/>
  <c r="AA14" i="24"/>
  <c r="P18" i="24"/>
  <c r="Q18" i="24"/>
  <c r="Q42" i="24"/>
  <c r="P42" i="24"/>
  <c r="AB59" i="24"/>
  <c r="AA59" i="24"/>
  <c r="AB48" i="24"/>
  <c r="AA48" i="24"/>
  <c r="N48" i="24"/>
  <c r="P31" i="24"/>
  <c r="P55" i="24"/>
  <c r="N34" i="24"/>
  <c r="N43" i="24"/>
  <c r="N19" i="24"/>
  <c r="N39" i="24"/>
  <c r="N30" i="24"/>
  <c r="N54" i="24"/>
  <c r="AA13" i="24"/>
  <c r="AA35" i="24"/>
  <c r="N6" i="24"/>
  <c r="M8" i="24"/>
  <c r="AB13" i="24"/>
  <c r="N32" i="24"/>
  <c r="N56" i="24"/>
  <c r="AA28" i="24"/>
  <c r="P12" i="24"/>
  <c r="AA19" i="24"/>
  <c r="P23" i="24"/>
  <c r="AA39" i="24"/>
  <c r="P45" i="24"/>
  <c r="P10" i="24"/>
  <c r="AA54" i="24"/>
  <c r="P58" i="24"/>
  <c r="AA6" i="24"/>
  <c r="AA32" i="24"/>
  <c r="M40" i="24"/>
  <c r="AB43" i="24"/>
  <c r="AA56" i="24"/>
  <c r="E6" i="23"/>
  <c r="AA34" i="24"/>
  <c r="AA30" i="24"/>
  <c r="O61" i="22"/>
  <c r="K61" i="22"/>
  <c r="V60" i="22"/>
  <c r="M60" i="22" s="1"/>
  <c r="U60" i="22"/>
  <c r="O60" i="22"/>
  <c r="K60" i="22"/>
  <c r="G60" i="22"/>
  <c r="V59" i="22"/>
  <c r="M59" i="22" s="1"/>
  <c r="U59" i="22"/>
  <c r="O59" i="22"/>
  <c r="K59" i="22"/>
  <c r="G59" i="22"/>
  <c r="V58" i="22"/>
  <c r="M58" i="22" s="1"/>
  <c r="U58" i="22"/>
  <c r="O58" i="22"/>
  <c r="K58" i="22"/>
  <c r="G58" i="22"/>
  <c r="V57" i="22"/>
  <c r="M57" i="22" s="1"/>
  <c r="U57" i="22"/>
  <c r="O57" i="22"/>
  <c r="K57" i="22"/>
  <c r="G57" i="22"/>
  <c r="V56" i="22"/>
  <c r="M56" i="22" s="1"/>
  <c r="U56" i="22"/>
  <c r="O56" i="22"/>
  <c r="K56" i="22"/>
  <c r="G56" i="22"/>
  <c r="V55" i="22"/>
  <c r="U55" i="22"/>
  <c r="O55" i="22"/>
  <c r="M55" i="22"/>
  <c r="AB55" i="22" s="1"/>
  <c r="K55" i="22"/>
  <c r="G55" i="22"/>
  <c r="X54" i="22"/>
  <c r="W54" i="22"/>
  <c r="V54" i="22"/>
  <c r="M54" i="22" s="1"/>
  <c r="O54" i="22"/>
  <c r="K54" i="22"/>
  <c r="G54" i="22"/>
  <c r="O53" i="22"/>
  <c r="M53" i="22"/>
  <c r="AB53" i="22" s="1"/>
  <c r="AC50" i="22" s="1"/>
  <c r="K53" i="22"/>
  <c r="V52" i="22"/>
  <c r="U52" i="22"/>
  <c r="O52" i="22"/>
  <c r="M52" i="22"/>
  <c r="AB52" i="22" s="1"/>
  <c r="K52" i="22"/>
  <c r="G52" i="22"/>
  <c r="AB51" i="22"/>
  <c r="V51" i="22"/>
  <c r="U51" i="22"/>
  <c r="O51" i="22"/>
  <c r="M51" i="22"/>
  <c r="AA51" i="22" s="1"/>
  <c r="K51" i="22"/>
  <c r="G51" i="22"/>
  <c r="AB50" i="22"/>
  <c r="V50" i="22"/>
  <c r="O50" i="22"/>
  <c r="M50" i="22"/>
  <c r="AA50" i="22" s="1"/>
  <c r="K50" i="22"/>
  <c r="G50" i="22"/>
  <c r="O49" i="22"/>
  <c r="K49" i="22"/>
  <c r="V48" i="22"/>
  <c r="M48" i="22" s="1"/>
  <c r="U48" i="22"/>
  <c r="O48" i="22"/>
  <c r="K48" i="22"/>
  <c r="G48" i="22"/>
  <c r="V47" i="22"/>
  <c r="M47" i="22" s="1"/>
  <c r="U47" i="22"/>
  <c r="O47" i="22"/>
  <c r="K47" i="22"/>
  <c r="G47" i="22"/>
  <c r="V46" i="22"/>
  <c r="M46" i="22" s="1"/>
  <c r="U46" i="22"/>
  <c r="O46" i="22"/>
  <c r="K46" i="22"/>
  <c r="G46" i="22"/>
  <c r="V45" i="22"/>
  <c r="U45" i="22"/>
  <c r="O45" i="22"/>
  <c r="M45" i="22"/>
  <c r="AB45" i="22" s="1"/>
  <c r="K45" i="22"/>
  <c r="G45" i="22"/>
  <c r="V44" i="22"/>
  <c r="U44" i="22"/>
  <c r="O44" i="22"/>
  <c r="M44" i="22"/>
  <c r="AB44" i="22" s="1"/>
  <c r="K44" i="22"/>
  <c r="G44" i="22"/>
  <c r="V43" i="22"/>
  <c r="O43" i="22"/>
  <c r="M43" i="22"/>
  <c r="AB43" i="22" s="1"/>
  <c r="K43" i="22"/>
  <c r="G43" i="22"/>
  <c r="O42" i="22"/>
  <c r="K42" i="22"/>
  <c r="V41" i="22"/>
  <c r="M41" i="22" s="1"/>
  <c r="U41" i="22"/>
  <c r="O41" i="22"/>
  <c r="K41" i="22"/>
  <c r="G41" i="22"/>
  <c r="V40" i="22"/>
  <c r="M40" i="22" s="1"/>
  <c r="U40" i="22"/>
  <c r="O40" i="22"/>
  <c r="K40" i="22"/>
  <c r="G40" i="22"/>
  <c r="V39" i="22"/>
  <c r="M39" i="22" s="1"/>
  <c r="U39" i="22"/>
  <c r="O39" i="22"/>
  <c r="K39" i="22"/>
  <c r="G39" i="22"/>
  <c r="V38" i="22"/>
  <c r="M38" i="22" s="1"/>
  <c r="U38" i="22"/>
  <c r="O38" i="22"/>
  <c r="K38" i="22"/>
  <c r="G38" i="22"/>
  <c r="V37" i="22"/>
  <c r="M37" i="22" s="1"/>
  <c r="U37" i="22"/>
  <c r="O37" i="22"/>
  <c r="K37" i="22"/>
  <c r="G37" i="22"/>
  <c r="V36" i="22"/>
  <c r="M36" i="22" s="1"/>
  <c r="U36" i="22"/>
  <c r="O36" i="22"/>
  <c r="K36" i="22"/>
  <c r="G36" i="22"/>
  <c r="X35" i="22"/>
  <c r="W35" i="22"/>
  <c r="V35" i="22"/>
  <c r="M35" i="22" s="1"/>
  <c r="O35" i="22"/>
  <c r="K35" i="22"/>
  <c r="G35" i="22"/>
  <c r="O34" i="22"/>
  <c r="M34" i="22"/>
  <c r="AB34" i="22" s="1"/>
  <c r="AC29" i="22" s="1"/>
  <c r="K34" i="22"/>
  <c r="V33" i="22"/>
  <c r="U33" i="22"/>
  <c r="O33" i="22"/>
  <c r="N33" i="22"/>
  <c r="Q33" i="22" s="1"/>
  <c r="M33" i="22"/>
  <c r="AB33" i="22" s="1"/>
  <c r="K33" i="22"/>
  <c r="G33" i="22"/>
  <c r="V32" i="22"/>
  <c r="U32" i="22"/>
  <c r="O32" i="22"/>
  <c r="M32" i="22"/>
  <c r="AB32" i="22" s="1"/>
  <c r="K32" i="22"/>
  <c r="G32" i="22"/>
  <c r="AB31" i="22"/>
  <c r="V31" i="22"/>
  <c r="U31" i="22"/>
  <c r="O31" i="22"/>
  <c r="M31" i="22"/>
  <c r="AA31" i="22" s="1"/>
  <c r="K31" i="22"/>
  <c r="G31" i="22"/>
  <c r="AB30" i="22"/>
  <c r="AA30" i="22"/>
  <c r="V30" i="22"/>
  <c r="U30" i="22"/>
  <c r="O30" i="22"/>
  <c r="N30" i="22"/>
  <c r="Q30" i="22" s="1"/>
  <c r="M30" i="22"/>
  <c r="K30" i="22"/>
  <c r="G30" i="22"/>
  <c r="AB29" i="22"/>
  <c r="AA29" i="22"/>
  <c r="X29" i="22"/>
  <c r="W29" i="22"/>
  <c r="V29" i="22"/>
  <c r="O29" i="22"/>
  <c r="M29" i="22"/>
  <c r="N29" i="22" s="1"/>
  <c r="K29" i="22"/>
  <c r="G29" i="22"/>
  <c r="O28" i="22"/>
  <c r="K28" i="22"/>
  <c r="V27" i="22"/>
  <c r="M27" i="22" s="1"/>
  <c r="U27" i="22"/>
  <c r="O27" i="22"/>
  <c r="K27" i="22"/>
  <c r="G27" i="22"/>
  <c r="V26" i="22"/>
  <c r="M26" i="22" s="1"/>
  <c r="U26" i="22"/>
  <c r="O26" i="22"/>
  <c r="K26" i="22"/>
  <c r="G26" i="22"/>
  <c r="V25" i="22"/>
  <c r="M25" i="22" s="1"/>
  <c r="U25" i="22"/>
  <c r="O25" i="22"/>
  <c r="K25" i="22"/>
  <c r="G25" i="22"/>
  <c r="V24" i="22"/>
  <c r="M24" i="22" s="1"/>
  <c r="U24" i="22"/>
  <c r="O24" i="22"/>
  <c r="K24" i="22"/>
  <c r="G24" i="22"/>
  <c r="V23" i="22"/>
  <c r="U23" i="22"/>
  <c r="O23" i="22"/>
  <c r="M23" i="22"/>
  <c r="AB23" i="22" s="1"/>
  <c r="K23" i="22"/>
  <c r="G23" i="22"/>
  <c r="X22" i="22"/>
  <c r="W22" i="22"/>
  <c r="V22" i="22"/>
  <c r="M22" i="22" s="1"/>
  <c r="O22" i="22"/>
  <c r="K22" i="22"/>
  <c r="G22" i="22"/>
  <c r="O21" i="22"/>
  <c r="M21" i="22"/>
  <c r="AB21" i="22" s="1"/>
  <c r="AC17" i="22" s="1"/>
  <c r="K21" i="22"/>
  <c r="G13" i="21" s="1"/>
  <c r="V20" i="22"/>
  <c r="U20" i="22"/>
  <c r="O20" i="22"/>
  <c r="M20" i="22"/>
  <c r="AB20" i="22" s="1"/>
  <c r="K20" i="22"/>
  <c r="G20" i="22"/>
  <c r="AB19" i="22"/>
  <c r="V19" i="22"/>
  <c r="U19" i="22"/>
  <c r="O19" i="22"/>
  <c r="M19" i="22"/>
  <c r="AA19" i="22" s="1"/>
  <c r="K19" i="22"/>
  <c r="G19" i="22"/>
  <c r="AB18" i="22"/>
  <c r="AA18" i="22"/>
  <c r="V18" i="22"/>
  <c r="U18" i="22"/>
  <c r="O18" i="22"/>
  <c r="M18" i="22"/>
  <c r="N18" i="22" s="1"/>
  <c r="K18" i="22"/>
  <c r="G18" i="22"/>
  <c r="AB17" i="22"/>
  <c r="AA17" i="22"/>
  <c r="V17" i="22"/>
  <c r="O17" i="22"/>
  <c r="M17" i="22"/>
  <c r="N17" i="22" s="1"/>
  <c r="K17" i="22"/>
  <c r="G17" i="22"/>
  <c r="O16" i="22"/>
  <c r="K16" i="22"/>
  <c r="V15" i="22"/>
  <c r="M15" i="22" s="1"/>
  <c r="U15" i="22"/>
  <c r="O15" i="22"/>
  <c r="K15" i="22"/>
  <c r="G15" i="22"/>
  <c r="V14" i="22"/>
  <c r="M14" i="22" s="1"/>
  <c r="U14" i="22"/>
  <c r="O14" i="22"/>
  <c r="K14" i="22"/>
  <c r="G14" i="22"/>
  <c r="V13" i="22"/>
  <c r="U13" i="22"/>
  <c r="O13" i="22"/>
  <c r="M13" i="22"/>
  <c r="AB13" i="22" s="1"/>
  <c r="K13" i="22"/>
  <c r="G13" i="22"/>
  <c r="V12" i="22"/>
  <c r="O12" i="22"/>
  <c r="M12" i="22"/>
  <c r="K12" i="22"/>
  <c r="G12" i="22"/>
  <c r="O11" i="22"/>
  <c r="M11" i="22"/>
  <c r="AB11" i="22" s="1"/>
  <c r="AC9" i="22" s="1"/>
  <c r="K11" i="22"/>
  <c r="AB10" i="22"/>
  <c r="AA10" i="22"/>
  <c r="V10" i="22"/>
  <c r="U10" i="22"/>
  <c r="O10" i="22"/>
  <c r="M10" i="22"/>
  <c r="N10" i="22" s="1"/>
  <c r="K10" i="22"/>
  <c r="G10" i="22"/>
  <c r="AB9" i="22"/>
  <c r="AA9" i="22"/>
  <c r="V9" i="22"/>
  <c r="O9" i="22"/>
  <c r="M9" i="22"/>
  <c r="N9" i="22" s="1"/>
  <c r="K9" i="22"/>
  <c r="G9" i="22"/>
  <c r="F1" i="22" s="1"/>
  <c r="O8" i="22"/>
  <c r="K8" i="22"/>
  <c r="V7" i="22"/>
  <c r="M7" i="22" s="1"/>
  <c r="U7" i="22"/>
  <c r="O7" i="22"/>
  <c r="K7" i="22"/>
  <c r="G7" i="22"/>
  <c r="V6" i="22"/>
  <c r="M6" i="22" s="1"/>
  <c r="U6" i="22"/>
  <c r="O6" i="22"/>
  <c r="K6" i="22"/>
  <c r="G6" i="22"/>
  <c r="V5" i="22"/>
  <c r="M5" i="22" s="1"/>
  <c r="O5" i="22"/>
  <c r="K5" i="22"/>
  <c r="G5" i="22"/>
  <c r="H2" i="22"/>
  <c r="H1" i="22"/>
  <c r="D1" i="22"/>
  <c r="M18" i="21"/>
  <c r="L18" i="21"/>
  <c r="K18" i="21"/>
  <c r="J18" i="21"/>
  <c r="I18" i="21"/>
  <c r="H18" i="21"/>
  <c r="G18" i="21"/>
  <c r="F18" i="21"/>
  <c r="E18" i="21"/>
  <c r="D18" i="21"/>
  <c r="M17" i="21"/>
  <c r="L17" i="21"/>
  <c r="K17" i="21"/>
  <c r="J17" i="21"/>
  <c r="I17" i="21"/>
  <c r="H17" i="21"/>
  <c r="G17" i="21"/>
  <c r="F17" i="21"/>
  <c r="E17" i="21"/>
  <c r="D17" i="21"/>
  <c r="M16" i="21"/>
  <c r="L16" i="21"/>
  <c r="K16" i="21"/>
  <c r="J16" i="21"/>
  <c r="I16" i="21"/>
  <c r="H16" i="21"/>
  <c r="G16" i="21"/>
  <c r="F16" i="21"/>
  <c r="E16" i="21"/>
  <c r="D16" i="21"/>
  <c r="M13" i="21"/>
  <c r="L13" i="21"/>
  <c r="K13" i="21"/>
  <c r="I6" i="21" s="1"/>
  <c r="J13" i="21"/>
  <c r="I13" i="21"/>
  <c r="H13" i="21"/>
  <c r="F13" i="21"/>
  <c r="E13" i="21"/>
  <c r="D13" i="21"/>
  <c r="F3" i="21"/>
  <c r="C3" i="21"/>
  <c r="Q16" i="24" l="1"/>
  <c r="R12" i="24" s="1"/>
  <c r="P16" i="24"/>
  <c r="F14" i="23"/>
  <c r="F15" i="23" s="1"/>
  <c r="N40" i="24"/>
  <c r="AB40" i="24"/>
  <c r="AC34" i="24" s="1"/>
  <c r="AA40" i="24"/>
  <c r="Q39" i="24"/>
  <c r="P39" i="24"/>
  <c r="P41" i="24"/>
  <c r="Q41" i="24"/>
  <c r="Q34" i="24"/>
  <c r="P34" i="24"/>
  <c r="P9" i="24"/>
  <c r="Q9" i="24"/>
  <c r="Q26" i="24"/>
  <c r="P26" i="24"/>
  <c r="AB11" i="24"/>
  <c r="AC9" i="24" s="1"/>
  <c r="AA11" i="24"/>
  <c r="N11" i="24"/>
  <c r="Q7" i="24"/>
  <c r="P7" i="24"/>
  <c r="Q56" i="24"/>
  <c r="P56" i="24"/>
  <c r="Q50" i="24"/>
  <c r="P50" i="24"/>
  <c r="Q32" i="24"/>
  <c r="P32" i="24"/>
  <c r="AB60" i="24"/>
  <c r="AC53" i="24" s="1"/>
  <c r="AA60" i="24"/>
  <c r="N60" i="24"/>
  <c r="Q14" i="24"/>
  <c r="P14" i="24"/>
  <c r="AA27" i="24"/>
  <c r="N27" i="24"/>
  <c r="AB27" i="24"/>
  <c r="AC22" i="24" s="1"/>
  <c r="AB47" i="24"/>
  <c r="AC41" i="24" s="1"/>
  <c r="AA47" i="24"/>
  <c r="N47" i="24"/>
  <c r="Q43" i="24"/>
  <c r="P43" i="24"/>
  <c r="P44" i="24"/>
  <c r="Q44" i="24"/>
  <c r="Q53" i="24"/>
  <c r="P53" i="24"/>
  <c r="Q54" i="24"/>
  <c r="P54" i="24"/>
  <c r="AB21" i="24"/>
  <c r="AC17" i="24" s="1"/>
  <c r="AA21" i="24"/>
  <c r="N21" i="24"/>
  <c r="Q46" i="24"/>
  <c r="P46" i="24"/>
  <c r="Q48" i="24"/>
  <c r="P48" i="24"/>
  <c r="AA8" i="24"/>
  <c r="AB8" i="24"/>
  <c r="AC5" i="24" s="1"/>
  <c r="N8" i="24"/>
  <c r="Q30" i="24"/>
  <c r="P30" i="24"/>
  <c r="Q19" i="24"/>
  <c r="P19" i="24"/>
  <c r="Q57" i="24"/>
  <c r="P57" i="24"/>
  <c r="Q52" i="24"/>
  <c r="R48" i="24" s="1"/>
  <c r="P52" i="24"/>
  <c r="J14" i="23"/>
  <c r="J15" i="23" s="1"/>
  <c r="Q36" i="24"/>
  <c r="P36" i="24"/>
  <c r="Q6" i="24"/>
  <c r="P6" i="24"/>
  <c r="Q24" i="24"/>
  <c r="P24" i="24"/>
  <c r="G6" i="21"/>
  <c r="Q18" i="22"/>
  <c r="P18" i="22"/>
  <c r="AB24" i="22"/>
  <c r="AA24" i="22"/>
  <c r="N24" i="22"/>
  <c r="N39" i="22"/>
  <c r="AB39" i="22"/>
  <c r="AA39" i="22"/>
  <c r="N54" i="22"/>
  <c r="AB54" i="22"/>
  <c r="AA54" i="22"/>
  <c r="M61" i="22"/>
  <c r="AB56" i="22"/>
  <c r="AA56" i="22"/>
  <c r="N56" i="22"/>
  <c r="N35" i="22"/>
  <c r="AB35" i="22"/>
  <c r="AA35" i="22"/>
  <c r="M42" i="22"/>
  <c r="N37" i="22"/>
  <c r="AB37" i="22"/>
  <c r="AA37" i="22"/>
  <c r="N47" i="22"/>
  <c r="AB47" i="22"/>
  <c r="AA47" i="22"/>
  <c r="Q9" i="22"/>
  <c r="P9" i="22"/>
  <c r="AB6" i="22"/>
  <c r="AA6" i="22"/>
  <c r="N6" i="22"/>
  <c r="M16" i="22"/>
  <c r="N59" i="22"/>
  <c r="AB59" i="22"/>
  <c r="AA59" i="22"/>
  <c r="N25" i="22"/>
  <c r="AB25" i="22"/>
  <c r="AA25" i="22"/>
  <c r="N40" i="22"/>
  <c r="AB40" i="22"/>
  <c r="AA40" i="22"/>
  <c r="N57" i="22"/>
  <c r="AB57" i="22"/>
  <c r="AA57" i="22"/>
  <c r="N15" i="22"/>
  <c r="AB15" i="22"/>
  <c r="AA15" i="22"/>
  <c r="Q17" i="22"/>
  <c r="P17" i="22"/>
  <c r="N27" i="22"/>
  <c r="AB27" i="22"/>
  <c r="AA27" i="22"/>
  <c r="N7" i="22"/>
  <c r="AB7" i="22"/>
  <c r="AA7" i="22"/>
  <c r="Q10" i="22"/>
  <c r="P10" i="22"/>
  <c r="AB14" i="22"/>
  <c r="AA14" i="22"/>
  <c r="N14" i="22"/>
  <c r="M8" i="22"/>
  <c r="AB5" i="22"/>
  <c r="AA5" i="22"/>
  <c r="N5" i="22"/>
  <c r="N38" i="22"/>
  <c r="AB38" i="22"/>
  <c r="AA38" i="22"/>
  <c r="F2" i="22"/>
  <c r="I3" i="21"/>
  <c r="Q29" i="22"/>
  <c r="P29" i="22"/>
  <c r="N48" i="22"/>
  <c r="AB48" i="22"/>
  <c r="AA48" i="22"/>
  <c r="AB36" i="22"/>
  <c r="AA36" i="22"/>
  <c r="N36" i="22"/>
  <c r="N60" i="22"/>
  <c r="AB60" i="22"/>
  <c r="AA60" i="22"/>
  <c r="N26" i="22"/>
  <c r="AB26" i="22"/>
  <c r="AA26" i="22"/>
  <c r="N41" i="22"/>
  <c r="AB41" i="22"/>
  <c r="AA41" i="22"/>
  <c r="AB46" i="22"/>
  <c r="AA46" i="22"/>
  <c r="N46" i="22"/>
  <c r="N22" i="22"/>
  <c r="AB22" i="22"/>
  <c r="AA22" i="22"/>
  <c r="M28" i="22"/>
  <c r="N58" i="22"/>
  <c r="AB58" i="22"/>
  <c r="AA58" i="22"/>
  <c r="N12" i="22"/>
  <c r="N13" i="22"/>
  <c r="N23" i="22"/>
  <c r="N34" i="22"/>
  <c r="N45" i="22"/>
  <c r="N55" i="22"/>
  <c r="N21" i="22"/>
  <c r="N43" i="22"/>
  <c r="N44" i="22"/>
  <c r="N53" i="22"/>
  <c r="N11" i="22"/>
  <c r="N20" i="22"/>
  <c r="N32" i="22"/>
  <c r="N52" i="22"/>
  <c r="E6" i="21"/>
  <c r="F6" i="21"/>
  <c r="N19" i="22"/>
  <c r="N31" i="22"/>
  <c r="P33" i="22"/>
  <c r="AA34" i="22"/>
  <c r="N50" i="22"/>
  <c r="N51" i="22"/>
  <c r="AA21" i="22"/>
  <c r="AA53" i="22"/>
  <c r="AA12" i="22"/>
  <c r="AA13" i="22"/>
  <c r="AA23" i="22"/>
  <c r="AA45" i="22"/>
  <c r="M49" i="22"/>
  <c r="AA55" i="22"/>
  <c r="AA11" i="22"/>
  <c r="AB12" i="22"/>
  <c r="P30" i="22"/>
  <c r="AA43" i="22"/>
  <c r="AA44" i="22"/>
  <c r="AA33" i="22"/>
  <c r="AA20" i="22"/>
  <c r="AA32" i="22"/>
  <c r="AA52" i="22"/>
  <c r="O62" i="20"/>
  <c r="K62" i="20"/>
  <c r="V61" i="20"/>
  <c r="M61" i="20" s="1"/>
  <c r="U61" i="20"/>
  <c r="O61" i="20"/>
  <c r="K61" i="20"/>
  <c r="G61" i="20"/>
  <c r="V60" i="20"/>
  <c r="M60" i="20" s="1"/>
  <c r="U60" i="20"/>
  <c r="O60" i="20"/>
  <c r="K60" i="20"/>
  <c r="G60" i="20"/>
  <c r="V59" i="20"/>
  <c r="M59" i="20" s="1"/>
  <c r="U59" i="20"/>
  <c r="O59" i="20"/>
  <c r="K59" i="20"/>
  <c r="G59" i="20"/>
  <c r="V58" i="20"/>
  <c r="M58" i="20" s="1"/>
  <c r="U58" i="20"/>
  <c r="O58" i="20"/>
  <c r="K58" i="20"/>
  <c r="G58" i="20"/>
  <c r="V57" i="20"/>
  <c r="M57" i="20" s="1"/>
  <c r="U57" i="20"/>
  <c r="O57" i="20"/>
  <c r="K57" i="20"/>
  <c r="G57" i="20"/>
  <c r="V56" i="20"/>
  <c r="U56" i="20"/>
  <c r="O56" i="20"/>
  <c r="M56" i="20"/>
  <c r="AB56" i="20" s="1"/>
  <c r="K56" i="20"/>
  <c r="G56" i="20"/>
  <c r="X55" i="20"/>
  <c r="W55" i="20"/>
  <c r="V55" i="20"/>
  <c r="M55" i="20" s="1"/>
  <c r="O55" i="20"/>
  <c r="K55" i="20"/>
  <c r="G55" i="20"/>
  <c r="O54" i="20"/>
  <c r="M54" i="20"/>
  <c r="AB54" i="20" s="1"/>
  <c r="AC51" i="20" s="1"/>
  <c r="K54" i="20"/>
  <c r="V53" i="20"/>
  <c r="U53" i="20"/>
  <c r="O53" i="20"/>
  <c r="M53" i="20"/>
  <c r="AB53" i="20" s="1"/>
  <c r="K53" i="20"/>
  <c r="G53" i="20"/>
  <c r="AB52" i="20"/>
  <c r="V52" i="20"/>
  <c r="U52" i="20"/>
  <c r="O52" i="20"/>
  <c r="M52" i="20"/>
  <c r="AA52" i="20" s="1"/>
  <c r="K52" i="20"/>
  <c r="G52" i="20"/>
  <c r="AB51" i="20"/>
  <c r="V51" i="20"/>
  <c r="O51" i="20"/>
  <c r="M51" i="20"/>
  <c r="AA51" i="20" s="1"/>
  <c r="K51" i="20"/>
  <c r="G51" i="20"/>
  <c r="O50" i="20"/>
  <c r="K50" i="20"/>
  <c r="V49" i="20"/>
  <c r="M49" i="20" s="1"/>
  <c r="U49" i="20"/>
  <c r="O49" i="20"/>
  <c r="K49" i="20"/>
  <c r="G49" i="20"/>
  <c r="V48" i="20"/>
  <c r="M48" i="20" s="1"/>
  <c r="U48" i="20"/>
  <c r="O48" i="20"/>
  <c r="K48" i="20"/>
  <c r="G48" i="20"/>
  <c r="V47" i="20"/>
  <c r="M47" i="20" s="1"/>
  <c r="U47" i="20"/>
  <c r="O47" i="20"/>
  <c r="K47" i="20"/>
  <c r="G47" i="20"/>
  <c r="V46" i="20"/>
  <c r="U46" i="20"/>
  <c r="O46" i="20"/>
  <c r="M46" i="20"/>
  <c r="AB46" i="20" s="1"/>
  <c r="K46" i="20"/>
  <c r="G46" i="20"/>
  <c r="V45" i="20"/>
  <c r="U45" i="20"/>
  <c r="O45" i="20"/>
  <c r="N45" i="20"/>
  <c r="Q45" i="20" s="1"/>
  <c r="M45" i="20"/>
  <c r="AB45" i="20" s="1"/>
  <c r="K45" i="20"/>
  <c r="P45" i="20" s="1"/>
  <c r="G45" i="20"/>
  <c r="V44" i="20"/>
  <c r="O44" i="20"/>
  <c r="N44" i="20"/>
  <c r="Q44" i="20" s="1"/>
  <c r="M44" i="20"/>
  <c r="AB44" i="20" s="1"/>
  <c r="K44" i="20"/>
  <c r="P44" i="20" s="1"/>
  <c r="G44" i="20"/>
  <c r="O43" i="20"/>
  <c r="K43" i="20"/>
  <c r="V42" i="20"/>
  <c r="M42" i="20" s="1"/>
  <c r="U42" i="20"/>
  <c r="O42" i="20"/>
  <c r="K42" i="20"/>
  <c r="G42" i="20"/>
  <c r="V41" i="20"/>
  <c r="M41" i="20" s="1"/>
  <c r="U41" i="20"/>
  <c r="O41" i="20"/>
  <c r="K41" i="20"/>
  <c r="G41" i="20"/>
  <c r="V40" i="20"/>
  <c r="M40" i="20" s="1"/>
  <c r="U40" i="20"/>
  <c r="O40" i="20"/>
  <c r="K40" i="20"/>
  <c r="G40" i="20"/>
  <c r="V39" i="20"/>
  <c r="M39" i="20" s="1"/>
  <c r="U39" i="20"/>
  <c r="O39" i="20"/>
  <c r="K39" i="20"/>
  <c r="G39" i="20"/>
  <c r="V38" i="20"/>
  <c r="M38" i="20" s="1"/>
  <c r="U38" i="20"/>
  <c r="O38" i="20"/>
  <c r="K38" i="20"/>
  <c r="G38" i="20"/>
  <c r="V37" i="20"/>
  <c r="M37" i="20" s="1"/>
  <c r="U37" i="20"/>
  <c r="O37" i="20"/>
  <c r="K37" i="20"/>
  <c r="G37" i="20"/>
  <c r="X36" i="20"/>
  <c r="W36" i="20"/>
  <c r="V36" i="20"/>
  <c r="M36" i="20" s="1"/>
  <c r="O36" i="20"/>
  <c r="K36" i="20"/>
  <c r="G36" i="20"/>
  <c r="O35" i="20"/>
  <c r="M35" i="20"/>
  <c r="AB35" i="20" s="1"/>
  <c r="AC30" i="20" s="1"/>
  <c r="K35" i="20"/>
  <c r="V34" i="20"/>
  <c r="U34" i="20"/>
  <c r="O34" i="20"/>
  <c r="M34" i="20"/>
  <c r="AB34" i="20" s="1"/>
  <c r="K34" i="20"/>
  <c r="G34" i="20"/>
  <c r="V33" i="20"/>
  <c r="U33" i="20"/>
  <c r="O33" i="20"/>
  <c r="N33" i="20"/>
  <c r="Q33" i="20" s="1"/>
  <c r="M33" i="20"/>
  <c r="AB33" i="20" s="1"/>
  <c r="K33" i="20"/>
  <c r="G33" i="20"/>
  <c r="AB32" i="20"/>
  <c r="V32" i="20"/>
  <c r="U32" i="20"/>
  <c r="O32" i="20"/>
  <c r="M32" i="20"/>
  <c r="AA32" i="20" s="1"/>
  <c r="K32" i="20"/>
  <c r="G32" i="20"/>
  <c r="AA31" i="20"/>
  <c r="V31" i="20"/>
  <c r="U31" i="20"/>
  <c r="O31" i="20"/>
  <c r="M31" i="20"/>
  <c r="N31" i="20" s="1"/>
  <c r="K31" i="20"/>
  <c r="G31" i="20"/>
  <c r="AA30" i="20"/>
  <c r="X30" i="20"/>
  <c r="W30" i="20"/>
  <c r="V30" i="20"/>
  <c r="O30" i="20"/>
  <c r="N30" i="20"/>
  <c r="Q30" i="20" s="1"/>
  <c r="M30" i="20"/>
  <c r="AB30" i="20" s="1"/>
  <c r="K30" i="20"/>
  <c r="G30" i="20"/>
  <c r="O29" i="20"/>
  <c r="K29" i="20"/>
  <c r="V28" i="20"/>
  <c r="M28" i="20" s="1"/>
  <c r="U28" i="20"/>
  <c r="O28" i="20"/>
  <c r="K28" i="20"/>
  <c r="G28" i="20"/>
  <c r="V27" i="20"/>
  <c r="M27" i="20" s="1"/>
  <c r="U27" i="20"/>
  <c r="O27" i="20"/>
  <c r="K27" i="20"/>
  <c r="G27" i="20"/>
  <c r="V26" i="20"/>
  <c r="M26" i="20" s="1"/>
  <c r="U26" i="20"/>
  <c r="O26" i="20"/>
  <c r="K26" i="20"/>
  <c r="G26" i="20"/>
  <c r="V25" i="20"/>
  <c r="M25" i="20" s="1"/>
  <c r="U25" i="20"/>
  <c r="O25" i="20"/>
  <c r="K25" i="20"/>
  <c r="G25" i="20"/>
  <c r="V24" i="20"/>
  <c r="U24" i="20"/>
  <c r="O24" i="20"/>
  <c r="M24" i="20"/>
  <c r="AB24" i="20" s="1"/>
  <c r="K24" i="20"/>
  <c r="G24" i="20"/>
  <c r="X23" i="20"/>
  <c r="W23" i="20"/>
  <c r="V23" i="20"/>
  <c r="M23" i="20" s="1"/>
  <c r="O23" i="20"/>
  <c r="K23" i="20"/>
  <c r="G23" i="20"/>
  <c r="O22" i="20"/>
  <c r="K22" i="20"/>
  <c r="G13" i="19" s="1"/>
  <c r="V21" i="20"/>
  <c r="U21" i="20"/>
  <c r="O21" i="20"/>
  <c r="N21" i="20"/>
  <c r="Q21" i="20" s="1"/>
  <c r="M21" i="20"/>
  <c r="AB21" i="20" s="1"/>
  <c r="K21" i="20"/>
  <c r="G21" i="20"/>
  <c r="AB20" i="20"/>
  <c r="V20" i="20"/>
  <c r="U20" i="20"/>
  <c r="O20" i="20"/>
  <c r="M20" i="20"/>
  <c r="AA20" i="20" s="1"/>
  <c r="K20" i="20"/>
  <c r="G20" i="20"/>
  <c r="AA19" i="20"/>
  <c r="V19" i="20"/>
  <c r="U19" i="20"/>
  <c r="O19" i="20"/>
  <c r="M19" i="20"/>
  <c r="N19" i="20" s="1"/>
  <c r="K19" i="20"/>
  <c r="G19" i="20"/>
  <c r="V18" i="20"/>
  <c r="M18" i="20" s="1"/>
  <c r="U18" i="20"/>
  <c r="O18" i="20"/>
  <c r="K18" i="20"/>
  <c r="G18" i="20"/>
  <c r="V17" i="20"/>
  <c r="M17" i="20" s="1"/>
  <c r="O17" i="20"/>
  <c r="K17" i="20"/>
  <c r="G17" i="20"/>
  <c r="O16" i="20"/>
  <c r="K16" i="20"/>
  <c r="V15" i="20"/>
  <c r="M15" i="20" s="1"/>
  <c r="U15" i="20"/>
  <c r="O15" i="20"/>
  <c r="K15" i="20"/>
  <c r="G15" i="20"/>
  <c r="V14" i="20"/>
  <c r="U14" i="20"/>
  <c r="O14" i="20"/>
  <c r="M14" i="20"/>
  <c r="AB14" i="20" s="1"/>
  <c r="K14" i="20"/>
  <c r="G14" i="20"/>
  <c r="AA13" i="20"/>
  <c r="V13" i="20"/>
  <c r="U13" i="20"/>
  <c r="O13" i="20"/>
  <c r="N13" i="20"/>
  <c r="M13" i="20"/>
  <c r="AB13" i="20" s="1"/>
  <c r="K13" i="20"/>
  <c r="Q13" i="20" s="1"/>
  <c r="G13" i="20"/>
  <c r="AA12" i="20"/>
  <c r="V12" i="20"/>
  <c r="O12" i="20"/>
  <c r="N12" i="20"/>
  <c r="M12" i="20"/>
  <c r="M16" i="20" s="1"/>
  <c r="K12" i="20"/>
  <c r="Q12" i="20" s="1"/>
  <c r="G12" i="20"/>
  <c r="O11" i="20"/>
  <c r="K11" i="20"/>
  <c r="V10" i="20"/>
  <c r="M10" i="20" s="1"/>
  <c r="U10" i="20"/>
  <c r="O10" i="20"/>
  <c r="K10" i="20"/>
  <c r="G10" i="20"/>
  <c r="V9" i="20"/>
  <c r="M9" i="20" s="1"/>
  <c r="O9" i="20"/>
  <c r="K9" i="20"/>
  <c r="G9" i="20"/>
  <c r="F1" i="20" s="1"/>
  <c r="O8" i="20"/>
  <c r="K8" i="20"/>
  <c r="V7" i="20"/>
  <c r="M7" i="20" s="1"/>
  <c r="U7" i="20"/>
  <c r="O7" i="20"/>
  <c r="K7" i="20"/>
  <c r="G7" i="20"/>
  <c r="V6" i="20"/>
  <c r="U6" i="20"/>
  <c r="O6" i="20"/>
  <c r="M6" i="20"/>
  <c r="AB6" i="20" s="1"/>
  <c r="K6" i="20"/>
  <c r="G6" i="20"/>
  <c r="V5" i="20"/>
  <c r="O5" i="20"/>
  <c r="M5" i="20"/>
  <c r="M8" i="20" s="1"/>
  <c r="K5" i="20"/>
  <c r="G5" i="20"/>
  <c r="H2" i="20"/>
  <c r="H1" i="20"/>
  <c r="D1" i="20"/>
  <c r="M18" i="19"/>
  <c r="L18" i="19"/>
  <c r="K18" i="19"/>
  <c r="J18" i="19"/>
  <c r="I18" i="19"/>
  <c r="H18" i="19"/>
  <c r="G18" i="19"/>
  <c r="F18" i="19"/>
  <c r="E18" i="19"/>
  <c r="D18" i="19"/>
  <c r="M17" i="19"/>
  <c r="L17" i="19"/>
  <c r="K17" i="19"/>
  <c r="J17" i="19"/>
  <c r="I17" i="19"/>
  <c r="H17" i="19"/>
  <c r="G17" i="19"/>
  <c r="F17" i="19"/>
  <c r="E17" i="19"/>
  <c r="D17" i="19"/>
  <c r="M16" i="19"/>
  <c r="L16" i="19"/>
  <c r="K16" i="19"/>
  <c r="J16" i="19"/>
  <c r="I16" i="19"/>
  <c r="H16" i="19"/>
  <c r="G16" i="19"/>
  <c r="F16" i="19"/>
  <c r="E16" i="19"/>
  <c r="D16" i="19"/>
  <c r="M13" i="19"/>
  <c r="L13" i="19"/>
  <c r="K13" i="19"/>
  <c r="I6" i="19" s="1"/>
  <c r="J13" i="19"/>
  <c r="I13" i="19"/>
  <c r="H13" i="19"/>
  <c r="F13" i="19"/>
  <c r="E13" i="19"/>
  <c r="D13" i="19"/>
  <c r="F3" i="19"/>
  <c r="C3" i="19"/>
  <c r="E14" i="23" l="1"/>
  <c r="E15" i="23" s="1"/>
  <c r="Q11" i="24"/>
  <c r="R9" i="24" s="1"/>
  <c r="P11" i="24"/>
  <c r="Q47" i="24"/>
  <c r="R41" i="24" s="1"/>
  <c r="P47" i="24"/>
  <c r="I14" i="23"/>
  <c r="I15" i="23" s="1"/>
  <c r="Q8" i="24"/>
  <c r="R5" i="24" s="1"/>
  <c r="P8" i="24"/>
  <c r="D2" i="24"/>
  <c r="D14" i="23"/>
  <c r="Q27" i="24"/>
  <c r="R22" i="24" s="1"/>
  <c r="P27" i="24"/>
  <c r="K14" i="23"/>
  <c r="P60" i="24"/>
  <c r="Q60" i="24"/>
  <c r="R53" i="24" s="1"/>
  <c r="M14" i="23"/>
  <c r="M15" i="23" s="1"/>
  <c r="Q21" i="24"/>
  <c r="R17" i="24" s="1"/>
  <c r="P21" i="24"/>
  <c r="G14" i="23"/>
  <c r="G15" i="23" s="1"/>
  <c r="Q40" i="24"/>
  <c r="R34" i="24" s="1"/>
  <c r="P40" i="24"/>
  <c r="H14" i="23"/>
  <c r="H15" i="23" s="1"/>
  <c r="Q51" i="22"/>
  <c r="P51" i="22"/>
  <c r="Q53" i="22"/>
  <c r="R50" i="22" s="1"/>
  <c r="P53" i="22"/>
  <c r="J14" i="21"/>
  <c r="J15" i="21" s="1"/>
  <c r="P58" i="22"/>
  <c r="Q58" i="22"/>
  <c r="Q54" i="22"/>
  <c r="P54" i="22"/>
  <c r="P48" i="22"/>
  <c r="Q48" i="22"/>
  <c r="Q50" i="22"/>
  <c r="P50" i="22"/>
  <c r="Q44" i="22"/>
  <c r="P44" i="22"/>
  <c r="AA28" i="22"/>
  <c r="N28" i="22"/>
  <c r="AB28" i="22"/>
  <c r="AC22" i="22" s="1"/>
  <c r="P26" i="22"/>
  <c r="Q26" i="22"/>
  <c r="Q15" i="22"/>
  <c r="P15" i="22"/>
  <c r="P59" i="22"/>
  <c r="Q59" i="22"/>
  <c r="Q37" i="22"/>
  <c r="P37" i="22"/>
  <c r="Q20" i="22"/>
  <c r="P20" i="22"/>
  <c r="Q43" i="22"/>
  <c r="P43" i="22"/>
  <c r="N16" i="22"/>
  <c r="AB16" i="22"/>
  <c r="AC12" i="22" s="1"/>
  <c r="AA16" i="22"/>
  <c r="AB42" i="22"/>
  <c r="AC35" i="22" s="1"/>
  <c r="AA42" i="22"/>
  <c r="N42" i="22"/>
  <c r="Q14" i="22"/>
  <c r="P14" i="22"/>
  <c r="Q21" i="22"/>
  <c r="R17" i="22" s="1"/>
  <c r="G14" i="21"/>
  <c r="G15" i="21" s="1"/>
  <c r="P21" i="22"/>
  <c r="Q6" i="22"/>
  <c r="P6" i="22"/>
  <c r="P39" i="22"/>
  <c r="Q39" i="22"/>
  <c r="Q31" i="22"/>
  <c r="P31" i="22"/>
  <c r="Q55" i="22"/>
  <c r="P55" i="22"/>
  <c r="Q22" i="22"/>
  <c r="P22" i="22"/>
  <c r="Q60" i="22"/>
  <c r="P60" i="22"/>
  <c r="Q57" i="22"/>
  <c r="P57" i="22"/>
  <c r="Q24" i="22"/>
  <c r="P24" i="22"/>
  <c r="Q47" i="22"/>
  <c r="P47" i="22"/>
  <c r="N49" i="22"/>
  <c r="AA49" i="22"/>
  <c r="AB49" i="22"/>
  <c r="AC43" i="22" s="1"/>
  <c r="Q19" i="22"/>
  <c r="P19" i="22"/>
  <c r="Q45" i="22"/>
  <c r="P45" i="22"/>
  <c r="Q46" i="22"/>
  <c r="P46" i="22"/>
  <c r="Q36" i="22"/>
  <c r="P36" i="22"/>
  <c r="P38" i="22"/>
  <c r="Q38" i="22"/>
  <c r="Q7" i="22"/>
  <c r="P7" i="22"/>
  <c r="P35" i="22"/>
  <c r="Q35" i="22"/>
  <c r="Q34" i="22"/>
  <c r="R29" i="22" s="1"/>
  <c r="P34" i="22"/>
  <c r="L14" i="21"/>
  <c r="L15" i="21" s="1"/>
  <c r="Q5" i="22"/>
  <c r="P5" i="22"/>
  <c r="Q56" i="22"/>
  <c r="P56" i="22"/>
  <c r="Q23" i="22"/>
  <c r="P23" i="22"/>
  <c r="Q40" i="22"/>
  <c r="P40" i="22"/>
  <c r="Q25" i="22"/>
  <c r="P25" i="22"/>
  <c r="Q11" i="22"/>
  <c r="R9" i="22" s="1"/>
  <c r="P11" i="22"/>
  <c r="E14" i="21"/>
  <c r="E15" i="21" s="1"/>
  <c r="Q52" i="22"/>
  <c r="P52" i="22"/>
  <c r="Q13" i="22"/>
  <c r="P13" i="22"/>
  <c r="P27" i="22"/>
  <c r="Q27" i="22"/>
  <c r="Q41" i="22"/>
  <c r="P41" i="22"/>
  <c r="Q32" i="22"/>
  <c r="P32" i="22"/>
  <c r="Q12" i="22"/>
  <c r="P12" i="22"/>
  <c r="N8" i="22"/>
  <c r="AB8" i="22"/>
  <c r="AC5" i="22" s="1"/>
  <c r="AA8" i="22"/>
  <c r="AB61" i="22"/>
  <c r="AC54" i="22" s="1"/>
  <c r="AA61" i="22"/>
  <c r="N61" i="22"/>
  <c r="N23" i="20"/>
  <c r="AB23" i="20"/>
  <c r="AA23" i="20"/>
  <c r="M29" i="20"/>
  <c r="N9" i="20"/>
  <c r="M11" i="20"/>
  <c r="AB9" i="20"/>
  <c r="AA9" i="20"/>
  <c r="AB25" i="20"/>
  <c r="AA25" i="20"/>
  <c r="N25" i="20"/>
  <c r="N36" i="20"/>
  <c r="AB36" i="20"/>
  <c r="AA36" i="20"/>
  <c r="M43" i="20"/>
  <c r="N38" i="20"/>
  <c r="AB38" i="20"/>
  <c r="AA38" i="20"/>
  <c r="N55" i="20"/>
  <c r="AB55" i="20"/>
  <c r="AA55" i="20"/>
  <c r="M62" i="20"/>
  <c r="AB57" i="20"/>
  <c r="AA57" i="20"/>
  <c r="N57" i="20"/>
  <c r="N27" i="20"/>
  <c r="AB27" i="20"/>
  <c r="AA27" i="20"/>
  <c r="N17" i="20"/>
  <c r="AB17" i="20"/>
  <c r="M22" i="20"/>
  <c r="AA17" i="20"/>
  <c r="N28" i="20"/>
  <c r="AB28" i="20"/>
  <c r="AA28" i="20"/>
  <c r="N41" i="20"/>
  <c r="AB41" i="20"/>
  <c r="AA41" i="20"/>
  <c r="N48" i="20"/>
  <c r="AB48" i="20"/>
  <c r="AA48" i="20"/>
  <c r="N40" i="20"/>
  <c r="AB40" i="20"/>
  <c r="AA40" i="20"/>
  <c r="N8" i="20"/>
  <c r="AB8" i="20"/>
  <c r="AC5" i="20" s="1"/>
  <c r="AA8" i="20"/>
  <c r="N10" i="20"/>
  <c r="AB10" i="20"/>
  <c r="AA10" i="20"/>
  <c r="N26" i="20"/>
  <c r="AB26" i="20"/>
  <c r="AA26" i="20"/>
  <c r="Q31" i="20"/>
  <c r="P31" i="20"/>
  <c r="N39" i="20"/>
  <c r="AB39" i="20"/>
  <c r="AA39" i="20"/>
  <c r="N58" i="20"/>
  <c r="AB58" i="20"/>
  <c r="AA58" i="20"/>
  <c r="N60" i="20"/>
  <c r="AB60" i="20"/>
  <c r="AA60" i="20"/>
  <c r="AB7" i="20"/>
  <c r="AA7" i="20"/>
  <c r="N7" i="20"/>
  <c r="AB37" i="20"/>
  <c r="AA37" i="20"/>
  <c r="N37" i="20"/>
  <c r="N16" i="20"/>
  <c r="AB16" i="20"/>
  <c r="AC12" i="20" s="1"/>
  <c r="AA16" i="20"/>
  <c r="N18" i="20"/>
  <c r="AB18" i="20"/>
  <c r="AA18" i="20"/>
  <c r="N42" i="20"/>
  <c r="AB42" i="20"/>
  <c r="AA42" i="20"/>
  <c r="N49" i="20"/>
  <c r="AB49" i="20"/>
  <c r="AA49" i="20"/>
  <c r="Q19" i="20"/>
  <c r="P19" i="20"/>
  <c r="G6" i="19"/>
  <c r="F2" i="20"/>
  <c r="I3" i="19"/>
  <c r="AB15" i="20"/>
  <c r="AA15" i="20"/>
  <c r="N15" i="20"/>
  <c r="N61" i="20"/>
  <c r="AB61" i="20"/>
  <c r="AA61" i="20"/>
  <c r="AB47" i="20"/>
  <c r="AA47" i="20"/>
  <c r="N47" i="20"/>
  <c r="N59" i="20"/>
  <c r="AB59" i="20"/>
  <c r="AA59" i="20"/>
  <c r="N5" i="20"/>
  <c r="N6" i="20"/>
  <c r="N14" i="20"/>
  <c r="AB19" i="20"/>
  <c r="N24" i="20"/>
  <c r="AB31" i="20"/>
  <c r="N35" i="20"/>
  <c r="N46" i="20"/>
  <c r="N56" i="20"/>
  <c r="N54" i="20"/>
  <c r="N34" i="20"/>
  <c r="P12" i="20"/>
  <c r="P13" i="20"/>
  <c r="N53" i="20"/>
  <c r="N20" i="20"/>
  <c r="N32" i="20"/>
  <c r="AA35" i="20"/>
  <c r="N51" i="20"/>
  <c r="N52" i="20"/>
  <c r="E6" i="19"/>
  <c r="F6" i="19"/>
  <c r="P21" i="20"/>
  <c r="P30" i="20"/>
  <c r="P33" i="20"/>
  <c r="AA54" i="20"/>
  <c r="AA5" i="20"/>
  <c r="AA6" i="20"/>
  <c r="AA14" i="20"/>
  <c r="AA24" i="20"/>
  <c r="AA46" i="20"/>
  <c r="M50" i="20"/>
  <c r="AA56" i="20"/>
  <c r="AB5" i="20"/>
  <c r="AA44" i="20"/>
  <c r="AA45" i="20"/>
  <c r="AB12" i="20"/>
  <c r="AA34" i="20"/>
  <c r="AA21" i="20"/>
  <c r="AA33" i="20"/>
  <c r="AA53" i="20"/>
  <c r="O71" i="18"/>
  <c r="K71" i="18"/>
  <c r="V70" i="18"/>
  <c r="M70" i="18" s="1"/>
  <c r="U70" i="18"/>
  <c r="O70" i="18"/>
  <c r="K70" i="18"/>
  <c r="G70" i="18"/>
  <c r="AB69" i="18"/>
  <c r="AA69" i="18"/>
  <c r="V69" i="18"/>
  <c r="U69" i="18"/>
  <c r="Q69" i="18"/>
  <c r="P69" i="18"/>
  <c r="O69" i="18"/>
  <c r="N69" i="18"/>
  <c r="M69" i="18"/>
  <c r="K69" i="18"/>
  <c r="G69" i="18"/>
  <c r="X68" i="18"/>
  <c r="W68" i="18"/>
  <c r="V68" i="18"/>
  <c r="M68" i="18" s="1"/>
  <c r="U68" i="18"/>
  <c r="O68" i="18"/>
  <c r="K68" i="18"/>
  <c r="G68" i="18"/>
  <c r="AB67" i="18"/>
  <c r="AA67" i="18"/>
  <c r="V67" i="18"/>
  <c r="U67" i="18"/>
  <c r="Q67" i="18"/>
  <c r="P67" i="18"/>
  <c r="O67" i="18"/>
  <c r="N67" i="18"/>
  <c r="M67" i="18"/>
  <c r="K67" i="18"/>
  <c r="G67" i="18"/>
  <c r="V66" i="18"/>
  <c r="M66" i="18" s="1"/>
  <c r="U66" i="18"/>
  <c r="O66" i="18"/>
  <c r="K66" i="18"/>
  <c r="G66" i="18"/>
  <c r="V65" i="18"/>
  <c r="M65" i="18" s="1"/>
  <c r="U65" i="18"/>
  <c r="O65" i="18"/>
  <c r="K65" i="18"/>
  <c r="G65" i="18"/>
  <c r="AA64" i="18"/>
  <c r="V64" i="18"/>
  <c r="U64" i="18"/>
  <c r="O64" i="18"/>
  <c r="N64" i="18"/>
  <c r="Q64" i="18" s="1"/>
  <c r="M64" i="18"/>
  <c r="AB64" i="18" s="1"/>
  <c r="K64" i="18"/>
  <c r="G64" i="18"/>
  <c r="V63" i="18"/>
  <c r="U63" i="18"/>
  <c r="O63" i="18"/>
  <c r="M63" i="18"/>
  <c r="AB63" i="18" s="1"/>
  <c r="K63" i="18"/>
  <c r="G63" i="18"/>
  <c r="X62" i="18"/>
  <c r="W62" i="18"/>
  <c r="V62" i="18"/>
  <c r="M62" i="18" s="1"/>
  <c r="O62" i="18"/>
  <c r="K62" i="18"/>
  <c r="G62" i="18"/>
  <c r="O61" i="18"/>
  <c r="M61" i="18"/>
  <c r="AB61" i="18" s="1"/>
  <c r="AC58" i="18" s="1"/>
  <c r="K61" i="18"/>
  <c r="J13" i="17" s="1"/>
  <c r="V60" i="18"/>
  <c r="U60" i="18"/>
  <c r="O60" i="18"/>
  <c r="M60" i="18"/>
  <c r="AB60" i="18" s="1"/>
  <c r="K60" i="18"/>
  <c r="G60" i="18"/>
  <c r="AB59" i="18"/>
  <c r="V59" i="18"/>
  <c r="U59" i="18"/>
  <c r="O59" i="18"/>
  <c r="M59" i="18"/>
  <c r="AA59" i="18" s="1"/>
  <c r="K59" i="18"/>
  <c r="G59" i="18"/>
  <c r="AB58" i="18"/>
  <c r="V58" i="18"/>
  <c r="O58" i="18"/>
  <c r="M58" i="18"/>
  <c r="AA58" i="18" s="1"/>
  <c r="K58" i="18"/>
  <c r="G58" i="18"/>
  <c r="O57" i="18"/>
  <c r="K57" i="18"/>
  <c r="V56" i="18"/>
  <c r="M56" i="18" s="1"/>
  <c r="U56" i="18"/>
  <c r="O56" i="18"/>
  <c r="K56" i="18"/>
  <c r="G56" i="18"/>
  <c r="V55" i="18"/>
  <c r="M55" i="18" s="1"/>
  <c r="U55" i="18"/>
  <c r="O55" i="18"/>
  <c r="K55" i="18"/>
  <c r="G55" i="18"/>
  <c r="AA54" i="18"/>
  <c r="V54" i="18"/>
  <c r="U54" i="18"/>
  <c r="O54" i="18"/>
  <c r="N54" i="18"/>
  <c r="Q54" i="18" s="1"/>
  <c r="M54" i="18"/>
  <c r="AB54" i="18" s="1"/>
  <c r="K54" i="18"/>
  <c r="G54" i="18"/>
  <c r="V53" i="18"/>
  <c r="U53" i="18"/>
  <c r="O53" i="18"/>
  <c r="M53" i="18"/>
  <c r="AB53" i="18" s="1"/>
  <c r="K53" i="18"/>
  <c r="G53" i="18"/>
  <c r="V52" i="18"/>
  <c r="U52" i="18"/>
  <c r="O52" i="18"/>
  <c r="M52" i="18"/>
  <c r="AB52" i="18" s="1"/>
  <c r="K52" i="18"/>
  <c r="G52" i="18"/>
  <c r="V51" i="18"/>
  <c r="O51" i="18"/>
  <c r="M51" i="18"/>
  <c r="AB51" i="18" s="1"/>
  <c r="K51" i="18"/>
  <c r="G51" i="18"/>
  <c r="O50" i="18"/>
  <c r="K50" i="18"/>
  <c r="H13" i="17" s="1"/>
  <c r="V49" i="18"/>
  <c r="M49" i="18" s="1"/>
  <c r="U49" i="18"/>
  <c r="O49" i="18"/>
  <c r="K49" i="18"/>
  <c r="G49" i="18"/>
  <c r="V48" i="18"/>
  <c r="M48" i="18" s="1"/>
  <c r="U48" i="18"/>
  <c r="O48" i="18"/>
  <c r="K48" i="18"/>
  <c r="G48" i="18"/>
  <c r="X47" i="18"/>
  <c r="W47" i="18"/>
  <c r="V47" i="18"/>
  <c r="M47" i="18" s="1"/>
  <c r="U47" i="18"/>
  <c r="O47" i="18"/>
  <c r="K47" i="18"/>
  <c r="G47" i="18"/>
  <c r="V46" i="18"/>
  <c r="M46" i="18" s="1"/>
  <c r="U46" i="18"/>
  <c r="O46" i="18"/>
  <c r="K46" i="18"/>
  <c r="G46" i="18"/>
  <c r="AB45" i="18"/>
  <c r="AA45" i="18"/>
  <c r="V45" i="18"/>
  <c r="U45" i="18"/>
  <c r="Q45" i="18"/>
  <c r="P45" i="18"/>
  <c r="O45" i="18"/>
  <c r="N45" i="18"/>
  <c r="M45" i="18"/>
  <c r="K45" i="18"/>
  <c r="G45" i="18"/>
  <c r="V44" i="18"/>
  <c r="M44" i="18" s="1"/>
  <c r="U44" i="18"/>
  <c r="O44" i="18"/>
  <c r="K44" i="18"/>
  <c r="G44" i="18"/>
  <c r="V43" i="18"/>
  <c r="M43" i="18" s="1"/>
  <c r="U43" i="18"/>
  <c r="O43" i="18"/>
  <c r="K43" i="18"/>
  <c r="G43" i="18"/>
  <c r="AA42" i="18"/>
  <c r="V42" i="18"/>
  <c r="U42" i="18"/>
  <c r="O42" i="18"/>
  <c r="N42" i="18"/>
  <c r="Q42" i="18" s="1"/>
  <c r="M42" i="18"/>
  <c r="AB42" i="18" s="1"/>
  <c r="K42" i="18"/>
  <c r="G42" i="18"/>
  <c r="X41" i="18"/>
  <c r="W41" i="18"/>
  <c r="V41" i="18"/>
  <c r="M41" i="18" s="1"/>
  <c r="O41" i="18"/>
  <c r="K41" i="18"/>
  <c r="G41" i="18"/>
  <c r="O40" i="18"/>
  <c r="M40" i="18"/>
  <c r="AA40" i="18" s="1"/>
  <c r="K40" i="18"/>
  <c r="V39" i="18"/>
  <c r="U39" i="18"/>
  <c r="O39" i="18"/>
  <c r="M39" i="18"/>
  <c r="AB39" i="18" s="1"/>
  <c r="K39" i="18"/>
  <c r="G39" i="18"/>
  <c r="V38" i="18"/>
  <c r="U38" i="18"/>
  <c r="O38" i="18"/>
  <c r="M38" i="18"/>
  <c r="AB38" i="18" s="1"/>
  <c r="K38" i="18"/>
  <c r="G38" i="18"/>
  <c r="AB37" i="18"/>
  <c r="X37" i="18"/>
  <c r="W37" i="18"/>
  <c r="V37" i="18"/>
  <c r="U37" i="18"/>
  <c r="O37" i="18"/>
  <c r="M37" i="18"/>
  <c r="AA37" i="18" s="1"/>
  <c r="K37" i="18"/>
  <c r="G37" i="18"/>
  <c r="V36" i="18"/>
  <c r="U36" i="18"/>
  <c r="O36" i="18"/>
  <c r="M36" i="18"/>
  <c r="AB36" i="18" s="1"/>
  <c r="K36" i="18"/>
  <c r="G36" i="18"/>
  <c r="AB35" i="18"/>
  <c r="V35" i="18"/>
  <c r="U35" i="18"/>
  <c r="O35" i="18"/>
  <c r="M35" i="18"/>
  <c r="AA35" i="18" s="1"/>
  <c r="K35" i="18"/>
  <c r="G35" i="18"/>
  <c r="AB34" i="18"/>
  <c r="AA34" i="18"/>
  <c r="V34" i="18"/>
  <c r="U34" i="18"/>
  <c r="O34" i="18"/>
  <c r="M34" i="18"/>
  <c r="N34" i="18" s="1"/>
  <c r="K34" i="18"/>
  <c r="G34" i="18"/>
  <c r="AB33" i="18"/>
  <c r="AA33" i="18"/>
  <c r="X33" i="18"/>
  <c r="W33" i="18"/>
  <c r="V33" i="18"/>
  <c r="O33" i="18"/>
  <c r="M33" i="18"/>
  <c r="N33" i="18" s="1"/>
  <c r="K33" i="18"/>
  <c r="G33" i="18"/>
  <c r="O32" i="18"/>
  <c r="K32" i="18"/>
  <c r="AB31" i="18"/>
  <c r="AA31" i="18"/>
  <c r="V31" i="18"/>
  <c r="U31" i="18"/>
  <c r="Q31" i="18"/>
  <c r="P31" i="18"/>
  <c r="O31" i="18"/>
  <c r="N31" i="18"/>
  <c r="M31" i="18"/>
  <c r="K31" i="18"/>
  <c r="G31" i="18"/>
  <c r="V30" i="18"/>
  <c r="M30" i="18" s="1"/>
  <c r="U30" i="18"/>
  <c r="O30" i="18"/>
  <c r="K30" i="18"/>
  <c r="G30" i="18"/>
  <c r="V29" i="18"/>
  <c r="M29" i="18" s="1"/>
  <c r="U29" i="18"/>
  <c r="O29" i="18"/>
  <c r="K29" i="18"/>
  <c r="G29" i="18"/>
  <c r="X28" i="18"/>
  <c r="W28" i="18"/>
  <c r="V28" i="18"/>
  <c r="M28" i="18" s="1"/>
  <c r="U28" i="18"/>
  <c r="O28" i="18"/>
  <c r="K28" i="18"/>
  <c r="G28" i="18"/>
  <c r="V27" i="18"/>
  <c r="M27" i="18" s="1"/>
  <c r="U27" i="18"/>
  <c r="O27" i="18"/>
  <c r="K27" i="18"/>
  <c r="G27" i="18"/>
  <c r="V26" i="18"/>
  <c r="M26" i="18" s="1"/>
  <c r="U26" i="18"/>
  <c r="O26" i="18"/>
  <c r="K26" i="18"/>
  <c r="G26" i="18"/>
  <c r="V25" i="18"/>
  <c r="U25" i="18"/>
  <c r="O25" i="18"/>
  <c r="M25" i="18"/>
  <c r="AB25" i="18" s="1"/>
  <c r="K25" i="18"/>
  <c r="G25" i="18"/>
  <c r="V24" i="18"/>
  <c r="U24" i="18"/>
  <c r="O24" i="18"/>
  <c r="M24" i="18"/>
  <c r="AB24" i="18" s="1"/>
  <c r="K24" i="18"/>
  <c r="G24" i="18"/>
  <c r="X23" i="18"/>
  <c r="W23" i="18"/>
  <c r="V23" i="18"/>
  <c r="M23" i="18" s="1"/>
  <c r="O23" i="18"/>
  <c r="K23" i="18"/>
  <c r="G23" i="18"/>
  <c r="O22" i="18"/>
  <c r="K22" i="18"/>
  <c r="G13" i="17" s="1"/>
  <c r="AB21" i="18"/>
  <c r="V21" i="18"/>
  <c r="U21" i="18"/>
  <c r="O21" i="18"/>
  <c r="M21" i="18"/>
  <c r="AA21" i="18" s="1"/>
  <c r="K21" i="18"/>
  <c r="G21" i="18"/>
  <c r="AB20" i="18"/>
  <c r="AA20" i="18"/>
  <c r="V20" i="18"/>
  <c r="U20" i="18"/>
  <c r="O20" i="18"/>
  <c r="M20" i="18"/>
  <c r="N20" i="18" s="1"/>
  <c r="K20" i="18"/>
  <c r="G20" i="18"/>
  <c r="V19" i="18"/>
  <c r="M19" i="18" s="1"/>
  <c r="U19" i="18"/>
  <c r="O19" i="18"/>
  <c r="K19" i="18"/>
  <c r="G19" i="18"/>
  <c r="V18" i="18"/>
  <c r="M18" i="18" s="1"/>
  <c r="U18" i="18"/>
  <c r="O18" i="18"/>
  <c r="K18" i="18"/>
  <c r="G18" i="18"/>
  <c r="V17" i="18"/>
  <c r="M17" i="18" s="1"/>
  <c r="O17" i="18"/>
  <c r="K17" i="18"/>
  <c r="G17" i="18"/>
  <c r="O16" i="18"/>
  <c r="K16" i="18"/>
  <c r="V15" i="18"/>
  <c r="U15" i="18"/>
  <c r="O15" i="18"/>
  <c r="M15" i="18"/>
  <c r="AB15" i="18" s="1"/>
  <c r="K15" i="18"/>
  <c r="G15" i="18"/>
  <c r="V14" i="18"/>
  <c r="U14" i="18"/>
  <c r="O14" i="18"/>
  <c r="M14" i="18"/>
  <c r="N14" i="18" s="1"/>
  <c r="K14" i="18"/>
  <c r="G14" i="18"/>
  <c r="V13" i="18"/>
  <c r="U13" i="18"/>
  <c r="O13" i="18"/>
  <c r="M13" i="18"/>
  <c r="AB13" i="18" s="1"/>
  <c r="K13" i="18"/>
  <c r="G13" i="18"/>
  <c r="V12" i="18"/>
  <c r="O12" i="18"/>
  <c r="M12" i="18"/>
  <c r="M16" i="18" s="1"/>
  <c r="K12" i="18"/>
  <c r="G12" i="18"/>
  <c r="O11" i="18"/>
  <c r="K11" i="18"/>
  <c r="E13" i="17" s="1"/>
  <c r="V10" i="18"/>
  <c r="M10" i="18" s="1"/>
  <c r="U10" i="18"/>
  <c r="O10" i="18"/>
  <c r="K10" i="18"/>
  <c r="G10" i="18"/>
  <c r="V9" i="18"/>
  <c r="M9" i="18" s="1"/>
  <c r="O9" i="18"/>
  <c r="K9" i="18"/>
  <c r="G9" i="18"/>
  <c r="F1" i="18" s="1"/>
  <c r="O8" i="18"/>
  <c r="K8" i="18"/>
  <c r="V7" i="18"/>
  <c r="U7" i="18"/>
  <c r="O7" i="18"/>
  <c r="M7" i="18"/>
  <c r="N7" i="18" s="1"/>
  <c r="K7" i="18"/>
  <c r="G7" i="18"/>
  <c r="V6" i="18"/>
  <c r="U6" i="18"/>
  <c r="O6" i="18"/>
  <c r="M6" i="18"/>
  <c r="N6" i="18" s="1"/>
  <c r="K6" i="18"/>
  <c r="G6" i="18"/>
  <c r="V5" i="18"/>
  <c r="O5" i="18"/>
  <c r="M5" i="18"/>
  <c r="M8" i="18" s="1"/>
  <c r="K5" i="18"/>
  <c r="G5" i="18"/>
  <c r="H2" i="18"/>
  <c r="H1" i="18"/>
  <c r="D1" i="18"/>
  <c r="M18" i="17"/>
  <c r="L18" i="17"/>
  <c r="K18" i="17"/>
  <c r="J18" i="17"/>
  <c r="I18" i="17"/>
  <c r="H18" i="17"/>
  <c r="G18" i="17"/>
  <c r="F18" i="17"/>
  <c r="E18" i="17"/>
  <c r="D18" i="17"/>
  <c r="M17" i="17"/>
  <c r="L17" i="17"/>
  <c r="K17" i="17"/>
  <c r="J17" i="17"/>
  <c r="I17" i="17"/>
  <c r="H17" i="17"/>
  <c r="G17" i="17"/>
  <c r="F17" i="17"/>
  <c r="E17" i="17"/>
  <c r="D17" i="17"/>
  <c r="M16" i="17"/>
  <c r="L16" i="17"/>
  <c r="K16" i="17"/>
  <c r="J16" i="17"/>
  <c r="I16" i="17"/>
  <c r="H16" i="17"/>
  <c r="G16" i="17"/>
  <c r="F16" i="17"/>
  <c r="E16" i="17"/>
  <c r="D16" i="17"/>
  <c r="M13" i="17"/>
  <c r="L13" i="17"/>
  <c r="K13" i="17"/>
  <c r="I6" i="17" s="1"/>
  <c r="I13" i="17"/>
  <c r="F13" i="17"/>
  <c r="D13" i="17"/>
  <c r="F3" i="17"/>
  <c r="C3" i="17"/>
  <c r="K15" i="23" l="1"/>
  <c r="I8" i="23" s="1"/>
  <c r="I7" i="23"/>
  <c r="D15" i="23"/>
  <c r="F7" i="23"/>
  <c r="E7" i="23"/>
  <c r="G7" i="23"/>
  <c r="Q49" i="22"/>
  <c r="R43" i="22" s="1"/>
  <c r="P49" i="22"/>
  <c r="I14" i="21"/>
  <c r="I15" i="21" s="1"/>
  <c r="Q42" i="22"/>
  <c r="R35" i="22" s="1"/>
  <c r="P42" i="22"/>
  <c r="H14" i="21"/>
  <c r="H15" i="21" s="1"/>
  <c r="P8" i="22"/>
  <c r="D2" i="22"/>
  <c r="D14" i="21"/>
  <c r="Q8" i="22"/>
  <c r="R5" i="22" s="1"/>
  <c r="P16" i="22"/>
  <c r="F14" i="21"/>
  <c r="F15" i="21" s="1"/>
  <c r="Q16" i="22"/>
  <c r="R12" i="22" s="1"/>
  <c r="Q28" i="22"/>
  <c r="R22" i="22" s="1"/>
  <c r="P28" i="22"/>
  <c r="K14" i="21"/>
  <c r="Q61" i="22"/>
  <c r="R54" i="22" s="1"/>
  <c r="P61" i="22"/>
  <c r="M14" i="21"/>
  <c r="M15" i="21" s="1"/>
  <c r="P36" i="20"/>
  <c r="Q36" i="20"/>
  <c r="Q46" i="20"/>
  <c r="P46" i="20"/>
  <c r="F14" i="19"/>
  <c r="F15" i="19" s="1"/>
  <c r="P16" i="20"/>
  <c r="Q16" i="20"/>
  <c r="R12" i="20" s="1"/>
  <c r="Q58" i="20"/>
  <c r="P58" i="20"/>
  <c r="Q25" i="20"/>
  <c r="P25" i="20"/>
  <c r="N50" i="20"/>
  <c r="AA50" i="20"/>
  <c r="AB50" i="20"/>
  <c r="AC44" i="20" s="1"/>
  <c r="Q52" i="20"/>
  <c r="P52" i="20"/>
  <c r="L14" i="19"/>
  <c r="L15" i="19" s="1"/>
  <c r="Q35" i="20"/>
  <c r="R30" i="20" s="1"/>
  <c r="P35" i="20"/>
  <c r="Q37" i="20"/>
  <c r="P37" i="20"/>
  <c r="AB62" i="20"/>
  <c r="AC55" i="20" s="1"/>
  <c r="AA62" i="20"/>
  <c r="N62" i="20"/>
  <c r="Q51" i="20"/>
  <c r="P51" i="20"/>
  <c r="D14" i="19"/>
  <c r="P8" i="20"/>
  <c r="Q8" i="20"/>
  <c r="R5" i="20" s="1"/>
  <c r="P28" i="20"/>
  <c r="Q28" i="20"/>
  <c r="Q24" i="20"/>
  <c r="P24" i="20"/>
  <c r="P49" i="20"/>
  <c r="Q49" i="20"/>
  <c r="P39" i="20"/>
  <c r="Q39" i="20"/>
  <c r="Q41" i="20"/>
  <c r="P41" i="20"/>
  <c r="Q32" i="20"/>
  <c r="P32" i="20"/>
  <c r="Q61" i="20"/>
  <c r="P61" i="20"/>
  <c r="Q7" i="20"/>
  <c r="P7" i="20"/>
  <c r="AB22" i="20"/>
  <c r="AC17" i="20" s="1"/>
  <c r="AA22" i="20"/>
  <c r="N22" i="20"/>
  <c r="Q55" i="20"/>
  <c r="P55" i="20"/>
  <c r="Q47" i="20"/>
  <c r="P47" i="20"/>
  <c r="Q20" i="20"/>
  <c r="P20" i="20"/>
  <c r="Q14" i="20"/>
  <c r="P14" i="20"/>
  <c r="Q15" i="20"/>
  <c r="P15" i="20"/>
  <c r="P40" i="20"/>
  <c r="Q40" i="20"/>
  <c r="AB11" i="20"/>
  <c r="AC9" i="20" s="1"/>
  <c r="AA11" i="20"/>
  <c r="N11" i="20"/>
  <c r="D2" i="20" s="1"/>
  <c r="Q10" i="20"/>
  <c r="P10" i="20"/>
  <c r="Q53" i="20"/>
  <c r="P53" i="20"/>
  <c r="Q6" i="20"/>
  <c r="P6" i="20"/>
  <c r="Q42" i="20"/>
  <c r="P42" i="20"/>
  <c r="Q17" i="20"/>
  <c r="P17" i="20"/>
  <c r="Q9" i="20"/>
  <c r="P9" i="20"/>
  <c r="Q5" i="20"/>
  <c r="P5" i="20"/>
  <c r="Q38" i="20"/>
  <c r="P38" i="20"/>
  <c r="AA29" i="20"/>
  <c r="N29" i="20"/>
  <c r="AB29" i="20"/>
  <c r="AC23" i="20" s="1"/>
  <c r="Q26" i="20"/>
  <c r="P26" i="20"/>
  <c r="Q48" i="20"/>
  <c r="P48" i="20"/>
  <c r="AB43" i="20"/>
  <c r="AC36" i="20" s="1"/>
  <c r="AA43" i="20"/>
  <c r="N43" i="20"/>
  <c r="Q56" i="20"/>
  <c r="P56" i="20"/>
  <c r="Q34" i="20"/>
  <c r="P34" i="20"/>
  <c r="Q18" i="20"/>
  <c r="P18" i="20"/>
  <c r="P60" i="20"/>
  <c r="Q60" i="20"/>
  <c r="P27" i="20"/>
  <c r="Q27" i="20"/>
  <c r="J14" i="19"/>
  <c r="J15" i="19" s="1"/>
  <c r="Q54" i="20"/>
  <c r="R51" i="20" s="1"/>
  <c r="P54" i="20"/>
  <c r="P59" i="20"/>
  <c r="Q59" i="20"/>
  <c r="Q57" i="20"/>
  <c r="P57" i="20"/>
  <c r="Q23" i="20"/>
  <c r="P23" i="20"/>
  <c r="AB10" i="18"/>
  <c r="AA10" i="18"/>
  <c r="N10" i="18"/>
  <c r="N16" i="18"/>
  <c r="AA16" i="18"/>
  <c r="AB16" i="18"/>
  <c r="AC12" i="18" s="1"/>
  <c r="AB19" i="18"/>
  <c r="N19" i="18"/>
  <c r="AA19" i="18"/>
  <c r="F6" i="17"/>
  <c r="N41" i="18"/>
  <c r="AB41" i="18"/>
  <c r="AA41" i="18"/>
  <c r="M50" i="18"/>
  <c r="N46" i="18"/>
  <c r="AB46" i="18"/>
  <c r="AA46" i="18"/>
  <c r="N48" i="18"/>
  <c r="AB48" i="18"/>
  <c r="AA48" i="18"/>
  <c r="N66" i="18"/>
  <c r="AB66" i="18"/>
  <c r="AA66" i="18"/>
  <c r="AA9" i="18"/>
  <c r="N9" i="18"/>
  <c r="AB9" i="18"/>
  <c r="M11" i="18"/>
  <c r="AB17" i="18"/>
  <c r="AA17" i="18"/>
  <c r="N17" i="18"/>
  <c r="M22" i="18"/>
  <c r="N28" i="18"/>
  <c r="AB28" i="18"/>
  <c r="AA28" i="18"/>
  <c r="N30" i="18"/>
  <c r="AB30" i="18"/>
  <c r="AA30" i="18"/>
  <c r="N55" i="18"/>
  <c r="AA55" i="18"/>
  <c r="AB55" i="18"/>
  <c r="Q20" i="18"/>
  <c r="P20" i="18"/>
  <c r="Q34" i="18"/>
  <c r="P34" i="18"/>
  <c r="AB68" i="18"/>
  <c r="N68" i="18"/>
  <c r="AA68" i="18"/>
  <c r="AB26" i="18"/>
  <c r="AA26" i="18"/>
  <c r="N26" i="18"/>
  <c r="N43" i="18"/>
  <c r="AA43" i="18"/>
  <c r="AB43" i="18"/>
  <c r="P7" i="18"/>
  <c r="Q7" i="18"/>
  <c r="N8" i="18"/>
  <c r="AA8" i="18"/>
  <c r="AB8" i="18"/>
  <c r="AC5" i="18" s="1"/>
  <c r="Q33" i="18"/>
  <c r="P33" i="18"/>
  <c r="AA47" i="18"/>
  <c r="N47" i="18"/>
  <c r="AB47" i="18"/>
  <c r="N49" i="18"/>
  <c r="AB49" i="18"/>
  <c r="AA49" i="18"/>
  <c r="N56" i="18"/>
  <c r="AB56" i="18"/>
  <c r="AA56" i="18"/>
  <c r="AA18" i="18"/>
  <c r="N18" i="18"/>
  <c r="AB18" i="18"/>
  <c r="N65" i="18"/>
  <c r="AA65" i="18"/>
  <c r="AB65" i="18"/>
  <c r="AB23" i="18"/>
  <c r="AA23" i="18"/>
  <c r="M32" i="18"/>
  <c r="N23" i="18"/>
  <c r="N27" i="18"/>
  <c r="AB27" i="18"/>
  <c r="AA27" i="18"/>
  <c r="N29" i="18"/>
  <c r="AA29" i="18"/>
  <c r="AB29" i="18"/>
  <c r="N44" i="18"/>
  <c r="AB44" i="18"/>
  <c r="AA44" i="18"/>
  <c r="Q6" i="18"/>
  <c r="P6" i="18"/>
  <c r="F2" i="18"/>
  <c r="I3" i="17"/>
  <c r="Q14" i="18"/>
  <c r="P14" i="18"/>
  <c r="N62" i="18"/>
  <c r="M71" i="18"/>
  <c r="AB62" i="18"/>
  <c r="AA62" i="18"/>
  <c r="N70" i="18"/>
  <c r="AB70" i="18"/>
  <c r="AA70" i="18"/>
  <c r="N15" i="18"/>
  <c r="N25" i="18"/>
  <c r="N40" i="18"/>
  <c r="N53" i="18"/>
  <c r="N63" i="18"/>
  <c r="N5" i="18"/>
  <c r="N24" i="18"/>
  <c r="P42" i="18"/>
  <c r="N51" i="18"/>
  <c r="N52" i="18"/>
  <c r="P54" i="18"/>
  <c r="N61" i="18"/>
  <c r="P64" i="18"/>
  <c r="N36" i="18"/>
  <c r="N38" i="18"/>
  <c r="N60" i="18"/>
  <c r="E6" i="17"/>
  <c r="N35" i="18"/>
  <c r="AB40" i="18"/>
  <c r="AC33" i="18" s="1"/>
  <c r="AA61" i="18"/>
  <c r="G6" i="17"/>
  <c r="AA7" i="18"/>
  <c r="AA15" i="18"/>
  <c r="AA25" i="18"/>
  <c r="AA53" i="18"/>
  <c r="M57" i="18"/>
  <c r="AA63" i="18"/>
  <c r="N12" i="18"/>
  <c r="N37" i="18"/>
  <c r="N39" i="18"/>
  <c r="AA5" i="18"/>
  <c r="AA6" i="18"/>
  <c r="AB7" i="18"/>
  <c r="AA14" i="18"/>
  <c r="AA24" i="18"/>
  <c r="AA51" i="18"/>
  <c r="AA52" i="18"/>
  <c r="N21" i="18"/>
  <c r="N58" i="18"/>
  <c r="N59" i="18"/>
  <c r="AB5" i="18"/>
  <c r="AB6" i="18"/>
  <c r="AA12" i="18"/>
  <c r="AA13" i="18"/>
  <c r="AB14" i="18"/>
  <c r="AA39" i="18"/>
  <c r="N13" i="18"/>
  <c r="AB12" i="18"/>
  <c r="AA36" i="18"/>
  <c r="AA38" i="18"/>
  <c r="AA60" i="18"/>
  <c r="O76" i="16"/>
  <c r="K76" i="16"/>
  <c r="V75" i="16"/>
  <c r="M75" i="16" s="1"/>
  <c r="U75" i="16"/>
  <c r="O75" i="16"/>
  <c r="K75" i="16"/>
  <c r="G75" i="16"/>
  <c r="V74" i="16"/>
  <c r="M74" i="16" s="1"/>
  <c r="U74" i="16"/>
  <c r="O74" i="16"/>
  <c r="K74" i="16"/>
  <c r="G74" i="16"/>
  <c r="X73" i="16"/>
  <c r="W73" i="16"/>
  <c r="V73" i="16"/>
  <c r="M73" i="16" s="1"/>
  <c r="U73" i="16"/>
  <c r="O73" i="16"/>
  <c r="K73" i="16"/>
  <c r="G73" i="16"/>
  <c r="V72" i="16"/>
  <c r="M72" i="16" s="1"/>
  <c r="U72" i="16"/>
  <c r="O72" i="16"/>
  <c r="K72" i="16"/>
  <c r="G72" i="16"/>
  <c r="V71" i="16"/>
  <c r="M71" i="16" s="1"/>
  <c r="U71" i="16"/>
  <c r="O71" i="16"/>
  <c r="K71" i="16"/>
  <c r="G71" i="16"/>
  <c r="V70" i="16"/>
  <c r="M70" i="16" s="1"/>
  <c r="U70" i="16"/>
  <c r="O70" i="16"/>
  <c r="K70" i="16"/>
  <c r="G70" i="16"/>
  <c r="V69" i="16"/>
  <c r="M69" i="16" s="1"/>
  <c r="U69" i="16"/>
  <c r="O69" i="16"/>
  <c r="K69" i="16"/>
  <c r="G69" i="16"/>
  <c r="X68" i="16"/>
  <c r="W68" i="16"/>
  <c r="V68" i="16"/>
  <c r="M68" i="16" s="1"/>
  <c r="O68" i="16"/>
  <c r="K68" i="16"/>
  <c r="G68" i="16"/>
  <c r="O67" i="16"/>
  <c r="N67" i="16"/>
  <c r="Q67" i="16" s="1"/>
  <c r="R65" i="16" s="1"/>
  <c r="M67" i="16"/>
  <c r="AB67" i="16" s="1"/>
  <c r="AC65" i="16" s="1"/>
  <c r="K67" i="16"/>
  <c r="V66" i="16"/>
  <c r="U66" i="16"/>
  <c r="O66" i="16"/>
  <c r="N66" i="16"/>
  <c r="P66" i="16" s="1"/>
  <c r="M66" i="16"/>
  <c r="AB66" i="16" s="1"/>
  <c r="K66" i="16"/>
  <c r="Q66" i="16" s="1"/>
  <c r="G66" i="16"/>
  <c r="V65" i="16"/>
  <c r="O65" i="16"/>
  <c r="N65" i="16"/>
  <c r="P65" i="16" s="1"/>
  <c r="M65" i="16"/>
  <c r="AB65" i="16" s="1"/>
  <c r="K65" i="16"/>
  <c r="Q65" i="16" s="1"/>
  <c r="G65" i="16"/>
  <c r="O64" i="16"/>
  <c r="K64" i="16"/>
  <c r="V63" i="16"/>
  <c r="M63" i="16" s="1"/>
  <c r="U63" i="16"/>
  <c r="O63" i="16"/>
  <c r="K63" i="16"/>
  <c r="G63" i="16"/>
  <c r="V62" i="16"/>
  <c r="M62" i="16" s="1"/>
  <c r="U62" i="16"/>
  <c r="O62" i="16"/>
  <c r="K62" i="16"/>
  <c r="G62" i="16"/>
  <c r="V61" i="16"/>
  <c r="M61" i="16" s="1"/>
  <c r="U61" i="16"/>
  <c r="O61" i="16"/>
  <c r="K61" i="16"/>
  <c r="G61" i="16"/>
  <c r="V60" i="16"/>
  <c r="M60" i="16" s="1"/>
  <c r="U60" i="16"/>
  <c r="O60" i="16"/>
  <c r="K60" i="16"/>
  <c r="G60" i="16"/>
  <c r="V59" i="16"/>
  <c r="M59" i="16" s="1"/>
  <c r="U59" i="16"/>
  <c r="O59" i="16"/>
  <c r="K59" i="16"/>
  <c r="G59" i="16"/>
  <c r="V58" i="16"/>
  <c r="M58" i="16" s="1"/>
  <c r="O58" i="16"/>
  <c r="K58" i="16"/>
  <c r="G58" i="16"/>
  <c r="O57" i="16"/>
  <c r="K57" i="16"/>
  <c r="AB56" i="16"/>
  <c r="V56" i="16"/>
  <c r="U56" i="16"/>
  <c r="O56" i="16"/>
  <c r="M56" i="16"/>
  <c r="AA56" i="16" s="1"/>
  <c r="K56" i="16"/>
  <c r="G56" i="16"/>
  <c r="AB55" i="16"/>
  <c r="AA55" i="16"/>
  <c r="V55" i="16"/>
  <c r="U55" i="16"/>
  <c r="O55" i="16"/>
  <c r="N55" i="16"/>
  <c r="Q55" i="16" s="1"/>
  <c r="M55" i="16"/>
  <c r="K55" i="16"/>
  <c r="G55" i="16"/>
  <c r="V54" i="16"/>
  <c r="M54" i="16" s="1"/>
  <c r="U54" i="16"/>
  <c r="O54" i="16"/>
  <c r="K54" i="16"/>
  <c r="G54" i="16"/>
  <c r="V53" i="16"/>
  <c r="M53" i="16" s="1"/>
  <c r="U53" i="16"/>
  <c r="O53" i="16"/>
  <c r="K53" i="16"/>
  <c r="G53" i="16"/>
  <c r="X52" i="16"/>
  <c r="W52" i="16"/>
  <c r="V52" i="16"/>
  <c r="M52" i="16" s="1"/>
  <c r="U52" i="16"/>
  <c r="O52" i="16"/>
  <c r="K52" i="16"/>
  <c r="G52" i="16"/>
  <c r="V51" i="16"/>
  <c r="M51" i="16" s="1"/>
  <c r="U51" i="16"/>
  <c r="O51" i="16"/>
  <c r="K51" i="16"/>
  <c r="G51" i="16"/>
  <c r="V50" i="16"/>
  <c r="M50" i="16" s="1"/>
  <c r="U50" i="16"/>
  <c r="O50" i="16"/>
  <c r="K50" i="16"/>
  <c r="G50" i="16"/>
  <c r="V49" i="16"/>
  <c r="M49" i="16" s="1"/>
  <c r="U49" i="16"/>
  <c r="O49" i="16"/>
  <c r="K49" i="16"/>
  <c r="G49" i="16"/>
  <c r="V48" i="16"/>
  <c r="M48" i="16" s="1"/>
  <c r="U48" i="16"/>
  <c r="O48" i="16"/>
  <c r="K48" i="16"/>
  <c r="G48" i="16"/>
  <c r="V47" i="16"/>
  <c r="M47" i="16" s="1"/>
  <c r="U47" i="16"/>
  <c r="O47" i="16"/>
  <c r="K47" i="16"/>
  <c r="G47" i="16"/>
  <c r="X46" i="16"/>
  <c r="W46" i="16"/>
  <c r="V46" i="16"/>
  <c r="M46" i="16" s="1"/>
  <c r="O46" i="16"/>
  <c r="K46" i="16"/>
  <c r="G46" i="16"/>
  <c r="O45" i="16"/>
  <c r="K45" i="16"/>
  <c r="V44" i="16"/>
  <c r="U44" i="16"/>
  <c r="O44" i="16"/>
  <c r="M44" i="16"/>
  <c r="AB44" i="16" s="1"/>
  <c r="K44" i="16"/>
  <c r="G44" i="16"/>
  <c r="V43" i="16"/>
  <c r="U43" i="16"/>
  <c r="O43" i="16"/>
  <c r="M43" i="16"/>
  <c r="AB43" i="16" s="1"/>
  <c r="K43" i="16"/>
  <c r="G43" i="16"/>
  <c r="AB42" i="16"/>
  <c r="V42" i="16"/>
  <c r="U42" i="16"/>
  <c r="O42" i="16"/>
  <c r="M42" i="16"/>
  <c r="AA42" i="16" s="1"/>
  <c r="K42" i="16"/>
  <c r="G42" i="16"/>
  <c r="AB41" i="16"/>
  <c r="AA41" i="16"/>
  <c r="V41" i="16"/>
  <c r="U41" i="16"/>
  <c r="O41" i="16"/>
  <c r="N41" i="16"/>
  <c r="Q41" i="16" s="1"/>
  <c r="M41" i="16"/>
  <c r="K41" i="16"/>
  <c r="G41" i="16"/>
  <c r="AB40" i="16"/>
  <c r="AA40" i="16"/>
  <c r="X40" i="16"/>
  <c r="W40" i="16"/>
  <c r="V40" i="16"/>
  <c r="U40" i="16"/>
  <c r="O40" i="16"/>
  <c r="M40" i="16"/>
  <c r="N40" i="16" s="1"/>
  <c r="K40" i="16"/>
  <c r="G40" i="16"/>
  <c r="AB39" i="16"/>
  <c r="AA39" i="16"/>
  <c r="V39" i="16"/>
  <c r="U39" i="16"/>
  <c r="O39" i="16"/>
  <c r="N39" i="16"/>
  <c r="Q39" i="16" s="1"/>
  <c r="M39" i="16"/>
  <c r="K39" i="16"/>
  <c r="G39" i="16"/>
  <c r="V38" i="16"/>
  <c r="M38" i="16" s="1"/>
  <c r="U38" i="16"/>
  <c r="O38" i="16"/>
  <c r="K38" i="16"/>
  <c r="G38" i="16"/>
  <c r="V37" i="16"/>
  <c r="M37" i="16" s="1"/>
  <c r="U37" i="16"/>
  <c r="O37" i="16"/>
  <c r="K37" i="16"/>
  <c r="G37" i="16"/>
  <c r="AB36" i="16"/>
  <c r="AA36" i="16"/>
  <c r="X36" i="16"/>
  <c r="W36" i="16"/>
  <c r="V36" i="16"/>
  <c r="O36" i="16"/>
  <c r="N36" i="16"/>
  <c r="Q36" i="16" s="1"/>
  <c r="M36" i="16"/>
  <c r="K36" i="16"/>
  <c r="G36" i="16"/>
  <c r="O35" i="16"/>
  <c r="K35" i="16"/>
  <c r="V34" i="16"/>
  <c r="M34" i="16" s="1"/>
  <c r="U34" i="16"/>
  <c r="O34" i="16"/>
  <c r="K34" i="16"/>
  <c r="G34" i="16"/>
  <c r="V33" i="16"/>
  <c r="M33" i="16" s="1"/>
  <c r="U33" i="16"/>
  <c r="O33" i="16"/>
  <c r="K33" i="16"/>
  <c r="G33" i="16"/>
  <c r="V32" i="16"/>
  <c r="U32" i="16"/>
  <c r="O32" i="16"/>
  <c r="N32" i="16"/>
  <c r="Q32" i="16" s="1"/>
  <c r="M32" i="16"/>
  <c r="AB32" i="16" s="1"/>
  <c r="K32" i="16"/>
  <c r="G32" i="16"/>
  <c r="V31" i="16"/>
  <c r="U31" i="16"/>
  <c r="O31" i="16"/>
  <c r="M31" i="16"/>
  <c r="AB31" i="16" s="1"/>
  <c r="K31" i="16"/>
  <c r="G31" i="16"/>
  <c r="X30" i="16"/>
  <c r="W30" i="16"/>
  <c r="V30" i="16"/>
  <c r="U30" i="16"/>
  <c r="O30" i="16"/>
  <c r="N30" i="16"/>
  <c r="Q30" i="16" s="1"/>
  <c r="M30" i="16"/>
  <c r="AB30" i="16" s="1"/>
  <c r="K30" i="16"/>
  <c r="G30" i="16"/>
  <c r="V29" i="16"/>
  <c r="U29" i="16"/>
  <c r="O29" i="16"/>
  <c r="M29" i="16"/>
  <c r="AB29" i="16" s="1"/>
  <c r="K29" i="16"/>
  <c r="G29" i="16"/>
  <c r="V28" i="16"/>
  <c r="U28" i="16"/>
  <c r="O28" i="16"/>
  <c r="M28" i="16"/>
  <c r="AB28" i="16" s="1"/>
  <c r="K28" i="16"/>
  <c r="G28" i="16"/>
  <c r="V27" i="16"/>
  <c r="U27" i="16"/>
  <c r="O27" i="16"/>
  <c r="M27" i="16"/>
  <c r="AB27" i="16" s="1"/>
  <c r="K27" i="16"/>
  <c r="G27" i="16"/>
  <c r="AB26" i="16"/>
  <c r="V26" i="16"/>
  <c r="U26" i="16"/>
  <c r="O26" i="16"/>
  <c r="M26" i="16"/>
  <c r="AA26" i="16" s="1"/>
  <c r="K26" i="16"/>
  <c r="G26" i="16"/>
  <c r="AB25" i="16"/>
  <c r="X25" i="16"/>
  <c r="W25" i="16"/>
  <c r="V25" i="16"/>
  <c r="O25" i="16"/>
  <c r="M25" i="16"/>
  <c r="AA25" i="16" s="1"/>
  <c r="K25" i="16"/>
  <c r="G25" i="16"/>
  <c r="O24" i="16"/>
  <c r="K24" i="16"/>
  <c r="V23" i="16"/>
  <c r="M23" i="16" s="1"/>
  <c r="U23" i="16"/>
  <c r="O23" i="16"/>
  <c r="K23" i="16"/>
  <c r="G23" i="16"/>
  <c r="V22" i="16"/>
  <c r="M22" i="16" s="1"/>
  <c r="U22" i="16"/>
  <c r="O22" i="16"/>
  <c r="K22" i="16"/>
  <c r="G22" i="16"/>
  <c r="V21" i="16"/>
  <c r="M21" i="16" s="1"/>
  <c r="U21" i="16"/>
  <c r="O21" i="16"/>
  <c r="K21" i="16"/>
  <c r="G21" i="16"/>
  <c r="V20" i="16"/>
  <c r="M20" i="16" s="1"/>
  <c r="O20" i="16"/>
  <c r="K20" i="16"/>
  <c r="G20" i="16"/>
  <c r="O19" i="16"/>
  <c r="M19" i="16"/>
  <c r="AB19" i="16" s="1"/>
  <c r="AC14" i="16" s="1"/>
  <c r="K19" i="16"/>
  <c r="V18" i="16"/>
  <c r="U18" i="16"/>
  <c r="O18" i="16"/>
  <c r="M18" i="16"/>
  <c r="AB18" i="16" s="1"/>
  <c r="K18" i="16"/>
  <c r="G18" i="16"/>
  <c r="V17" i="16"/>
  <c r="U17" i="16"/>
  <c r="O17" i="16"/>
  <c r="M17" i="16"/>
  <c r="AB17" i="16" s="1"/>
  <c r="K17" i="16"/>
  <c r="G17" i="16"/>
  <c r="AB16" i="16"/>
  <c r="V16" i="16"/>
  <c r="U16" i="16"/>
  <c r="O16" i="16"/>
  <c r="M16" i="16"/>
  <c r="AA16" i="16" s="1"/>
  <c r="K16" i="16"/>
  <c r="G16" i="16"/>
  <c r="AB15" i="16"/>
  <c r="AA15" i="16"/>
  <c r="V15" i="16"/>
  <c r="U15" i="16"/>
  <c r="O15" i="16"/>
  <c r="N15" i="16"/>
  <c r="Q15" i="16" s="1"/>
  <c r="M15" i="16"/>
  <c r="K15" i="16"/>
  <c r="G15" i="16"/>
  <c r="AB14" i="16"/>
  <c r="AA14" i="16"/>
  <c r="V14" i="16"/>
  <c r="O14" i="16"/>
  <c r="N14" i="16"/>
  <c r="Q14" i="16" s="1"/>
  <c r="M14" i="16"/>
  <c r="K14" i="16"/>
  <c r="G14" i="16"/>
  <c r="O13" i="16"/>
  <c r="K13" i="16"/>
  <c r="V12" i="16"/>
  <c r="M12" i="16" s="1"/>
  <c r="U12" i="16"/>
  <c r="O12" i="16"/>
  <c r="K12" i="16"/>
  <c r="G12" i="16"/>
  <c r="V11" i="16"/>
  <c r="M11" i="16" s="1"/>
  <c r="O11" i="16"/>
  <c r="K11" i="16"/>
  <c r="G11" i="16"/>
  <c r="O10" i="16"/>
  <c r="K10" i="16"/>
  <c r="V9" i="16"/>
  <c r="U9" i="16"/>
  <c r="O9" i="16"/>
  <c r="M9" i="16"/>
  <c r="AB9" i="16" s="1"/>
  <c r="K9" i="16"/>
  <c r="G9" i="16"/>
  <c r="AB8" i="16"/>
  <c r="V8" i="16"/>
  <c r="U8" i="16"/>
  <c r="O8" i="16"/>
  <c r="M8" i="16"/>
  <c r="AA8" i="16" s="1"/>
  <c r="K8" i="16"/>
  <c r="G8" i="16"/>
  <c r="AB7" i="16"/>
  <c r="AA7" i="16"/>
  <c r="V7" i="16"/>
  <c r="U7" i="16"/>
  <c r="O7" i="16"/>
  <c r="N7" i="16"/>
  <c r="Q7" i="16" s="1"/>
  <c r="M7" i="16"/>
  <c r="K7" i="16"/>
  <c r="G7" i="16"/>
  <c r="V6" i="16"/>
  <c r="M6" i="16" s="1"/>
  <c r="U6" i="16"/>
  <c r="O6" i="16"/>
  <c r="K6" i="16"/>
  <c r="G6" i="16"/>
  <c r="V5" i="16"/>
  <c r="M5" i="16" s="1"/>
  <c r="O5" i="16"/>
  <c r="K5" i="16"/>
  <c r="G5" i="16"/>
  <c r="F1" i="16" s="1"/>
  <c r="H2" i="16"/>
  <c r="H1" i="16"/>
  <c r="D1" i="16"/>
  <c r="M18" i="15"/>
  <c r="L18" i="15"/>
  <c r="K18" i="15"/>
  <c r="J18" i="15"/>
  <c r="I18" i="15"/>
  <c r="H18" i="15"/>
  <c r="G18" i="15"/>
  <c r="F18" i="15"/>
  <c r="E18" i="15"/>
  <c r="D18" i="15"/>
  <c r="M17" i="15"/>
  <c r="L17" i="15"/>
  <c r="K17" i="15"/>
  <c r="J17" i="15"/>
  <c r="I17" i="15"/>
  <c r="H17" i="15"/>
  <c r="G17" i="15"/>
  <c r="F17" i="15"/>
  <c r="E17" i="15"/>
  <c r="D17" i="15"/>
  <c r="M16" i="15"/>
  <c r="L16" i="15"/>
  <c r="K16" i="15"/>
  <c r="J16" i="15"/>
  <c r="I16" i="15"/>
  <c r="H16" i="15"/>
  <c r="G16" i="15"/>
  <c r="F16" i="15"/>
  <c r="E16" i="15"/>
  <c r="D16" i="15"/>
  <c r="J14" i="15"/>
  <c r="J15" i="15" s="1"/>
  <c r="M13" i="15"/>
  <c r="L13" i="15"/>
  <c r="K13" i="15"/>
  <c r="I6" i="15" s="1"/>
  <c r="J13" i="15"/>
  <c r="I13" i="15"/>
  <c r="H13" i="15"/>
  <c r="G13" i="15"/>
  <c r="F13" i="15"/>
  <c r="E13" i="15"/>
  <c r="D13" i="15"/>
  <c r="G6" i="15" s="1"/>
  <c r="F3" i="15"/>
  <c r="C3" i="15"/>
  <c r="G8" i="23" l="1"/>
  <c r="F8" i="23"/>
  <c r="E8" i="23"/>
  <c r="D15" i="21"/>
  <c r="G7" i="21"/>
  <c r="F7" i="21"/>
  <c r="E7" i="21"/>
  <c r="K15" i="21"/>
  <c r="I8" i="21" s="1"/>
  <c r="I7" i="21"/>
  <c r="Q50" i="20"/>
  <c r="R44" i="20" s="1"/>
  <c r="P50" i="20"/>
  <c r="I14" i="19"/>
  <c r="I15" i="19" s="1"/>
  <c r="Q29" i="20"/>
  <c r="R23" i="20" s="1"/>
  <c r="P29" i="20"/>
  <c r="K14" i="19"/>
  <c r="Q62" i="20"/>
  <c r="R55" i="20" s="1"/>
  <c r="P62" i="20"/>
  <c r="M14" i="19"/>
  <c r="M15" i="19" s="1"/>
  <c r="Q43" i="20"/>
  <c r="R36" i="20" s="1"/>
  <c r="P43" i="20"/>
  <c r="H14" i="19"/>
  <c r="H15" i="19" s="1"/>
  <c r="D15" i="19"/>
  <c r="Q11" i="20"/>
  <c r="R9" i="20" s="1"/>
  <c r="P11" i="20"/>
  <c r="E14" i="19"/>
  <c r="E15" i="19" s="1"/>
  <c r="G14" i="19"/>
  <c r="G15" i="19" s="1"/>
  <c r="Q22" i="20"/>
  <c r="R17" i="20" s="1"/>
  <c r="P22" i="20"/>
  <c r="AB71" i="18"/>
  <c r="AC62" i="18" s="1"/>
  <c r="AA71" i="18"/>
  <c r="N71" i="18"/>
  <c r="Q62" i="18"/>
  <c r="P62" i="18"/>
  <c r="Q41" i="18"/>
  <c r="P41" i="18"/>
  <c r="Q37" i="18"/>
  <c r="P37" i="18"/>
  <c r="P63" i="18"/>
  <c r="Q63" i="18"/>
  <c r="Q68" i="18"/>
  <c r="P68" i="18"/>
  <c r="Q24" i="18"/>
  <c r="P24" i="18"/>
  <c r="P39" i="18"/>
  <c r="Q39" i="18"/>
  <c r="Q35" i="18"/>
  <c r="P35" i="18"/>
  <c r="Q5" i="18"/>
  <c r="P5" i="18"/>
  <c r="Q29" i="18"/>
  <c r="P29" i="18"/>
  <c r="Q18" i="18"/>
  <c r="P18" i="18"/>
  <c r="Q30" i="18"/>
  <c r="P30" i="18"/>
  <c r="Q59" i="18"/>
  <c r="P59" i="18"/>
  <c r="Q12" i="18"/>
  <c r="P12" i="18"/>
  <c r="Q60" i="18"/>
  <c r="P60" i="18"/>
  <c r="P53" i="18"/>
  <c r="Q53" i="18"/>
  <c r="Q66" i="18"/>
  <c r="P66" i="18"/>
  <c r="Q9" i="18"/>
  <c r="P9" i="18"/>
  <c r="Q58" i="18"/>
  <c r="P58" i="18"/>
  <c r="Q38" i="18"/>
  <c r="P38" i="18"/>
  <c r="L14" i="17"/>
  <c r="L15" i="17" s="1"/>
  <c r="P40" i="18"/>
  <c r="Q40" i="18"/>
  <c r="R33" i="18" s="1"/>
  <c r="Q27" i="18"/>
  <c r="P27" i="18"/>
  <c r="Q8" i="18"/>
  <c r="R5" i="18" s="1"/>
  <c r="D2" i="18"/>
  <c r="D14" i="17"/>
  <c r="P8" i="18"/>
  <c r="Q28" i="18"/>
  <c r="P28" i="18"/>
  <c r="Q21" i="18"/>
  <c r="P21" i="18"/>
  <c r="P15" i="18"/>
  <c r="Q15" i="18"/>
  <c r="AA32" i="18"/>
  <c r="N32" i="18"/>
  <c r="AB32" i="18"/>
  <c r="AC23" i="18" s="1"/>
  <c r="Q17" i="18"/>
  <c r="P17" i="18"/>
  <c r="Q48" i="18"/>
  <c r="P48" i="18"/>
  <c r="J14" i="17"/>
  <c r="J15" i="17" s="1"/>
  <c r="Q61" i="18"/>
  <c r="R58" i="18" s="1"/>
  <c r="P61" i="18"/>
  <c r="Q19" i="18"/>
  <c r="P19" i="18"/>
  <c r="N57" i="18"/>
  <c r="AB57" i="18"/>
  <c r="AC51" i="18" s="1"/>
  <c r="AA57" i="18"/>
  <c r="Q36" i="18"/>
  <c r="P36" i="18"/>
  <c r="P25" i="18"/>
  <c r="Q25" i="18"/>
  <c r="Q23" i="18"/>
  <c r="P23" i="18"/>
  <c r="Q56" i="18"/>
  <c r="P56" i="18"/>
  <c r="AB22" i="18"/>
  <c r="AC17" i="18" s="1"/>
  <c r="N22" i="18"/>
  <c r="AA22" i="18"/>
  <c r="Q13" i="18"/>
  <c r="P13" i="18"/>
  <c r="Q49" i="18"/>
  <c r="P49" i="18"/>
  <c r="F14" i="17"/>
  <c r="F15" i="17" s="1"/>
  <c r="Q16" i="18"/>
  <c r="R12" i="18" s="1"/>
  <c r="P16" i="18"/>
  <c r="Q52" i="18"/>
  <c r="P52" i="18"/>
  <c r="Q70" i="18"/>
  <c r="P70" i="18"/>
  <c r="Q43" i="18"/>
  <c r="P43" i="18"/>
  <c r="AB11" i="18"/>
  <c r="AC9" i="18" s="1"/>
  <c r="AA11" i="18"/>
  <c r="N11" i="18"/>
  <c r="Q46" i="18"/>
  <c r="P46" i="18"/>
  <c r="Q10" i="18"/>
  <c r="P10" i="18"/>
  <c r="Q51" i="18"/>
  <c r="P51" i="18"/>
  <c r="Q44" i="18"/>
  <c r="P44" i="18"/>
  <c r="Q47" i="18"/>
  <c r="P47" i="18"/>
  <c r="Q26" i="18"/>
  <c r="P26" i="18"/>
  <c r="Q55" i="18"/>
  <c r="P55" i="18"/>
  <c r="AB50" i="18"/>
  <c r="AC41" i="18" s="1"/>
  <c r="AA50" i="18"/>
  <c r="N50" i="18"/>
  <c r="Q65" i="18"/>
  <c r="P65" i="18"/>
  <c r="N37" i="16"/>
  <c r="AB37" i="16"/>
  <c r="AA37" i="16"/>
  <c r="M45" i="16"/>
  <c r="N51" i="16"/>
  <c r="AB51" i="16"/>
  <c r="AA51" i="16"/>
  <c r="N49" i="16"/>
  <c r="AB49" i="16"/>
  <c r="AA49" i="16"/>
  <c r="N38" i="16"/>
  <c r="AB38" i="16"/>
  <c r="AA38" i="16"/>
  <c r="Q40" i="16"/>
  <c r="P40" i="16"/>
  <c r="AB47" i="16"/>
  <c r="AA47" i="16"/>
  <c r="N47" i="16"/>
  <c r="N63" i="16"/>
  <c r="AB63" i="16"/>
  <c r="AA63" i="16"/>
  <c r="N52" i="16"/>
  <c r="AB52" i="16"/>
  <c r="AA52" i="16"/>
  <c r="N20" i="16"/>
  <c r="M24" i="16"/>
  <c r="AB20" i="16"/>
  <c r="AA20" i="16"/>
  <c r="AB59" i="16"/>
  <c r="AA59" i="16"/>
  <c r="N59" i="16"/>
  <c r="N5" i="16"/>
  <c r="AB5" i="16"/>
  <c r="M10" i="16"/>
  <c r="AA5" i="16"/>
  <c r="N46" i="16"/>
  <c r="AB46" i="16"/>
  <c r="AA46" i="16"/>
  <c r="M57" i="16"/>
  <c r="N48" i="16"/>
  <c r="AB48" i="16"/>
  <c r="AA48" i="16"/>
  <c r="AB33" i="16"/>
  <c r="AA33" i="16"/>
  <c r="N33" i="16"/>
  <c r="N72" i="16"/>
  <c r="AB72" i="16"/>
  <c r="AA72" i="16"/>
  <c r="N68" i="16"/>
  <c r="AB68" i="16"/>
  <c r="AA68" i="16"/>
  <c r="M76" i="16"/>
  <c r="F2" i="16"/>
  <c r="I3" i="15"/>
  <c r="AB69" i="16"/>
  <c r="AA69" i="16"/>
  <c r="N69" i="16"/>
  <c r="N62" i="16"/>
  <c r="AB62" i="16"/>
  <c r="AA62" i="16"/>
  <c r="N53" i="16"/>
  <c r="AB53" i="16"/>
  <c r="AA53" i="16"/>
  <c r="N74" i="16"/>
  <c r="AB74" i="16"/>
  <c r="AA74" i="16"/>
  <c r="N70" i="16"/>
  <c r="AB70" i="16"/>
  <c r="AA70" i="16"/>
  <c r="N12" i="16"/>
  <c r="AB12" i="16"/>
  <c r="AA12" i="16"/>
  <c r="N75" i="16"/>
  <c r="AB75" i="16"/>
  <c r="AA75" i="16"/>
  <c r="N23" i="16"/>
  <c r="AB23" i="16"/>
  <c r="AA23" i="16"/>
  <c r="N21" i="16"/>
  <c r="AB21" i="16"/>
  <c r="AA21" i="16"/>
  <c r="N60" i="16"/>
  <c r="AB60" i="16"/>
  <c r="AA60" i="16"/>
  <c r="N6" i="16"/>
  <c r="AB6" i="16"/>
  <c r="AA6" i="16"/>
  <c r="AB58" i="16"/>
  <c r="AA58" i="16"/>
  <c r="M64" i="16"/>
  <c r="N58" i="16"/>
  <c r="N54" i="16"/>
  <c r="AB54" i="16"/>
  <c r="AA54" i="16"/>
  <c r="N11" i="16"/>
  <c r="M13" i="16"/>
  <c r="AB11" i="16"/>
  <c r="AA11" i="16"/>
  <c r="N22" i="16"/>
  <c r="AB22" i="16"/>
  <c r="AA22" i="16"/>
  <c r="N34" i="16"/>
  <c r="AB34" i="16"/>
  <c r="AA34" i="16"/>
  <c r="N61" i="16"/>
  <c r="AB61" i="16"/>
  <c r="AA61" i="16"/>
  <c r="N73" i="16"/>
  <c r="AB73" i="16"/>
  <c r="AA73" i="16"/>
  <c r="N50" i="16"/>
  <c r="AB50" i="16"/>
  <c r="AA50" i="16"/>
  <c r="N71" i="16"/>
  <c r="AB71" i="16"/>
  <c r="AA71" i="16"/>
  <c r="E6" i="15"/>
  <c r="F6" i="15"/>
  <c r="N19" i="16"/>
  <c r="N29" i="16"/>
  <c r="N31" i="16"/>
  <c r="N18" i="16"/>
  <c r="N25" i="16"/>
  <c r="N28" i="16"/>
  <c r="P30" i="16"/>
  <c r="P32" i="16"/>
  <c r="N44" i="16"/>
  <c r="P67" i="16"/>
  <c r="N9" i="16"/>
  <c r="N17" i="16"/>
  <c r="N27" i="16"/>
  <c r="N43" i="16"/>
  <c r="N8" i="16"/>
  <c r="N16" i="16"/>
  <c r="AA19" i="16"/>
  <c r="N26" i="16"/>
  <c r="N42" i="16"/>
  <c r="N56" i="16"/>
  <c r="AA67" i="16"/>
  <c r="AA32" i="16"/>
  <c r="P7" i="16"/>
  <c r="P14" i="16"/>
  <c r="P15" i="16"/>
  <c r="AA29" i="16"/>
  <c r="AA31" i="16"/>
  <c r="M35" i="16"/>
  <c r="P36" i="16"/>
  <c r="P39" i="16"/>
  <c r="P41" i="16"/>
  <c r="P55" i="16"/>
  <c r="AA18" i="16"/>
  <c r="AA28" i="16"/>
  <c r="AA30" i="16"/>
  <c r="AA44" i="16"/>
  <c r="AA65" i="16"/>
  <c r="AA66" i="16"/>
  <c r="AA9" i="16"/>
  <c r="AA17" i="16"/>
  <c r="AA27" i="16"/>
  <c r="AA43" i="16"/>
  <c r="G8" i="21" l="1"/>
  <c r="F8" i="21"/>
  <c r="E8" i="21"/>
  <c r="K15" i="19"/>
  <c r="I8" i="19" s="1"/>
  <c r="I7" i="19"/>
  <c r="E7" i="19"/>
  <c r="G7" i="19"/>
  <c r="F7" i="19"/>
  <c r="F8" i="19"/>
  <c r="G8" i="19"/>
  <c r="E8" i="19"/>
  <c r="Q32" i="18"/>
  <c r="R23" i="18" s="1"/>
  <c r="K14" i="17"/>
  <c r="P32" i="18"/>
  <c r="P22" i="18"/>
  <c r="Q22" i="18"/>
  <c r="R17" i="18" s="1"/>
  <c r="G14" i="17"/>
  <c r="G15" i="17" s="1"/>
  <c r="Q57" i="18"/>
  <c r="R51" i="18" s="1"/>
  <c r="P57" i="18"/>
  <c r="I14" i="17"/>
  <c r="I15" i="17" s="1"/>
  <c r="Q50" i="18"/>
  <c r="R41" i="18" s="1"/>
  <c r="P50" i="18"/>
  <c r="H14" i="17"/>
  <c r="H15" i="17" s="1"/>
  <c r="E14" i="17"/>
  <c r="E15" i="17" s="1"/>
  <c r="Q11" i="18"/>
  <c r="R9" i="18" s="1"/>
  <c r="P11" i="18"/>
  <c r="D15" i="17"/>
  <c r="Q71" i="18"/>
  <c r="R62" i="18" s="1"/>
  <c r="P71" i="18"/>
  <c r="M14" i="17"/>
  <c r="M15" i="17" s="1"/>
  <c r="Q27" i="16"/>
  <c r="P27" i="16"/>
  <c r="P62" i="16"/>
  <c r="Q62" i="16"/>
  <c r="P72" i="16"/>
  <c r="Q72" i="16"/>
  <c r="AB10" i="16"/>
  <c r="AC5" i="16" s="1"/>
  <c r="AA10" i="16"/>
  <c r="N10" i="16"/>
  <c r="Q52" i="16"/>
  <c r="P52" i="16"/>
  <c r="Q69" i="16"/>
  <c r="P69" i="16"/>
  <c r="N13" i="16"/>
  <c r="AB13" i="16"/>
  <c r="AC11" i="16" s="1"/>
  <c r="AA13" i="16"/>
  <c r="Q17" i="16"/>
  <c r="P17" i="16"/>
  <c r="Q54" i="16"/>
  <c r="P54" i="16"/>
  <c r="Q5" i="16"/>
  <c r="P5" i="16"/>
  <c r="Q49" i="16"/>
  <c r="P49" i="16"/>
  <c r="Q46" i="16"/>
  <c r="P46" i="16"/>
  <c r="Q9" i="16"/>
  <c r="P9" i="16"/>
  <c r="Q58" i="16"/>
  <c r="P58" i="16"/>
  <c r="Q59" i="16"/>
  <c r="P59" i="16"/>
  <c r="Q63" i="16"/>
  <c r="P63" i="16"/>
  <c r="Q11" i="16"/>
  <c r="P11" i="16"/>
  <c r="Q12" i="16"/>
  <c r="P12" i="16"/>
  <c r="Q44" i="16"/>
  <c r="P44" i="16"/>
  <c r="Q70" i="16"/>
  <c r="P70" i="16"/>
  <c r="Q56" i="16"/>
  <c r="P56" i="16"/>
  <c r="Q71" i="16"/>
  <c r="P71" i="16"/>
  <c r="AB64" i="16"/>
  <c r="AC58" i="16" s="1"/>
  <c r="AA64" i="16"/>
  <c r="N64" i="16"/>
  <c r="Q47" i="16"/>
  <c r="P47" i="16"/>
  <c r="Q29" i="16"/>
  <c r="P29" i="16"/>
  <c r="Q34" i="16"/>
  <c r="P34" i="16"/>
  <c r="Q42" i="16"/>
  <c r="P42" i="16"/>
  <c r="Q51" i="16"/>
  <c r="P51" i="16"/>
  <c r="Q43" i="16"/>
  <c r="P43" i="16"/>
  <c r="Q60" i="16"/>
  <c r="P60" i="16"/>
  <c r="Q61" i="16"/>
  <c r="P61" i="16"/>
  <c r="Q21" i="16"/>
  <c r="P21" i="16"/>
  <c r="Q26" i="16"/>
  <c r="P26" i="16"/>
  <c r="Q28" i="16"/>
  <c r="P28" i="16"/>
  <c r="Q23" i="16"/>
  <c r="P23" i="16"/>
  <c r="P74" i="16"/>
  <c r="Q74" i="16"/>
  <c r="AB76" i="16"/>
  <c r="AC68" i="16" s="1"/>
  <c r="AA76" i="16"/>
  <c r="N76" i="16"/>
  <c r="Q48" i="16"/>
  <c r="P48" i="16"/>
  <c r="AB45" i="16"/>
  <c r="AC36" i="16" s="1"/>
  <c r="AA45" i="16"/>
  <c r="N45" i="16"/>
  <c r="Q25" i="16"/>
  <c r="P25" i="16"/>
  <c r="P50" i="16"/>
  <c r="Q50" i="16"/>
  <c r="P22" i="16"/>
  <c r="Q22" i="16"/>
  <c r="AB57" i="16"/>
  <c r="AC46" i="16" s="1"/>
  <c r="AA57" i="16"/>
  <c r="N57" i="16"/>
  <c r="Q73" i="16"/>
  <c r="P73" i="16"/>
  <c r="Q19" i="16"/>
  <c r="R14" i="16" s="1"/>
  <c r="P19" i="16"/>
  <c r="F14" i="15"/>
  <c r="F15" i="15" s="1"/>
  <c r="Q38" i="16"/>
  <c r="P38" i="16"/>
  <c r="Q33" i="16"/>
  <c r="P33" i="16"/>
  <c r="N35" i="16"/>
  <c r="AB35" i="16"/>
  <c r="AC25" i="16" s="1"/>
  <c r="AA35" i="16"/>
  <c r="Q16" i="16"/>
  <c r="P16" i="16"/>
  <c r="Q18" i="16"/>
  <c r="P18" i="16"/>
  <c r="AB24" i="16"/>
  <c r="AC20" i="16" s="1"/>
  <c r="AA24" i="16"/>
  <c r="N24" i="16"/>
  <c r="Q8" i="16"/>
  <c r="P8" i="16"/>
  <c r="Q31" i="16"/>
  <c r="P31" i="16"/>
  <c r="Q6" i="16"/>
  <c r="P6" i="16"/>
  <c r="Q75" i="16"/>
  <c r="P75" i="16"/>
  <c r="Q53" i="16"/>
  <c r="P53" i="16"/>
  <c r="Q68" i="16"/>
  <c r="P68" i="16"/>
  <c r="Q20" i="16"/>
  <c r="P20" i="16"/>
  <c r="Q37" i="16"/>
  <c r="P37" i="16"/>
  <c r="K15" i="17" l="1"/>
  <c r="I8" i="17" s="1"/>
  <c r="I7" i="17"/>
  <c r="G8" i="17"/>
  <c r="F8" i="17"/>
  <c r="E7" i="17"/>
  <c r="F7" i="17"/>
  <c r="G7" i="17"/>
  <c r="Q45" i="16"/>
  <c r="R36" i="16" s="1"/>
  <c r="P45" i="16"/>
  <c r="L14" i="15"/>
  <c r="L15" i="15" s="1"/>
  <c r="Q57" i="16"/>
  <c r="R46" i="16" s="1"/>
  <c r="P57" i="16"/>
  <c r="H14" i="15"/>
  <c r="H15" i="15" s="1"/>
  <c r="P35" i="16"/>
  <c r="K14" i="15"/>
  <c r="Q35" i="16"/>
  <c r="R25" i="16" s="1"/>
  <c r="Q76" i="16"/>
  <c r="R68" i="16" s="1"/>
  <c r="P76" i="16"/>
  <c r="M14" i="15"/>
  <c r="M15" i="15" s="1"/>
  <c r="Q10" i="16"/>
  <c r="R5" i="16" s="1"/>
  <c r="P10" i="16"/>
  <c r="D2" i="16"/>
  <c r="D14" i="15"/>
  <c r="Q24" i="16"/>
  <c r="R20" i="16" s="1"/>
  <c r="P24" i="16"/>
  <c r="G14" i="15"/>
  <c r="G15" i="15" s="1"/>
  <c r="P13" i="16"/>
  <c r="E14" i="15"/>
  <c r="E15" i="15" s="1"/>
  <c r="Q13" i="16"/>
  <c r="R11" i="16" s="1"/>
  <c r="Q64" i="16"/>
  <c r="R58" i="16" s="1"/>
  <c r="P64" i="16"/>
  <c r="I14" i="15"/>
  <c r="I15" i="15" s="1"/>
  <c r="E8" i="17" l="1"/>
  <c r="K15" i="15"/>
  <c r="I8" i="15" s="1"/>
  <c r="I7" i="15"/>
  <c r="D15" i="15"/>
  <c r="G7" i="15"/>
  <c r="F7" i="15"/>
  <c r="E7" i="15"/>
  <c r="G8" i="15" l="1"/>
  <c r="E8" i="15"/>
  <c r="F8" i="15"/>
  <c r="O72" i="14" l="1"/>
  <c r="M72" i="14"/>
  <c r="N72" i="14" s="1"/>
  <c r="M14" i="13" s="1"/>
  <c r="M15" i="13" s="1"/>
  <c r="K72" i="14"/>
  <c r="AA71" i="14"/>
  <c r="V71" i="14"/>
  <c r="U71" i="14"/>
  <c r="O71" i="14"/>
  <c r="M71" i="14"/>
  <c r="K71" i="14"/>
  <c r="G71" i="14"/>
  <c r="AB70" i="14"/>
  <c r="V70" i="14"/>
  <c r="M70" i="14" s="1"/>
  <c r="U70" i="14"/>
  <c r="O70" i="14"/>
  <c r="K70" i="14"/>
  <c r="G70" i="14"/>
  <c r="AB69" i="14"/>
  <c r="AA69" i="14"/>
  <c r="V69" i="14"/>
  <c r="U69" i="14"/>
  <c r="Q69" i="14"/>
  <c r="P69" i="14"/>
  <c r="O69" i="14"/>
  <c r="M69" i="14"/>
  <c r="N69" i="14" s="1"/>
  <c r="K69" i="14"/>
  <c r="G69" i="14"/>
  <c r="AB68" i="14"/>
  <c r="AA68" i="14"/>
  <c r="X68" i="14"/>
  <c r="W68" i="14"/>
  <c r="V68" i="14"/>
  <c r="M68" i="14" s="1"/>
  <c r="N68" i="14" s="1"/>
  <c r="P68" i="14" s="1"/>
  <c r="U68" i="14"/>
  <c r="Q68" i="14"/>
  <c r="O68" i="14"/>
  <c r="K68" i="14"/>
  <c r="G68" i="14"/>
  <c r="AB67" i="14"/>
  <c r="AA67" i="14"/>
  <c r="V67" i="14"/>
  <c r="U67" i="14"/>
  <c r="Q67" i="14"/>
  <c r="P67" i="14"/>
  <c r="O67" i="14"/>
  <c r="M67" i="14"/>
  <c r="N67" i="14" s="1"/>
  <c r="K67" i="14"/>
  <c r="G67" i="14"/>
  <c r="AB66" i="14"/>
  <c r="AA66" i="14"/>
  <c r="V66" i="14"/>
  <c r="M66" i="14" s="1"/>
  <c r="N66" i="14" s="1"/>
  <c r="U66" i="14"/>
  <c r="Q66" i="14"/>
  <c r="P66" i="14"/>
  <c r="O66" i="14"/>
  <c r="K66" i="14"/>
  <c r="G66" i="14"/>
  <c r="AB65" i="14"/>
  <c r="AA65" i="14"/>
  <c r="V65" i="14"/>
  <c r="M65" i="14" s="1"/>
  <c r="U65" i="14"/>
  <c r="O65" i="14"/>
  <c r="N65" i="14"/>
  <c r="Q65" i="14" s="1"/>
  <c r="K65" i="14"/>
  <c r="G65" i="14"/>
  <c r="AA64" i="14"/>
  <c r="V64" i="14"/>
  <c r="U64" i="14"/>
  <c r="O64" i="14"/>
  <c r="N64" i="14"/>
  <c r="P64" i="14" s="1"/>
  <c r="M64" i="14"/>
  <c r="AB64" i="14" s="1"/>
  <c r="K64" i="14"/>
  <c r="G64" i="14"/>
  <c r="AA63" i="14"/>
  <c r="X63" i="14"/>
  <c r="W63" i="14"/>
  <c r="V63" i="14"/>
  <c r="M63" i="14" s="1"/>
  <c r="O63" i="14"/>
  <c r="K63" i="14"/>
  <c r="G63" i="14"/>
  <c r="O62" i="14"/>
  <c r="M62" i="14"/>
  <c r="AB62" i="14" s="1"/>
  <c r="AC58" i="14" s="1"/>
  <c r="K62" i="14"/>
  <c r="V61" i="14"/>
  <c r="M61" i="14" s="1"/>
  <c r="U61" i="14"/>
  <c r="Q61" i="14"/>
  <c r="P61" i="14"/>
  <c r="O61" i="14"/>
  <c r="N61" i="14"/>
  <c r="K61" i="14"/>
  <c r="G61" i="14"/>
  <c r="AB60" i="14"/>
  <c r="V60" i="14"/>
  <c r="U60" i="14"/>
  <c r="O60" i="14"/>
  <c r="N60" i="14"/>
  <c r="Q60" i="14" s="1"/>
  <c r="M60" i="14"/>
  <c r="AA60" i="14" s="1"/>
  <c r="K60" i="14"/>
  <c r="G60" i="14"/>
  <c r="AB59" i="14"/>
  <c r="AA59" i="14"/>
  <c r="V59" i="14"/>
  <c r="U59" i="14"/>
  <c r="O59" i="14"/>
  <c r="N59" i="14"/>
  <c r="M59" i="14"/>
  <c r="K59" i="14"/>
  <c r="G59" i="14"/>
  <c r="AB58" i="14"/>
  <c r="AA58" i="14"/>
  <c r="V58" i="14"/>
  <c r="O58" i="14"/>
  <c r="N58" i="14"/>
  <c r="M58" i="14"/>
  <c r="K58" i="14"/>
  <c r="G58" i="14"/>
  <c r="O57" i="14"/>
  <c r="K57" i="14"/>
  <c r="AB56" i="14"/>
  <c r="AA56" i="14"/>
  <c r="V56" i="14"/>
  <c r="M56" i="14" s="1"/>
  <c r="N56" i="14" s="1"/>
  <c r="U56" i="14"/>
  <c r="Q56" i="14"/>
  <c r="P56" i="14"/>
  <c r="O56" i="14"/>
  <c r="K56" i="14"/>
  <c r="G56" i="14"/>
  <c r="AB55" i="14"/>
  <c r="AA55" i="14"/>
  <c r="V55" i="14"/>
  <c r="M55" i="14" s="1"/>
  <c r="U55" i="14"/>
  <c r="O55" i="14"/>
  <c r="N55" i="14"/>
  <c r="Q55" i="14" s="1"/>
  <c r="K55" i="14"/>
  <c r="G55" i="14"/>
  <c r="AA54" i="14"/>
  <c r="V54" i="14"/>
  <c r="U54" i="14"/>
  <c r="O54" i="14"/>
  <c r="N54" i="14"/>
  <c r="P54" i="14" s="1"/>
  <c r="M54" i="14"/>
  <c r="AB54" i="14" s="1"/>
  <c r="K54" i="14"/>
  <c r="G54" i="14"/>
  <c r="V53" i="14"/>
  <c r="U53" i="14"/>
  <c r="O53" i="14"/>
  <c r="N53" i="14"/>
  <c r="Q53" i="14" s="1"/>
  <c r="M53" i="14"/>
  <c r="K53" i="14"/>
  <c r="G53" i="14"/>
  <c r="V52" i="14"/>
  <c r="U52" i="14"/>
  <c r="O52" i="14"/>
  <c r="M52" i="14"/>
  <c r="K52" i="14"/>
  <c r="G52" i="14"/>
  <c r="V51" i="14"/>
  <c r="O51" i="14"/>
  <c r="M51" i="14"/>
  <c r="K51" i="14"/>
  <c r="G51" i="14"/>
  <c r="O50" i="14"/>
  <c r="M50" i="14"/>
  <c r="N50" i="14" s="1"/>
  <c r="K50" i="14"/>
  <c r="AA49" i="14"/>
  <c r="V49" i="14"/>
  <c r="U49" i="14"/>
  <c r="O49" i="14"/>
  <c r="M49" i="14"/>
  <c r="K49" i="14"/>
  <c r="G49" i="14"/>
  <c r="AB48" i="14"/>
  <c r="X48" i="14"/>
  <c r="W48" i="14"/>
  <c r="V48" i="14"/>
  <c r="U48" i="14"/>
  <c r="O48" i="14"/>
  <c r="N48" i="14"/>
  <c r="M48" i="14"/>
  <c r="AA48" i="14" s="1"/>
  <c r="K48" i="14"/>
  <c r="G48" i="14"/>
  <c r="AA47" i="14"/>
  <c r="V47" i="14"/>
  <c r="U47" i="14"/>
  <c r="O47" i="14"/>
  <c r="M47" i="14"/>
  <c r="K47" i="14"/>
  <c r="G47" i="14"/>
  <c r="AB46" i="14"/>
  <c r="V46" i="14"/>
  <c r="M46" i="14" s="1"/>
  <c r="U46" i="14"/>
  <c r="O46" i="14"/>
  <c r="K46" i="14"/>
  <c r="G46" i="14"/>
  <c r="AB45" i="14"/>
  <c r="AA45" i="14"/>
  <c r="V45" i="14"/>
  <c r="U45" i="14"/>
  <c r="Q45" i="14"/>
  <c r="P45" i="14"/>
  <c r="O45" i="14"/>
  <c r="M45" i="14"/>
  <c r="N45" i="14" s="1"/>
  <c r="K45" i="14"/>
  <c r="G45" i="14"/>
  <c r="AB44" i="14"/>
  <c r="AA44" i="14"/>
  <c r="V44" i="14"/>
  <c r="Q44" i="14"/>
  <c r="P44" i="14"/>
  <c r="O44" i="14"/>
  <c r="M44" i="14"/>
  <c r="N44" i="14" s="1"/>
  <c r="K44" i="14"/>
  <c r="G44" i="14"/>
  <c r="O43" i="14"/>
  <c r="M43" i="14"/>
  <c r="AB43" i="14" s="1"/>
  <c r="AC36" i="14" s="1"/>
  <c r="K43" i="14"/>
  <c r="V42" i="14"/>
  <c r="U42" i="14"/>
  <c r="O42" i="14"/>
  <c r="M42" i="14"/>
  <c r="K42" i="14"/>
  <c r="G42" i="14"/>
  <c r="V41" i="14"/>
  <c r="M41" i="14" s="1"/>
  <c r="U41" i="14"/>
  <c r="Q41" i="14"/>
  <c r="P41" i="14"/>
  <c r="O41" i="14"/>
  <c r="N41" i="14"/>
  <c r="K41" i="14"/>
  <c r="G41" i="14"/>
  <c r="AB40" i="14"/>
  <c r="V40" i="14"/>
  <c r="U40" i="14"/>
  <c r="P40" i="14"/>
  <c r="O40" i="14"/>
  <c r="N40" i="14"/>
  <c r="Q40" i="14" s="1"/>
  <c r="M40" i="14"/>
  <c r="AA40" i="14" s="1"/>
  <c r="K40" i="14"/>
  <c r="G40" i="14"/>
  <c r="AB39" i="14"/>
  <c r="AA39" i="14"/>
  <c r="X39" i="14"/>
  <c r="W39" i="14"/>
  <c r="V39" i="14"/>
  <c r="M39" i="14" s="1"/>
  <c r="U39" i="14"/>
  <c r="Q39" i="14"/>
  <c r="P39" i="14"/>
  <c r="O39" i="14"/>
  <c r="N39" i="14"/>
  <c r="K39" i="14"/>
  <c r="G39" i="14"/>
  <c r="AB38" i="14"/>
  <c r="V38" i="14"/>
  <c r="U38" i="14"/>
  <c r="P38" i="14"/>
  <c r="O38" i="14"/>
  <c r="N38" i="14"/>
  <c r="Q38" i="14" s="1"/>
  <c r="M38" i="14"/>
  <c r="AA38" i="14" s="1"/>
  <c r="K38" i="14"/>
  <c r="G38" i="14"/>
  <c r="AB37" i="14"/>
  <c r="AA37" i="14"/>
  <c r="V37" i="14"/>
  <c r="U37" i="14"/>
  <c r="O37" i="14"/>
  <c r="N37" i="14"/>
  <c r="M37" i="14"/>
  <c r="K37" i="14"/>
  <c r="G37" i="14"/>
  <c r="AB36" i="14"/>
  <c r="AA36" i="14"/>
  <c r="X36" i="14"/>
  <c r="W36" i="14"/>
  <c r="V36" i="14"/>
  <c r="M36" i="14" s="1"/>
  <c r="Q36" i="14"/>
  <c r="P36" i="14"/>
  <c r="O36" i="14"/>
  <c r="N36" i="14"/>
  <c r="K36" i="14"/>
  <c r="G36" i="14"/>
  <c r="O35" i="14"/>
  <c r="M35" i="14"/>
  <c r="AA35" i="14" s="1"/>
  <c r="K35" i="14"/>
  <c r="AB34" i="14"/>
  <c r="V34" i="14"/>
  <c r="U34" i="14"/>
  <c r="O34" i="14"/>
  <c r="M34" i="14"/>
  <c r="K34" i="14"/>
  <c r="G34" i="14"/>
  <c r="AB33" i="14"/>
  <c r="AA33" i="14"/>
  <c r="V33" i="14"/>
  <c r="U33" i="14"/>
  <c r="Q33" i="14"/>
  <c r="P33" i="14"/>
  <c r="O33" i="14"/>
  <c r="M33" i="14"/>
  <c r="N33" i="14" s="1"/>
  <c r="K33" i="14"/>
  <c r="G33" i="14"/>
  <c r="AB32" i="14"/>
  <c r="AA32" i="14"/>
  <c r="V32" i="14"/>
  <c r="M32" i="14" s="1"/>
  <c r="N32" i="14" s="1"/>
  <c r="U32" i="14"/>
  <c r="Q32" i="14"/>
  <c r="P32" i="14"/>
  <c r="O32" i="14"/>
  <c r="K32" i="14"/>
  <c r="G32" i="14"/>
  <c r="AB31" i="14"/>
  <c r="AA31" i="14"/>
  <c r="V31" i="14"/>
  <c r="M31" i="14" s="1"/>
  <c r="U31" i="14"/>
  <c r="P31" i="14"/>
  <c r="O31" i="14"/>
  <c r="N31" i="14"/>
  <c r="Q31" i="14" s="1"/>
  <c r="K31" i="14"/>
  <c r="G31" i="14"/>
  <c r="AB30" i="14"/>
  <c r="AA30" i="14"/>
  <c r="X30" i="14"/>
  <c r="W30" i="14"/>
  <c r="V30" i="14"/>
  <c r="M30" i="14" s="1"/>
  <c r="N30" i="14" s="1"/>
  <c r="U30" i="14"/>
  <c r="Q30" i="14"/>
  <c r="P30" i="14"/>
  <c r="O30" i="14"/>
  <c r="K30" i="14"/>
  <c r="G30" i="14"/>
  <c r="AB29" i="14"/>
  <c r="AA29" i="14"/>
  <c r="V29" i="14"/>
  <c r="M29" i="14" s="1"/>
  <c r="U29" i="14"/>
  <c r="P29" i="14"/>
  <c r="O29" i="14"/>
  <c r="N29" i="14"/>
  <c r="Q29" i="14" s="1"/>
  <c r="K29" i="14"/>
  <c r="G29" i="14"/>
  <c r="AB28" i="14"/>
  <c r="AA28" i="14"/>
  <c r="V28" i="14"/>
  <c r="U28" i="14"/>
  <c r="O28" i="14"/>
  <c r="N28" i="14"/>
  <c r="P28" i="14" s="1"/>
  <c r="M28" i="14"/>
  <c r="K28" i="14"/>
  <c r="G28" i="14"/>
  <c r="AA27" i="14"/>
  <c r="V27" i="14"/>
  <c r="U27" i="14"/>
  <c r="O27" i="14"/>
  <c r="N27" i="14"/>
  <c r="Q27" i="14" s="1"/>
  <c r="M27" i="14"/>
  <c r="AB27" i="14" s="1"/>
  <c r="K27" i="14"/>
  <c r="G27" i="14"/>
  <c r="V26" i="14"/>
  <c r="U26" i="14"/>
  <c r="O26" i="14"/>
  <c r="M26" i="14"/>
  <c r="K26" i="14"/>
  <c r="G26" i="14"/>
  <c r="X25" i="14"/>
  <c r="W25" i="14"/>
  <c r="V25" i="14"/>
  <c r="O25" i="14"/>
  <c r="M25" i="14"/>
  <c r="N25" i="14" s="1"/>
  <c r="K25" i="14"/>
  <c r="G25" i="14"/>
  <c r="O24" i="14"/>
  <c r="K24" i="14"/>
  <c r="G13" i="13" s="1"/>
  <c r="AB23" i="14"/>
  <c r="AA23" i="14"/>
  <c r="V23" i="14"/>
  <c r="U23" i="14"/>
  <c r="O23" i="14"/>
  <c r="N23" i="14"/>
  <c r="Q23" i="14" s="1"/>
  <c r="M23" i="14"/>
  <c r="K23" i="14"/>
  <c r="G23" i="14"/>
  <c r="AB22" i="14"/>
  <c r="AA22" i="14"/>
  <c r="V22" i="14"/>
  <c r="U22" i="14"/>
  <c r="O22" i="14"/>
  <c r="N22" i="14"/>
  <c r="M22" i="14"/>
  <c r="K22" i="14"/>
  <c r="G22" i="14"/>
  <c r="AA21" i="14"/>
  <c r="V21" i="14"/>
  <c r="U21" i="14"/>
  <c r="O21" i="14"/>
  <c r="N21" i="14"/>
  <c r="M21" i="14"/>
  <c r="AB21" i="14" s="1"/>
  <c r="K21" i="14"/>
  <c r="G21" i="14"/>
  <c r="AB20" i="14"/>
  <c r="V20" i="14"/>
  <c r="U20" i="14"/>
  <c r="O20" i="14"/>
  <c r="M20" i="14"/>
  <c r="K20" i="14"/>
  <c r="G20" i="14"/>
  <c r="AB19" i="14"/>
  <c r="V19" i="14"/>
  <c r="O19" i="14"/>
  <c r="M19" i="14"/>
  <c r="K19" i="14"/>
  <c r="G19" i="14"/>
  <c r="AB18" i="14"/>
  <c r="AC12" i="14" s="1"/>
  <c r="AA18" i="14"/>
  <c r="O18" i="14"/>
  <c r="K18" i="14"/>
  <c r="AA17" i="14"/>
  <c r="V17" i="14"/>
  <c r="U17" i="14"/>
  <c r="O17" i="14"/>
  <c r="N17" i="14"/>
  <c r="Q17" i="14" s="1"/>
  <c r="M17" i="14"/>
  <c r="AB17" i="14" s="1"/>
  <c r="K17" i="14"/>
  <c r="G17" i="14"/>
  <c r="V16" i="14"/>
  <c r="U16" i="14"/>
  <c r="O16" i="14"/>
  <c r="M16" i="14"/>
  <c r="K16" i="14"/>
  <c r="G16" i="14"/>
  <c r="V15" i="14"/>
  <c r="M15" i="14" s="1"/>
  <c r="U15" i="14"/>
  <c r="Q15" i="14"/>
  <c r="P15" i="14"/>
  <c r="O15" i="14"/>
  <c r="N15" i="14"/>
  <c r="K15" i="14"/>
  <c r="G15" i="14"/>
  <c r="AB14" i="14"/>
  <c r="V14" i="14"/>
  <c r="U14" i="14"/>
  <c r="O14" i="14"/>
  <c r="N14" i="14"/>
  <c r="P14" i="14" s="1"/>
  <c r="M14" i="14"/>
  <c r="AA14" i="14" s="1"/>
  <c r="K14" i="14"/>
  <c r="G14" i="14"/>
  <c r="AB13" i="14"/>
  <c r="AA13" i="14"/>
  <c r="V13" i="14"/>
  <c r="U13" i="14"/>
  <c r="O13" i="14"/>
  <c r="N13" i="14"/>
  <c r="Q13" i="14" s="1"/>
  <c r="M13" i="14"/>
  <c r="K13" i="14"/>
  <c r="G13" i="14"/>
  <c r="AB12" i="14"/>
  <c r="AA12" i="14"/>
  <c r="V12" i="14"/>
  <c r="O12" i="14"/>
  <c r="N12" i="14"/>
  <c r="Q12" i="14" s="1"/>
  <c r="M12" i="14"/>
  <c r="M18" i="14" s="1"/>
  <c r="N18" i="14" s="1"/>
  <c r="K12" i="14"/>
  <c r="G12" i="14"/>
  <c r="AB11" i="14"/>
  <c r="AC9" i="14" s="1"/>
  <c r="AA11" i="14"/>
  <c r="O11" i="14"/>
  <c r="M11" i="14"/>
  <c r="N11" i="14" s="1"/>
  <c r="P11" i="14" s="1"/>
  <c r="K11" i="14"/>
  <c r="E13" i="13" s="1"/>
  <c r="AB10" i="14"/>
  <c r="AA10" i="14"/>
  <c r="V10" i="14"/>
  <c r="M10" i="14" s="1"/>
  <c r="N10" i="14" s="1"/>
  <c r="U10" i="14"/>
  <c r="Q10" i="14"/>
  <c r="P10" i="14"/>
  <c r="O10" i="14"/>
  <c r="K10" i="14"/>
  <c r="G10" i="14"/>
  <c r="AB9" i="14"/>
  <c r="AA9" i="14"/>
  <c r="V9" i="14"/>
  <c r="M9" i="14" s="1"/>
  <c r="N9" i="14" s="1"/>
  <c r="Q9" i="14"/>
  <c r="P9" i="14"/>
  <c r="O9" i="14"/>
  <c r="K9" i="14"/>
  <c r="G9" i="14"/>
  <c r="AB8" i="14"/>
  <c r="AC5" i="14" s="1"/>
  <c r="AA8" i="14"/>
  <c r="O8" i="14"/>
  <c r="M8" i="14"/>
  <c r="N8" i="14" s="1"/>
  <c r="K8" i="14"/>
  <c r="V7" i="14"/>
  <c r="M7" i="14" s="1"/>
  <c r="U7" i="14"/>
  <c r="Q7" i="14"/>
  <c r="P7" i="14"/>
  <c r="O7" i="14"/>
  <c r="N7" i="14"/>
  <c r="K7" i="14"/>
  <c r="G7" i="14"/>
  <c r="AB6" i="14"/>
  <c r="V6" i="14"/>
  <c r="U6" i="14"/>
  <c r="O6" i="14"/>
  <c r="N6" i="14"/>
  <c r="Q6" i="14" s="1"/>
  <c r="M6" i="14"/>
  <c r="AA6" i="14" s="1"/>
  <c r="K6" i="14"/>
  <c r="G6" i="14"/>
  <c r="AB5" i="14"/>
  <c r="V5" i="14"/>
  <c r="O5" i="14"/>
  <c r="N5" i="14"/>
  <c r="Q5" i="14" s="1"/>
  <c r="M5" i="14"/>
  <c r="AA5" i="14" s="1"/>
  <c r="K5" i="14"/>
  <c r="G5" i="14"/>
  <c r="F1" i="14" s="1"/>
  <c r="I3" i="13" s="1"/>
  <c r="H2" i="14"/>
  <c r="F2" i="14"/>
  <c r="H1" i="14"/>
  <c r="D1" i="14"/>
  <c r="M18" i="13"/>
  <c r="L18" i="13"/>
  <c r="K18" i="13"/>
  <c r="J18" i="13"/>
  <c r="I18" i="13"/>
  <c r="H18" i="13"/>
  <c r="G18" i="13"/>
  <c r="F18" i="13"/>
  <c r="E18" i="13"/>
  <c r="D18" i="13"/>
  <c r="M17" i="13"/>
  <c r="L17" i="13"/>
  <c r="K17" i="13"/>
  <c r="J17" i="13"/>
  <c r="I17" i="13"/>
  <c r="H17" i="13"/>
  <c r="G17" i="13"/>
  <c r="F17" i="13"/>
  <c r="E17" i="13"/>
  <c r="D17" i="13"/>
  <c r="M16" i="13"/>
  <c r="L16" i="13"/>
  <c r="K16" i="13"/>
  <c r="J16" i="13"/>
  <c r="I16" i="13"/>
  <c r="H16" i="13"/>
  <c r="G16" i="13"/>
  <c r="F16" i="13"/>
  <c r="E16" i="13"/>
  <c r="D16" i="13"/>
  <c r="E14" i="13"/>
  <c r="E15" i="13" s="1"/>
  <c r="M13" i="13"/>
  <c r="L13" i="13"/>
  <c r="K13" i="13"/>
  <c r="I6" i="13" s="1"/>
  <c r="J13" i="13"/>
  <c r="E6" i="13" s="1"/>
  <c r="I13" i="13"/>
  <c r="H13" i="13"/>
  <c r="F13" i="13"/>
  <c r="D13" i="13"/>
  <c r="F3" i="13"/>
  <c r="C3" i="13"/>
  <c r="Q18" i="14" l="1"/>
  <c r="R12" i="14" s="1"/>
  <c r="F14" i="13"/>
  <c r="F15" i="13" s="1"/>
  <c r="P18" i="14"/>
  <c r="Q8" i="14"/>
  <c r="R5" i="14" s="1"/>
  <c r="P8" i="14"/>
  <c r="D14" i="13"/>
  <c r="P25" i="14"/>
  <c r="Q25" i="14"/>
  <c r="P5" i="14"/>
  <c r="P12" i="14"/>
  <c r="P23" i="14"/>
  <c r="N43" i="14"/>
  <c r="P6" i="14"/>
  <c r="P13" i="14"/>
  <c r="P17" i="14"/>
  <c r="P27" i="14"/>
  <c r="AB35" i="14"/>
  <c r="AC25" i="14" s="1"/>
  <c r="Q14" i="14"/>
  <c r="P60" i="14"/>
  <c r="P53" i="14"/>
  <c r="N35" i="14"/>
  <c r="K14" i="13" s="1"/>
  <c r="N62" i="14"/>
  <c r="Q54" i="14"/>
  <c r="Q64" i="14"/>
  <c r="Q28" i="14"/>
  <c r="AA43" i="14"/>
  <c r="P55" i="14"/>
  <c r="AA62" i="14"/>
  <c r="P65" i="14"/>
  <c r="Q11" i="14"/>
  <c r="R9" i="14" s="1"/>
  <c r="G6" i="13"/>
  <c r="F6" i="13"/>
  <c r="AB7" i="14"/>
  <c r="AA7" i="14"/>
  <c r="AB15" i="14"/>
  <c r="AA15" i="14"/>
  <c r="AB16" i="14"/>
  <c r="AA16" i="14"/>
  <c r="N16" i="14"/>
  <c r="N19" i="14"/>
  <c r="M24" i="14"/>
  <c r="AA19" i="14"/>
  <c r="N20" i="14"/>
  <c r="AA20" i="14"/>
  <c r="Q21" i="14"/>
  <c r="P21" i="14"/>
  <c r="Q22" i="14"/>
  <c r="P22" i="14"/>
  <c r="AB25" i="14"/>
  <c r="AA25" i="14"/>
  <c r="AB26" i="14"/>
  <c r="AA26" i="14"/>
  <c r="N26" i="14"/>
  <c r="N34" i="14"/>
  <c r="AA34" i="14"/>
  <c r="P35" i="14"/>
  <c r="Q37" i="14"/>
  <c r="P37" i="14"/>
  <c r="AB41" i="14"/>
  <c r="AA41" i="14"/>
  <c r="AB42" i="14"/>
  <c r="AA42" i="14"/>
  <c r="N42" i="14"/>
  <c r="N46" i="14"/>
  <c r="AA46" i="14"/>
  <c r="N47" i="14"/>
  <c r="AB47" i="14"/>
  <c r="Q48" i="14"/>
  <c r="P48" i="14"/>
  <c r="N49" i="14"/>
  <c r="AB49" i="14"/>
  <c r="AB50" i="14"/>
  <c r="AC44" i="14" s="1"/>
  <c r="AA50" i="14"/>
  <c r="H14" i="13"/>
  <c r="H15" i="13" s="1"/>
  <c r="Q50" i="14"/>
  <c r="R44" i="14" s="1"/>
  <c r="P50" i="14"/>
  <c r="AB51" i="14"/>
  <c r="AA51" i="14"/>
  <c r="M57" i="14"/>
  <c r="N51" i="14"/>
  <c r="AB52" i="14"/>
  <c r="AA52" i="14"/>
  <c r="N52" i="14"/>
  <c r="AB53" i="14"/>
  <c r="AA53" i="14"/>
  <c r="Q58" i="14"/>
  <c r="P58" i="14"/>
  <c r="Q59" i="14"/>
  <c r="P59" i="14"/>
  <c r="AB61" i="14"/>
  <c r="AA61" i="14"/>
  <c r="N63" i="14"/>
  <c r="AB63" i="14"/>
  <c r="N70" i="14"/>
  <c r="AA70" i="14"/>
  <c r="N71" i="14"/>
  <c r="AB71" i="14"/>
  <c r="AB72" i="14"/>
  <c r="AC63" i="14" s="1"/>
  <c r="AA72" i="14"/>
  <c r="Q72" i="14"/>
  <c r="R63" i="14" s="1"/>
  <c r="P72" i="14"/>
  <c r="O64" i="12"/>
  <c r="K64" i="12"/>
  <c r="V63" i="12"/>
  <c r="U63" i="12"/>
  <c r="O63" i="12"/>
  <c r="M63" i="12"/>
  <c r="N63" i="12" s="1"/>
  <c r="K63" i="12"/>
  <c r="G63" i="12"/>
  <c r="AB62" i="12"/>
  <c r="AA62" i="12"/>
  <c r="V62" i="12"/>
  <c r="U62" i="12"/>
  <c r="Q62" i="12"/>
  <c r="P62" i="12"/>
  <c r="O62" i="12"/>
  <c r="N62" i="12"/>
  <c r="M62" i="12"/>
  <c r="K62" i="12"/>
  <c r="G62" i="12"/>
  <c r="AB61" i="12"/>
  <c r="AA61" i="12"/>
  <c r="V61" i="12"/>
  <c r="U61" i="12"/>
  <c r="O61" i="12"/>
  <c r="N61" i="12"/>
  <c r="P61" i="12" s="1"/>
  <c r="M61" i="12"/>
  <c r="K61" i="12"/>
  <c r="G61" i="12"/>
  <c r="AB60" i="12"/>
  <c r="AA60" i="12"/>
  <c r="V60" i="12"/>
  <c r="U60" i="12"/>
  <c r="Q60" i="12"/>
  <c r="O60" i="12"/>
  <c r="N60" i="12"/>
  <c r="P60" i="12" s="1"/>
  <c r="M60" i="12"/>
  <c r="K60" i="12"/>
  <c r="G60" i="12"/>
  <c r="AB59" i="12"/>
  <c r="AA59" i="12"/>
  <c r="X59" i="12"/>
  <c r="W59" i="12"/>
  <c r="V59" i="12"/>
  <c r="Q59" i="12"/>
  <c r="O59" i="12"/>
  <c r="N59" i="12"/>
  <c r="P59" i="12" s="1"/>
  <c r="M59" i="12"/>
  <c r="K59" i="12"/>
  <c r="G59" i="12"/>
  <c r="O58" i="12"/>
  <c r="K58" i="12"/>
  <c r="AB57" i="12"/>
  <c r="AA57" i="12"/>
  <c r="V57" i="12"/>
  <c r="U57" i="12"/>
  <c r="O57" i="12"/>
  <c r="M57" i="12"/>
  <c r="N57" i="12" s="1"/>
  <c r="K57" i="12"/>
  <c r="G57" i="12"/>
  <c r="AB56" i="12"/>
  <c r="AA56" i="12"/>
  <c r="V56" i="12"/>
  <c r="U56" i="12"/>
  <c r="O56" i="12"/>
  <c r="N56" i="12"/>
  <c r="Q56" i="12" s="1"/>
  <c r="M56" i="12"/>
  <c r="K56" i="12"/>
  <c r="G56" i="12"/>
  <c r="AB55" i="12"/>
  <c r="AA55" i="12"/>
  <c r="V55" i="12"/>
  <c r="U55" i="12"/>
  <c r="O55" i="12"/>
  <c r="N55" i="12"/>
  <c r="Q55" i="12" s="1"/>
  <c r="M55" i="12"/>
  <c r="K55" i="12"/>
  <c r="G55" i="12"/>
  <c r="V54" i="12"/>
  <c r="U54" i="12"/>
  <c r="O54" i="12"/>
  <c r="M54" i="12"/>
  <c r="M58" i="12" s="1"/>
  <c r="K54" i="12"/>
  <c r="G54" i="12"/>
  <c r="AB53" i="12"/>
  <c r="AA53" i="12"/>
  <c r="V53" i="12"/>
  <c r="Q53" i="12"/>
  <c r="P53" i="12"/>
  <c r="O53" i="12"/>
  <c r="N53" i="12"/>
  <c r="M53" i="12"/>
  <c r="K53" i="12"/>
  <c r="G53" i="12"/>
  <c r="O52" i="12"/>
  <c r="K52" i="12"/>
  <c r="AB51" i="12"/>
  <c r="AA51" i="12"/>
  <c r="V51" i="12"/>
  <c r="U51" i="12"/>
  <c r="Q51" i="12"/>
  <c r="P51" i="12"/>
  <c r="O51" i="12"/>
  <c r="N51" i="12"/>
  <c r="M51" i="12"/>
  <c r="K51" i="12"/>
  <c r="G51" i="12"/>
  <c r="AB50" i="12"/>
  <c r="AA50" i="12"/>
  <c r="V50" i="12"/>
  <c r="U50" i="12"/>
  <c r="O50" i="12"/>
  <c r="N50" i="12"/>
  <c r="P50" i="12" s="1"/>
  <c r="M50" i="12"/>
  <c r="K50" i="12"/>
  <c r="G50" i="12"/>
  <c r="AB49" i="12"/>
  <c r="AA49" i="12"/>
  <c r="V49" i="12"/>
  <c r="U49" i="12"/>
  <c r="P49" i="12"/>
  <c r="O49" i="12"/>
  <c r="N49" i="12"/>
  <c r="Q49" i="12" s="1"/>
  <c r="M49" i="12"/>
  <c r="K49" i="12"/>
  <c r="G49" i="12"/>
  <c r="V48" i="12"/>
  <c r="U48" i="12"/>
  <c r="O48" i="12"/>
  <c r="M48" i="12"/>
  <c r="AB48" i="12" s="1"/>
  <c r="K48" i="12"/>
  <c r="G48" i="12"/>
  <c r="AB47" i="12"/>
  <c r="AA47" i="12"/>
  <c r="V47" i="12"/>
  <c r="U47" i="12"/>
  <c r="O47" i="12"/>
  <c r="N47" i="12"/>
  <c r="Q47" i="12" s="1"/>
  <c r="M47" i="12"/>
  <c r="K47" i="12"/>
  <c r="G47" i="12"/>
  <c r="AB46" i="12"/>
  <c r="AA46" i="12"/>
  <c r="V46" i="12"/>
  <c r="O46" i="12"/>
  <c r="M46" i="12"/>
  <c r="N46" i="12" s="1"/>
  <c r="K46" i="12"/>
  <c r="G46" i="12"/>
  <c r="O45" i="12"/>
  <c r="K45" i="12"/>
  <c r="AB44" i="12"/>
  <c r="AA44" i="12"/>
  <c r="V44" i="12"/>
  <c r="U44" i="12"/>
  <c r="O44" i="12"/>
  <c r="M44" i="12"/>
  <c r="N44" i="12" s="1"/>
  <c r="K44" i="12"/>
  <c r="G44" i="12"/>
  <c r="V43" i="12"/>
  <c r="U43" i="12"/>
  <c r="O43" i="12"/>
  <c r="M43" i="12"/>
  <c r="AA43" i="12" s="1"/>
  <c r="K43" i="12"/>
  <c r="G43" i="12"/>
  <c r="AB42" i="12"/>
  <c r="AA42" i="12"/>
  <c r="V42" i="12"/>
  <c r="U42" i="12"/>
  <c r="Q42" i="12"/>
  <c r="O42" i="12"/>
  <c r="N42" i="12"/>
  <c r="P42" i="12" s="1"/>
  <c r="M42" i="12"/>
  <c r="K42" i="12"/>
  <c r="G42" i="12"/>
  <c r="AB41" i="12"/>
  <c r="AA41" i="12"/>
  <c r="V41" i="12"/>
  <c r="U41" i="12"/>
  <c r="O41" i="12"/>
  <c r="N41" i="12"/>
  <c r="Q41" i="12" s="1"/>
  <c r="M41" i="12"/>
  <c r="K41" i="12"/>
  <c r="G41" i="12"/>
  <c r="AB40" i="12"/>
  <c r="AA40" i="12"/>
  <c r="V40" i="12"/>
  <c r="Q40" i="12"/>
  <c r="P40" i="12"/>
  <c r="O40" i="12"/>
  <c r="N40" i="12"/>
  <c r="M40" i="12"/>
  <c r="K40" i="12"/>
  <c r="G40" i="12"/>
  <c r="O39" i="12"/>
  <c r="M39" i="12"/>
  <c r="N39" i="12" s="1"/>
  <c r="K39" i="12"/>
  <c r="AB38" i="12"/>
  <c r="AA38" i="12"/>
  <c r="V38" i="12"/>
  <c r="U38" i="12"/>
  <c r="O38" i="12"/>
  <c r="N38" i="12"/>
  <c r="Q38" i="12" s="1"/>
  <c r="M38" i="12"/>
  <c r="K38" i="12"/>
  <c r="G38" i="12"/>
  <c r="AB37" i="12"/>
  <c r="AA37" i="12"/>
  <c r="X37" i="12"/>
  <c r="W37" i="12"/>
  <c r="V37" i="12"/>
  <c r="U37" i="12"/>
  <c r="O37" i="12"/>
  <c r="N37" i="12"/>
  <c r="Q37" i="12" s="1"/>
  <c r="M37" i="12"/>
  <c r="K37" i="12"/>
  <c r="G37" i="12"/>
  <c r="AB36" i="12"/>
  <c r="AA36" i="12"/>
  <c r="V36" i="12"/>
  <c r="U36" i="12"/>
  <c r="Q36" i="12"/>
  <c r="O36" i="12"/>
  <c r="N36" i="12"/>
  <c r="P36" i="12" s="1"/>
  <c r="M36" i="12"/>
  <c r="K36" i="12"/>
  <c r="G36" i="12"/>
  <c r="AB35" i="12"/>
  <c r="AA35" i="12"/>
  <c r="V35" i="12"/>
  <c r="U35" i="12"/>
  <c r="O35" i="12"/>
  <c r="N35" i="12"/>
  <c r="P35" i="12" s="1"/>
  <c r="M35" i="12"/>
  <c r="K35" i="12"/>
  <c r="G35" i="12"/>
  <c r="AB34" i="12"/>
  <c r="AA34" i="12"/>
  <c r="X34" i="12"/>
  <c r="W34" i="12"/>
  <c r="V34" i="12"/>
  <c r="O34" i="12"/>
  <c r="N34" i="12"/>
  <c r="P34" i="12" s="1"/>
  <c r="M34" i="12"/>
  <c r="K34" i="12"/>
  <c r="G34" i="12"/>
  <c r="O33" i="12"/>
  <c r="K33" i="12"/>
  <c r="AB32" i="12"/>
  <c r="AA32" i="12"/>
  <c r="V32" i="12"/>
  <c r="U32" i="12"/>
  <c r="O32" i="12"/>
  <c r="N32" i="12"/>
  <c r="Q32" i="12" s="1"/>
  <c r="M32" i="12"/>
  <c r="K32" i="12"/>
  <c r="G32" i="12"/>
  <c r="AB31" i="12"/>
  <c r="AA31" i="12"/>
  <c r="X31" i="12"/>
  <c r="W31" i="12"/>
  <c r="V31" i="12"/>
  <c r="U31" i="12"/>
  <c r="Q31" i="12"/>
  <c r="P31" i="12"/>
  <c r="O31" i="12"/>
  <c r="N31" i="12"/>
  <c r="M31" i="12"/>
  <c r="K31" i="12"/>
  <c r="G31" i="12"/>
  <c r="AB30" i="12"/>
  <c r="AA30" i="12"/>
  <c r="V30" i="12"/>
  <c r="U30" i="12"/>
  <c r="O30" i="12"/>
  <c r="N30" i="12"/>
  <c r="P30" i="12" s="1"/>
  <c r="M30" i="12"/>
  <c r="K30" i="12"/>
  <c r="G30" i="12"/>
  <c r="AB29" i="12"/>
  <c r="AA29" i="12"/>
  <c r="V29" i="12"/>
  <c r="U29" i="12"/>
  <c r="P29" i="12"/>
  <c r="O29" i="12"/>
  <c r="N29" i="12"/>
  <c r="Q29" i="12" s="1"/>
  <c r="M29" i="12"/>
  <c r="K29" i="12"/>
  <c r="G29" i="12"/>
  <c r="V28" i="12"/>
  <c r="U28" i="12"/>
  <c r="O28" i="12"/>
  <c r="M28" i="12"/>
  <c r="M33" i="12" s="1"/>
  <c r="K28" i="12"/>
  <c r="G28" i="12"/>
  <c r="AB27" i="12"/>
  <c r="AA27" i="12"/>
  <c r="V27" i="12"/>
  <c r="U27" i="12"/>
  <c r="O27" i="12"/>
  <c r="N27" i="12"/>
  <c r="Q27" i="12" s="1"/>
  <c r="M27" i="12"/>
  <c r="K27" i="12"/>
  <c r="G27" i="12"/>
  <c r="AB26" i="12"/>
  <c r="AA26" i="12"/>
  <c r="X26" i="12"/>
  <c r="W26" i="12"/>
  <c r="V26" i="12"/>
  <c r="O26" i="12"/>
  <c r="N26" i="12"/>
  <c r="Q26" i="12" s="1"/>
  <c r="M26" i="12"/>
  <c r="K26" i="12"/>
  <c r="G26" i="12"/>
  <c r="O25" i="12"/>
  <c r="K25" i="12"/>
  <c r="AB24" i="12"/>
  <c r="AA24" i="12"/>
  <c r="V24" i="12"/>
  <c r="U24" i="12"/>
  <c r="Q24" i="12"/>
  <c r="O24" i="12"/>
  <c r="N24" i="12"/>
  <c r="P24" i="12" s="1"/>
  <c r="M24" i="12"/>
  <c r="K24" i="12"/>
  <c r="G24" i="12"/>
  <c r="AB23" i="12"/>
  <c r="AA23" i="12"/>
  <c r="V23" i="12"/>
  <c r="U23" i="12"/>
  <c r="O23" i="12"/>
  <c r="N23" i="12"/>
  <c r="P23" i="12" s="1"/>
  <c r="M23" i="12"/>
  <c r="K23" i="12"/>
  <c r="G23" i="12"/>
  <c r="AB22" i="12"/>
  <c r="AA22" i="12"/>
  <c r="V22" i="12"/>
  <c r="U22" i="12"/>
  <c r="O22" i="12"/>
  <c r="N22" i="12"/>
  <c r="Q22" i="12" s="1"/>
  <c r="M22" i="12"/>
  <c r="K22" i="12"/>
  <c r="G22" i="12"/>
  <c r="V21" i="12"/>
  <c r="U21" i="12"/>
  <c r="O21" i="12"/>
  <c r="M21" i="12"/>
  <c r="M25" i="12" s="1"/>
  <c r="K21" i="12"/>
  <c r="G21" i="12"/>
  <c r="AB20" i="12"/>
  <c r="AA20" i="12"/>
  <c r="V20" i="12"/>
  <c r="P20" i="12"/>
  <c r="O20" i="12"/>
  <c r="N20" i="12"/>
  <c r="Q20" i="12" s="1"/>
  <c r="M20" i="12"/>
  <c r="K20" i="12"/>
  <c r="G20" i="12"/>
  <c r="O19" i="12"/>
  <c r="M19" i="12"/>
  <c r="AB19" i="12" s="1"/>
  <c r="AC12" i="12" s="1"/>
  <c r="K19" i="12"/>
  <c r="AB18" i="12"/>
  <c r="AA18" i="12"/>
  <c r="V18" i="12"/>
  <c r="U18" i="12"/>
  <c r="Q18" i="12"/>
  <c r="P18" i="12"/>
  <c r="O18" i="12"/>
  <c r="N18" i="12"/>
  <c r="M18" i="12"/>
  <c r="K18" i="12"/>
  <c r="G18" i="12"/>
  <c r="AB17" i="12"/>
  <c r="AA17" i="12"/>
  <c r="V17" i="12"/>
  <c r="U17" i="12"/>
  <c r="O17" i="12"/>
  <c r="N17" i="12"/>
  <c r="Q17" i="12" s="1"/>
  <c r="M17" i="12"/>
  <c r="K17" i="12"/>
  <c r="G17" i="12"/>
  <c r="AB16" i="12"/>
  <c r="AA16" i="12"/>
  <c r="V16" i="12"/>
  <c r="U16" i="12"/>
  <c r="Q16" i="12"/>
  <c r="O16" i="12"/>
  <c r="N16" i="12"/>
  <c r="P16" i="12" s="1"/>
  <c r="M16" i="12"/>
  <c r="K16" i="12"/>
  <c r="G16" i="12"/>
  <c r="AB15" i="12"/>
  <c r="AA15" i="12"/>
  <c r="V15" i="12"/>
  <c r="U15" i="12"/>
  <c r="O15" i="12"/>
  <c r="N15" i="12"/>
  <c r="Q15" i="12" s="1"/>
  <c r="M15" i="12"/>
  <c r="K15" i="12"/>
  <c r="G15" i="12"/>
  <c r="V14" i="12"/>
  <c r="U14" i="12"/>
  <c r="O14" i="12"/>
  <c r="M14" i="12"/>
  <c r="AB14" i="12" s="1"/>
  <c r="K14" i="12"/>
  <c r="G14" i="12"/>
  <c r="AB13" i="12"/>
  <c r="AA13" i="12"/>
  <c r="V13" i="12"/>
  <c r="U13" i="12"/>
  <c r="O13" i="12"/>
  <c r="M13" i="12"/>
  <c r="N13" i="12" s="1"/>
  <c r="K13" i="12"/>
  <c r="G13" i="12"/>
  <c r="AB12" i="12"/>
  <c r="AA12" i="12"/>
  <c r="V12" i="12"/>
  <c r="Q12" i="12"/>
  <c r="P12" i="12"/>
  <c r="O12" i="12"/>
  <c r="N12" i="12"/>
  <c r="M12" i="12"/>
  <c r="K12" i="12"/>
  <c r="G12" i="12"/>
  <c r="AB11" i="12"/>
  <c r="AC9" i="12" s="1"/>
  <c r="AA11" i="12"/>
  <c r="O11" i="12"/>
  <c r="M11" i="12"/>
  <c r="N11" i="12" s="1"/>
  <c r="K11" i="12"/>
  <c r="AB10" i="12"/>
  <c r="AA10" i="12"/>
  <c r="V10" i="12"/>
  <c r="U10" i="12"/>
  <c r="O10" i="12"/>
  <c r="N10" i="12"/>
  <c r="P10" i="12" s="1"/>
  <c r="M10" i="12"/>
  <c r="K10" i="12"/>
  <c r="G10" i="12"/>
  <c r="AB9" i="12"/>
  <c r="AA9" i="12"/>
  <c r="V9" i="12"/>
  <c r="O9" i="12"/>
  <c r="N9" i="12"/>
  <c r="Q9" i="12" s="1"/>
  <c r="M9" i="12"/>
  <c r="K9" i="12"/>
  <c r="G9" i="12"/>
  <c r="O8" i="12"/>
  <c r="K8" i="12"/>
  <c r="AB7" i="12"/>
  <c r="AA7" i="12"/>
  <c r="V7" i="12"/>
  <c r="U7" i="12"/>
  <c r="O7" i="12"/>
  <c r="N7" i="12"/>
  <c r="Q7" i="12" s="1"/>
  <c r="M7" i="12"/>
  <c r="K7" i="12"/>
  <c r="G7" i="12"/>
  <c r="V6" i="12"/>
  <c r="U6" i="12"/>
  <c r="O6" i="12"/>
  <c r="M6" i="12"/>
  <c r="N6" i="12" s="1"/>
  <c r="K6" i="12"/>
  <c r="G6" i="12"/>
  <c r="AB5" i="12"/>
  <c r="AA5" i="12"/>
  <c r="V5" i="12"/>
  <c r="Q5" i="12"/>
  <c r="P5" i="12"/>
  <c r="O5" i="12"/>
  <c r="N5" i="12"/>
  <c r="M5" i="12"/>
  <c r="K5" i="12"/>
  <c r="G5" i="12"/>
  <c r="H2" i="12"/>
  <c r="H1" i="12"/>
  <c r="F1" i="12"/>
  <c r="F2" i="12" s="1"/>
  <c r="D1" i="12"/>
  <c r="M18" i="11"/>
  <c r="L18" i="11"/>
  <c r="K18" i="11"/>
  <c r="J18" i="11"/>
  <c r="I18" i="11"/>
  <c r="H18" i="11"/>
  <c r="G18" i="11"/>
  <c r="F18" i="11"/>
  <c r="E18" i="11"/>
  <c r="D18" i="11"/>
  <c r="M17" i="11"/>
  <c r="L17" i="11"/>
  <c r="K17" i="11"/>
  <c r="J17" i="11"/>
  <c r="I17" i="11"/>
  <c r="H17" i="11"/>
  <c r="G17" i="11"/>
  <c r="F17" i="11"/>
  <c r="E17" i="11"/>
  <c r="D17" i="11"/>
  <c r="M16" i="11"/>
  <c r="L16" i="11"/>
  <c r="K16" i="11"/>
  <c r="J16" i="11"/>
  <c r="I16" i="11"/>
  <c r="H16" i="11"/>
  <c r="G16" i="11"/>
  <c r="F16" i="11"/>
  <c r="E16" i="11"/>
  <c r="D16" i="11"/>
  <c r="M13" i="11"/>
  <c r="L13" i="11"/>
  <c r="K13" i="11"/>
  <c r="J13" i="11"/>
  <c r="I13" i="11"/>
  <c r="H13" i="11"/>
  <c r="G13" i="11"/>
  <c r="F13" i="11"/>
  <c r="E13" i="11"/>
  <c r="D13" i="11"/>
  <c r="I6" i="11"/>
  <c r="G6" i="11"/>
  <c r="F6" i="11"/>
  <c r="E6" i="11"/>
  <c r="F3" i="11"/>
  <c r="C3" i="11"/>
  <c r="P70" i="14" l="1"/>
  <c r="Q70" i="14"/>
  <c r="Q62" i="14"/>
  <c r="R58" i="14" s="1"/>
  <c r="P62" i="14"/>
  <c r="J14" i="13"/>
  <c r="J15" i="13" s="1"/>
  <c r="P63" i="14"/>
  <c r="Q63" i="14"/>
  <c r="Q35" i="14"/>
  <c r="R25" i="14" s="1"/>
  <c r="K15" i="13"/>
  <c r="P20" i="14"/>
  <c r="Q20" i="14"/>
  <c r="D15" i="13"/>
  <c r="AB24" i="14"/>
  <c r="AC19" i="14" s="1"/>
  <c r="N24" i="14"/>
  <c r="AA24" i="14"/>
  <c r="Q16" i="14"/>
  <c r="P16" i="14"/>
  <c r="P51" i="14"/>
  <c r="Q51" i="14"/>
  <c r="N57" i="14"/>
  <c r="AA57" i="14"/>
  <c r="AB57" i="14"/>
  <c r="AC51" i="14" s="1"/>
  <c r="P34" i="14"/>
  <c r="Q34" i="14"/>
  <c r="P46" i="14"/>
  <c r="Q46" i="14"/>
  <c r="Q26" i="14"/>
  <c r="P26" i="14"/>
  <c r="Q42" i="14"/>
  <c r="P42" i="14"/>
  <c r="P19" i="14"/>
  <c r="Q19" i="14"/>
  <c r="Q52" i="14"/>
  <c r="P52" i="14"/>
  <c r="P43" i="14"/>
  <c r="Q43" i="14"/>
  <c r="R36" i="14" s="1"/>
  <c r="L14" i="13"/>
  <c r="L15" i="13" s="1"/>
  <c r="Q71" i="14"/>
  <c r="P71" i="14"/>
  <c r="P57" i="14"/>
  <c r="I14" i="13"/>
  <c r="I15" i="13" s="1"/>
  <c r="Q49" i="14"/>
  <c r="P49" i="14"/>
  <c r="Q47" i="14"/>
  <c r="P47" i="14"/>
  <c r="N58" i="12"/>
  <c r="AB58" i="12"/>
  <c r="AC53" i="12" s="1"/>
  <c r="AA58" i="12"/>
  <c r="P6" i="12"/>
  <c r="Q6" i="12"/>
  <c r="Q57" i="12"/>
  <c r="P57" i="12"/>
  <c r="P44" i="12"/>
  <c r="Q44" i="12"/>
  <c r="Q39" i="12"/>
  <c r="R34" i="12" s="1"/>
  <c r="P39" i="12"/>
  <c r="L14" i="11"/>
  <c r="L15" i="11" s="1"/>
  <c r="P13" i="12"/>
  <c r="Q13" i="12"/>
  <c r="N33" i="12"/>
  <c r="AA33" i="12"/>
  <c r="AB33" i="12"/>
  <c r="AC26" i="12" s="1"/>
  <c r="P11" i="12"/>
  <c r="Q11" i="12"/>
  <c r="R9" i="12" s="1"/>
  <c r="E14" i="11"/>
  <c r="E15" i="11" s="1"/>
  <c r="N25" i="12"/>
  <c r="AB25" i="12"/>
  <c r="AC20" i="12" s="1"/>
  <c r="AA25" i="12"/>
  <c r="P63" i="12"/>
  <c r="Q63" i="12"/>
  <c r="Q46" i="12"/>
  <c r="P46" i="12"/>
  <c r="N19" i="12"/>
  <c r="Q35" i="12"/>
  <c r="Q30" i="12"/>
  <c r="AA19" i="12"/>
  <c r="AA28" i="12"/>
  <c r="AA48" i="12"/>
  <c r="P41" i="12"/>
  <c r="N14" i="12"/>
  <c r="Q23" i="12"/>
  <c r="P32" i="12"/>
  <c r="Q34" i="12"/>
  <c r="AA39" i="12"/>
  <c r="P56" i="12"/>
  <c r="Q10" i="12"/>
  <c r="AA21" i="12"/>
  <c r="AB39" i="12"/>
  <c r="AC34" i="12" s="1"/>
  <c r="AA63" i="12"/>
  <c r="I3" i="11"/>
  <c r="AA6" i="12"/>
  <c r="AB21" i="12"/>
  <c r="AA54" i="12"/>
  <c r="AB63" i="12"/>
  <c r="AB6" i="12"/>
  <c r="P27" i="12"/>
  <c r="P47" i="12"/>
  <c r="AB54" i="12"/>
  <c r="M64" i="12"/>
  <c r="M52" i="12"/>
  <c r="N21" i="12"/>
  <c r="Q50" i="12"/>
  <c r="AA14" i="12"/>
  <c r="AB43" i="12"/>
  <c r="N28" i="12"/>
  <c r="N48" i="12"/>
  <c r="P15" i="12"/>
  <c r="P17" i="12"/>
  <c r="P37" i="12"/>
  <c r="M8" i="12"/>
  <c r="N54" i="12"/>
  <c r="Q61" i="12"/>
  <c r="AB28" i="12"/>
  <c r="N43" i="12"/>
  <c r="M45" i="12"/>
  <c r="P9" i="12"/>
  <c r="P22" i="12"/>
  <c r="P38" i="12"/>
  <c r="P7" i="12"/>
  <c r="P26" i="12"/>
  <c r="P55" i="12"/>
  <c r="I8" i="13" l="1"/>
  <c r="Q57" i="14"/>
  <c r="R51" i="14" s="1"/>
  <c r="D2" i="14"/>
  <c r="I7" i="13"/>
  <c r="G14" i="13"/>
  <c r="P24" i="14"/>
  <c r="Q24" i="14"/>
  <c r="R19" i="14" s="1"/>
  <c r="Q28" i="12"/>
  <c r="P28" i="12"/>
  <c r="AA52" i="12"/>
  <c r="N52" i="12"/>
  <c r="AB52" i="12"/>
  <c r="AC46" i="12" s="1"/>
  <c r="Q14" i="12"/>
  <c r="P14" i="12"/>
  <c r="P33" i="12"/>
  <c r="K14" i="11"/>
  <c r="Q33" i="12"/>
  <c r="R26" i="12" s="1"/>
  <c r="AB64" i="12"/>
  <c r="AC59" i="12" s="1"/>
  <c r="AA64" i="12"/>
  <c r="N64" i="12"/>
  <c r="Q43" i="12"/>
  <c r="P43" i="12"/>
  <c r="Q21" i="12"/>
  <c r="P21" i="12"/>
  <c r="AB45" i="12"/>
  <c r="AC40" i="12" s="1"/>
  <c r="AA45" i="12"/>
  <c r="N45" i="12"/>
  <c r="F14" i="11"/>
  <c r="F15" i="11" s="1"/>
  <c r="P19" i="12"/>
  <c r="Q19" i="12"/>
  <c r="R12" i="12" s="1"/>
  <c r="Q54" i="12"/>
  <c r="P54" i="12"/>
  <c r="N8" i="12"/>
  <c r="AB8" i="12"/>
  <c r="AC5" i="12" s="1"/>
  <c r="AA8" i="12"/>
  <c r="Q48" i="12"/>
  <c r="P48" i="12"/>
  <c r="G14" i="11"/>
  <c r="G15" i="11" s="1"/>
  <c r="Q25" i="12"/>
  <c r="R20" i="12" s="1"/>
  <c r="P25" i="12"/>
  <c r="J14" i="11"/>
  <c r="J15" i="11" s="1"/>
  <c r="Q58" i="12"/>
  <c r="R53" i="12" s="1"/>
  <c r="P58" i="12"/>
  <c r="G15" i="13" l="1"/>
  <c r="F7" i="13"/>
  <c r="G7" i="13"/>
  <c r="E7" i="13"/>
  <c r="H14" i="11"/>
  <c r="H15" i="11" s="1"/>
  <c r="Q45" i="12"/>
  <c r="R40" i="12" s="1"/>
  <c r="P45" i="12"/>
  <c r="Q64" i="12"/>
  <c r="R59" i="12" s="1"/>
  <c r="P64" i="12"/>
  <c r="M14" i="11"/>
  <c r="M15" i="11" s="1"/>
  <c r="I7" i="11"/>
  <c r="K15" i="11"/>
  <c r="I8" i="11" s="1"/>
  <c r="D14" i="11"/>
  <c r="Q8" i="12"/>
  <c r="R5" i="12" s="1"/>
  <c r="P8" i="12"/>
  <c r="D2" i="12"/>
  <c r="I14" i="11"/>
  <c r="I15" i="11" s="1"/>
  <c r="P52" i="12"/>
  <c r="Q52" i="12"/>
  <c r="R46" i="12" s="1"/>
  <c r="G8" i="13" l="1"/>
  <c r="F8" i="13"/>
  <c r="E8" i="13"/>
  <c r="G7" i="11"/>
  <c r="F7" i="11"/>
  <c r="E7" i="11"/>
  <c r="D15" i="11"/>
  <c r="G8" i="11" l="1"/>
  <c r="F8" i="11"/>
  <c r="E8" i="11"/>
  <c r="O64" i="10" l="1"/>
  <c r="K64" i="10"/>
  <c r="M13" i="9" s="1"/>
  <c r="V63" i="10"/>
  <c r="U63" i="10"/>
  <c r="O63" i="10"/>
  <c r="M63" i="10"/>
  <c r="AB63" i="10" s="1"/>
  <c r="K63" i="10"/>
  <c r="G63" i="10"/>
  <c r="AB62" i="10"/>
  <c r="V62" i="10"/>
  <c r="U62" i="10"/>
  <c r="O62" i="10"/>
  <c r="M62" i="10"/>
  <c r="AA62" i="10" s="1"/>
  <c r="K62" i="10"/>
  <c r="G62" i="10"/>
  <c r="V61" i="10"/>
  <c r="M61" i="10" s="1"/>
  <c r="U61" i="10"/>
  <c r="O61" i="10"/>
  <c r="K61" i="10"/>
  <c r="G61" i="10"/>
  <c r="V60" i="10"/>
  <c r="U60" i="10"/>
  <c r="O60" i="10"/>
  <c r="M60" i="10"/>
  <c r="AB60" i="10" s="1"/>
  <c r="K60" i="10"/>
  <c r="G60" i="10"/>
  <c r="V59" i="10"/>
  <c r="M59" i="10" s="1"/>
  <c r="U59" i="10"/>
  <c r="O59" i="10"/>
  <c r="K59" i="10"/>
  <c r="G59" i="10"/>
  <c r="X58" i="10"/>
  <c r="W58" i="10"/>
  <c r="V58" i="10"/>
  <c r="O58" i="10"/>
  <c r="M58" i="10"/>
  <c r="AB58" i="10" s="1"/>
  <c r="K58" i="10"/>
  <c r="G58" i="10"/>
  <c r="O57" i="10"/>
  <c r="K57" i="10"/>
  <c r="V56" i="10"/>
  <c r="U56" i="10"/>
  <c r="O56" i="10"/>
  <c r="M56" i="10"/>
  <c r="AB56" i="10" s="1"/>
  <c r="K56" i="10"/>
  <c r="G56" i="10"/>
  <c r="V55" i="10"/>
  <c r="M55" i="10" s="1"/>
  <c r="U55" i="10"/>
  <c r="O55" i="10"/>
  <c r="K55" i="10"/>
  <c r="G55" i="10"/>
  <c r="V54" i="10"/>
  <c r="U54" i="10"/>
  <c r="O54" i="10"/>
  <c r="M54" i="10"/>
  <c r="AB54" i="10" s="1"/>
  <c r="K54" i="10"/>
  <c r="G54" i="10"/>
  <c r="AB53" i="10"/>
  <c r="AA53" i="10"/>
  <c r="V53" i="10"/>
  <c r="U53" i="10"/>
  <c r="O53" i="10"/>
  <c r="N53" i="10"/>
  <c r="P53" i="10" s="1"/>
  <c r="M53" i="10"/>
  <c r="K53" i="10"/>
  <c r="G53" i="10"/>
  <c r="V52" i="10"/>
  <c r="M52" i="10" s="1"/>
  <c r="O52" i="10"/>
  <c r="K52" i="10"/>
  <c r="G52" i="10"/>
  <c r="O51" i="10"/>
  <c r="K51" i="10"/>
  <c r="I13" i="9" s="1"/>
  <c r="AB50" i="10"/>
  <c r="AA50" i="10"/>
  <c r="V50" i="10"/>
  <c r="U50" i="10"/>
  <c r="O50" i="10"/>
  <c r="N50" i="10"/>
  <c r="Q50" i="10" s="1"/>
  <c r="M50" i="10"/>
  <c r="K50" i="10"/>
  <c r="G50" i="10"/>
  <c r="V49" i="10"/>
  <c r="U49" i="10"/>
  <c r="O49" i="10"/>
  <c r="M49" i="10"/>
  <c r="AB49" i="10" s="1"/>
  <c r="K49" i="10"/>
  <c r="G49" i="10"/>
  <c r="V48" i="10"/>
  <c r="M48" i="10" s="1"/>
  <c r="U48" i="10"/>
  <c r="O48" i="10"/>
  <c r="K48" i="10"/>
  <c r="G48" i="10"/>
  <c r="V47" i="10"/>
  <c r="U47" i="10"/>
  <c r="O47" i="10"/>
  <c r="N47" i="10"/>
  <c r="P47" i="10" s="1"/>
  <c r="M47" i="10"/>
  <c r="AB47" i="10" s="1"/>
  <c r="K47" i="10"/>
  <c r="G47" i="10"/>
  <c r="V46" i="10"/>
  <c r="M46" i="10" s="1"/>
  <c r="U46" i="10"/>
  <c r="O46" i="10"/>
  <c r="K46" i="10"/>
  <c r="G46" i="10"/>
  <c r="V45" i="10"/>
  <c r="O45" i="10"/>
  <c r="M45" i="10"/>
  <c r="K45" i="10"/>
  <c r="G45" i="10"/>
  <c r="O44" i="10"/>
  <c r="K44" i="10"/>
  <c r="V43" i="10"/>
  <c r="U43" i="10"/>
  <c r="O43" i="10"/>
  <c r="M43" i="10"/>
  <c r="AB43" i="10" s="1"/>
  <c r="K43" i="10"/>
  <c r="G43" i="10"/>
  <c r="V42" i="10"/>
  <c r="M42" i="10" s="1"/>
  <c r="U42" i="10"/>
  <c r="O42" i="10"/>
  <c r="K42" i="10"/>
  <c r="G42" i="10"/>
  <c r="V41" i="10"/>
  <c r="U41" i="10"/>
  <c r="O41" i="10"/>
  <c r="M41" i="10"/>
  <c r="AA41" i="10" s="1"/>
  <c r="K41" i="10"/>
  <c r="G41" i="10"/>
  <c r="V40" i="10"/>
  <c r="M40" i="10" s="1"/>
  <c r="U40" i="10"/>
  <c r="O40" i="10"/>
  <c r="K40" i="10"/>
  <c r="G40" i="10"/>
  <c r="AB39" i="10"/>
  <c r="AA39" i="10"/>
  <c r="V39" i="10"/>
  <c r="O39" i="10"/>
  <c r="N39" i="10"/>
  <c r="Q39" i="10" s="1"/>
  <c r="M39" i="10"/>
  <c r="M44" i="10" s="1"/>
  <c r="K39" i="10"/>
  <c r="G39" i="10"/>
  <c r="O38" i="10"/>
  <c r="K38" i="10"/>
  <c r="L13" i="9" s="1"/>
  <c r="V37" i="10"/>
  <c r="U37" i="10"/>
  <c r="O37" i="10"/>
  <c r="M37" i="10"/>
  <c r="AB37" i="10" s="1"/>
  <c r="K37" i="10"/>
  <c r="G37" i="10"/>
  <c r="AB36" i="10"/>
  <c r="V36" i="10"/>
  <c r="U36" i="10"/>
  <c r="O36" i="10"/>
  <c r="M36" i="10"/>
  <c r="AA36" i="10" s="1"/>
  <c r="K36" i="10"/>
  <c r="G36" i="10"/>
  <c r="V35" i="10"/>
  <c r="M35" i="10" s="1"/>
  <c r="U35" i="10"/>
  <c r="O35" i="10"/>
  <c r="K35" i="10"/>
  <c r="G35" i="10"/>
  <c r="V34" i="10"/>
  <c r="U34" i="10"/>
  <c r="O34" i="10"/>
  <c r="M34" i="10"/>
  <c r="AB34" i="10" s="1"/>
  <c r="K34" i="10"/>
  <c r="G34" i="10"/>
  <c r="X33" i="10"/>
  <c r="W33" i="10"/>
  <c r="V33" i="10"/>
  <c r="M33" i="10" s="1"/>
  <c r="O33" i="10"/>
  <c r="K33" i="10"/>
  <c r="G33" i="10"/>
  <c r="O32" i="10"/>
  <c r="K32" i="10"/>
  <c r="K13" i="9" s="1"/>
  <c r="I6" i="9" s="1"/>
  <c r="V31" i="10"/>
  <c r="M31" i="10" s="1"/>
  <c r="U31" i="10"/>
  <c r="O31" i="10"/>
  <c r="K31" i="10"/>
  <c r="G31" i="10"/>
  <c r="V30" i="10"/>
  <c r="U30" i="10"/>
  <c r="O30" i="10"/>
  <c r="M30" i="10"/>
  <c r="AB30" i="10" s="1"/>
  <c r="K30" i="10"/>
  <c r="G30" i="10"/>
  <c r="V29" i="10"/>
  <c r="M29" i="10" s="1"/>
  <c r="U29" i="10"/>
  <c r="O29" i="10"/>
  <c r="K29" i="10"/>
  <c r="G29" i="10"/>
  <c r="V28" i="10"/>
  <c r="U28" i="10"/>
  <c r="O28" i="10"/>
  <c r="M28" i="10"/>
  <c r="AB28" i="10" s="1"/>
  <c r="K28" i="10"/>
  <c r="G28" i="10"/>
  <c r="AB27" i="10"/>
  <c r="AA27" i="10"/>
  <c r="V27" i="10"/>
  <c r="U27" i="10"/>
  <c r="O27" i="10"/>
  <c r="N27" i="10"/>
  <c r="P27" i="10" s="1"/>
  <c r="M27" i="10"/>
  <c r="K27" i="10"/>
  <c r="G27" i="10"/>
  <c r="X26" i="10"/>
  <c r="W26" i="10"/>
  <c r="V26" i="10"/>
  <c r="M26" i="10" s="1"/>
  <c r="O26" i="10"/>
  <c r="K26" i="10"/>
  <c r="G26" i="10"/>
  <c r="O25" i="10"/>
  <c r="K25" i="10"/>
  <c r="V24" i="10"/>
  <c r="M24" i="10" s="1"/>
  <c r="U24" i="10"/>
  <c r="O24" i="10"/>
  <c r="K24" i="10"/>
  <c r="G24" i="10"/>
  <c r="V23" i="10"/>
  <c r="U23" i="10"/>
  <c r="O23" i="10"/>
  <c r="N23" i="10"/>
  <c r="P23" i="10" s="1"/>
  <c r="M23" i="10"/>
  <c r="AA23" i="10" s="1"/>
  <c r="K23" i="10"/>
  <c r="G23" i="10"/>
  <c r="V22" i="10"/>
  <c r="M22" i="10" s="1"/>
  <c r="U22" i="10"/>
  <c r="O22" i="10"/>
  <c r="K22" i="10"/>
  <c r="G22" i="10"/>
  <c r="V21" i="10"/>
  <c r="U21" i="10"/>
  <c r="O21" i="10"/>
  <c r="M21" i="10"/>
  <c r="AB21" i="10" s="1"/>
  <c r="K21" i="10"/>
  <c r="G21" i="10"/>
  <c r="V20" i="10"/>
  <c r="M20" i="10" s="1"/>
  <c r="O20" i="10"/>
  <c r="K20" i="10"/>
  <c r="G20" i="10"/>
  <c r="O19" i="10"/>
  <c r="K19" i="10"/>
  <c r="F13" i="9" s="1"/>
  <c r="V18" i="10"/>
  <c r="M18" i="10" s="1"/>
  <c r="AA18" i="10" s="1"/>
  <c r="U18" i="10"/>
  <c r="O18" i="10"/>
  <c r="K18" i="10"/>
  <c r="G18" i="10"/>
  <c r="V17" i="10"/>
  <c r="U17" i="10"/>
  <c r="O17" i="10"/>
  <c r="M17" i="10"/>
  <c r="AA17" i="10" s="1"/>
  <c r="K17" i="10"/>
  <c r="G17" i="10"/>
  <c r="V16" i="10"/>
  <c r="M16" i="10" s="1"/>
  <c r="U16" i="10"/>
  <c r="O16" i="10"/>
  <c r="K16" i="10"/>
  <c r="G16" i="10"/>
  <c r="V15" i="10"/>
  <c r="U15" i="10"/>
  <c r="O15" i="10"/>
  <c r="M15" i="10"/>
  <c r="K15" i="10"/>
  <c r="G15" i="10"/>
  <c r="AB14" i="10"/>
  <c r="V14" i="10"/>
  <c r="U14" i="10"/>
  <c r="O14" i="10"/>
  <c r="M14" i="10"/>
  <c r="AA14" i="10" s="1"/>
  <c r="K14" i="10"/>
  <c r="G14" i="10"/>
  <c r="V13" i="10"/>
  <c r="M13" i="10" s="1"/>
  <c r="U13" i="10"/>
  <c r="O13" i="10"/>
  <c r="K13" i="10"/>
  <c r="G13" i="10"/>
  <c r="V12" i="10"/>
  <c r="O12" i="10"/>
  <c r="N12" i="10"/>
  <c r="P12" i="10" s="1"/>
  <c r="M12" i="10"/>
  <c r="AB12" i="10" s="1"/>
  <c r="K12" i="10"/>
  <c r="G12" i="10"/>
  <c r="O11" i="10"/>
  <c r="K11" i="10"/>
  <c r="V10" i="10"/>
  <c r="U10" i="10"/>
  <c r="O10" i="10"/>
  <c r="M10" i="10"/>
  <c r="AA10" i="10" s="1"/>
  <c r="K10" i="10"/>
  <c r="G10" i="10"/>
  <c r="V9" i="10"/>
  <c r="M9" i="10" s="1"/>
  <c r="O9" i="10"/>
  <c r="K9" i="10"/>
  <c r="G9" i="10"/>
  <c r="O8" i="10"/>
  <c r="K8" i="10"/>
  <c r="V7" i="10"/>
  <c r="M7" i="10" s="1"/>
  <c r="U7" i="10"/>
  <c r="O7" i="10"/>
  <c r="K7" i="10"/>
  <c r="G7" i="10"/>
  <c r="V6" i="10"/>
  <c r="M6" i="10" s="1"/>
  <c r="U6" i="10"/>
  <c r="O6" i="10"/>
  <c r="K6" i="10"/>
  <c r="G6" i="10"/>
  <c r="V5" i="10"/>
  <c r="M5" i="10" s="1"/>
  <c r="O5" i="10"/>
  <c r="K5" i="10"/>
  <c r="G5" i="10"/>
  <c r="H2" i="10"/>
  <c r="H1" i="10"/>
  <c r="D1" i="10"/>
  <c r="M18" i="9"/>
  <c r="L18" i="9"/>
  <c r="K18" i="9"/>
  <c r="J18" i="9"/>
  <c r="I18" i="9"/>
  <c r="H18" i="9"/>
  <c r="G18" i="9"/>
  <c r="F18" i="9"/>
  <c r="E18" i="9"/>
  <c r="D18" i="9"/>
  <c r="M17" i="9"/>
  <c r="L17" i="9"/>
  <c r="K17" i="9"/>
  <c r="J17" i="9"/>
  <c r="I17" i="9"/>
  <c r="H17" i="9"/>
  <c r="G17" i="9"/>
  <c r="F17" i="9"/>
  <c r="E17" i="9"/>
  <c r="D17" i="9"/>
  <c r="M16" i="9"/>
  <c r="L16" i="9"/>
  <c r="K16" i="9"/>
  <c r="J16" i="9"/>
  <c r="I16" i="9"/>
  <c r="H16" i="9"/>
  <c r="G16" i="9"/>
  <c r="F16" i="9"/>
  <c r="E16" i="9"/>
  <c r="D16" i="9"/>
  <c r="J13" i="9"/>
  <c r="H13" i="9"/>
  <c r="G13" i="9"/>
  <c r="E13" i="9"/>
  <c r="D13" i="9"/>
  <c r="F3" i="9"/>
  <c r="C3" i="9"/>
  <c r="N46" i="10" l="1"/>
  <c r="AB46" i="10"/>
  <c r="AA46" i="10"/>
  <c r="N20" i="10"/>
  <c r="AA20" i="10"/>
  <c r="M25" i="10"/>
  <c r="M32" i="10"/>
  <c r="AB26" i="10"/>
  <c r="AA26" i="10"/>
  <c r="N26" i="10"/>
  <c r="AB15" i="10"/>
  <c r="N15" i="10"/>
  <c r="AA15" i="10"/>
  <c r="N55" i="10"/>
  <c r="AB55" i="10"/>
  <c r="AA55" i="10"/>
  <c r="N42" i="10"/>
  <c r="AB42" i="10"/>
  <c r="AA42" i="10"/>
  <c r="G6" i="9"/>
  <c r="N33" i="10"/>
  <c r="M38" i="10"/>
  <c r="AB33" i="10"/>
  <c r="AA33" i="10"/>
  <c r="N40" i="10"/>
  <c r="AB40" i="10"/>
  <c r="AA40" i="10"/>
  <c r="AB6" i="10"/>
  <c r="AA6" i="10"/>
  <c r="N6" i="10"/>
  <c r="AA48" i="10"/>
  <c r="AB48" i="10"/>
  <c r="N48" i="10"/>
  <c r="N22" i="10"/>
  <c r="AB22" i="10"/>
  <c r="AA22" i="10"/>
  <c r="N29" i="10"/>
  <c r="AB29" i="10"/>
  <c r="AA29" i="10"/>
  <c r="AB59" i="10"/>
  <c r="AA59" i="10"/>
  <c r="N59" i="10"/>
  <c r="N44" i="10"/>
  <c r="AB44" i="10"/>
  <c r="AC39" i="10" s="1"/>
  <c r="AA44" i="10"/>
  <c r="AB20" i="10"/>
  <c r="N16" i="10"/>
  <c r="AB16" i="10"/>
  <c r="AA16" i="10"/>
  <c r="AB35" i="10"/>
  <c r="AA35" i="10"/>
  <c r="N35" i="10"/>
  <c r="N31" i="10"/>
  <c r="AB31" i="10"/>
  <c r="AA31" i="10"/>
  <c r="AB61" i="10"/>
  <c r="AA61" i="10"/>
  <c r="N61" i="10"/>
  <c r="N9" i="10"/>
  <c r="AB9" i="10"/>
  <c r="AA9" i="10"/>
  <c r="M11" i="10"/>
  <c r="M19" i="10"/>
  <c r="AB13" i="10"/>
  <c r="AA13" i="10"/>
  <c r="N13" i="10"/>
  <c r="AA24" i="10"/>
  <c r="AB24" i="10"/>
  <c r="N24" i="10"/>
  <c r="N5" i="10"/>
  <c r="AB5" i="10"/>
  <c r="M8" i="10"/>
  <c r="AA5" i="10"/>
  <c r="F1" i="10"/>
  <c r="M51" i="10"/>
  <c r="M57" i="10"/>
  <c r="AB52" i="10"/>
  <c r="AA52" i="10"/>
  <c r="N52" i="10"/>
  <c r="N18" i="10"/>
  <c r="AB18" i="10"/>
  <c r="AB7" i="10"/>
  <c r="AA7" i="10"/>
  <c r="N7" i="10"/>
  <c r="AA37" i="10"/>
  <c r="AA63" i="10"/>
  <c r="N21" i="10"/>
  <c r="N43" i="10"/>
  <c r="N37" i="10"/>
  <c r="N63" i="10"/>
  <c r="N28" i="10"/>
  <c r="P39" i="10"/>
  <c r="P50" i="10"/>
  <c r="N54" i="10"/>
  <c r="N17" i="10"/>
  <c r="N41" i="10"/>
  <c r="N58" i="10"/>
  <c r="N30" i="10"/>
  <c r="N45" i="10"/>
  <c r="N56" i="10"/>
  <c r="Q12" i="10"/>
  <c r="N14" i="10"/>
  <c r="AB17" i="10"/>
  <c r="Q23" i="10"/>
  <c r="AA30" i="10"/>
  <c r="N36" i="10"/>
  <c r="AB41" i="10"/>
  <c r="AA45" i="10"/>
  <c r="Q47" i="10"/>
  <c r="AA56" i="10"/>
  <c r="N62" i="10"/>
  <c r="M64" i="10"/>
  <c r="AA21" i="10"/>
  <c r="AA43" i="10"/>
  <c r="AB45" i="10"/>
  <c r="AA58" i="10"/>
  <c r="N10" i="10"/>
  <c r="AA28" i="10"/>
  <c r="N34" i="10"/>
  <c r="AA54" i="10"/>
  <c r="N60" i="10"/>
  <c r="N49" i="10"/>
  <c r="E6" i="9"/>
  <c r="AA47" i="10"/>
  <c r="F6" i="9"/>
  <c r="AB23" i="10"/>
  <c r="Q27" i="10"/>
  <c r="AA34" i="10"/>
  <c r="Q53" i="10"/>
  <c r="AA60" i="10"/>
  <c r="AA12" i="10"/>
  <c r="AB10" i="10"/>
  <c r="AA49" i="10"/>
  <c r="O64" i="8"/>
  <c r="K64" i="8"/>
  <c r="V63" i="8"/>
  <c r="M63" i="8" s="1"/>
  <c r="U63" i="8"/>
  <c r="O63" i="8"/>
  <c r="K63" i="8"/>
  <c r="G63" i="8"/>
  <c r="V62" i="8"/>
  <c r="M62" i="8" s="1"/>
  <c r="U62" i="8"/>
  <c r="O62" i="8"/>
  <c r="K62" i="8"/>
  <c r="G62" i="8"/>
  <c r="V61" i="8"/>
  <c r="M61" i="8" s="1"/>
  <c r="U61" i="8"/>
  <c r="O61" i="8"/>
  <c r="K61" i="8"/>
  <c r="G61" i="8"/>
  <c r="V60" i="8"/>
  <c r="M60" i="8" s="1"/>
  <c r="U60" i="8"/>
  <c r="O60" i="8"/>
  <c r="K60" i="8"/>
  <c r="G60" i="8"/>
  <c r="V59" i="8"/>
  <c r="M59" i="8" s="1"/>
  <c r="U59" i="8"/>
  <c r="O59" i="8"/>
  <c r="K59" i="8"/>
  <c r="G59" i="8"/>
  <c r="X58" i="8"/>
  <c r="W58" i="8"/>
  <c r="V58" i="8"/>
  <c r="M58" i="8" s="1"/>
  <c r="O58" i="8"/>
  <c r="K58" i="8"/>
  <c r="G58" i="8"/>
  <c r="O57" i="8"/>
  <c r="M57" i="8"/>
  <c r="AB57" i="8" s="1"/>
  <c r="AC52" i="8" s="1"/>
  <c r="K57" i="8"/>
  <c r="V56" i="8"/>
  <c r="U56" i="8"/>
  <c r="O56" i="8"/>
  <c r="M56" i="8"/>
  <c r="AB56" i="8" s="1"/>
  <c r="K56" i="8"/>
  <c r="G56" i="8"/>
  <c r="V55" i="8"/>
  <c r="U55" i="8"/>
  <c r="O55" i="8"/>
  <c r="M55" i="8"/>
  <c r="AB55" i="8" s="1"/>
  <c r="K55" i="8"/>
  <c r="G55" i="8"/>
  <c r="AB54" i="8"/>
  <c r="V54" i="8"/>
  <c r="U54" i="8"/>
  <c r="O54" i="8"/>
  <c r="N54" i="8"/>
  <c r="Q54" i="8" s="1"/>
  <c r="M54" i="8"/>
  <c r="AA54" i="8" s="1"/>
  <c r="K54" i="8"/>
  <c r="G54" i="8"/>
  <c r="AB53" i="8"/>
  <c r="AA53" i="8"/>
  <c r="V53" i="8"/>
  <c r="U53" i="8"/>
  <c r="O53" i="8"/>
  <c r="M53" i="8"/>
  <c r="N53" i="8" s="1"/>
  <c r="K53" i="8"/>
  <c r="G53" i="8"/>
  <c r="AB52" i="8"/>
  <c r="AA52" i="8"/>
  <c r="V52" i="8"/>
  <c r="O52" i="8"/>
  <c r="M52" i="8"/>
  <c r="N52" i="8" s="1"/>
  <c r="K52" i="8"/>
  <c r="G52" i="8"/>
  <c r="O51" i="8"/>
  <c r="K51" i="8"/>
  <c r="V50" i="8"/>
  <c r="M50" i="8" s="1"/>
  <c r="U50" i="8"/>
  <c r="O50" i="8"/>
  <c r="K50" i="8"/>
  <c r="G50" i="8"/>
  <c r="V49" i="8"/>
  <c r="M49" i="8" s="1"/>
  <c r="U49" i="8"/>
  <c r="O49" i="8"/>
  <c r="K49" i="8"/>
  <c r="G49" i="8"/>
  <c r="V48" i="8"/>
  <c r="U48" i="8"/>
  <c r="O48" i="8"/>
  <c r="M48" i="8"/>
  <c r="AB48" i="8" s="1"/>
  <c r="K48" i="8"/>
  <c r="G48" i="8"/>
  <c r="V47" i="8"/>
  <c r="U47" i="8"/>
  <c r="O47" i="8"/>
  <c r="N47" i="8"/>
  <c r="Q47" i="8" s="1"/>
  <c r="M47" i="8"/>
  <c r="AB47" i="8" s="1"/>
  <c r="K47" i="8"/>
  <c r="G47" i="8"/>
  <c r="V46" i="8"/>
  <c r="U46" i="8"/>
  <c r="O46" i="8"/>
  <c r="M46" i="8"/>
  <c r="AB46" i="8" s="1"/>
  <c r="K46" i="8"/>
  <c r="G46" i="8"/>
  <c r="V45" i="8"/>
  <c r="O45" i="8"/>
  <c r="M45" i="8"/>
  <c r="AB45" i="8" s="1"/>
  <c r="K45" i="8"/>
  <c r="G45" i="8"/>
  <c r="O44" i="8"/>
  <c r="K44" i="8"/>
  <c r="AB43" i="8"/>
  <c r="AA43" i="8"/>
  <c r="V43" i="8"/>
  <c r="U43" i="8"/>
  <c r="O43" i="8"/>
  <c r="M43" i="8"/>
  <c r="N43" i="8" s="1"/>
  <c r="K43" i="8"/>
  <c r="G43" i="8"/>
  <c r="V42" i="8"/>
  <c r="M42" i="8" s="1"/>
  <c r="U42" i="8"/>
  <c r="O42" i="8"/>
  <c r="K42" i="8"/>
  <c r="G42" i="8"/>
  <c r="V41" i="8"/>
  <c r="M41" i="8" s="1"/>
  <c r="U41" i="8"/>
  <c r="O41" i="8"/>
  <c r="K41" i="8"/>
  <c r="G41" i="8"/>
  <c r="V40" i="8"/>
  <c r="M40" i="8" s="1"/>
  <c r="U40" i="8"/>
  <c r="O40" i="8"/>
  <c r="K40" i="8"/>
  <c r="G40" i="8"/>
  <c r="V39" i="8"/>
  <c r="M39" i="8" s="1"/>
  <c r="O39" i="8"/>
  <c r="K39" i="8"/>
  <c r="G39" i="8"/>
  <c r="O38" i="8"/>
  <c r="K38" i="8"/>
  <c r="V37" i="8"/>
  <c r="U37" i="8"/>
  <c r="O37" i="8"/>
  <c r="M37" i="8"/>
  <c r="AB37" i="8" s="1"/>
  <c r="K37" i="8"/>
  <c r="G37" i="8"/>
  <c r="AB36" i="8"/>
  <c r="V36" i="8"/>
  <c r="U36" i="8"/>
  <c r="O36" i="8"/>
  <c r="N36" i="8"/>
  <c r="Q36" i="8" s="1"/>
  <c r="M36" i="8"/>
  <c r="AA36" i="8" s="1"/>
  <c r="K36" i="8"/>
  <c r="G36" i="8"/>
  <c r="AA35" i="8"/>
  <c r="V35" i="8"/>
  <c r="U35" i="8"/>
  <c r="O35" i="8"/>
  <c r="M35" i="8"/>
  <c r="N35" i="8" s="1"/>
  <c r="K35" i="8"/>
  <c r="G35" i="8"/>
  <c r="V34" i="8"/>
  <c r="M34" i="8" s="1"/>
  <c r="U34" i="8"/>
  <c r="O34" i="8"/>
  <c r="K34" i="8"/>
  <c r="G34" i="8"/>
  <c r="AB33" i="8"/>
  <c r="X33" i="8"/>
  <c r="W33" i="8"/>
  <c r="V33" i="8"/>
  <c r="O33" i="8"/>
  <c r="N33" i="8"/>
  <c r="Q33" i="8" s="1"/>
  <c r="M33" i="8"/>
  <c r="K33" i="8"/>
  <c r="G33" i="8"/>
  <c r="O32" i="8"/>
  <c r="K32" i="8"/>
  <c r="V31" i="8"/>
  <c r="M31" i="8" s="1"/>
  <c r="U31" i="8"/>
  <c r="O31" i="8"/>
  <c r="K31" i="8"/>
  <c r="G31" i="8"/>
  <c r="V30" i="8"/>
  <c r="M30" i="8" s="1"/>
  <c r="U30" i="8"/>
  <c r="O30" i="8"/>
  <c r="K30" i="8"/>
  <c r="G30" i="8"/>
  <c r="V29" i="8"/>
  <c r="M29" i="8" s="1"/>
  <c r="U29" i="8"/>
  <c r="O29" i="8"/>
  <c r="K29" i="8"/>
  <c r="G29" i="8"/>
  <c r="V28" i="8"/>
  <c r="U28" i="8"/>
  <c r="O28" i="8"/>
  <c r="M28" i="8"/>
  <c r="AB28" i="8" s="1"/>
  <c r="K28" i="8"/>
  <c r="G28" i="8"/>
  <c r="V27" i="8"/>
  <c r="M27" i="8" s="1"/>
  <c r="U27" i="8"/>
  <c r="O27" i="8"/>
  <c r="K27" i="8"/>
  <c r="G27" i="8"/>
  <c r="X26" i="8"/>
  <c r="W26" i="8"/>
  <c r="V26" i="8"/>
  <c r="M26" i="8" s="1"/>
  <c r="O26" i="8"/>
  <c r="K26" i="8"/>
  <c r="G26" i="8"/>
  <c r="O25" i="8"/>
  <c r="K25" i="8"/>
  <c r="AB24" i="8"/>
  <c r="V24" i="8"/>
  <c r="U24" i="8"/>
  <c r="O24" i="8"/>
  <c r="N24" i="8"/>
  <c r="Q24" i="8" s="1"/>
  <c r="M24" i="8"/>
  <c r="AA24" i="8" s="1"/>
  <c r="K24" i="8"/>
  <c r="G24" i="8"/>
  <c r="AA23" i="8"/>
  <c r="V23" i="8"/>
  <c r="U23" i="8"/>
  <c r="O23" i="8"/>
  <c r="M23" i="8"/>
  <c r="N23" i="8" s="1"/>
  <c r="K23" i="8"/>
  <c r="G23" i="8"/>
  <c r="V22" i="8"/>
  <c r="M22" i="8" s="1"/>
  <c r="U22" i="8"/>
  <c r="O22" i="8"/>
  <c r="K22" i="8"/>
  <c r="G22" i="8"/>
  <c r="AA21" i="8"/>
  <c r="V21" i="8"/>
  <c r="U21" i="8"/>
  <c r="O21" i="8"/>
  <c r="M21" i="8"/>
  <c r="N21" i="8" s="1"/>
  <c r="K21" i="8"/>
  <c r="G21" i="8"/>
  <c r="AA20" i="8"/>
  <c r="V20" i="8"/>
  <c r="O20" i="8"/>
  <c r="M20" i="8"/>
  <c r="N20" i="8" s="1"/>
  <c r="K20" i="8"/>
  <c r="G20" i="8"/>
  <c r="O19" i="8"/>
  <c r="K19" i="8"/>
  <c r="V18" i="8"/>
  <c r="U18" i="8"/>
  <c r="O18" i="8"/>
  <c r="M18" i="8"/>
  <c r="AB18" i="8" s="1"/>
  <c r="K18" i="8"/>
  <c r="G18" i="8"/>
  <c r="V17" i="8"/>
  <c r="M17" i="8" s="1"/>
  <c r="U17" i="8"/>
  <c r="O17" i="8"/>
  <c r="K17" i="8"/>
  <c r="G17" i="8"/>
  <c r="V16" i="8"/>
  <c r="U16" i="8"/>
  <c r="O16" i="8"/>
  <c r="M16" i="8"/>
  <c r="AB16" i="8" s="1"/>
  <c r="K16" i="8"/>
  <c r="G16" i="8"/>
  <c r="V15" i="8"/>
  <c r="U15" i="8"/>
  <c r="O15" i="8"/>
  <c r="M15" i="8"/>
  <c r="AB15" i="8" s="1"/>
  <c r="K15" i="8"/>
  <c r="G15" i="8"/>
  <c r="AB14" i="8"/>
  <c r="V14" i="8"/>
  <c r="U14" i="8"/>
  <c r="O14" i="8"/>
  <c r="N14" i="8"/>
  <c r="Q14" i="8" s="1"/>
  <c r="M14" i="8"/>
  <c r="AA14" i="8" s="1"/>
  <c r="K14" i="8"/>
  <c r="G14" i="8"/>
  <c r="AA13" i="8"/>
  <c r="V13" i="8"/>
  <c r="U13" i="8"/>
  <c r="O13" i="8"/>
  <c r="M13" i="8"/>
  <c r="N13" i="8" s="1"/>
  <c r="K13" i="8"/>
  <c r="G13" i="8"/>
  <c r="AA12" i="8"/>
  <c r="V12" i="8"/>
  <c r="O12" i="8"/>
  <c r="M12" i="8"/>
  <c r="K12" i="8"/>
  <c r="G12" i="8"/>
  <c r="O11" i="8"/>
  <c r="K11" i="8"/>
  <c r="V10" i="8"/>
  <c r="M10" i="8" s="1"/>
  <c r="U10" i="8"/>
  <c r="O10" i="8"/>
  <c r="K10" i="8"/>
  <c r="G10" i="8"/>
  <c r="V9" i="8"/>
  <c r="M9" i="8" s="1"/>
  <c r="O9" i="8"/>
  <c r="K9" i="8"/>
  <c r="G9" i="8"/>
  <c r="O8" i="8"/>
  <c r="K8" i="8"/>
  <c r="V7" i="8"/>
  <c r="U7" i="8"/>
  <c r="O7" i="8"/>
  <c r="M7" i="8"/>
  <c r="AB7" i="8" s="1"/>
  <c r="K7" i="8"/>
  <c r="G7" i="8"/>
  <c r="AB6" i="8"/>
  <c r="V6" i="8"/>
  <c r="U6" i="8"/>
  <c r="O6" i="8"/>
  <c r="N6" i="8"/>
  <c r="Q6" i="8" s="1"/>
  <c r="M6" i="8"/>
  <c r="AA6" i="8" s="1"/>
  <c r="K6" i="8"/>
  <c r="G6" i="8"/>
  <c r="AB5" i="8"/>
  <c r="V5" i="8"/>
  <c r="O5" i="8"/>
  <c r="N5" i="8"/>
  <c r="Q5" i="8" s="1"/>
  <c r="M5" i="8"/>
  <c r="AA5" i="8" s="1"/>
  <c r="K5" i="8"/>
  <c r="G5" i="8"/>
  <c r="F1" i="8" s="1"/>
  <c r="H2" i="8"/>
  <c r="H1" i="8"/>
  <c r="D1" i="8"/>
  <c r="M18" i="7"/>
  <c r="L18" i="7"/>
  <c r="K18" i="7"/>
  <c r="J18" i="7"/>
  <c r="I18" i="7"/>
  <c r="H18" i="7"/>
  <c r="G18" i="7"/>
  <c r="F18" i="7"/>
  <c r="E18" i="7"/>
  <c r="D18" i="7"/>
  <c r="M17" i="7"/>
  <c r="L17" i="7"/>
  <c r="K17" i="7"/>
  <c r="J17" i="7"/>
  <c r="I17" i="7"/>
  <c r="H17" i="7"/>
  <c r="G17" i="7"/>
  <c r="F17" i="7"/>
  <c r="E17" i="7"/>
  <c r="D17" i="7"/>
  <c r="M16" i="7"/>
  <c r="L16" i="7"/>
  <c r="K16" i="7"/>
  <c r="J16" i="7"/>
  <c r="I16" i="7"/>
  <c r="H16" i="7"/>
  <c r="G16" i="7"/>
  <c r="F16" i="7"/>
  <c r="E16" i="7"/>
  <c r="D16" i="7"/>
  <c r="M13" i="7"/>
  <c r="L13" i="7"/>
  <c r="K13" i="7"/>
  <c r="I6" i="7" s="1"/>
  <c r="J13" i="7"/>
  <c r="I13" i="7"/>
  <c r="H13" i="7"/>
  <c r="G13" i="7"/>
  <c r="F13" i="7"/>
  <c r="E13" i="7"/>
  <c r="D13" i="7"/>
  <c r="F6" i="7" s="1"/>
  <c r="F3" i="7"/>
  <c r="C3" i="7"/>
  <c r="Q34" i="10" l="1"/>
  <c r="P34" i="10"/>
  <c r="Q9" i="10"/>
  <c r="P9" i="10"/>
  <c r="Q48" i="10"/>
  <c r="P48" i="10"/>
  <c r="Q6" i="10"/>
  <c r="P6" i="10"/>
  <c r="Q24" i="10"/>
  <c r="P24" i="10"/>
  <c r="AA32" i="10"/>
  <c r="AB32" i="10"/>
  <c r="AC26" i="10" s="1"/>
  <c r="N32" i="10"/>
  <c r="Q36" i="10"/>
  <c r="P36" i="10"/>
  <c r="Q13" i="10"/>
  <c r="P13" i="10"/>
  <c r="AB25" i="10"/>
  <c r="AC20" i="10" s="1"/>
  <c r="N25" i="10"/>
  <c r="AA25" i="10"/>
  <c r="P18" i="10"/>
  <c r="Q18" i="10"/>
  <c r="Q29" i="10"/>
  <c r="P29" i="10"/>
  <c r="Q63" i="10"/>
  <c r="P63" i="10"/>
  <c r="Q40" i="10"/>
  <c r="P40" i="10"/>
  <c r="P56" i="10"/>
  <c r="Q56" i="10"/>
  <c r="Q61" i="10"/>
  <c r="P61" i="10"/>
  <c r="P42" i="10"/>
  <c r="Q42" i="10"/>
  <c r="Q17" i="10"/>
  <c r="P17" i="10"/>
  <c r="Q55" i="10"/>
  <c r="P55" i="10"/>
  <c r="AB8" i="10"/>
  <c r="AC5" i="10" s="1"/>
  <c r="AA8" i="10"/>
  <c r="N8" i="10"/>
  <c r="Q62" i="10"/>
  <c r="P62" i="10"/>
  <c r="Q26" i="10"/>
  <c r="P26" i="10"/>
  <c r="Q16" i="10"/>
  <c r="P16" i="10"/>
  <c r="P7" i="10"/>
  <c r="Q7" i="10"/>
  <c r="Q20" i="10"/>
  <c r="P20" i="10"/>
  <c r="Q52" i="10"/>
  <c r="P52" i="10"/>
  <c r="P30" i="10"/>
  <c r="Q30" i="10"/>
  <c r="N57" i="10"/>
  <c r="AB57" i="10"/>
  <c r="AC52" i="10" s="1"/>
  <c r="AA57" i="10"/>
  <c r="Q22" i="10"/>
  <c r="P22" i="10"/>
  <c r="Q15" i="10"/>
  <c r="P15" i="10"/>
  <c r="Q43" i="10"/>
  <c r="P43" i="10"/>
  <c r="AB19" i="10"/>
  <c r="AC12" i="10" s="1"/>
  <c r="AA19" i="10"/>
  <c r="N19" i="10"/>
  <c r="H14" i="9"/>
  <c r="H15" i="9" s="1"/>
  <c r="Q44" i="10"/>
  <c r="R39" i="10" s="1"/>
  <c r="P44" i="10"/>
  <c r="Q58" i="10"/>
  <c r="P58" i="10"/>
  <c r="Q41" i="10"/>
  <c r="P41" i="10"/>
  <c r="I3" i="9"/>
  <c r="F2" i="10"/>
  <c r="Q31" i="10"/>
  <c r="P31" i="10"/>
  <c r="Q35" i="10"/>
  <c r="P35" i="10"/>
  <c r="P5" i="10"/>
  <c r="Q5" i="10"/>
  <c r="Q49" i="10"/>
  <c r="P49" i="10"/>
  <c r="Q14" i="10"/>
  <c r="P14" i="10"/>
  <c r="AB11" i="10"/>
  <c r="AC9" i="10" s="1"/>
  <c r="AA11" i="10"/>
  <c r="N11" i="10"/>
  <c r="Q59" i="10"/>
  <c r="P59" i="10"/>
  <c r="AB38" i="10"/>
  <c r="AC33" i="10" s="1"/>
  <c r="AA38" i="10"/>
  <c r="N38" i="10"/>
  <c r="P45" i="10"/>
  <c r="Q45" i="10"/>
  <c r="Q10" i="10"/>
  <c r="P10" i="10"/>
  <c r="AB51" i="10"/>
  <c r="AC45" i="10" s="1"/>
  <c r="AA51" i="10"/>
  <c r="N51" i="10"/>
  <c r="P54" i="10"/>
  <c r="Q54" i="10"/>
  <c r="AB64" i="10"/>
  <c r="AC58" i="10" s="1"/>
  <c r="AA64" i="10"/>
  <c r="N64" i="10"/>
  <c r="P28" i="10"/>
  <c r="Q28" i="10"/>
  <c r="Q37" i="10"/>
  <c r="P37" i="10"/>
  <c r="Q21" i="10"/>
  <c r="P21" i="10"/>
  <c r="Q60" i="10"/>
  <c r="P60" i="10"/>
  <c r="P33" i="10"/>
  <c r="Q33" i="10"/>
  <c r="Q46" i="10"/>
  <c r="P46" i="10"/>
  <c r="Q13" i="8"/>
  <c r="P13" i="8"/>
  <c r="N34" i="8"/>
  <c r="AB34" i="8"/>
  <c r="AA34" i="8"/>
  <c r="N10" i="8"/>
  <c r="AB10" i="8"/>
  <c r="AA10" i="8"/>
  <c r="Q20" i="8"/>
  <c r="P20" i="8"/>
  <c r="AB26" i="8"/>
  <c r="AA26" i="8"/>
  <c r="M32" i="8"/>
  <c r="N26" i="8"/>
  <c r="AB59" i="8"/>
  <c r="AA59" i="8"/>
  <c r="N59" i="8"/>
  <c r="Q52" i="8"/>
  <c r="P52" i="8"/>
  <c r="N62" i="8"/>
  <c r="AB62" i="8"/>
  <c r="AA62" i="8"/>
  <c r="AB49" i="8"/>
  <c r="AA49" i="8"/>
  <c r="N49" i="8"/>
  <c r="I3" i="7"/>
  <c r="F2" i="8"/>
  <c r="M19" i="8"/>
  <c r="N42" i="8"/>
  <c r="AB42" i="8"/>
  <c r="AA42" i="8"/>
  <c r="N22" i="8"/>
  <c r="M25" i="8"/>
  <c r="AB22" i="8"/>
  <c r="AA22" i="8"/>
  <c r="N9" i="8"/>
  <c r="M11" i="8"/>
  <c r="AB9" i="8"/>
  <c r="AA9" i="8"/>
  <c r="N31" i="8"/>
  <c r="AB31" i="8"/>
  <c r="AA31" i="8"/>
  <c r="N40" i="8"/>
  <c r="AB40" i="8"/>
  <c r="AA40" i="8"/>
  <c r="Q43" i="8"/>
  <c r="P43" i="8"/>
  <c r="Q21" i="8"/>
  <c r="P21" i="8"/>
  <c r="Q23" i="8"/>
  <c r="P23" i="8"/>
  <c r="AB29" i="8"/>
  <c r="AA29" i="8"/>
  <c r="N29" i="8"/>
  <c r="N58" i="8"/>
  <c r="AB58" i="8"/>
  <c r="AA58" i="8"/>
  <c r="M64" i="8"/>
  <c r="N60" i="8"/>
  <c r="AB60" i="8"/>
  <c r="AA60" i="8"/>
  <c r="N63" i="8"/>
  <c r="AB63" i="8"/>
  <c r="AA63" i="8"/>
  <c r="M38" i="8"/>
  <c r="N50" i="8"/>
  <c r="AB50" i="8"/>
  <c r="AA50" i="8"/>
  <c r="Q53" i="8"/>
  <c r="P53" i="8"/>
  <c r="AB17" i="8"/>
  <c r="AA17" i="8"/>
  <c r="N17" i="8"/>
  <c r="AB27" i="8"/>
  <c r="AA27" i="8"/>
  <c r="N27" i="8"/>
  <c r="N41" i="8"/>
  <c r="AB41" i="8"/>
  <c r="AA41" i="8"/>
  <c r="N30" i="8"/>
  <c r="AB30" i="8"/>
  <c r="AA30" i="8"/>
  <c r="Q35" i="8"/>
  <c r="P35" i="8"/>
  <c r="N39" i="8"/>
  <c r="AB39" i="8"/>
  <c r="M44" i="8"/>
  <c r="AA39" i="8"/>
  <c r="N61" i="8"/>
  <c r="AB61" i="8"/>
  <c r="AA61" i="8"/>
  <c r="M8" i="8"/>
  <c r="AB12" i="8"/>
  <c r="AB13" i="8"/>
  <c r="N18" i="8"/>
  <c r="AB23" i="8"/>
  <c r="N28" i="8"/>
  <c r="AA33" i="8"/>
  <c r="AB35" i="8"/>
  <c r="N48" i="8"/>
  <c r="N57" i="8"/>
  <c r="N16" i="8"/>
  <c r="AB20" i="8"/>
  <c r="AB21" i="8"/>
  <c r="N45" i="8"/>
  <c r="N46" i="8"/>
  <c r="N56" i="8"/>
  <c r="N7" i="8"/>
  <c r="N15" i="8"/>
  <c r="N37" i="8"/>
  <c r="P47" i="8"/>
  <c r="N55" i="8"/>
  <c r="AA57" i="8"/>
  <c r="N12" i="8"/>
  <c r="P5" i="8"/>
  <c r="P6" i="8"/>
  <c r="P14" i="8"/>
  <c r="AA18" i="8"/>
  <c r="P24" i="8"/>
  <c r="AA28" i="8"/>
  <c r="P33" i="8"/>
  <c r="P36" i="8"/>
  <c r="AA48" i="8"/>
  <c r="P54" i="8"/>
  <c r="AA47" i="8"/>
  <c r="M51" i="8"/>
  <c r="AA16" i="8"/>
  <c r="AA45" i="8"/>
  <c r="AA46" i="8"/>
  <c r="AA56" i="8"/>
  <c r="G6" i="7"/>
  <c r="AA7" i="8"/>
  <c r="AA15" i="8"/>
  <c r="AA37" i="8"/>
  <c r="AA55" i="8"/>
  <c r="E6" i="7"/>
  <c r="O77" i="6"/>
  <c r="K77" i="6"/>
  <c r="V76" i="6"/>
  <c r="M76" i="6" s="1"/>
  <c r="U76" i="6"/>
  <c r="O76" i="6"/>
  <c r="K76" i="6"/>
  <c r="G76" i="6"/>
  <c r="V75" i="6"/>
  <c r="M75" i="6" s="1"/>
  <c r="U75" i="6"/>
  <c r="O75" i="6"/>
  <c r="K75" i="6"/>
  <c r="G75" i="6"/>
  <c r="V74" i="6"/>
  <c r="M74" i="6" s="1"/>
  <c r="U74" i="6"/>
  <c r="O74" i="6"/>
  <c r="K74" i="6"/>
  <c r="G74" i="6"/>
  <c r="X73" i="6"/>
  <c r="W73" i="6"/>
  <c r="V73" i="6"/>
  <c r="M73" i="6" s="1"/>
  <c r="U73" i="6"/>
  <c r="O73" i="6"/>
  <c r="K73" i="6"/>
  <c r="G73" i="6"/>
  <c r="V72" i="6"/>
  <c r="M72" i="6" s="1"/>
  <c r="U72" i="6"/>
  <c r="O72" i="6"/>
  <c r="K72" i="6"/>
  <c r="G72" i="6"/>
  <c r="V71" i="6"/>
  <c r="M71" i="6" s="1"/>
  <c r="U71" i="6"/>
  <c r="O71" i="6"/>
  <c r="K71" i="6"/>
  <c r="G71" i="6"/>
  <c r="V70" i="6"/>
  <c r="M70" i="6" s="1"/>
  <c r="U70" i="6"/>
  <c r="O70" i="6"/>
  <c r="K70" i="6"/>
  <c r="G70" i="6"/>
  <c r="X69" i="6"/>
  <c r="W69" i="6"/>
  <c r="V69" i="6"/>
  <c r="M69" i="6" s="1"/>
  <c r="O69" i="6"/>
  <c r="K69" i="6"/>
  <c r="G69" i="6"/>
  <c r="O68" i="6"/>
  <c r="M68" i="6"/>
  <c r="AB68" i="6" s="1"/>
  <c r="AC63" i="6" s="1"/>
  <c r="K68" i="6"/>
  <c r="V67" i="6"/>
  <c r="U67" i="6"/>
  <c r="O67" i="6"/>
  <c r="N67" i="6"/>
  <c r="Q67" i="6" s="1"/>
  <c r="M67" i="6"/>
  <c r="AB67" i="6" s="1"/>
  <c r="K67" i="6"/>
  <c r="G67" i="6"/>
  <c r="V66" i="6"/>
  <c r="U66" i="6"/>
  <c r="O66" i="6"/>
  <c r="M66" i="6"/>
  <c r="AB66" i="6" s="1"/>
  <c r="K66" i="6"/>
  <c r="G66" i="6"/>
  <c r="AB65" i="6"/>
  <c r="V65" i="6"/>
  <c r="U65" i="6"/>
  <c r="O65" i="6"/>
  <c r="N65" i="6"/>
  <c r="Q65" i="6" s="1"/>
  <c r="M65" i="6"/>
  <c r="AA65" i="6" s="1"/>
  <c r="K65" i="6"/>
  <c r="G65" i="6"/>
  <c r="AA64" i="6"/>
  <c r="V64" i="6"/>
  <c r="U64" i="6"/>
  <c r="O64" i="6"/>
  <c r="M64" i="6"/>
  <c r="N64" i="6" s="1"/>
  <c r="K64" i="6"/>
  <c r="G64" i="6"/>
  <c r="AA63" i="6"/>
  <c r="V63" i="6"/>
  <c r="O63" i="6"/>
  <c r="M63" i="6"/>
  <c r="N63" i="6" s="1"/>
  <c r="K63" i="6"/>
  <c r="G63" i="6"/>
  <c r="O62" i="6"/>
  <c r="K62" i="6"/>
  <c r="V61" i="6"/>
  <c r="M61" i="6" s="1"/>
  <c r="U61" i="6"/>
  <c r="O61" i="6"/>
  <c r="K61" i="6"/>
  <c r="G61" i="6"/>
  <c r="V60" i="6"/>
  <c r="M60" i="6" s="1"/>
  <c r="U60" i="6"/>
  <c r="O60" i="6"/>
  <c r="K60" i="6"/>
  <c r="G60" i="6"/>
  <c r="V59" i="6"/>
  <c r="U59" i="6"/>
  <c r="O59" i="6"/>
  <c r="M59" i="6"/>
  <c r="AB59" i="6" s="1"/>
  <c r="K59" i="6"/>
  <c r="G59" i="6"/>
  <c r="V58" i="6"/>
  <c r="U58" i="6"/>
  <c r="O58" i="6"/>
  <c r="M58" i="6"/>
  <c r="AB58" i="6" s="1"/>
  <c r="K58" i="6"/>
  <c r="G58" i="6"/>
  <c r="V57" i="6"/>
  <c r="U57" i="6"/>
  <c r="P57" i="6"/>
  <c r="O57" i="6"/>
  <c r="N57" i="6"/>
  <c r="Q57" i="6" s="1"/>
  <c r="M57" i="6"/>
  <c r="AB57" i="6" s="1"/>
  <c r="K57" i="6"/>
  <c r="G57" i="6"/>
  <c r="V56" i="6"/>
  <c r="P56" i="6"/>
  <c r="O56" i="6"/>
  <c r="N56" i="6"/>
  <c r="Q56" i="6" s="1"/>
  <c r="M56" i="6"/>
  <c r="AB56" i="6" s="1"/>
  <c r="K56" i="6"/>
  <c r="G56" i="6"/>
  <c r="O55" i="6"/>
  <c r="K55" i="6"/>
  <c r="AB54" i="6"/>
  <c r="V54" i="6"/>
  <c r="U54" i="6"/>
  <c r="O54" i="6"/>
  <c r="M54" i="6"/>
  <c r="N54" i="6" s="1"/>
  <c r="K54" i="6"/>
  <c r="G54" i="6"/>
  <c r="X53" i="6"/>
  <c r="W53" i="6"/>
  <c r="V53" i="6"/>
  <c r="M53" i="6" s="1"/>
  <c r="U53" i="6"/>
  <c r="O53" i="6"/>
  <c r="K53" i="6"/>
  <c r="G53" i="6"/>
  <c r="AB52" i="6"/>
  <c r="V52" i="6"/>
  <c r="U52" i="6"/>
  <c r="O52" i="6"/>
  <c r="M52" i="6"/>
  <c r="N52" i="6" s="1"/>
  <c r="K52" i="6"/>
  <c r="G52" i="6"/>
  <c r="V51" i="6"/>
  <c r="M51" i="6" s="1"/>
  <c r="U51" i="6"/>
  <c r="O51" i="6"/>
  <c r="K51" i="6"/>
  <c r="G51" i="6"/>
  <c r="V50" i="6"/>
  <c r="M50" i="6" s="1"/>
  <c r="U50" i="6"/>
  <c r="O50" i="6"/>
  <c r="K50" i="6"/>
  <c r="G50" i="6"/>
  <c r="V49" i="6"/>
  <c r="M49" i="6" s="1"/>
  <c r="O49" i="6"/>
  <c r="K49" i="6"/>
  <c r="G49" i="6"/>
  <c r="O48" i="6"/>
  <c r="K48" i="6"/>
  <c r="V47" i="6"/>
  <c r="U47" i="6"/>
  <c r="P47" i="6"/>
  <c r="O47" i="6"/>
  <c r="N47" i="6"/>
  <c r="Q47" i="6" s="1"/>
  <c r="M47" i="6"/>
  <c r="AB47" i="6" s="1"/>
  <c r="K47" i="6"/>
  <c r="G47" i="6"/>
  <c r="V46" i="6"/>
  <c r="U46" i="6"/>
  <c r="O46" i="6"/>
  <c r="M46" i="6"/>
  <c r="AB46" i="6" s="1"/>
  <c r="K46" i="6"/>
  <c r="G46" i="6"/>
  <c r="AB45" i="6"/>
  <c r="V45" i="6"/>
  <c r="U45" i="6"/>
  <c r="O45" i="6"/>
  <c r="N45" i="6"/>
  <c r="Q45" i="6" s="1"/>
  <c r="M45" i="6"/>
  <c r="AA45" i="6" s="1"/>
  <c r="K45" i="6"/>
  <c r="G45" i="6"/>
  <c r="AA44" i="6"/>
  <c r="V44" i="6"/>
  <c r="U44" i="6"/>
  <c r="O44" i="6"/>
  <c r="M44" i="6"/>
  <c r="N44" i="6" s="1"/>
  <c r="K44" i="6"/>
  <c r="G44" i="6"/>
  <c r="V43" i="6"/>
  <c r="M43" i="6" s="1"/>
  <c r="U43" i="6"/>
  <c r="O43" i="6"/>
  <c r="K43" i="6"/>
  <c r="G43" i="6"/>
  <c r="AB42" i="6"/>
  <c r="V42" i="6"/>
  <c r="U42" i="6"/>
  <c r="O42" i="6"/>
  <c r="M42" i="6"/>
  <c r="N42" i="6" s="1"/>
  <c r="K42" i="6"/>
  <c r="G42" i="6"/>
  <c r="V41" i="6"/>
  <c r="M41" i="6" s="1"/>
  <c r="U41" i="6"/>
  <c r="O41" i="6"/>
  <c r="K41" i="6"/>
  <c r="G41" i="6"/>
  <c r="V40" i="6"/>
  <c r="M40" i="6" s="1"/>
  <c r="U40" i="6"/>
  <c r="O40" i="6"/>
  <c r="K40" i="6"/>
  <c r="G40" i="6"/>
  <c r="AB39" i="6"/>
  <c r="AA39" i="6"/>
  <c r="X39" i="6"/>
  <c r="W39" i="6"/>
  <c r="V39" i="6"/>
  <c r="O39" i="6"/>
  <c r="M39" i="6"/>
  <c r="N39" i="6" s="1"/>
  <c r="K39" i="6"/>
  <c r="G39" i="6"/>
  <c r="O38" i="6"/>
  <c r="K38" i="6"/>
  <c r="AA37" i="6"/>
  <c r="P37" i="6"/>
  <c r="O37" i="6"/>
  <c r="N37" i="6"/>
  <c r="Q37" i="6" s="1"/>
  <c r="M37" i="6"/>
  <c r="AB37" i="6" s="1"/>
  <c r="K37" i="6"/>
  <c r="G37" i="6"/>
  <c r="O36" i="6"/>
  <c r="M36" i="6"/>
  <c r="AB36" i="6" s="1"/>
  <c r="K36" i="6"/>
  <c r="G36" i="6"/>
  <c r="O35" i="6"/>
  <c r="M35" i="6"/>
  <c r="N35" i="6" s="1"/>
  <c r="K35" i="6"/>
  <c r="G35" i="6"/>
  <c r="AB34" i="6"/>
  <c r="AA34" i="6"/>
  <c r="O34" i="6"/>
  <c r="N34" i="6"/>
  <c r="Q34" i="6" s="1"/>
  <c r="M34" i="6"/>
  <c r="K34" i="6"/>
  <c r="G34" i="6"/>
  <c r="P33" i="6"/>
  <c r="O33" i="6"/>
  <c r="N33" i="6"/>
  <c r="Q33" i="6" s="1"/>
  <c r="M33" i="6"/>
  <c r="AB33" i="6" s="1"/>
  <c r="K33" i="6"/>
  <c r="G33" i="6"/>
  <c r="O32" i="6"/>
  <c r="M32" i="6"/>
  <c r="AB32" i="6" s="1"/>
  <c r="K32" i="6"/>
  <c r="G32" i="6"/>
  <c r="AB31" i="6"/>
  <c r="AA31" i="6"/>
  <c r="Q31" i="6"/>
  <c r="P31" i="6"/>
  <c r="O31" i="6"/>
  <c r="N31" i="6"/>
  <c r="M31" i="6"/>
  <c r="K31" i="6"/>
  <c r="G31" i="6"/>
  <c r="AB30" i="6"/>
  <c r="O30" i="6"/>
  <c r="N30" i="6"/>
  <c r="Q30" i="6" s="1"/>
  <c r="M30" i="6"/>
  <c r="AA30" i="6" s="1"/>
  <c r="K30" i="6"/>
  <c r="G30" i="6"/>
  <c r="P29" i="6"/>
  <c r="O29" i="6"/>
  <c r="N29" i="6"/>
  <c r="Q29" i="6" s="1"/>
  <c r="M29" i="6"/>
  <c r="AB29" i="6" s="1"/>
  <c r="K29" i="6"/>
  <c r="G29" i="6"/>
  <c r="O28" i="6"/>
  <c r="M28" i="6"/>
  <c r="AB28" i="6" s="1"/>
  <c r="K28" i="6"/>
  <c r="G28" i="6"/>
  <c r="AA27" i="6"/>
  <c r="O27" i="6"/>
  <c r="M27" i="6"/>
  <c r="M38" i="6" s="1"/>
  <c r="K27" i="6"/>
  <c r="G27" i="6"/>
  <c r="O26" i="6"/>
  <c r="K26" i="6"/>
  <c r="G13" i="5" s="1"/>
  <c r="V25" i="6"/>
  <c r="M25" i="6" s="1"/>
  <c r="U25" i="6"/>
  <c r="O25" i="6"/>
  <c r="K25" i="6"/>
  <c r="G25" i="6"/>
  <c r="V24" i="6"/>
  <c r="U24" i="6"/>
  <c r="O24" i="6"/>
  <c r="M24" i="6"/>
  <c r="AB24" i="6" s="1"/>
  <c r="K24" i="6"/>
  <c r="G24" i="6"/>
  <c r="AB23" i="6"/>
  <c r="V23" i="6"/>
  <c r="U23" i="6"/>
  <c r="O23" i="6"/>
  <c r="M23" i="6"/>
  <c r="AA23" i="6" s="1"/>
  <c r="K23" i="6"/>
  <c r="G23" i="6"/>
  <c r="V22" i="6"/>
  <c r="M22" i="6" s="1"/>
  <c r="U22" i="6"/>
  <c r="O22" i="6"/>
  <c r="K22" i="6"/>
  <c r="G22" i="6"/>
  <c r="V21" i="6"/>
  <c r="O21" i="6"/>
  <c r="M21" i="6"/>
  <c r="AB21" i="6" s="1"/>
  <c r="K21" i="6"/>
  <c r="G21" i="6"/>
  <c r="L20" i="6"/>
  <c r="O20" i="6" s="1"/>
  <c r="J20" i="6"/>
  <c r="K20" i="6" s="1"/>
  <c r="F13" i="5" s="1"/>
  <c r="I20" i="6"/>
  <c r="AB19" i="6"/>
  <c r="V19" i="6"/>
  <c r="U19" i="6"/>
  <c r="O19" i="6"/>
  <c r="M19" i="6"/>
  <c r="AA19" i="6" s="1"/>
  <c r="K19" i="6"/>
  <c r="G19" i="6"/>
  <c r="AA18" i="6"/>
  <c r="V18" i="6"/>
  <c r="O18" i="6"/>
  <c r="M18" i="6"/>
  <c r="N18" i="6" s="1"/>
  <c r="K18" i="6"/>
  <c r="G18" i="6"/>
  <c r="V17" i="6"/>
  <c r="M17" i="6" s="1"/>
  <c r="U17" i="6"/>
  <c r="O17" i="6"/>
  <c r="K17" i="6"/>
  <c r="G17" i="6"/>
  <c r="X16" i="6"/>
  <c r="W16" i="6"/>
  <c r="V16" i="6"/>
  <c r="M16" i="6" s="1"/>
  <c r="U16" i="6"/>
  <c r="O16" i="6"/>
  <c r="K16" i="6"/>
  <c r="G16" i="6"/>
  <c r="V15" i="6"/>
  <c r="M15" i="6" s="1"/>
  <c r="U15" i="6"/>
  <c r="O15" i="6"/>
  <c r="K15" i="6"/>
  <c r="G15" i="6"/>
  <c r="AB14" i="6"/>
  <c r="U14" i="6"/>
  <c r="O14" i="6"/>
  <c r="M14" i="6"/>
  <c r="N14" i="6" s="1"/>
  <c r="K14" i="6"/>
  <c r="G14" i="6"/>
  <c r="AB13" i="6"/>
  <c r="AA13" i="6"/>
  <c r="O13" i="6"/>
  <c r="M13" i="6"/>
  <c r="N13" i="6" s="1"/>
  <c r="K13" i="6"/>
  <c r="G13" i="6"/>
  <c r="O12" i="6"/>
  <c r="K12" i="6"/>
  <c r="E13" i="5" s="1"/>
  <c r="V11" i="6"/>
  <c r="U11" i="6"/>
  <c r="O11" i="6"/>
  <c r="N11" i="6"/>
  <c r="Q11" i="6" s="1"/>
  <c r="M11" i="6"/>
  <c r="AB11" i="6" s="1"/>
  <c r="K11" i="6"/>
  <c r="G11" i="6"/>
  <c r="X10" i="6"/>
  <c r="W10" i="6"/>
  <c r="V10" i="6"/>
  <c r="M10" i="6" s="1"/>
  <c r="U10" i="6"/>
  <c r="O10" i="6"/>
  <c r="K10" i="6"/>
  <c r="G10" i="6"/>
  <c r="V9" i="6"/>
  <c r="M9" i="6" s="1"/>
  <c r="O9" i="6"/>
  <c r="K9" i="6"/>
  <c r="G9" i="6"/>
  <c r="F1" i="6" s="1"/>
  <c r="O8" i="6"/>
  <c r="K8" i="6"/>
  <c r="V7" i="6"/>
  <c r="U7" i="6"/>
  <c r="O7" i="6"/>
  <c r="M7" i="6"/>
  <c r="N7" i="6" s="1"/>
  <c r="K7" i="6"/>
  <c r="G7" i="6"/>
  <c r="V6" i="6"/>
  <c r="M6" i="6" s="1"/>
  <c r="U6" i="6"/>
  <c r="O6" i="6"/>
  <c r="K6" i="6"/>
  <c r="G6" i="6"/>
  <c r="V5" i="6"/>
  <c r="M5" i="6" s="1"/>
  <c r="O5" i="6"/>
  <c r="K5" i="6"/>
  <c r="G5" i="6"/>
  <c r="H2" i="6"/>
  <c r="H1" i="6"/>
  <c r="D1" i="6"/>
  <c r="M18" i="5"/>
  <c r="L18" i="5"/>
  <c r="K18" i="5"/>
  <c r="J18" i="5"/>
  <c r="I18" i="5"/>
  <c r="H18" i="5"/>
  <c r="G18" i="5"/>
  <c r="F18" i="5"/>
  <c r="E18" i="5"/>
  <c r="D18" i="5"/>
  <c r="M17" i="5"/>
  <c r="L17" i="5"/>
  <c r="K17" i="5"/>
  <c r="J17" i="5"/>
  <c r="I17" i="5"/>
  <c r="H17" i="5"/>
  <c r="G17" i="5"/>
  <c r="F17" i="5"/>
  <c r="E17" i="5"/>
  <c r="D17" i="5"/>
  <c r="M16" i="5"/>
  <c r="L16" i="5"/>
  <c r="K16" i="5"/>
  <c r="J16" i="5"/>
  <c r="I16" i="5"/>
  <c r="H16" i="5"/>
  <c r="G16" i="5"/>
  <c r="F16" i="5"/>
  <c r="E16" i="5"/>
  <c r="D16" i="5"/>
  <c r="M13" i="5"/>
  <c r="L13" i="5"/>
  <c r="K13" i="5"/>
  <c r="I6" i="5" s="1"/>
  <c r="J13" i="5"/>
  <c r="I13" i="5"/>
  <c r="H13" i="5"/>
  <c r="D13" i="5"/>
  <c r="F3" i="5"/>
  <c r="C3" i="5"/>
  <c r="Q25" i="10" l="1"/>
  <c r="R20" i="10" s="1"/>
  <c r="P25" i="10"/>
  <c r="G14" i="9"/>
  <c r="G15" i="9" s="1"/>
  <c r="Q64" i="10"/>
  <c r="R58" i="10" s="1"/>
  <c r="P64" i="10"/>
  <c r="M14" i="9"/>
  <c r="M15" i="9" s="1"/>
  <c r="P38" i="10"/>
  <c r="Q38" i="10"/>
  <c r="R33" i="10" s="1"/>
  <c r="L14" i="9"/>
  <c r="L15" i="9" s="1"/>
  <c r="Q32" i="10"/>
  <c r="R26" i="10" s="1"/>
  <c r="K14" i="9"/>
  <c r="P32" i="10"/>
  <c r="P19" i="10"/>
  <c r="F14" i="9"/>
  <c r="F15" i="9" s="1"/>
  <c r="Q19" i="10"/>
  <c r="R12" i="10" s="1"/>
  <c r="E14" i="9"/>
  <c r="E15" i="9" s="1"/>
  <c r="Q11" i="10"/>
  <c r="R9" i="10" s="1"/>
  <c r="P11" i="10"/>
  <c r="P57" i="10"/>
  <c r="J14" i="9"/>
  <c r="J15" i="9" s="1"/>
  <c r="Q57" i="10"/>
  <c r="R52" i="10" s="1"/>
  <c r="Q51" i="10"/>
  <c r="R45" i="10" s="1"/>
  <c r="P51" i="10"/>
  <c r="I14" i="9"/>
  <c r="I15" i="9" s="1"/>
  <c r="D14" i="9"/>
  <c r="P8" i="10"/>
  <c r="D2" i="10"/>
  <c r="Q8" i="10"/>
  <c r="R5" i="10" s="1"/>
  <c r="Q9" i="8"/>
  <c r="P9" i="8"/>
  <c r="Q56" i="8"/>
  <c r="P56" i="8"/>
  <c r="Q18" i="8"/>
  <c r="P18" i="8"/>
  <c r="Q60" i="8"/>
  <c r="P60" i="8"/>
  <c r="Q46" i="8"/>
  <c r="P46" i="8"/>
  <c r="AB64" i="8"/>
  <c r="AC58" i="8" s="1"/>
  <c r="AA64" i="8"/>
  <c r="N64" i="8"/>
  <c r="Q45" i="8"/>
  <c r="P45" i="8"/>
  <c r="AB25" i="8"/>
  <c r="AC20" i="8" s="1"/>
  <c r="AA25" i="8"/>
  <c r="N25" i="8"/>
  <c r="AB8" i="8"/>
  <c r="AC5" i="8" s="1"/>
  <c r="AA8" i="8"/>
  <c r="N8" i="8"/>
  <c r="Q30" i="8"/>
  <c r="P30" i="8"/>
  <c r="Q22" i="8"/>
  <c r="P22" i="8"/>
  <c r="P62" i="8"/>
  <c r="Q62" i="8"/>
  <c r="Q58" i="8"/>
  <c r="P58" i="8"/>
  <c r="Q40" i="8"/>
  <c r="P40" i="8"/>
  <c r="Q7" i="8"/>
  <c r="P7" i="8"/>
  <c r="N51" i="8"/>
  <c r="AB51" i="8"/>
  <c r="AC45" i="8" s="1"/>
  <c r="AA51" i="8"/>
  <c r="Q12" i="8"/>
  <c r="P12" i="8"/>
  <c r="Q16" i="8"/>
  <c r="P16" i="8"/>
  <c r="Q50" i="8"/>
  <c r="P50" i="8"/>
  <c r="Q29" i="8"/>
  <c r="P29" i="8"/>
  <c r="Q10" i="8"/>
  <c r="P10" i="8"/>
  <c r="J14" i="7"/>
  <c r="J15" i="7" s="1"/>
  <c r="Q57" i="8"/>
  <c r="R52" i="8" s="1"/>
  <c r="P57" i="8"/>
  <c r="Q61" i="8"/>
  <c r="P61" i="8"/>
  <c r="Q41" i="8"/>
  <c r="P41" i="8"/>
  <c r="AB38" i="8"/>
  <c r="AC33" i="8" s="1"/>
  <c r="AA38" i="8"/>
  <c r="N38" i="8"/>
  <c r="P42" i="8"/>
  <c r="Q42" i="8"/>
  <c r="Q59" i="8"/>
  <c r="P59" i="8"/>
  <c r="Q55" i="8"/>
  <c r="P55" i="8"/>
  <c r="Q48" i="8"/>
  <c r="P48" i="8"/>
  <c r="Q27" i="8"/>
  <c r="P27" i="8"/>
  <c r="Q31" i="8"/>
  <c r="P31" i="8"/>
  <c r="N19" i="8"/>
  <c r="AB19" i="8"/>
  <c r="AC12" i="8" s="1"/>
  <c r="AA19" i="8"/>
  <c r="AB44" i="8"/>
  <c r="AC39" i="8" s="1"/>
  <c r="AA44" i="8"/>
  <c r="N44" i="8"/>
  <c r="Q34" i="8"/>
  <c r="P34" i="8"/>
  <c r="Q37" i="8"/>
  <c r="P37" i="8"/>
  <c r="Q63" i="8"/>
  <c r="P63" i="8"/>
  <c r="Q26" i="8"/>
  <c r="P26" i="8"/>
  <c r="Q15" i="8"/>
  <c r="P15" i="8"/>
  <c r="Q28" i="8"/>
  <c r="P28" i="8"/>
  <c r="Q39" i="8"/>
  <c r="P39" i="8"/>
  <c r="Q17" i="8"/>
  <c r="P17" i="8"/>
  <c r="N11" i="8"/>
  <c r="AB11" i="8"/>
  <c r="AC9" i="8" s="1"/>
  <c r="AA11" i="8"/>
  <c r="Q49" i="8"/>
  <c r="P49" i="8"/>
  <c r="N32" i="8"/>
  <c r="AB32" i="8"/>
  <c r="AC26" i="8" s="1"/>
  <c r="AA32" i="8"/>
  <c r="E6" i="5"/>
  <c r="N51" i="6"/>
  <c r="AB51" i="6"/>
  <c r="AA51" i="6"/>
  <c r="N53" i="6"/>
  <c r="AB53" i="6"/>
  <c r="AA53" i="6"/>
  <c r="N61" i="6"/>
  <c r="AB61" i="6"/>
  <c r="AA61" i="6"/>
  <c r="N16" i="6"/>
  <c r="AB16" i="6"/>
  <c r="AA16" i="6"/>
  <c r="Q7" i="6"/>
  <c r="P7" i="6"/>
  <c r="AA10" i="6"/>
  <c r="N10" i="6"/>
  <c r="AB10" i="6"/>
  <c r="N41" i="6"/>
  <c r="AB41" i="6"/>
  <c r="AA41" i="6"/>
  <c r="N43" i="6"/>
  <c r="AB43" i="6"/>
  <c r="AA43" i="6"/>
  <c r="Q52" i="6"/>
  <c r="P52" i="6"/>
  <c r="AB25" i="6"/>
  <c r="AA25" i="6"/>
  <c r="N25" i="6"/>
  <c r="N49" i="6"/>
  <c r="M55" i="6"/>
  <c r="AB49" i="6"/>
  <c r="AA49" i="6"/>
  <c r="AB70" i="6"/>
  <c r="AA70" i="6"/>
  <c r="N70" i="6"/>
  <c r="N5" i="6"/>
  <c r="M8" i="6"/>
  <c r="AB5" i="6"/>
  <c r="AA5" i="6"/>
  <c r="Q13" i="6"/>
  <c r="P13" i="6"/>
  <c r="Q63" i="6"/>
  <c r="P63" i="6"/>
  <c r="N75" i="6"/>
  <c r="AB75" i="6"/>
  <c r="AA75" i="6"/>
  <c r="N6" i="6"/>
  <c r="AB6" i="6"/>
  <c r="AA6" i="6"/>
  <c r="F2" i="6"/>
  <c r="I3" i="5"/>
  <c r="N15" i="6"/>
  <c r="M20" i="6"/>
  <c r="AB15" i="6"/>
  <c r="AA15" i="6"/>
  <c r="N17" i="6"/>
  <c r="AB17" i="6"/>
  <c r="AA17" i="6"/>
  <c r="P35" i="6"/>
  <c r="Q35" i="6"/>
  <c r="Q42" i="6"/>
  <c r="P42" i="6"/>
  <c r="Q44" i="6"/>
  <c r="P44" i="6"/>
  <c r="N73" i="6"/>
  <c r="AB73" i="6"/>
  <c r="AA73" i="6"/>
  <c r="N38" i="6"/>
  <c r="AB38" i="6"/>
  <c r="AC27" i="6" s="1"/>
  <c r="AA38" i="6"/>
  <c r="N50" i="6"/>
  <c r="AB50" i="6"/>
  <c r="AA50" i="6"/>
  <c r="AB60" i="6"/>
  <c r="AA60" i="6"/>
  <c r="N60" i="6"/>
  <c r="N69" i="6"/>
  <c r="AB69" i="6"/>
  <c r="AA69" i="6"/>
  <c r="M77" i="6"/>
  <c r="N71" i="6"/>
  <c r="AB71" i="6"/>
  <c r="AA71" i="6"/>
  <c r="AB9" i="6"/>
  <c r="AA9" i="6"/>
  <c r="N9" i="6"/>
  <c r="M12" i="6"/>
  <c r="Q54" i="6"/>
  <c r="P54" i="6"/>
  <c r="G6" i="5"/>
  <c r="AB22" i="6"/>
  <c r="AA22" i="6"/>
  <c r="N22" i="6"/>
  <c r="Q18" i="6"/>
  <c r="P18" i="6"/>
  <c r="P14" i="6"/>
  <c r="Q14" i="6"/>
  <c r="N40" i="6"/>
  <c r="AB40" i="6"/>
  <c r="AA40" i="6"/>
  <c r="M48" i="6"/>
  <c r="N76" i="6"/>
  <c r="AB76" i="6"/>
  <c r="AA76" i="6"/>
  <c r="Q39" i="6"/>
  <c r="P39" i="6"/>
  <c r="Q64" i="6"/>
  <c r="P64" i="6"/>
  <c r="N72" i="6"/>
  <c r="AB72" i="6"/>
  <c r="AA72" i="6"/>
  <c r="N74" i="6"/>
  <c r="AB74" i="6"/>
  <c r="AA74" i="6"/>
  <c r="AB18" i="6"/>
  <c r="N24" i="6"/>
  <c r="AB27" i="6"/>
  <c r="AA35" i="6"/>
  <c r="AB44" i="6"/>
  <c r="N59" i="6"/>
  <c r="AB63" i="6"/>
  <c r="AB64" i="6"/>
  <c r="N68" i="6"/>
  <c r="F6" i="5"/>
  <c r="AA7" i="6"/>
  <c r="N23" i="6"/>
  <c r="P30" i="6"/>
  <c r="P34" i="6"/>
  <c r="AB35" i="6"/>
  <c r="AA42" i="6"/>
  <c r="AA52" i="6"/>
  <c r="AA54" i="6"/>
  <c r="N58" i="6"/>
  <c r="AB7" i="6"/>
  <c r="AA14" i="6"/>
  <c r="N21" i="6"/>
  <c r="N46" i="6"/>
  <c r="N66" i="6"/>
  <c r="N19" i="6"/>
  <c r="P67" i="6"/>
  <c r="AA68" i="6"/>
  <c r="P11" i="6"/>
  <c r="N28" i="6"/>
  <c r="N32" i="6"/>
  <c r="N36" i="6"/>
  <c r="AA24" i="6"/>
  <c r="N27" i="6"/>
  <c r="AA29" i="6"/>
  <c r="AA33" i="6"/>
  <c r="P45" i="6"/>
  <c r="AA59" i="6"/>
  <c r="P65" i="6"/>
  <c r="AA58" i="6"/>
  <c r="M62" i="6"/>
  <c r="AA21" i="6"/>
  <c r="M26" i="6"/>
  <c r="AA47" i="6"/>
  <c r="AA56" i="6"/>
  <c r="AA57" i="6"/>
  <c r="AA67" i="6"/>
  <c r="AA11" i="6"/>
  <c r="AA28" i="6"/>
  <c r="AA32" i="6"/>
  <c r="AA36" i="6"/>
  <c r="AA46" i="6"/>
  <c r="AA66" i="6"/>
  <c r="O76" i="4"/>
  <c r="K76" i="4"/>
  <c r="AA75" i="4"/>
  <c r="V75" i="4"/>
  <c r="U75" i="4"/>
  <c r="O75" i="4"/>
  <c r="M75" i="4"/>
  <c r="N75" i="4" s="1"/>
  <c r="K75" i="4"/>
  <c r="G75" i="4"/>
  <c r="AB74" i="4"/>
  <c r="AA74" i="4"/>
  <c r="V74" i="4"/>
  <c r="U74" i="4"/>
  <c r="O74" i="4"/>
  <c r="M74" i="4"/>
  <c r="N74" i="4" s="1"/>
  <c r="K74" i="4"/>
  <c r="G74" i="4"/>
  <c r="AA73" i="4"/>
  <c r="V73" i="4"/>
  <c r="U73" i="4"/>
  <c r="O73" i="4"/>
  <c r="M73" i="4"/>
  <c r="N73" i="4" s="1"/>
  <c r="K73" i="4"/>
  <c r="G73" i="4"/>
  <c r="X72" i="4"/>
  <c r="W72" i="4"/>
  <c r="V72" i="4"/>
  <c r="U72" i="4"/>
  <c r="O72" i="4"/>
  <c r="M72" i="4"/>
  <c r="N72" i="4" s="1"/>
  <c r="K72" i="4"/>
  <c r="G72" i="4"/>
  <c r="AA71" i="4"/>
  <c r="V71" i="4"/>
  <c r="U71" i="4"/>
  <c r="O71" i="4"/>
  <c r="M71" i="4"/>
  <c r="N71" i="4" s="1"/>
  <c r="K71" i="4"/>
  <c r="G71" i="4"/>
  <c r="AB70" i="4"/>
  <c r="V70" i="4"/>
  <c r="U70" i="4"/>
  <c r="O70" i="4"/>
  <c r="M70" i="4"/>
  <c r="N70" i="4" s="1"/>
  <c r="K70" i="4"/>
  <c r="G70" i="4"/>
  <c r="AB69" i="4"/>
  <c r="AA69" i="4"/>
  <c r="V69" i="4"/>
  <c r="U69" i="4"/>
  <c r="Q69" i="4"/>
  <c r="P69" i="4"/>
  <c r="O69" i="4"/>
  <c r="N69" i="4"/>
  <c r="M69" i="4"/>
  <c r="K69" i="4"/>
  <c r="G69" i="4"/>
  <c r="AA68" i="4"/>
  <c r="V68" i="4"/>
  <c r="U68" i="4"/>
  <c r="O68" i="4"/>
  <c r="M68" i="4"/>
  <c r="AB68" i="4" s="1"/>
  <c r="K68" i="4"/>
  <c r="G68" i="4"/>
  <c r="AB67" i="4"/>
  <c r="AA67" i="4"/>
  <c r="X67" i="4"/>
  <c r="W67" i="4"/>
  <c r="V67" i="4"/>
  <c r="O67" i="4"/>
  <c r="M67" i="4"/>
  <c r="N67" i="4" s="1"/>
  <c r="K67" i="4"/>
  <c r="G67" i="4"/>
  <c r="AB66" i="4"/>
  <c r="AA66" i="4"/>
  <c r="O66" i="4"/>
  <c r="N66" i="4"/>
  <c r="J14" i="3" s="1"/>
  <c r="J15" i="3" s="1"/>
  <c r="M66" i="4"/>
  <c r="K66" i="4"/>
  <c r="AB65" i="4"/>
  <c r="AA65" i="4"/>
  <c r="V65" i="4"/>
  <c r="U65" i="4"/>
  <c r="Q65" i="4"/>
  <c r="O65" i="4"/>
  <c r="N65" i="4"/>
  <c r="P65" i="4" s="1"/>
  <c r="M65" i="4"/>
  <c r="K65" i="4"/>
  <c r="G65" i="4"/>
  <c r="AB64" i="4"/>
  <c r="AA64" i="4"/>
  <c r="V64" i="4"/>
  <c r="U64" i="4"/>
  <c r="Q64" i="4"/>
  <c r="P64" i="4"/>
  <c r="O64" i="4"/>
  <c r="N64" i="4"/>
  <c r="M64" i="4"/>
  <c r="K64" i="4"/>
  <c r="G64" i="4"/>
  <c r="AB63" i="4"/>
  <c r="AA63" i="4"/>
  <c r="V63" i="4"/>
  <c r="U63" i="4"/>
  <c r="P63" i="4"/>
  <c r="O63" i="4"/>
  <c r="N63" i="4"/>
  <c r="Q63" i="4" s="1"/>
  <c r="M63" i="4"/>
  <c r="K63" i="4"/>
  <c r="G63" i="4"/>
  <c r="AB62" i="4"/>
  <c r="AA62" i="4"/>
  <c r="V62" i="4"/>
  <c r="U62" i="4"/>
  <c r="Q62" i="4"/>
  <c r="P62" i="4"/>
  <c r="O62" i="4"/>
  <c r="N62" i="4"/>
  <c r="M62" i="4"/>
  <c r="K62" i="4"/>
  <c r="G62" i="4"/>
  <c r="AC61" i="4"/>
  <c r="AB61" i="4"/>
  <c r="AA61" i="4"/>
  <c r="V61" i="4"/>
  <c r="Q61" i="4"/>
  <c r="P61" i="4"/>
  <c r="O61" i="4"/>
  <c r="N61" i="4"/>
  <c r="M61" i="4"/>
  <c r="K61" i="4"/>
  <c r="G61" i="4"/>
  <c r="O60" i="4"/>
  <c r="K60" i="4"/>
  <c r="AB59" i="4"/>
  <c r="AA59" i="4"/>
  <c r="V59" i="4"/>
  <c r="U59" i="4"/>
  <c r="Q59" i="4"/>
  <c r="P59" i="4"/>
  <c r="O59" i="4"/>
  <c r="N59" i="4"/>
  <c r="M59" i="4"/>
  <c r="K59" i="4"/>
  <c r="G59" i="4"/>
  <c r="AA58" i="4"/>
  <c r="V58" i="4"/>
  <c r="U58" i="4"/>
  <c r="O58" i="4"/>
  <c r="M58" i="4"/>
  <c r="M60" i="4" s="1"/>
  <c r="K58" i="4"/>
  <c r="G58" i="4"/>
  <c r="AB57" i="4"/>
  <c r="AA57" i="4"/>
  <c r="V57" i="4"/>
  <c r="U57" i="4"/>
  <c r="O57" i="4"/>
  <c r="N57" i="4"/>
  <c r="Q57" i="4" s="1"/>
  <c r="M57" i="4"/>
  <c r="K57" i="4"/>
  <c r="G57" i="4"/>
  <c r="AB56" i="4"/>
  <c r="AA56" i="4"/>
  <c r="V56" i="4"/>
  <c r="U56" i="4"/>
  <c r="O56" i="4"/>
  <c r="N56" i="4"/>
  <c r="Q56" i="4" s="1"/>
  <c r="M56" i="4"/>
  <c r="K56" i="4"/>
  <c r="G56" i="4"/>
  <c r="AB55" i="4"/>
  <c r="AA55" i="4"/>
  <c r="V55" i="4"/>
  <c r="U55" i="4"/>
  <c r="Q55" i="4"/>
  <c r="O55" i="4"/>
  <c r="N55" i="4"/>
  <c r="P55" i="4" s="1"/>
  <c r="M55" i="4"/>
  <c r="K55" i="4"/>
  <c r="G55" i="4"/>
  <c r="AB54" i="4"/>
  <c r="AA54" i="4"/>
  <c r="V54" i="4"/>
  <c r="Q54" i="4"/>
  <c r="O54" i="4"/>
  <c r="N54" i="4"/>
  <c r="P54" i="4" s="1"/>
  <c r="M54" i="4"/>
  <c r="K54" i="4"/>
  <c r="G54" i="4"/>
  <c r="O53" i="4"/>
  <c r="K53" i="4"/>
  <c r="AB52" i="4"/>
  <c r="AA52" i="4"/>
  <c r="V52" i="4"/>
  <c r="U52" i="4"/>
  <c r="O52" i="4"/>
  <c r="M52" i="4"/>
  <c r="N52" i="4" s="1"/>
  <c r="K52" i="4"/>
  <c r="G52" i="4"/>
  <c r="X51" i="4"/>
  <c r="W51" i="4"/>
  <c r="V51" i="4"/>
  <c r="U51" i="4"/>
  <c r="O51" i="4"/>
  <c r="M51" i="4"/>
  <c r="N51" i="4" s="1"/>
  <c r="K51" i="4"/>
  <c r="G51" i="4"/>
  <c r="AB50" i="4"/>
  <c r="AA50" i="4"/>
  <c r="V50" i="4"/>
  <c r="U50" i="4"/>
  <c r="O50" i="4"/>
  <c r="M50" i="4"/>
  <c r="N50" i="4" s="1"/>
  <c r="K50" i="4"/>
  <c r="G50" i="4"/>
  <c r="AA49" i="4"/>
  <c r="V49" i="4"/>
  <c r="U49" i="4"/>
  <c r="O49" i="4"/>
  <c r="M49" i="4"/>
  <c r="N49" i="4" s="1"/>
  <c r="K49" i="4"/>
  <c r="G49" i="4"/>
  <c r="AB48" i="4"/>
  <c r="V48" i="4"/>
  <c r="U48" i="4"/>
  <c r="O48" i="4"/>
  <c r="M48" i="4"/>
  <c r="N48" i="4" s="1"/>
  <c r="K48" i="4"/>
  <c r="G48" i="4"/>
  <c r="AB47" i="4"/>
  <c r="V47" i="4"/>
  <c r="O47" i="4"/>
  <c r="M47" i="4"/>
  <c r="N47" i="4" s="1"/>
  <c r="K47" i="4"/>
  <c r="G47" i="4"/>
  <c r="O46" i="4"/>
  <c r="K46" i="4"/>
  <c r="AB45" i="4"/>
  <c r="AA45" i="4"/>
  <c r="V45" i="4"/>
  <c r="U45" i="4"/>
  <c r="Q45" i="4"/>
  <c r="O45" i="4"/>
  <c r="N45" i="4"/>
  <c r="P45" i="4" s="1"/>
  <c r="M45" i="4"/>
  <c r="K45" i="4"/>
  <c r="G45" i="4"/>
  <c r="AB44" i="4"/>
  <c r="AA44" i="4"/>
  <c r="V44" i="4"/>
  <c r="U44" i="4"/>
  <c r="Q44" i="4"/>
  <c r="P44" i="4"/>
  <c r="O44" i="4"/>
  <c r="N44" i="4"/>
  <c r="M44" i="4"/>
  <c r="K44" i="4"/>
  <c r="G44" i="4"/>
  <c r="AB43" i="4"/>
  <c r="AA43" i="4"/>
  <c r="V43" i="4"/>
  <c r="U43" i="4"/>
  <c r="P43" i="4"/>
  <c r="O43" i="4"/>
  <c r="N43" i="4"/>
  <c r="Q43" i="4" s="1"/>
  <c r="M43" i="4"/>
  <c r="K43" i="4"/>
  <c r="G43" i="4"/>
  <c r="AB42" i="4"/>
  <c r="AA42" i="4"/>
  <c r="V42" i="4"/>
  <c r="U42" i="4"/>
  <c r="Q42" i="4"/>
  <c r="P42" i="4"/>
  <c r="O42" i="4"/>
  <c r="N42" i="4"/>
  <c r="M42" i="4"/>
  <c r="K42" i="4"/>
  <c r="G42" i="4"/>
  <c r="AB41" i="4"/>
  <c r="AA41" i="4"/>
  <c r="V41" i="4"/>
  <c r="U41" i="4"/>
  <c r="O41" i="4"/>
  <c r="M41" i="4"/>
  <c r="N41" i="4" s="1"/>
  <c r="K41" i="4"/>
  <c r="G41" i="4"/>
  <c r="AB40" i="4"/>
  <c r="AA40" i="4"/>
  <c r="V40" i="4"/>
  <c r="U40" i="4"/>
  <c r="O40" i="4"/>
  <c r="M40" i="4"/>
  <c r="N40" i="4" s="1"/>
  <c r="K40" i="4"/>
  <c r="G40" i="4"/>
  <c r="AA39" i="4"/>
  <c r="V39" i="4"/>
  <c r="U39" i="4"/>
  <c r="O39" i="4"/>
  <c r="M39" i="4"/>
  <c r="N39" i="4" s="1"/>
  <c r="K39" i="4"/>
  <c r="G39" i="4"/>
  <c r="AB38" i="4"/>
  <c r="V38" i="4"/>
  <c r="U38" i="4"/>
  <c r="O38" i="4"/>
  <c r="M38" i="4"/>
  <c r="N38" i="4" s="1"/>
  <c r="K38" i="4"/>
  <c r="G38" i="4"/>
  <c r="X37" i="4"/>
  <c r="W37" i="4"/>
  <c r="V37" i="4"/>
  <c r="O37" i="4"/>
  <c r="M37" i="4"/>
  <c r="N37" i="4" s="1"/>
  <c r="K37" i="4"/>
  <c r="G37" i="4"/>
  <c r="O36" i="4"/>
  <c r="K36" i="4"/>
  <c r="AB35" i="4"/>
  <c r="AA35" i="4"/>
  <c r="V35" i="4"/>
  <c r="U35" i="4"/>
  <c r="O35" i="4"/>
  <c r="N35" i="4"/>
  <c r="Q35" i="4" s="1"/>
  <c r="M35" i="4"/>
  <c r="K35" i="4"/>
  <c r="G35" i="4"/>
  <c r="AB34" i="4"/>
  <c r="AA34" i="4"/>
  <c r="V34" i="4"/>
  <c r="U34" i="4"/>
  <c r="O34" i="4"/>
  <c r="N34" i="4"/>
  <c r="Q34" i="4" s="1"/>
  <c r="M34" i="4"/>
  <c r="K34" i="4"/>
  <c r="G34" i="4"/>
  <c r="AB33" i="4"/>
  <c r="AA33" i="4"/>
  <c r="V33" i="4"/>
  <c r="U33" i="4"/>
  <c r="Q33" i="4"/>
  <c r="O33" i="4"/>
  <c r="N33" i="4"/>
  <c r="P33" i="4" s="1"/>
  <c r="M33" i="4"/>
  <c r="K33" i="4"/>
  <c r="G33" i="4"/>
  <c r="AB32" i="4"/>
  <c r="AA32" i="4"/>
  <c r="V32" i="4"/>
  <c r="U32" i="4"/>
  <c r="Q32" i="4"/>
  <c r="P32" i="4"/>
  <c r="O32" i="4"/>
  <c r="N32" i="4"/>
  <c r="M32" i="4"/>
  <c r="K32" i="4"/>
  <c r="G32" i="4"/>
  <c r="AB31" i="4"/>
  <c r="AA31" i="4"/>
  <c r="V31" i="4"/>
  <c r="U31" i="4"/>
  <c r="P31" i="4"/>
  <c r="O31" i="4"/>
  <c r="N31" i="4"/>
  <c r="Q31" i="4" s="1"/>
  <c r="M31" i="4"/>
  <c r="K31" i="4"/>
  <c r="G31" i="4"/>
  <c r="AB30" i="4"/>
  <c r="AA30" i="4"/>
  <c r="V30" i="4"/>
  <c r="U30" i="4"/>
  <c r="Q30" i="4"/>
  <c r="P30" i="4"/>
  <c r="O30" i="4"/>
  <c r="N30" i="4"/>
  <c r="M30" i="4"/>
  <c r="K30" i="4"/>
  <c r="G30" i="4"/>
  <c r="AB29" i="4"/>
  <c r="AA29" i="4"/>
  <c r="V29" i="4"/>
  <c r="U29" i="4"/>
  <c r="O29" i="4"/>
  <c r="M29" i="4"/>
  <c r="N29" i="4" s="1"/>
  <c r="K29" i="4"/>
  <c r="G29" i="4"/>
  <c r="AB28" i="4"/>
  <c r="AA28" i="4"/>
  <c r="V28" i="4"/>
  <c r="U28" i="4"/>
  <c r="O28" i="4"/>
  <c r="M28" i="4"/>
  <c r="N28" i="4" s="1"/>
  <c r="K28" i="4"/>
  <c r="G28" i="4"/>
  <c r="AA27" i="4"/>
  <c r="V27" i="4"/>
  <c r="U27" i="4"/>
  <c r="O27" i="4"/>
  <c r="M27" i="4"/>
  <c r="N27" i="4" s="1"/>
  <c r="K27" i="4"/>
  <c r="G27" i="4"/>
  <c r="AB26" i="4"/>
  <c r="V26" i="4"/>
  <c r="U26" i="4"/>
  <c r="O26" i="4"/>
  <c r="M26" i="4"/>
  <c r="N26" i="4" s="1"/>
  <c r="K26" i="4"/>
  <c r="G26" i="4"/>
  <c r="X25" i="4"/>
  <c r="W25" i="4"/>
  <c r="V25" i="4"/>
  <c r="O25" i="4"/>
  <c r="M25" i="4"/>
  <c r="M36" i="4" s="1"/>
  <c r="K25" i="4"/>
  <c r="G25" i="4"/>
  <c r="AA24" i="4"/>
  <c r="Q24" i="4"/>
  <c r="R19" i="4" s="1"/>
  <c r="P24" i="4"/>
  <c r="O24" i="4"/>
  <c r="N24" i="4"/>
  <c r="M24" i="4"/>
  <c r="AB24" i="4" s="1"/>
  <c r="AC19" i="4" s="1"/>
  <c r="K24" i="4"/>
  <c r="AB23" i="4"/>
  <c r="AA23" i="4"/>
  <c r="V23" i="4"/>
  <c r="U23" i="4"/>
  <c r="O23" i="4"/>
  <c r="N23" i="4"/>
  <c r="Q23" i="4" s="1"/>
  <c r="M23" i="4"/>
  <c r="K23" i="4"/>
  <c r="G23" i="4"/>
  <c r="AB22" i="4"/>
  <c r="AA22" i="4"/>
  <c r="V22" i="4"/>
  <c r="U22" i="4"/>
  <c r="O22" i="4"/>
  <c r="N22" i="4"/>
  <c r="Q22" i="4" s="1"/>
  <c r="M22" i="4"/>
  <c r="K22" i="4"/>
  <c r="G22" i="4"/>
  <c r="AB21" i="4"/>
  <c r="AA21" i="4"/>
  <c r="V21" i="4"/>
  <c r="U21" i="4"/>
  <c r="Q21" i="4"/>
  <c r="O21" i="4"/>
  <c r="N21" i="4"/>
  <c r="P21" i="4" s="1"/>
  <c r="M21" i="4"/>
  <c r="K21" i="4"/>
  <c r="G21" i="4"/>
  <c r="AB20" i="4"/>
  <c r="AA20" i="4"/>
  <c r="V20" i="4"/>
  <c r="U20" i="4"/>
  <c r="Q20" i="4"/>
  <c r="P20" i="4"/>
  <c r="O20" i="4"/>
  <c r="N20" i="4"/>
  <c r="M20" i="4"/>
  <c r="K20" i="4"/>
  <c r="G20" i="4"/>
  <c r="AB19" i="4"/>
  <c r="AA19" i="4"/>
  <c r="V19" i="4"/>
  <c r="Q19" i="4"/>
  <c r="P19" i="4"/>
  <c r="O19" i="4"/>
  <c r="N19" i="4"/>
  <c r="M19" i="4"/>
  <c r="K19" i="4"/>
  <c r="G19" i="4"/>
  <c r="O18" i="4"/>
  <c r="M18" i="4"/>
  <c r="N18" i="4" s="1"/>
  <c r="K18" i="4"/>
  <c r="AA17" i="4"/>
  <c r="V17" i="4"/>
  <c r="U17" i="4"/>
  <c r="O17" i="4"/>
  <c r="M17" i="4"/>
  <c r="N17" i="4" s="1"/>
  <c r="K17" i="4"/>
  <c r="G17" i="4"/>
  <c r="AB16" i="4"/>
  <c r="V16" i="4"/>
  <c r="U16" i="4"/>
  <c r="O16" i="4"/>
  <c r="M16" i="4"/>
  <c r="N16" i="4" s="1"/>
  <c r="K16" i="4"/>
  <c r="G16" i="4"/>
  <c r="AB15" i="4"/>
  <c r="AA15" i="4"/>
  <c r="V15" i="4"/>
  <c r="U15" i="4"/>
  <c r="Q15" i="4"/>
  <c r="P15" i="4"/>
  <c r="O15" i="4"/>
  <c r="N15" i="4"/>
  <c r="M15" i="4"/>
  <c r="K15" i="4"/>
  <c r="G15" i="4"/>
  <c r="AA14" i="4"/>
  <c r="V14" i="4"/>
  <c r="U14" i="4"/>
  <c r="O14" i="4"/>
  <c r="M14" i="4"/>
  <c r="AB14" i="4" s="1"/>
  <c r="K14" i="4"/>
  <c r="G14" i="4"/>
  <c r="AA13" i="4"/>
  <c r="V13" i="4"/>
  <c r="O13" i="4"/>
  <c r="M13" i="4"/>
  <c r="AB13" i="4" s="1"/>
  <c r="K13" i="4"/>
  <c r="G13" i="4"/>
  <c r="AB12" i="4"/>
  <c r="AA12" i="4"/>
  <c r="Q12" i="4"/>
  <c r="R9" i="4" s="1"/>
  <c r="O12" i="4"/>
  <c r="N12" i="4"/>
  <c r="P12" i="4" s="1"/>
  <c r="M12" i="4"/>
  <c r="K12" i="4"/>
  <c r="AB11" i="4"/>
  <c r="AA11" i="4"/>
  <c r="V11" i="4"/>
  <c r="U11" i="4"/>
  <c r="P11" i="4"/>
  <c r="O11" i="4"/>
  <c r="N11" i="4"/>
  <c r="Q11" i="4" s="1"/>
  <c r="M11" i="4"/>
  <c r="K11" i="4"/>
  <c r="G11" i="4"/>
  <c r="AB10" i="4"/>
  <c r="AA10" i="4"/>
  <c r="X10" i="4"/>
  <c r="W10" i="4"/>
  <c r="V10" i="4"/>
  <c r="U10" i="4"/>
  <c r="Q10" i="4"/>
  <c r="P10" i="4"/>
  <c r="O10" i="4"/>
  <c r="N10" i="4"/>
  <c r="M10" i="4"/>
  <c r="K10" i="4"/>
  <c r="G10" i="4"/>
  <c r="AC9" i="4"/>
  <c r="AB9" i="4"/>
  <c r="AA9" i="4"/>
  <c r="V9" i="4"/>
  <c r="Q9" i="4"/>
  <c r="P9" i="4"/>
  <c r="O9" i="4"/>
  <c r="N9" i="4"/>
  <c r="M9" i="4"/>
  <c r="K9" i="4"/>
  <c r="G9" i="4"/>
  <c r="O8" i="4"/>
  <c r="M8" i="4"/>
  <c r="N8" i="4" s="1"/>
  <c r="K8" i="4"/>
  <c r="AA7" i="4"/>
  <c r="V7" i="4"/>
  <c r="U7" i="4"/>
  <c r="O7" i="4"/>
  <c r="M7" i="4"/>
  <c r="N7" i="4" s="1"/>
  <c r="K7" i="4"/>
  <c r="G7" i="4"/>
  <c r="AB6" i="4"/>
  <c r="V6" i="4"/>
  <c r="U6" i="4"/>
  <c r="O6" i="4"/>
  <c r="M6" i="4"/>
  <c r="N6" i="4" s="1"/>
  <c r="K6" i="4"/>
  <c r="G6" i="4"/>
  <c r="AB5" i="4"/>
  <c r="V5" i="4"/>
  <c r="O5" i="4"/>
  <c r="M5" i="4"/>
  <c r="N5" i="4" s="1"/>
  <c r="K5" i="4"/>
  <c r="G5" i="4"/>
  <c r="H2" i="4"/>
  <c r="H1" i="4"/>
  <c r="F1" i="4"/>
  <c r="F2" i="4" s="1"/>
  <c r="D1" i="4"/>
  <c r="M18" i="3"/>
  <c r="L18" i="3"/>
  <c r="K18" i="3"/>
  <c r="J18" i="3"/>
  <c r="I18" i="3"/>
  <c r="H18" i="3"/>
  <c r="G18" i="3"/>
  <c r="F18" i="3"/>
  <c r="E18" i="3"/>
  <c r="D18" i="3"/>
  <c r="M17" i="3"/>
  <c r="L17" i="3"/>
  <c r="K17" i="3"/>
  <c r="J17" i="3"/>
  <c r="I17" i="3"/>
  <c r="H17" i="3"/>
  <c r="G17" i="3"/>
  <c r="F17" i="3"/>
  <c r="E17" i="3"/>
  <c r="D17" i="3"/>
  <c r="M16" i="3"/>
  <c r="L16" i="3"/>
  <c r="K16" i="3"/>
  <c r="J16" i="3"/>
  <c r="I16" i="3"/>
  <c r="H16" i="3"/>
  <c r="G16" i="3"/>
  <c r="F16" i="3"/>
  <c r="E16" i="3"/>
  <c r="D16" i="3"/>
  <c r="G14" i="3"/>
  <c r="G15" i="3" s="1"/>
  <c r="M13" i="3"/>
  <c r="L13" i="3"/>
  <c r="K13" i="3"/>
  <c r="J13" i="3"/>
  <c r="I13" i="3"/>
  <c r="H13" i="3"/>
  <c r="G13" i="3"/>
  <c r="F13" i="3"/>
  <c r="E13" i="3"/>
  <c r="G6" i="3" s="1"/>
  <c r="D13" i="3"/>
  <c r="I6" i="3"/>
  <c r="F3" i="3"/>
  <c r="C3" i="3"/>
  <c r="D15" i="9" l="1"/>
  <c r="G7" i="9"/>
  <c r="F7" i="9"/>
  <c r="E7" i="9"/>
  <c r="K15" i="9"/>
  <c r="I8" i="9" s="1"/>
  <c r="I7" i="9"/>
  <c r="P51" i="8"/>
  <c r="I14" i="7"/>
  <c r="I15" i="7" s="1"/>
  <c r="Q51" i="8"/>
  <c r="R45" i="8" s="1"/>
  <c r="F14" i="7"/>
  <c r="F15" i="7" s="1"/>
  <c r="Q19" i="8"/>
  <c r="R12" i="8" s="1"/>
  <c r="P19" i="8"/>
  <c r="D2" i="8"/>
  <c r="D14" i="7"/>
  <c r="Q8" i="8"/>
  <c r="R5" i="8" s="1"/>
  <c r="P8" i="8"/>
  <c r="L14" i="7"/>
  <c r="L15" i="7" s="1"/>
  <c r="Q38" i="8"/>
  <c r="R33" i="8" s="1"/>
  <c r="P38" i="8"/>
  <c r="P11" i="8"/>
  <c r="E14" i="7"/>
  <c r="E15" i="7" s="1"/>
  <c r="Q11" i="8"/>
  <c r="R9" i="8" s="1"/>
  <c r="G14" i="7"/>
  <c r="G15" i="7" s="1"/>
  <c r="Q25" i="8"/>
  <c r="R20" i="8" s="1"/>
  <c r="P25" i="8"/>
  <c r="Q32" i="8"/>
  <c r="R26" i="8" s="1"/>
  <c r="P32" i="8"/>
  <c r="K14" i="7"/>
  <c r="H14" i="7"/>
  <c r="H15" i="7" s="1"/>
  <c r="Q44" i="8"/>
  <c r="R39" i="8" s="1"/>
  <c r="P44" i="8"/>
  <c r="M14" i="7"/>
  <c r="M15" i="7" s="1"/>
  <c r="Q64" i="8"/>
  <c r="R58" i="8" s="1"/>
  <c r="P64" i="8"/>
  <c r="N26" i="6"/>
  <c r="AB26" i="6"/>
  <c r="AC21" i="6" s="1"/>
  <c r="AA26" i="6"/>
  <c r="Q32" i="6"/>
  <c r="P32" i="6"/>
  <c r="Q59" i="6"/>
  <c r="P59" i="6"/>
  <c r="P5" i="6"/>
  <c r="Q5" i="6"/>
  <c r="N62" i="6"/>
  <c r="AB62" i="6"/>
  <c r="AC56" i="6" s="1"/>
  <c r="AA62" i="6"/>
  <c r="Q16" i="6"/>
  <c r="P16" i="6"/>
  <c r="P6" i="6"/>
  <c r="Q6" i="6"/>
  <c r="Q22" i="6"/>
  <c r="P22" i="6"/>
  <c r="Q71" i="6"/>
  <c r="P71" i="6"/>
  <c r="Q43" i="6"/>
  <c r="P43" i="6"/>
  <c r="Q70" i="6"/>
  <c r="P70" i="6"/>
  <c r="Q24" i="6"/>
  <c r="P24" i="6"/>
  <c r="AB77" i="6"/>
  <c r="AC69" i="6" s="1"/>
  <c r="AA77" i="6"/>
  <c r="N77" i="6"/>
  <c r="Q38" i="6"/>
  <c r="R27" i="6" s="1"/>
  <c r="K14" i="5"/>
  <c r="P38" i="6"/>
  <c r="Q17" i="6"/>
  <c r="P17" i="6"/>
  <c r="P75" i="6"/>
  <c r="Q75" i="6"/>
  <c r="Q19" i="6"/>
  <c r="P19" i="6"/>
  <c r="Q61" i="6"/>
  <c r="P61" i="6"/>
  <c r="Q66" i="6"/>
  <c r="P66" i="6"/>
  <c r="Q23" i="6"/>
  <c r="P23" i="6"/>
  <c r="Q76" i="6"/>
  <c r="P76" i="6"/>
  <c r="AB55" i="6"/>
  <c r="AC49" i="6" s="1"/>
  <c r="AA55" i="6"/>
  <c r="N55" i="6"/>
  <c r="P41" i="6"/>
  <c r="Q41" i="6"/>
  <c r="P50" i="6"/>
  <c r="Q50" i="6"/>
  <c r="Q46" i="6"/>
  <c r="P46" i="6"/>
  <c r="AB48" i="6"/>
  <c r="AC39" i="6" s="1"/>
  <c r="AA48" i="6"/>
  <c r="N48" i="6"/>
  <c r="P69" i="6"/>
  <c r="Q69" i="6"/>
  <c r="P73" i="6"/>
  <c r="Q73" i="6"/>
  <c r="AB20" i="6"/>
  <c r="AC13" i="6" s="1"/>
  <c r="AA20" i="6"/>
  <c r="N20" i="6"/>
  <c r="P49" i="6"/>
  <c r="Q49" i="6"/>
  <c r="Q21" i="6"/>
  <c r="P21" i="6"/>
  <c r="P74" i="6"/>
  <c r="Q74" i="6"/>
  <c r="Q60" i="6"/>
  <c r="P60" i="6"/>
  <c r="Q15" i="6"/>
  <c r="P15" i="6"/>
  <c r="Q25" i="6"/>
  <c r="P25" i="6"/>
  <c r="Q10" i="6"/>
  <c r="P10" i="6"/>
  <c r="Q53" i="6"/>
  <c r="P53" i="6"/>
  <c r="Q27" i="6"/>
  <c r="P27" i="6"/>
  <c r="Q68" i="6"/>
  <c r="R63" i="6" s="1"/>
  <c r="P68" i="6"/>
  <c r="J14" i="5"/>
  <c r="J15" i="5" s="1"/>
  <c r="AB12" i="6"/>
  <c r="AC9" i="6" s="1"/>
  <c r="AA12" i="6"/>
  <c r="N12" i="6"/>
  <c r="P40" i="6"/>
  <c r="Q40" i="6"/>
  <c r="Q9" i="6"/>
  <c r="P9" i="6"/>
  <c r="Q28" i="6"/>
  <c r="P28" i="6"/>
  <c r="Q36" i="6"/>
  <c r="P36" i="6"/>
  <c r="Q58" i="6"/>
  <c r="P58" i="6"/>
  <c r="P72" i="6"/>
  <c r="Q72" i="6"/>
  <c r="AB8" i="6"/>
  <c r="AC5" i="6" s="1"/>
  <c r="AA8" i="6"/>
  <c r="N8" i="6"/>
  <c r="P51" i="6"/>
  <c r="Q51" i="6"/>
  <c r="Q6" i="4"/>
  <c r="P6" i="4"/>
  <c r="Q49" i="4"/>
  <c r="P49" i="4"/>
  <c r="Q8" i="4"/>
  <c r="R5" i="4" s="1"/>
  <c r="P8" i="4"/>
  <c r="D14" i="3"/>
  <c r="Q27" i="4"/>
  <c r="P27" i="4"/>
  <c r="P74" i="4"/>
  <c r="Q74" i="4"/>
  <c r="P37" i="4"/>
  <c r="Q37" i="4"/>
  <c r="Q51" i="4"/>
  <c r="P51" i="4"/>
  <c r="Q71" i="4"/>
  <c r="P71" i="4"/>
  <c r="Q29" i="4"/>
  <c r="P29" i="4"/>
  <c r="Q39" i="4"/>
  <c r="P39" i="4"/>
  <c r="Q18" i="4"/>
  <c r="R13" i="4" s="1"/>
  <c r="P18" i="4"/>
  <c r="F14" i="3"/>
  <c r="F15" i="3" s="1"/>
  <c r="AB36" i="4"/>
  <c r="AC25" i="4" s="1"/>
  <c r="AA36" i="4"/>
  <c r="N36" i="4"/>
  <c r="P40" i="4"/>
  <c r="Q40" i="4"/>
  <c r="Q47" i="4"/>
  <c r="P47" i="4"/>
  <c r="P52" i="4"/>
  <c r="Q52" i="4"/>
  <c r="Q17" i="4"/>
  <c r="P17" i="4"/>
  <c r="Q48" i="4"/>
  <c r="P48" i="4"/>
  <c r="Q67" i="4"/>
  <c r="P67" i="4"/>
  <c r="Q5" i="4"/>
  <c r="P5" i="4"/>
  <c r="Q26" i="4"/>
  <c r="P26" i="4"/>
  <c r="Q73" i="4"/>
  <c r="P73" i="4"/>
  <c r="Q7" i="4"/>
  <c r="P7" i="4"/>
  <c r="Q41" i="4"/>
  <c r="P41" i="4"/>
  <c r="P50" i="4"/>
  <c r="Q50" i="4"/>
  <c r="P28" i="4"/>
  <c r="Q28" i="4"/>
  <c r="Q70" i="4"/>
  <c r="P70" i="4"/>
  <c r="Q38" i="4"/>
  <c r="P38" i="4"/>
  <c r="Q75" i="4"/>
  <c r="P75" i="4"/>
  <c r="Q16" i="4"/>
  <c r="P16" i="4"/>
  <c r="N60" i="4"/>
  <c r="AA60" i="4"/>
  <c r="AB60" i="4"/>
  <c r="AC54" i="4" s="1"/>
  <c r="P72" i="4"/>
  <c r="Q72" i="4"/>
  <c r="AA8" i="4"/>
  <c r="AA18" i="4"/>
  <c r="I3" i="3"/>
  <c r="E14" i="3"/>
  <c r="E15" i="3" s="1"/>
  <c r="AB8" i="4"/>
  <c r="AC5" i="4" s="1"/>
  <c r="N13" i="4"/>
  <c r="N14" i="4"/>
  <c r="AB18" i="4"/>
  <c r="AC13" i="4" s="1"/>
  <c r="M46" i="4"/>
  <c r="N58" i="4"/>
  <c r="N68" i="4"/>
  <c r="AB75" i="4"/>
  <c r="P23" i="4"/>
  <c r="P35" i="4"/>
  <c r="AA51" i="4"/>
  <c r="P57" i="4"/>
  <c r="P66" i="4"/>
  <c r="AA5" i="4"/>
  <c r="AA6" i="4"/>
  <c r="AB7" i="4"/>
  <c r="AA16" i="4"/>
  <c r="AB17" i="4"/>
  <c r="P22" i="4"/>
  <c r="AA25" i="4"/>
  <c r="AA26" i="4"/>
  <c r="AB27" i="4"/>
  <c r="P34" i="4"/>
  <c r="AA37" i="4"/>
  <c r="AA38" i="4"/>
  <c r="AB39" i="4"/>
  <c r="AA47" i="4"/>
  <c r="AA48" i="4"/>
  <c r="AB49" i="4"/>
  <c r="AB51" i="4"/>
  <c r="P56" i="4"/>
  <c r="Q66" i="4"/>
  <c r="R61" i="4" s="1"/>
  <c r="AA70" i="4"/>
  <c r="AB71" i="4"/>
  <c r="AA72" i="4"/>
  <c r="AB73" i="4"/>
  <c r="M76" i="4"/>
  <c r="AB25" i="4"/>
  <c r="AB37" i="4"/>
  <c r="M53" i="4"/>
  <c r="AB72" i="4"/>
  <c r="AB58" i="4"/>
  <c r="E6" i="3"/>
  <c r="F6" i="3"/>
  <c r="N25" i="4"/>
  <c r="G8" i="9" l="1"/>
  <c r="F8" i="9"/>
  <c r="E8" i="9"/>
  <c r="K15" i="7"/>
  <c r="I8" i="7" s="1"/>
  <c r="I7" i="7"/>
  <c r="D15" i="7"/>
  <c r="G7" i="7"/>
  <c r="F7" i="7"/>
  <c r="E7" i="7"/>
  <c r="Q48" i="6"/>
  <c r="R39" i="6" s="1"/>
  <c r="P48" i="6"/>
  <c r="L14" i="5"/>
  <c r="L15" i="5" s="1"/>
  <c r="P62" i="6"/>
  <c r="I14" i="5"/>
  <c r="I15" i="5" s="1"/>
  <c r="Q62" i="6"/>
  <c r="R56" i="6" s="1"/>
  <c r="Q8" i="6"/>
  <c r="R5" i="6" s="1"/>
  <c r="P8" i="6"/>
  <c r="D2" i="6"/>
  <c r="D14" i="5"/>
  <c r="K15" i="5"/>
  <c r="Q12" i="6"/>
  <c r="R9" i="6" s="1"/>
  <c r="P12" i="6"/>
  <c r="E14" i="5"/>
  <c r="E15" i="5" s="1"/>
  <c r="Q20" i="6"/>
  <c r="R13" i="6" s="1"/>
  <c r="P20" i="6"/>
  <c r="F14" i="5"/>
  <c r="F15" i="5" s="1"/>
  <c r="Q77" i="6"/>
  <c r="R69" i="6" s="1"/>
  <c r="P77" i="6"/>
  <c r="M14" i="5"/>
  <c r="M15" i="5" s="1"/>
  <c r="Q55" i="6"/>
  <c r="R49" i="6" s="1"/>
  <c r="P55" i="6"/>
  <c r="H14" i="5"/>
  <c r="H15" i="5" s="1"/>
  <c r="P26" i="6"/>
  <c r="G14" i="5"/>
  <c r="G15" i="5" s="1"/>
  <c r="Q26" i="6"/>
  <c r="R21" i="6" s="1"/>
  <c r="AB76" i="4"/>
  <c r="AC67" i="4" s="1"/>
  <c r="AA76" i="4"/>
  <c r="N76" i="4"/>
  <c r="Q13" i="4"/>
  <c r="P13" i="4"/>
  <c r="D15" i="3"/>
  <c r="P25" i="4"/>
  <c r="Q25" i="4"/>
  <c r="P68" i="4"/>
  <c r="Q68" i="4"/>
  <c r="P58" i="4"/>
  <c r="Q58" i="4"/>
  <c r="AB46" i="4"/>
  <c r="AC37" i="4" s="1"/>
  <c r="N46" i="4"/>
  <c r="AA46" i="4"/>
  <c r="K14" i="3"/>
  <c r="Q36" i="4"/>
  <c r="R25" i="4" s="1"/>
  <c r="P36" i="4"/>
  <c r="AA53" i="4"/>
  <c r="N53" i="4"/>
  <c r="AB53" i="4"/>
  <c r="AC47" i="4" s="1"/>
  <c r="I14" i="3"/>
  <c r="I15" i="3" s="1"/>
  <c r="Q60" i="4"/>
  <c r="R54" i="4" s="1"/>
  <c r="P60" i="4"/>
  <c r="P14" i="4"/>
  <c r="Q14" i="4"/>
  <c r="F8" i="7" l="1"/>
  <c r="G8" i="7"/>
  <c r="E8" i="7"/>
  <c r="I7" i="5"/>
  <c r="D15" i="5"/>
  <c r="G7" i="5"/>
  <c r="F7" i="5"/>
  <c r="E7" i="5"/>
  <c r="I8" i="5"/>
  <c r="K15" i="3"/>
  <c r="L14" i="3"/>
  <c r="L15" i="3" s="1"/>
  <c r="Q46" i="4"/>
  <c r="R37" i="4" s="1"/>
  <c r="P46" i="4"/>
  <c r="M14" i="3"/>
  <c r="M15" i="3" s="1"/>
  <c r="Q76" i="4"/>
  <c r="R67" i="4" s="1"/>
  <c r="P76" i="4"/>
  <c r="Q53" i="4"/>
  <c r="R47" i="4" s="1"/>
  <c r="P53" i="4"/>
  <c r="H14" i="3"/>
  <c r="D2" i="4"/>
  <c r="G8" i="5" l="1"/>
  <c r="F8" i="5"/>
  <c r="E8" i="5"/>
  <c r="H15" i="3"/>
  <c r="F7" i="3"/>
  <c r="E7" i="3"/>
  <c r="G7" i="3"/>
  <c r="I8" i="3"/>
  <c r="I7" i="3"/>
  <c r="F8" i="3" l="1"/>
  <c r="E8" i="3"/>
  <c r="G8" i="3"/>
</calcChain>
</file>

<file path=xl/sharedStrings.xml><?xml version="1.0" encoding="utf-8"?>
<sst xmlns="http://schemas.openxmlformats.org/spreadsheetml/2006/main" count="10309" uniqueCount="2363">
  <si>
    <t>分析說明</t>
    <phoneticPr fontId="4" type="noConversion"/>
  </si>
  <si>
    <t>人時性</t>
    <phoneticPr fontId="4" type="noConversion"/>
  </si>
  <si>
    <t>平均廠價</t>
  </si>
  <si>
    <t>線別</t>
    <phoneticPr fontId="3" type="noConversion"/>
  </si>
  <si>
    <t>品類</t>
    <phoneticPr fontId="4" type="noConversion"/>
  </si>
  <si>
    <t>品名</t>
    <phoneticPr fontId="3" type="noConversion"/>
  </si>
  <si>
    <t>廠價</t>
    <phoneticPr fontId="7" type="noConversion"/>
  </si>
  <si>
    <t>生產量</t>
    <phoneticPr fontId="4" type="noConversion"/>
  </si>
  <si>
    <t>營收</t>
    <phoneticPr fontId="7" type="noConversion"/>
  </si>
  <si>
    <t>多次
生產</t>
    <phoneticPr fontId="4" type="noConversion"/>
  </si>
  <si>
    <t>人數</t>
    <phoneticPr fontId="4" type="noConversion"/>
  </si>
  <si>
    <t>產能/時</t>
    <phoneticPr fontId="4" type="noConversion"/>
  </si>
  <si>
    <t>達成率</t>
    <phoneticPr fontId="4" type="noConversion"/>
  </si>
  <si>
    <t>達成率平均</t>
    <phoneticPr fontId="4" type="noConversion"/>
  </si>
  <si>
    <t>生產時間</t>
    <rPh sb="0" eb="4">
      <t>カイシジカン</t>
    </rPh>
    <phoneticPr fontId="6"/>
  </si>
  <si>
    <t>換線、休息/分</t>
    <rPh sb="0" eb="2">
      <t>キリカエ</t>
    </rPh>
    <phoneticPr fontId="6"/>
  </si>
  <si>
    <t>休息時間</t>
    <phoneticPr fontId="4" type="noConversion"/>
  </si>
  <si>
    <t>(新豐回填)</t>
    <phoneticPr fontId="4" type="noConversion"/>
  </si>
  <si>
    <t>開始</t>
    <rPh sb="0" eb="2">
      <t>カイシジカン</t>
    </rPh>
    <phoneticPr fontId="6"/>
  </si>
  <si>
    <t>結束</t>
    <rPh sb="0" eb="2">
      <t>シュウリョウジカン</t>
    </rPh>
    <phoneticPr fontId="6"/>
  </si>
  <si>
    <t>開始</t>
    <phoneticPr fontId="4" type="noConversion"/>
  </si>
  <si>
    <t>新豐6線</t>
    <phoneticPr fontId="4" type="noConversion"/>
  </si>
  <si>
    <t>平均</t>
    <phoneticPr fontId="4" type="noConversion"/>
  </si>
  <si>
    <t>新豐2線</t>
    <phoneticPr fontId="4" type="noConversion"/>
  </si>
  <si>
    <t>新豐5線</t>
    <phoneticPr fontId="4" type="noConversion"/>
  </si>
  <si>
    <t>平均</t>
    <phoneticPr fontId="4" type="noConversion"/>
  </si>
  <si>
    <t>新豐7線</t>
    <phoneticPr fontId="4" type="noConversion"/>
  </si>
  <si>
    <t>新豐7線</t>
    <phoneticPr fontId="4" type="noConversion"/>
  </si>
  <si>
    <t>新豐8線</t>
    <phoneticPr fontId="4" type="noConversion"/>
  </si>
  <si>
    <t>新豐9線</t>
    <phoneticPr fontId="4" type="noConversion"/>
  </si>
  <si>
    <t>新豐3線</t>
    <phoneticPr fontId="4" type="noConversion"/>
  </si>
  <si>
    <t>新豐1線</t>
    <phoneticPr fontId="4" type="noConversion"/>
  </si>
  <si>
    <t>新豐10線</t>
    <phoneticPr fontId="4" type="noConversion"/>
  </si>
  <si>
    <t>新豐4線</t>
    <phoneticPr fontId="4" type="noConversion"/>
  </si>
  <si>
    <t>星期三</t>
  </si>
  <si>
    <t/>
  </si>
  <si>
    <t>微波主食</t>
  </si>
  <si>
    <t>二配煸椒烘蛋飯</t>
  </si>
  <si>
    <t>二配川味麻婆燒豆腐燴飯</t>
  </si>
  <si>
    <t>二配港式香滑嫩蛋牛肉燴飯</t>
  </si>
  <si>
    <t>沙拉</t>
  </si>
  <si>
    <t>青檸烤雞握沙拉(113年)</t>
  </si>
  <si>
    <t>韓式泡菜豆腐握沙拉</t>
  </si>
  <si>
    <t>小吃</t>
  </si>
  <si>
    <t>剝皮辣椒雞湯</t>
  </si>
  <si>
    <t>青醬優格雞肉握沙拉(113年)</t>
  </si>
  <si>
    <t>三明治</t>
  </si>
  <si>
    <t>瘋狂起司三明治(113年)</t>
  </si>
  <si>
    <t>藍莓優格三明治(114年)</t>
  </si>
  <si>
    <t>二配金咖哩濃厚辛辣咖哩飯</t>
  </si>
  <si>
    <t>二配金咖哩果香甘口咖哩飯</t>
  </si>
  <si>
    <t>古早味炒炊粉</t>
  </si>
  <si>
    <t>鐵板滑蛋炸豬排丼</t>
  </si>
  <si>
    <t>極上炙烤親子丼</t>
  </si>
  <si>
    <t>白味噌壽喜燒飯</t>
  </si>
  <si>
    <t>二配美味蟹煲</t>
  </si>
  <si>
    <t>經典總匯三明治</t>
  </si>
  <si>
    <t>輕乳酪巧克力三明治</t>
  </si>
  <si>
    <t>龍蝦風味總匯三明治</t>
  </si>
  <si>
    <t>陽光地瓜總匯三明治</t>
  </si>
  <si>
    <t>好多菜三明治</t>
  </si>
  <si>
    <t>紐奧良風味烤雞鮮蔬三明治</t>
  </si>
  <si>
    <t>雞蛋沙拉三明治</t>
  </si>
  <si>
    <t>鮪魚起司溏心蛋三明治</t>
  </si>
  <si>
    <t>醬燒烤雞三明治</t>
  </si>
  <si>
    <t>經典火腿玉米蛋三明治</t>
  </si>
  <si>
    <t>泰奶奶蓋QQ三明治</t>
  </si>
  <si>
    <t>調理麵包</t>
  </si>
  <si>
    <t>豬肉起司堡</t>
  </si>
  <si>
    <t>豬肉起司蛋堡</t>
  </si>
  <si>
    <t>經典雙牛起司堡(113年)</t>
  </si>
  <si>
    <t>美式雞腿堡</t>
  </si>
  <si>
    <t>泰式酸辣炸雞堡</t>
  </si>
  <si>
    <t>蔥鹽雞肉麵沙拉(114年)</t>
  </si>
  <si>
    <t>莎莎烤雞麵沙拉</t>
  </si>
  <si>
    <t>鳳梨腰果炒飯</t>
  </si>
  <si>
    <t>二配香辣醬蒜味香腸蛋炒飯</t>
  </si>
  <si>
    <t>二配香拌海鮮醬肉絲蛋炒飯</t>
  </si>
  <si>
    <t>二配粗飽系雞排炒飯</t>
  </si>
  <si>
    <t>香雞蛋堡(112年)</t>
  </si>
  <si>
    <t>美式熱狗堡</t>
  </si>
  <si>
    <t>超HOT雞腿堡(114年)</t>
  </si>
  <si>
    <t>溏心蛋洋芋沙拉</t>
  </si>
  <si>
    <t>黃金魚堡</t>
  </si>
  <si>
    <t>香鬆起司蛋三明治(114年)</t>
  </si>
  <si>
    <t>火腿起司蛋三明治</t>
  </si>
  <si>
    <t>起司芋見肉鬆三明治</t>
  </si>
  <si>
    <t>肉鬆火腿三明治</t>
  </si>
  <si>
    <t>花生芝麻麻糬三明治</t>
  </si>
  <si>
    <t>訂單量</t>
    <phoneticPr fontId="3" type="noConversion"/>
  </si>
  <si>
    <t>營業額</t>
    <phoneticPr fontId="3" type="noConversion"/>
  </si>
  <si>
    <t>③三明治-各編組展開</t>
    <phoneticPr fontId="3" type="noConversion"/>
  </si>
  <si>
    <t>排關平均</t>
  </si>
  <si>
    <t>實績平均</t>
  </si>
  <si>
    <t>達成率平均</t>
  </si>
  <si>
    <t>➁4度C-各編組展開</t>
    <phoneticPr fontId="3" type="noConversion"/>
  </si>
  <si>
    <t>新豐6線</t>
  </si>
  <si>
    <t>新豐2線</t>
  </si>
  <si>
    <t>新豐5線</t>
  </si>
  <si>
    <t>新豐7線</t>
  </si>
  <si>
    <t>新豐3線</t>
  </si>
  <si>
    <t>新豐1線</t>
  </si>
  <si>
    <t>新豐10線</t>
  </si>
  <si>
    <t>新豐8線</t>
  </si>
  <si>
    <t>新豐9線</t>
  </si>
  <si>
    <t>新豐4線</t>
  </si>
  <si>
    <t>人時性</t>
    <phoneticPr fontId="4" type="noConversion"/>
  </si>
  <si>
    <t>排關</t>
    <phoneticPr fontId="3" type="noConversion"/>
  </si>
  <si>
    <t>配置人數</t>
    <phoneticPr fontId="3" type="noConversion"/>
  </si>
  <si>
    <t>ET-55</t>
  </si>
  <si>
    <t>熱縮爐</t>
  </si>
  <si>
    <t>伺服包裝機</t>
  </si>
  <si>
    <r>
      <t xml:space="preserve">屏榮 </t>
    </r>
    <r>
      <rPr>
        <b/>
        <sz val="26"/>
        <color rgb="FFFF0000"/>
        <rFont val="微軟正黑體"/>
        <family val="2"/>
        <charset val="136"/>
      </rPr>
      <t>新豐廠</t>
    </r>
    <r>
      <rPr>
        <b/>
        <sz val="26"/>
        <color theme="1"/>
        <rFont val="微軟正黑體"/>
        <family val="2"/>
        <charset val="136"/>
      </rPr>
      <t>組合室生產人時性分析</t>
    </r>
    <phoneticPr fontId="3" type="noConversion"/>
  </si>
  <si>
    <t>日期</t>
    <phoneticPr fontId="3" type="noConversion"/>
  </si>
  <si>
    <t>人時性</t>
    <phoneticPr fontId="3" type="noConversion"/>
  </si>
  <si>
    <t>項目</t>
    <phoneticPr fontId="4" type="noConversion"/>
  </si>
  <si>
    <t>➀</t>
    <phoneticPr fontId="4" type="noConversion"/>
  </si>
  <si>
    <t>➁</t>
    <phoneticPr fontId="4" type="noConversion"/>
  </si>
  <si>
    <t>➂</t>
    <phoneticPr fontId="4" type="noConversion"/>
  </si>
  <si>
    <t>組合室</t>
    <phoneticPr fontId="3" type="noConversion"/>
  </si>
  <si>
    <t>全溫層</t>
    <phoneticPr fontId="3" type="noConversion"/>
  </si>
  <si>
    <t>4度C-各編組展開</t>
    <phoneticPr fontId="3" type="noConversion"/>
  </si>
  <si>
    <t>※現行日本鮮食廠以達成率80%為基本(即為現行KPI)</t>
    <phoneticPr fontId="4" type="noConversion"/>
  </si>
  <si>
    <t>溫層</t>
    <phoneticPr fontId="3" type="noConversion"/>
  </si>
  <si>
    <t>➁4度C-各編組展開</t>
    <phoneticPr fontId="3" type="noConversion"/>
  </si>
  <si>
    <t>③三明治-各編組展開</t>
    <phoneticPr fontId="4" type="noConversion"/>
  </si>
  <si>
    <t>編組</t>
    <phoneticPr fontId="3" type="noConversion"/>
  </si>
  <si>
    <t>人時性</t>
    <phoneticPr fontId="4" type="noConversion"/>
  </si>
  <si>
    <t>實績</t>
    <phoneticPr fontId="3" type="noConversion"/>
  </si>
  <si>
    <t>達成率</t>
    <phoneticPr fontId="3" type="noConversion"/>
  </si>
  <si>
    <t>作業
時間</t>
    <phoneticPr fontId="3" type="noConversion"/>
  </si>
  <si>
    <t>開始</t>
    <phoneticPr fontId="3" type="noConversion"/>
  </si>
  <si>
    <t>結束</t>
    <phoneticPr fontId="3" type="noConversion"/>
  </si>
  <si>
    <t>主要應用設備</t>
    <phoneticPr fontId="3" type="noConversion"/>
  </si>
  <si>
    <t>L型包裝機</t>
    <phoneticPr fontId="4" type="noConversion"/>
  </si>
  <si>
    <t>L型包裝機</t>
    <phoneticPr fontId="4" type="noConversion"/>
  </si>
  <si>
    <t>三明治包裝機</t>
    <phoneticPr fontId="4" type="noConversion"/>
  </si>
  <si>
    <t>三明治包裝機</t>
    <phoneticPr fontId="4" type="noConversion"/>
  </si>
  <si>
    <t>三明治包裝機</t>
    <phoneticPr fontId="4" type="noConversion"/>
  </si>
  <si>
    <t>次要應用設備</t>
    <phoneticPr fontId="3" type="noConversion"/>
  </si>
  <si>
    <t>圓盤機</t>
    <phoneticPr fontId="4" type="noConversion"/>
  </si>
  <si>
    <t>備註</t>
    <phoneticPr fontId="3" type="noConversion"/>
  </si>
  <si>
    <t>握沙拉</t>
    <phoneticPr fontId="4" type="noConversion"/>
  </si>
  <si>
    <t>共用L型包裝機</t>
    <phoneticPr fontId="4" type="noConversion"/>
  </si>
  <si>
    <t>調理麵包</t>
    <phoneticPr fontId="4" type="noConversion"/>
  </si>
  <si>
    <t>炒飯+沙拉</t>
    <phoneticPr fontId="4" type="noConversion"/>
  </si>
  <si>
    <t xml:space="preserve">新豐廠四度C日報分析                              </t>
    <phoneticPr fontId="4" type="noConversion"/>
  </si>
  <si>
    <t>總生產量</t>
    <phoneticPr fontId="4" type="noConversion"/>
  </si>
  <si>
    <t>營業額</t>
    <phoneticPr fontId="7" type="noConversion"/>
  </si>
  <si>
    <t>出勤人數</t>
    <phoneticPr fontId="4" type="noConversion"/>
  </si>
  <si>
    <t>產線配置圖</t>
    <phoneticPr fontId="4" type="noConversion"/>
  </si>
  <si>
    <t>生產實績</t>
    <phoneticPr fontId="4" type="noConversion"/>
  </si>
  <si>
    <t>人時性差異分析</t>
    <phoneticPr fontId="4" type="noConversion"/>
  </si>
  <si>
    <t>日報登錄</t>
    <phoneticPr fontId="4" type="noConversion"/>
  </si>
  <si>
    <t>產能差異分析</t>
    <phoneticPr fontId="4" type="noConversion"/>
  </si>
  <si>
    <t>星期四</t>
  </si>
  <si>
    <t>人時性</t>
    <phoneticPr fontId="4" type="noConversion"/>
  </si>
  <si>
    <t>多次生產數</t>
    <phoneticPr fontId="4" type="noConversion"/>
  </si>
  <si>
    <t>生產量</t>
    <phoneticPr fontId="4" type="noConversion"/>
  </si>
  <si>
    <t>人時性</t>
    <phoneticPr fontId="4" type="noConversion"/>
  </si>
  <si>
    <t>人數</t>
    <phoneticPr fontId="4" type="noConversion"/>
  </si>
  <si>
    <t>人時性</t>
    <phoneticPr fontId="4" type="noConversion"/>
  </si>
  <si>
    <t>達成率</t>
    <phoneticPr fontId="4" type="noConversion"/>
  </si>
  <si>
    <t>達成率平均</t>
    <phoneticPr fontId="4" type="noConversion"/>
  </si>
  <si>
    <t>稼動時間/分</t>
    <phoneticPr fontId="4" type="noConversion"/>
  </si>
  <si>
    <t>產能/時</t>
    <phoneticPr fontId="4" type="noConversion"/>
  </si>
  <si>
    <t>結束</t>
    <phoneticPr fontId="4" type="noConversion"/>
  </si>
  <si>
    <t>新豐6線</t>
    <phoneticPr fontId="4" type="noConversion"/>
  </si>
  <si>
    <t>平均</t>
    <phoneticPr fontId="4" type="noConversion"/>
  </si>
  <si>
    <t>新豐2線</t>
    <phoneticPr fontId="4" type="noConversion"/>
  </si>
  <si>
    <t>新豐2線</t>
    <phoneticPr fontId="4" type="noConversion"/>
  </si>
  <si>
    <t>新豐2線</t>
    <phoneticPr fontId="4" type="noConversion"/>
  </si>
  <si>
    <t>新豐5線</t>
    <phoneticPr fontId="4" type="noConversion"/>
  </si>
  <si>
    <t>新豐5線</t>
    <phoneticPr fontId="4" type="noConversion"/>
  </si>
  <si>
    <t>新豐5線</t>
    <phoneticPr fontId="4" type="noConversion"/>
  </si>
  <si>
    <t>新豐7線</t>
    <phoneticPr fontId="4" type="noConversion"/>
  </si>
  <si>
    <t>新豐7線</t>
    <phoneticPr fontId="4" type="noConversion"/>
  </si>
  <si>
    <t>平均</t>
    <phoneticPr fontId="4" type="noConversion"/>
  </si>
  <si>
    <t>新豐8線</t>
    <phoneticPr fontId="4" type="noConversion"/>
  </si>
  <si>
    <t>新豐8線</t>
    <phoneticPr fontId="4" type="noConversion"/>
  </si>
  <si>
    <t>新豐8線</t>
    <phoneticPr fontId="4" type="noConversion"/>
  </si>
  <si>
    <t>新豐9線</t>
    <phoneticPr fontId="4" type="noConversion"/>
  </si>
  <si>
    <t>新豐9線</t>
    <phoneticPr fontId="4" type="noConversion"/>
  </si>
  <si>
    <t>新豐9線</t>
    <phoneticPr fontId="4" type="noConversion"/>
  </si>
  <si>
    <t>新豐9線</t>
    <phoneticPr fontId="4" type="noConversion"/>
  </si>
  <si>
    <t>平均</t>
    <phoneticPr fontId="4" type="noConversion"/>
  </si>
  <si>
    <t>新豐3線</t>
    <phoneticPr fontId="4" type="noConversion"/>
  </si>
  <si>
    <t>新豐3線</t>
    <phoneticPr fontId="4" type="noConversion"/>
  </si>
  <si>
    <t>新豐1線</t>
    <phoneticPr fontId="4" type="noConversion"/>
  </si>
  <si>
    <t>平均</t>
    <phoneticPr fontId="4" type="noConversion"/>
  </si>
  <si>
    <t>新豐10線</t>
    <phoneticPr fontId="4" type="noConversion"/>
  </si>
  <si>
    <t>新豐10線</t>
    <phoneticPr fontId="4" type="noConversion"/>
  </si>
  <si>
    <t>平均</t>
    <phoneticPr fontId="4" type="noConversion"/>
  </si>
  <si>
    <t>新豐4線</t>
    <phoneticPr fontId="4" type="noConversion"/>
  </si>
  <si>
    <t>新豐4線</t>
    <phoneticPr fontId="4" type="noConversion"/>
  </si>
  <si>
    <t>新豐4線</t>
    <phoneticPr fontId="4" type="noConversion"/>
  </si>
  <si>
    <t>新豐4線</t>
    <phoneticPr fontId="4" type="noConversion"/>
  </si>
  <si>
    <t>新豐4線</t>
    <phoneticPr fontId="4" type="noConversion"/>
  </si>
  <si>
    <t>平均</t>
    <phoneticPr fontId="4" type="noConversion"/>
  </si>
  <si>
    <r>
      <t xml:space="preserve">屏榮 </t>
    </r>
    <r>
      <rPr>
        <b/>
        <sz val="26"/>
        <color rgb="FFFF0000"/>
        <rFont val="微軟正黑體"/>
        <family val="2"/>
        <charset val="136"/>
      </rPr>
      <t>新豐廠</t>
    </r>
    <r>
      <rPr>
        <b/>
        <sz val="26"/>
        <color theme="1"/>
        <rFont val="微軟正黑體"/>
        <family val="2"/>
        <charset val="136"/>
      </rPr>
      <t>組合室生產人時性分析</t>
    </r>
    <phoneticPr fontId="3" type="noConversion"/>
  </si>
  <si>
    <t>日期</t>
    <phoneticPr fontId="3" type="noConversion"/>
  </si>
  <si>
    <t>訂單量</t>
    <phoneticPr fontId="3" type="noConversion"/>
  </si>
  <si>
    <t>營業額</t>
    <phoneticPr fontId="3" type="noConversion"/>
  </si>
  <si>
    <t>人時性</t>
    <phoneticPr fontId="3" type="noConversion"/>
  </si>
  <si>
    <t>項目</t>
    <phoneticPr fontId="4" type="noConversion"/>
  </si>
  <si>
    <t>➀</t>
    <phoneticPr fontId="4" type="noConversion"/>
  </si>
  <si>
    <t>➁</t>
    <phoneticPr fontId="4" type="noConversion"/>
  </si>
  <si>
    <t>➂</t>
    <phoneticPr fontId="4" type="noConversion"/>
  </si>
  <si>
    <t>組合室</t>
    <phoneticPr fontId="3" type="noConversion"/>
  </si>
  <si>
    <t>全溫層</t>
    <phoneticPr fontId="3" type="noConversion"/>
  </si>
  <si>
    <t>4度C-各編組展開</t>
    <phoneticPr fontId="3" type="noConversion"/>
  </si>
  <si>
    <t>③三明治-各編組展開</t>
    <phoneticPr fontId="3" type="noConversion"/>
  </si>
  <si>
    <t>※現行日本鮮食廠以達成率80%為基本(即為現行KPI)</t>
    <phoneticPr fontId="4" type="noConversion"/>
  </si>
  <si>
    <t>溫層</t>
    <phoneticPr fontId="3" type="noConversion"/>
  </si>
  <si>
    <t>③三明治-各編組展開</t>
    <phoneticPr fontId="4" type="noConversion"/>
  </si>
  <si>
    <t>編組</t>
    <phoneticPr fontId="3" type="noConversion"/>
  </si>
  <si>
    <t>人時性</t>
    <phoneticPr fontId="4" type="noConversion"/>
  </si>
  <si>
    <t>排關</t>
    <phoneticPr fontId="3" type="noConversion"/>
  </si>
  <si>
    <t>實績</t>
    <phoneticPr fontId="3" type="noConversion"/>
  </si>
  <si>
    <t>達成率</t>
    <phoneticPr fontId="3" type="noConversion"/>
  </si>
  <si>
    <t>作業
時間</t>
    <phoneticPr fontId="3" type="noConversion"/>
  </si>
  <si>
    <t>開始</t>
    <phoneticPr fontId="3" type="noConversion"/>
  </si>
  <si>
    <t>結束</t>
    <phoneticPr fontId="3" type="noConversion"/>
  </si>
  <si>
    <t>配置人數</t>
    <phoneticPr fontId="3" type="noConversion"/>
  </si>
  <si>
    <t>主要應用設備</t>
    <phoneticPr fontId="3" type="noConversion"/>
  </si>
  <si>
    <t>L型包裝機</t>
    <phoneticPr fontId="4" type="noConversion"/>
  </si>
  <si>
    <t>三明治包裝機</t>
    <phoneticPr fontId="4" type="noConversion"/>
  </si>
  <si>
    <t>次要應用設備</t>
    <phoneticPr fontId="3" type="noConversion"/>
  </si>
  <si>
    <t>圓盤機</t>
    <phoneticPr fontId="4" type="noConversion"/>
  </si>
  <si>
    <t>備註</t>
    <phoneticPr fontId="3" type="noConversion"/>
  </si>
  <si>
    <t>握沙拉</t>
    <phoneticPr fontId="4" type="noConversion"/>
  </si>
  <si>
    <t>共用L型包裝機</t>
    <phoneticPr fontId="4" type="noConversion"/>
  </si>
  <si>
    <t>調理麵包</t>
    <phoneticPr fontId="4" type="noConversion"/>
  </si>
  <si>
    <t>炒飯+沙拉</t>
    <phoneticPr fontId="4" type="noConversion"/>
  </si>
  <si>
    <t xml:space="preserve">新豐廠四度C日報分析                              </t>
    <phoneticPr fontId="4" type="noConversion"/>
  </si>
  <si>
    <t>總生產量</t>
    <phoneticPr fontId="4" type="noConversion"/>
  </si>
  <si>
    <t>營業額</t>
    <phoneticPr fontId="7" type="noConversion"/>
  </si>
  <si>
    <t>出勤人數</t>
    <phoneticPr fontId="4" type="noConversion"/>
  </si>
  <si>
    <t>產線配置圖</t>
    <phoneticPr fontId="4" type="noConversion"/>
  </si>
  <si>
    <t>生產實績</t>
    <phoneticPr fontId="4" type="noConversion"/>
  </si>
  <si>
    <t>人時性差異分析</t>
    <phoneticPr fontId="4" type="noConversion"/>
  </si>
  <si>
    <t>日報登錄</t>
    <phoneticPr fontId="4" type="noConversion"/>
  </si>
  <si>
    <t>分析說明</t>
    <phoneticPr fontId="4" type="noConversion"/>
  </si>
  <si>
    <t>產能差異分析</t>
    <phoneticPr fontId="4" type="noConversion"/>
  </si>
  <si>
    <t>多次生產數</t>
    <phoneticPr fontId="4" type="noConversion"/>
  </si>
  <si>
    <t>品名</t>
    <phoneticPr fontId="3" type="noConversion"/>
  </si>
  <si>
    <t>廠價</t>
    <phoneticPr fontId="7" type="noConversion"/>
  </si>
  <si>
    <t>多次
生產</t>
    <phoneticPr fontId="4" type="noConversion"/>
  </si>
  <si>
    <t>人數</t>
    <phoneticPr fontId="4" type="noConversion"/>
  </si>
  <si>
    <t>產能/時</t>
    <phoneticPr fontId="4" type="noConversion"/>
  </si>
  <si>
    <t>稼動時間/分</t>
    <phoneticPr fontId="4" type="noConversion"/>
  </si>
  <si>
    <t>休息時間</t>
    <phoneticPr fontId="4" type="noConversion"/>
  </si>
  <si>
    <t>(新豐回填)</t>
    <phoneticPr fontId="4" type="noConversion"/>
  </si>
  <si>
    <t>達成率</t>
    <phoneticPr fontId="4" type="noConversion"/>
  </si>
  <si>
    <t>達成率平均</t>
    <phoneticPr fontId="4" type="noConversion"/>
  </si>
  <si>
    <t>開始</t>
    <phoneticPr fontId="4" type="noConversion"/>
  </si>
  <si>
    <t>結束</t>
    <phoneticPr fontId="4" type="noConversion"/>
  </si>
  <si>
    <t>新豐6線</t>
    <phoneticPr fontId="4" type="noConversion"/>
  </si>
  <si>
    <t>新豐6線</t>
    <phoneticPr fontId="4" type="noConversion"/>
  </si>
  <si>
    <t>新豐6線</t>
    <phoneticPr fontId="4" type="noConversion"/>
  </si>
  <si>
    <t>新豐2線</t>
    <phoneticPr fontId="4" type="noConversion"/>
  </si>
  <si>
    <t>新豐5線</t>
    <phoneticPr fontId="4" type="noConversion"/>
  </si>
  <si>
    <t>新豐5線</t>
    <phoneticPr fontId="4" type="noConversion"/>
  </si>
  <si>
    <t>平均</t>
    <phoneticPr fontId="4" type="noConversion"/>
  </si>
  <si>
    <t>新豐7線</t>
    <phoneticPr fontId="4" type="noConversion"/>
  </si>
  <si>
    <t>平均</t>
    <phoneticPr fontId="4" type="noConversion"/>
  </si>
  <si>
    <t>新豐8線</t>
    <phoneticPr fontId="4" type="noConversion"/>
  </si>
  <si>
    <t>新豐9線</t>
    <phoneticPr fontId="4" type="noConversion"/>
  </si>
  <si>
    <t>新豐3線</t>
    <phoneticPr fontId="4" type="noConversion"/>
  </si>
  <si>
    <t>新豐1線</t>
    <phoneticPr fontId="4" type="noConversion"/>
  </si>
  <si>
    <t>新豐10線</t>
    <phoneticPr fontId="4" type="noConversion"/>
  </si>
  <si>
    <t>新豐4線</t>
    <phoneticPr fontId="4" type="noConversion"/>
  </si>
  <si>
    <r>
      <t xml:space="preserve">屏榮 </t>
    </r>
    <r>
      <rPr>
        <b/>
        <sz val="26"/>
        <color rgb="FFFF0000"/>
        <rFont val="微軟正黑體"/>
        <family val="2"/>
        <charset val="136"/>
      </rPr>
      <t>新豐廠</t>
    </r>
    <r>
      <rPr>
        <b/>
        <sz val="26"/>
        <color theme="1"/>
        <rFont val="微軟正黑體"/>
        <family val="2"/>
        <charset val="136"/>
      </rPr>
      <t>組合室生產人時性分析</t>
    </r>
    <phoneticPr fontId="3" type="noConversion"/>
  </si>
  <si>
    <t>日期</t>
    <phoneticPr fontId="3" type="noConversion"/>
  </si>
  <si>
    <t>訂單量</t>
    <phoneticPr fontId="3" type="noConversion"/>
  </si>
  <si>
    <t>營業額</t>
    <phoneticPr fontId="3" type="noConversion"/>
  </si>
  <si>
    <t>人時性</t>
    <phoneticPr fontId="3" type="noConversion"/>
  </si>
  <si>
    <t>項目</t>
    <phoneticPr fontId="4" type="noConversion"/>
  </si>
  <si>
    <t>➀</t>
    <phoneticPr fontId="4" type="noConversion"/>
  </si>
  <si>
    <t>➁</t>
    <phoneticPr fontId="4" type="noConversion"/>
  </si>
  <si>
    <t>➂</t>
    <phoneticPr fontId="4" type="noConversion"/>
  </si>
  <si>
    <t>組合室</t>
    <phoneticPr fontId="3" type="noConversion"/>
  </si>
  <si>
    <t>全溫層</t>
    <phoneticPr fontId="3" type="noConversion"/>
  </si>
  <si>
    <t>4度C-各編組展開</t>
    <phoneticPr fontId="3" type="noConversion"/>
  </si>
  <si>
    <t>③三明治-各編組展開</t>
    <phoneticPr fontId="3" type="noConversion"/>
  </si>
  <si>
    <t>※現行日本鮮食廠以達成率80%為基本(即為現行KPI)</t>
    <phoneticPr fontId="4" type="noConversion"/>
  </si>
  <si>
    <t>➁4度C-各編組展開</t>
    <phoneticPr fontId="3" type="noConversion"/>
  </si>
  <si>
    <t>③三明治-各編組展開</t>
    <phoneticPr fontId="4" type="noConversion"/>
  </si>
  <si>
    <t>編組</t>
    <phoneticPr fontId="3" type="noConversion"/>
  </si>
  <si>
    <t>人時性</t>
    <phoneticPr fontId="4" type="noConversion"/>
  </si>
  <si>
    <t>排關</t>
    <phoneticPr fontId="3" type="noConversion"/>
  </si>
  <si>
    <t>達成率</t>
    <phoneticPr fontId="3" type="noConversion"/>
  </si>
  <si>
    <t>作業
時間</t>
    <phoneticPr fontId="3" type="noConversion"/>
  </si>
  <si>
    <t>開始</t>
    <phoneticPr fontId="3" type="noConversion"/>
  </si>
  <si>
    <t>結束</t>
    <phoneticPr fontId="3" type="noConversion"/>
  </si>
  <si>
    <t>配置人數</t>
    <phoneticPr fontId="3" type="noConversion"/>
  </si>
  <si>
    <t>主要應用設備</t>
    <phoneticPr fontId="3" type="noConversion"/>
  </si>
  <si>
    <t>L型包裝機</t>
    <phoneticPr fontId="4" type="noConversion"/>
  </si>
  <si>
    <t>三明治包裝機</t>
    <phoneticPr fontId="4" type="noConversion"/>
  </si>
  <si>
    <t>三明治包裝機</t>
    <phoneticPr fontId="4" type="noConversion"/>
  </si>
  <si>
    <t>次要應用設備</t>
    <phoneticPr fontId="3" type="noConversion"/>
  </si>
  <si>
    <t>圓盤機</t>
    <phoneticPr fontId="4" type="noConversion"/>
  </si>
  <si>
    <t>握沙拉</t>
    <phoneticPr fontId="4" type="noConversion"/>
  </si>
  <si>
    <t>共用L型包裝機</t>
    <phoneticPr fontId="4" type="noConversion"/>
  </si>
  <si>
    <t>調理麵包</t>
    <phoneticPr fontId="4" type="noConversion"/>
  </si>
  <si>
    <t xml:space="preserve">新豐廠四度C日報分析                              </t>
    <phoneticPr fontId="4" type="noConversion"/>
  </si>
  <si>
    <t>總生產量</t>
    <phoneticPr fontId="4" type="noConversion"/>
  </si>
  <si>
    <t>營業額</t>
    <phoneticPr fontId="7" type="noConversion"/>
  </si>
  <si>
    <t>出勤人數</t>
    <phoneticPr fontId="4" type="noConversion"/>
  </si>
  <si>
    <t>產線配置圖</t>
    <phoneticPr fontId="4" type="noConversion"/>
  </si>
  <si>
    <t>生產實績</t>
    <phoneticPr fontId="4" type="noConversion"/>
  </si>
  <si>
    <t>人時性差異分析</t>
    <phoneticPr fontId="4" type="noConversion"/>
  </si>
  <si>
    <t>日報登錄</t>
    <phoneticPr fontId="4" type="noConversion"/>
  </si>
  <si>
    <t>分析說明</t>
    <phoneticPr fontId="4" type="noConversion"/>
  </si>
  <si>
    <t>產能差異分析</t>
    <phoneticPr fontId="4" type="noConversion"/>
  </si>
  <si>
    <t>星期五</t>
  </si>
  <si>
    <t>多次生產數</t>
    <phoneticPr fontId="4" type="noConversion"/>
  </si>
  <si>
    <t>線別</t>
    <phoneticPr fontId="3" type="noConversion"/>
  </si>
  <si>
    <t>品類</t>
    <phoneticPr fontId="4" type="noConversion"/>
  </si>
  <si>
    <t>品名</t>
    <phoneticPr fontId="3" type="noConversion"/>
  </si>
  <si>
    <t>廠價</t>
    <phoneticPr fontId="7" type="noConversion"/>
  </si>
  <si>
    <t>生產量</t>
    <phoneticPr fontId="4" type="noConversion"/>
  </si>
  <si>
    <t>營收</t>
    <phoneticPr fontId="7" type="noConversion"/>
  </si>
  <si>
    <t>多次
生產</t>
    <phoneticPr fontId="4" type="noConversion"/>
  </si>
  <si>
    <t>人數</t>
    <phoneticPr fontId="4" type="noConversion"/>
  </si>
  <si>
    <t>產能/時</t>
    <phoneticPr fontId="4" type="noConversion"/>
  </si>
  <si>
    <t>達成率</t>
    <phoneticPr fontId="4" type="noConversion"/>
  </si>
  <si>
    <t>達成率平均</t>
    <phoneticPr fontId="4" type="noConversion"/>
  </si>
  <si>
    <t>稼動時間/分</t>
    <phoneticPr fontId="4" type="noConversion"/>
  </si>
  <si>
    <t>休息時間</t>
    <phoneticPr fontId="4" type="noConversion"/>
  </si>
  <si>
    <t>(新豐回填)</t>
    <phoneticPr fontId="4" type="noConversion"/>
  </si>
  <si>
    <t>產能/時</t>
    <phoneticPr fontId="4" type="noConversion"/>
  </si>
  <si>
    <t>達成率</t>
    <phoneticPr fontId="4" type="noConversion"/>
  </si>
  <si>
    <t>達成率平均</t>
    <phoneticPr fontId="4" type="noConversion"/>
  </si>
  <si>
    <t>開始</t>
    <phoneticPr fontId="4" type="noConversion"/>
  </si>
  <si>
    <t>結束</t>
    <phoneticPr fontId="4" type="noConversion"/>
  </si>
  <si>
    <t>新豐6線</t>
    <phoneticPr fontId="4" type="noConversion"/>
  </si>
  <si>
    <t>新豐6線</t>
    <phoneticPr fontId="4" type="noConversion"/>
  </si>
  <si>
    <t>新豐2線</t>
    <phoneticPr fontId="4" type="noConversion"/>
  </si>
  <si>
    <t>新豐2線</t>
    <phoneticPr fontId="4" type="noConversion"/>
  </si>
  <si>
    <t>平均</t>
    <phoneticPr fontId="4" type="noConversion"/>
  </si>
  <si>
    <t>新豐5線</t>
    <phoneticPr fontId="4" type="noConversion"/>
  </si>
  <si>
    <t>新豐5線</t>
    <phoneticPr fontId="4" type="noConversion"/>
  </si>
  <si>
    <t>平均</t>
    <phoneticPr fontId="4" type="noConversion"/>
  </si>
  <si>
    <t>新豐7線</t>
    <phoneticPr fontId="4" type="noConversion"/>
  </si>
  <si>
    <t>新豐8線</t>
    <phoneticPr fontId="4" type="noConversion"/>
  </si>
  <si>
    <t>新豐9線</t>
    <phoneticPr fontId="4" type="noConversion"/>
  </si>
  <si>
    <t>新豐3線</t>
    <phoneticPr fontId="4" type="noConversion"/>
  </si>
  <si>
    <t>新豐1線</t>
    <phoneticPr fontId="4" type="noConversion"/>
  </si>
  <si>
    <t>新豐10線</t>
    <phoneticPr fontId="4" type="noConversion"/>
  </si>
  <si>
    <t>新豐4線</t>
    <phoneticPr fontId="4" type="noConversion"/>
  </si>
  <si>
    <t>新豐4線</t>
    <phoneticPr fontId="4" type="noConversion"/>
  </si>
  <si>
    <t>新豐4線</t>
    <phoneticPr fontId="4" type="noConversion"/>
  </si>
  <si>
    <r>
      <t xml:space="preserve">屏榮 </t>
    </r>
    <r>
      <rPr>
        <b/>
        <sz val="26"/>
        <color rgb="FFFF0000"/>
        <rFont val="微軟正黑體"/>
        <family val="2"/>
        <charset val="136"/>
      </rPr>
      <t>新豐廠</t>
    </r>
    <r>
      <rPr>
        <b/>
        <sz val="26"/>
        <color theme="1"/>
        <rFont val="微軟正黑體"/>
        <family val="2"/>
        <charset val="136"/>
      </rPr>
      <t>組合室生產人時性分析</t>
    </r>
    <phoneticPr fontId="3" type="noConversion"/>
  </si>
  <si>
    <t>日期</t>
    <phoneticPr fontId="3" type="noConversion"/>
  </si>
  <si>
    <t>訂單量</t>
    <phoneticPr fontId="3" type="noConversion"/>
  </si>
  <si>
    <t>營業額</t>
    <phoneticPr fontId="3" type="noConversion"/>
  </si>
  <si>
    <t>項目</t>
    <phoneticPr fontId="4" type="noConversion"/>
  </si>
  <si>
    <t>➀</t>
    <phoneticPr fontId="4" type="noConversion"/>
  </si>
  <si>
    <t>➁</t>
    <phoneticPr fontId="4" type="noConversion"/>
  </si>
  <si>
    <t>➂</t>
    <phoneticPr fontId="4" type="noConversion"/>
  </si>
  <si>
    <t>組合室</t>
    <phoneticPr fontId="3" type="noConversion"/>
  </si>
  <si>
    <t>全溫層</t>
    <phoneticPr fontId="3" type="noConversion"/>
  </si>
  <si>
    <t>4度C-各編組展開</t>
    <phoneticPr fontId="3" type="noConversion"/>
  </si>
  <si>
    <t>③三明治-各編組展開</t>
    <phoneticPr fontId="3" type="noConversion"/>
  </si>
  <si>
    <t>※現行日本鮮食廠以達成率80%為基本(即為現行KPI)</t>
    <phoneticPr fontId="4" type="noConversion"/>
  </si>
  <si>
    <t>溫層</t>
    <phoneticPr fontId="3" type="noConversion"/>
  </si>
  <si>
    <t>➁4度C-各編組展開</t>
    <phoneticPr fontId="3" type="noConversion"/>
  </si>
  <si>
    <t>③三明治-各編組展開</t>
    <phoneticPr fontId="4" type="noConversion"/>
  </si>
  <si>
    <t>編組</t>
    <phoneticPr fontId="3" type="noConversion"/>
  </si>
  <si>
    <t>人時性</t>
    <phoneticPr fontId="4" type="noConversion"/>
  </si>
  <si>
    <t>排關</t>
    <phoneticPr fontId="3" type="noConversion"/>
  </si>
  <si>
    <t>實績</t>
    <phoneticPr fontId="3" type="noConversion"/>
  </si>
  <si>
    <t>作業
時間</t>
    <phoneticPr fontId="3" type="noConversion"/>
  </si>
  <si>
    <t>開始</t>
    <phoneticPr fontId="3" type="noConversion"/>
  </si>
  <si>
    <t>結束</t>
    <phoneticPr fontId="3" type="noConversion"/>
  </si>
  <si>
    <t>配置人數</t>
    <phoneticPr fontId="3" type="noConversion"/>
  </si>
  <si>
    <t>主要應用設備</t>
    <phoneticPr fontId="3" type="noConversion"/>
  </si>
  <si>
    <t>L型包裝機</t>
    <phoneticPr fontId="4" type="noConversion"/>
  </si>
  <si>
    <t>三明治包裝機</t>
    <phoneticPr fontId="4" type="noConversion"/>
  </si>
  <si>
    <t>三明治包裝機</t>
    <phoneticPr fontId="4" type="noConversion"/>
  </si>
  <si>
    <t>次要應用設備</t>
    <phoneticPr fontId="3" type="noConversion"/>
  </si>
  <si>
    <t>圓盤機</t>
    <phoneticPr fontId="4" type="noConversion"/>
  </si>
  <si>
    <t>備註</t>
    <phoneticPr fontId="3" type="noConversion"/>
  </si>
  <si>
    <t>握沙拉</t>
    <phoneticPr fontId="4" type="noConversion"/>
  </si>
  <si>
    <t>共用L型包裝機</t>
    <phoneticPr fontId="4" type="noConversion"/>
  </si>
  <si>
    <t>炒飯+沙拉</t>
    <phoneticPr fontId="4" type="noConversion"/>
  </si>
  <si>
    <t xml:space="preserve">新豐廠四度C日報分析                              </t>
    <phoneticPr fontId="4" type="noConversion"/>
  </si>
  <si>
    <t>總生產量</t>
    <phoneticPr fontId="4" type="noConversion"/>
  </si>
  <si>
    <t>營業額</t>
    <phoneticPr fontId="7" type="noConversion"/>
  </si>
  <si>
    <t>出勤人數</t>
    <phoneticPr fontId="4" type="noConversion"/>
  </si>
  <si>
    <t>產線配置圖</t>
    <phoneticPr fontId="4" type="noConversion"/>
  </si>
  <si>
    <t>生產實績</t>
    <phoneticPr fontId="4" type="noConversion"/>
  </si>
  <si>
    <t>人時性差異分析</t>
    <phoneticPr fontId="4" type="noConversion"/>
  </si>
  <si>
    <t>日報登錄</t>
    <phoneticPr fontId="4" type="noConversion"/>
  </si>
  <si>
    <t>分析說明</t>
    <phoneticPr fontId="4" type="noConversion"/>
  </si>
  <si>
    <t>產能差異分析</t>
    <phoneticPr fontId="4" type="noConversion"/>
  </si>
  <si>
    <t>星期六</t>
  </si>
  <si>
    <t>多次生產數</t>
    <phoneticPr fontId="4" type="noConversion"/>
  </si>
  <si>
    <t>線別</t>
    <phoneticPr fontId="3" type="noConversion"/>
  </si>
  <si>
    <t>品類</t>
    <phoneticPr fontId="4" type="noConversion"/>
  </si>
  <si>
    <t>品名</t>
    <phoneticPr fontId="3" type="noConversion"/>
  </si>
  <si>
    <t>廠價</t>
    <phoneticPr fontId="7" type="noConversion"/>
  </si>
  <si>
    <t>生產量</t>
    <phoneticPr fontId="4" type="noConversion"/>
  </si>
  <si>
    <t>營收</t>
    <phoneticPr fontId="7" type="noConversion"/>
  </si>
  <si>
    <t>多次
生產</t>
    <phoneticPr fontId="4" type="noConversion"/>
  </si>
  <si>
    <t>人數</t>
    <phoneticPr fontId="4" type="noConversion"/>
  </si>
  <si>
    <t>產能/時</t>
    <phoneticPr fontId="4" type="noConversion"/>
  </si>
  <si>
    <t>產能/時</t>
    <phoneticPr fontId="4" type="noConversion"/>
  </si>
  <si>
    <t>人時性</t>
    <phoneticPr fontId="4" type="noConversion"/>
  </si>
  <si>
    <t>達成率</t>
    <phoneticPr fontId="4" type="noConversion"/>
  </si>
  <si>
    <t>達成率平均</t>
    <phoneticPr fontId="4" type="noConversion"/>
  </si>
  <si>
    <t>稼動時間/分</t>
    <phoneticPr fontId="4" type="noConversion"/>
  </si>
  <si>
    <t>休息時間</t>
    <phoneticPr fontId="4" type="noConversion"/>
  </si>
  <si>
    <t>(新豐回填)</t>
    <phoneticPr fontId="4" type="noConversion"/>
  </si>
  <si>
    <t>產能/時</t>
    <phoneticPr fontId="4" type="noConversion"/>
  </si>
  <si>
    <t>達成率</t>
    <phoneticPr fontId="4" type="noConversion"/>
  </si>
  <si>
    <t>達成率平均</t>
    <phoneticPr fontId="4" type="noConversion"/>
  </si>
  <si>
    <t>開始</t>
    <phoneticPr fontId="4" type="noConversion"/>
  </si>
  <si>
    <t>結束</t>
    <phoneticPr fontId="4" type="noConversion"/>
  </si>
  <si>
    <t>新豐6線</t>
    <phoneticPr fontId="4" type="noConversion"/>
  </si>
  <si>
    <t>新豐6線</t>
    <phoneticPr fontId="4" type="noConversion"/>
  </si>
  <si>
    <t>平均</t>
    <phoneticPr fontId="4" type="noConversion"/>
  </si>
  <si>
    <t>新豐2線</t>
    <phoneticPr fontId="4" type="noConversion"/>
  </si>
  <si>
    <t>新豐2線</t>
    <phoneticPr fontId="4" type="noConversion"/>
  </si>
  <si>
    <t>平均</t>
    <phoneticPr fontId="4" type="noConversion"/>
  </si>
  <si>
    <t>新豐5線</t>
    <phoneticPr fontId="4" type="noConversion"/>
  </si>
  <si>
    <t>新豐5線</t>
    <phoneticPr fontId="4" type="noConversion"/>
  </si>
  <si>
    <t>新豐5線</t>
    <phoneticPr fontId="4" type="noConversion"/>
  </si>
  <si>
    <t>平均</t>
    <phoneticPr fontId="4" type="noConversion"/>
  </si>
  <si>
    <t>新豐7線</t>
    <phoneticPr fontId="4" type="noConversion"/>
  </si>
  <si>
    <t>新豐7線</t>
    <phoneticPr fontId="4" type="noConversion"/>
  </si>
  <si>
    <t>平均</t>
    <phoneticPr fontId="4" type="noConversion"/>
  </si>
  <si>
    <t>新豐8線</t>
    <phoneticPr fontId="4" type="noConversion"/>
  </si>
  <si>
    <t>新豐8線</t>
    <phoneticPr fontId="4" type="noConversion"/>
  </si>
  <si>
    <t>新豐9線</t>
    <phoneticPr fontId="4" type="noConversion"/>
  </si>
  <si>
    <t>新豐3線</t>
    <phoneticPr fontId="4" type="noConversion"/>
  </si>
  <si>
    <t>新豐1線</t>
    <phoneticPr fontId="4" type="noConversion"/>
  </si>
  <si>
    <t>新豐10線</t>
    <phoneticPr fontId="4" type="noConversion"/>
  </si>
  <si>
    <t>新豐4線</t>
    <phoneticPr fontId="4" type="noConversion"/>
  </si>
  <si>
    <t>新豐4線</t>
    <phoneticPr fontId="4" type="noConversion"/>
  </si>
  <si>
    <r>
      <t xml:space="preserve">屏榮 </t>
    </r>
    <r>
      <rPr>
        <b/>
        <sz val="26"/>
        <color rgb="FFFF0000"/>
        <rFont val="微軟正黑體"/>
        <family val="2"/>
        <charset val="136"/>
      </rPr>
      <t>新豐廠</t>
    </r>
    <r>
      <rPr>
        <b/>
        <sz val="26"/>
        <color theme="1"/>
        <rFont val="微軟正黑體"/>
        <family val="2"/>
        <charset val="136"/>
      </rPr>
      <t>組合室生產人時性分析</t>
    </r>
    <phoneticPr fontId="3" type="noConversion"/>
  </si>
  <si>
    <t>日期</t>
    <phoneticPr fontId="3" type="noConversion"/>
  </si>
  <si>
    <t>營業額</t>
    <phoneticPr fontId="3" type="noConversion"/>
  </si>
  <si>
    <t>人時性</t>
    <phoneticPr fontId="3" type="noConversion"/>
  </si>
  <si>
    <t>項目</t>
    <phoneticPr fontId="4" type="noConversion"/>
  </si>
  <si>
    <t>➀</t>
    <phoneticPr fontId="4" type="noConversion"/>
  </si>
  <si>
    <t>➁</t>
    <phoneticPr fontId="4" type="noConversion"/>
  </si>
  <si>
    <t>➂</t>
    <phoneticPr fontId="4" type="noConversion"/>
  </si>
  <si>
    <t>組合室</t>
    <phoneticPr fontId="3" type="noConversion"/>
  </si>
  <si>
    <t>全溫層</t>
    <phoneticPr fontId="3" type="noConversion"/>
  </si>
  <si>
    <t>4度C-各編組展開</t>
    <phoneticPr fontId="3" type="noConversion"/>
  </si>
  <si>
    <t>③三明治-各編組展開</t>
    <phoneticPr fontId="3" type="noConversion"/>
  </si>
  <si>
    <t>溫層</t>
    <phoneticPr fontId="3" type="noConversion"/>
  </si>
  <si>
    <t>➁4度C-各編組展開</t>
    <phoneticPr fontId="3" type="noConversion"/>
  </si>
  <si>
    <t>③三明治-各編組展開</t>
    <phoneticPr fontId="4" type="noConversion"/>
  </si>
  <si>
    <t>編組</t>
    <phoneticPr fontId="3" type="noConversion"/>
  </si>
  <si>
    <t>人時性</t>
    <phoneticPr fontId="4" type="noConversion"/>
  </si>
  <si>
    <t>排關</t>
    <phoneticPr fontId="3" type="noConversion"/>
  </si>
  <si>
    <t>實績</t>
    <phoneticPr fontId="3" type="noConversion"/>
  </si>
  <si>
    <t>作業
時間</t>
    <phoneticPr fontId="3" type="noConversion"/>
  </si>
  <si>
    <t>開始</t>
    <phoneticPr fontId="3" type="noConversion"/>
  </si>
  <si>
    <t>結束</t>
    <phoneticPr fontId="3" type="noConversion"/>
  </si>
  <si>
    <t>配置人數</t>
    <phoneticPr fontId="3" type="noConversion"/>
  </si>
  <si>
    <t>主要應用設備</t>
    <phoneticPr fontId="3" type="noConversion"/>
  </si>
  <si>
    <t>L型包裝機</t>
    <phoneticPr fontId="4" type="noConversion"/>
  </si>
  <si>
    <t>L型包裝機</t>
    <phoneticPr fontId="4" type="noConversion"/>
  </si>
  <si>
    <t>三明治包裝機</t>
    <phoneticPr fontId="4" type="noConversion"/>
  </si>
  <si>
    <t>三明治包裝機</t>
    <phoneticPr fontId="4" type="noConversion"/>
  </si>
  <si>
    <t>次要應用設備</t>
    <phoneticPr fontId="3" type="noConversion"/>
  </si>
  <si>
    <t>圓盤機</t>
    <phoneticPr fontId="4" type="noConversion"/>
  </si>
  <si>
    <t>握沙拉</t>
    <phoneticPr fontId="4" type="noConversion"/>
  </si>
  <si>
    <t>共用L型包裝機</t>
    <phoneticPr fontId="4" type="noConversion"/>
  </si>
  <si>
    <t>調理麵包</t>
    <phoneticPr fontId="4" type="noConversion"/>
  </si>
  <si>
    <t>炒飯+沙拉</t>
    <phoneticPr fontId="4" type="noConversion"/>
  </si>
  <si>
    <t>調理麵包</t>
    <phoneticPr fontId="4" type="noConversion"/>
  </si>
  <si>
    <t xml:space="preserve">新豐廠四度C日報分析                              </t>
    <phoneticPr fontId="4" type="noConversion"/>
  </si>
  <si>
    <t>總生產量</t>
    <phoneticPr fontId="4" type="noConversion"/>
  </si>
  <si>
    <t>營業額</t>
    <phoneticPr fontId="7" type="noConversion"/>
  </si>
  <si>
    <t>出勤人數</t>
    <phoneticPr fontId="4" type="noConversion"/>
  </si>
  <si>
    <t>產線配置圖</t>
    <phoneticPr fontId="4" type="noConversion"/>
  </si>
  <si>
    <t>生產實績</t>
    <phoneticPr fontId="4" type="noConversion"/>
  </si>
  <si>
    <t>人時性差異分析</t>
    <phoneticPr fontId="4" type="noConversion"/>
  </si>
  <si>
    <t>日報登錄</t>
    <phoneticPr fontId="4" type="noConversion"/>
  </si>
  <si>
    <t>分析說明</t>
    <phoneticPr fontId="4" type="noConversion"/>
  </si>
  <si>
    <t>產能差異分析</t>
    <phoneticPr fontId="4" type="noConversion"/>
  </si>
  <si>
    <t>星期日</t>
  </si>
  <si>
    <t>人時性</t>
    <phoneticPr fontId="4" type="noConversion"/>
  </si>
  <si>
    <t>多次生產數</t>
    <phoneticPr fontId="4" type="noConversion"/>
  </si>
  <si>
    <t>線別</t>
    <phoneticPr fontId="3" type="noConversion"/>
  </si>
  <si>
    <t>品類</t>
    <phoneticPr fontId="4" type="noConversion"/>
  </si>
  <si>
    <t>品名</t>
    <phoneticPr fontId="3" type="noConversion"/>
  </si>
  <si>
    <t>廠價</t>
    <phoneticPr fontId="7" type="noConversion"/>
  </si>
  <si>
    <t>生產量</t>
    <phoneticPr fontId="4" type="noConversion"/>
  </si>
  <si>
    <t>營收</t>
    <phoneticPr fontId="7" type="noConversion"/>
  </si>
  <si>
    <t>多次
生產</t>
    <phoneticPr fontId="4" type="noConversion"/>
  </si>
  <si>
    <t>人數</t>
    <phoneticPr fontId="4" type="noConversion"/>
  </si>
  <si>
    <t>產能/時</t>
    <phoneticPr fontId="4" type="noConversion"/>
  </si>
  <si>
    <t>人數</t>
    <phoneticPr fontId="4" type="noConversion"/>
  </si>
  <si>
    <t>達成率平均</t>
    <phoneticPr fontId="4" type="noConversion"/>
  </si>
  <si>
    <t>稼動時間/分</t>
    <phoneticPr fontId="4" type="noConversion"/>
  </si>
  <si>
    <t>休息時間</t>
    <phoneticPr fontId="4" type="noConversion"/>
  </si>
  <si>
    <t>(新豐回填)</t>
    <phoneticPr fontId="4" type="noConversion"/>
  </si>
  <si>
    <t>產能/時</t>
    <phoneticPr fontId="4" type="noConversion"/>
  </si>
  <si>
    <t>達成率</t>
    <phoneticPr fontId="4" type="noConversion"/>
  </si>
  <si>
    <t>達成率平均</t>
    <phoneticPr fontId="4" type="noConversion"/>
  </si>
  <si>
    <t>開始</t>
    <phoneticPr fontId="4" type="noConversion"/>
  </si>
  <si>
    <t>結束</t>
    <phoneticPr fontId="4" type="noConversion"/>
  </si>
  <si>
    <t>新豐6線</t>
    <phoneticPr fontId="4" type="noConversion"/>
  </si>
  <si>
    <t>新豐6線</t>
    <phoneticPr fontId="4" type="noConversion"/>
  </si>
  <si>
    <t>平均</t>
    <phoneticPr fontId="4" type="noConversion"/>
  </si>
  <si>
    <r>
      <t xml:space="preserve">屏榮 </t>
    </r>
    <r>
      <rPr>
        <b/>
        <sz val="26"/>
        <color rgb="FFFF0000"/>
        <rFont val="微軟正黑體"/>
        <family val="2"/>
        <charset val="136"/>
      </rPr>
      <t>新豐廠</t>
    </r>
    <r>
      <rPr>
        <b/>
        <sz val="26"/>
        <color theme="1"/>
        <rFont val="微軟正黑體"/>
        <family val="2"/>
        <charset val="136"/>
      </rPr>
      <t>組合室生產人時性分析</t>
    </r>
    <phoneticPr fontId="3" type="noConversion"/>
  </si>
  <si>
    <t>人時性</t>
    <phoneticPr fontId="3" type="noConversion"/>
  </si>
  <si>
    <t>項目</t>
    <phoneticPr fontId="4" type="noConversion"/>
  </si>
  <si>
    <t>➀</t>
    <phoneticPr fontId="4" type="noConversion"/>
  </si>
  <si>
    <t>➁</t>
    <phoneticPr fontId="4" type="noConversion"/>
  </si>
  <si>
    <t>➂</t>
    <phoneticPr fontId="4" type="noConversion"/>
  </si>
  <si>
    <t>組合室</t>
    <phoneticPr fontId="3" type="noConversion"/>
  </si>
  <si>
    <t>※現行日本鮮食廠以達成率80%為基本(即為現行KPI)</t>
    <phoneticPr fontId="4" type="noConversion"/>
  </si>
  <si>
    <t>溫層</t>
    <phoneticPr fontId="3" type="noConversion"/>
  </si>
  <si>
    <t>➁4度C-各編組展開</t>
    <phoneticPr fontId="3" type="noConversion"/>
  </si>
  <si>
    <t>③三明治-各編組展開</t>
    <phoneticPr fontId="4" type="noConversion"/>
  </si>
  <si>
    <t>編組</t>
    <phoneticPr fontId="3" type="noConversion"/>
  </si>
  <si>
    <t>人時性</t>
    <phoneticPr fontId="4" type="noConversion"/>
  </si>
  <si>
    <t>主要應用設備</t>
    <phoneticPr fontId="3" type="noConversion"/>
  </si>
  <si>
    <t>L型包裝機</t>
    <phoneticPr fontId="4" type="noConversion"/>
  </si>
  <si>
    <t>三明治包裝機</t>
    <phoneticPr fontId="4" type="noConversion"/>
  </si>
  <si>
    <t>握沙拉</t>
    <phoneticPr fontId="4" type="noConversion"/>
  </si>
  <si>
    <t>調理麵包</t>
    <phoneticPr fontId="4" type="noConversion"/>
  </si>
  <si>
    <t>炒飯+沙拉</t>
    <phoneticPr fontId="4" type="noConversion"/>
  </si>
  <si>
    <t xml:space="preserve">新豐廠四度C日報分析                              </t>
    <phoneticPr fontId="4" type="noConversion"/>
  </si>
  <si>
    <t>總生產量</t>
    <phoneticPr fontId="4" type="noConversion"/>
  </si>
  <si>
    <t>營業額</t>
    <phoneticPr fontId="7" type="noConversion"/>
  </si>
  <si>
    <t>出勤人數</t>
    <phoneticPr fontId="4" type="noConversion"/>
  </si>
  <si>
    <t>產線配置圖</t>
    <phoneticPr fontId="4" type="noConversion"/>
  </si>
  <si>
    <t>生產實績</t>
    <phoneticPr fontId="4" type="noConversion"/>
  </si>
  <si>
    <t>人時性差異分析</t>
    <phoneticPr fontId="4" type="noConversion"/>
  </si>
  <si>
    <t>日報登錄</t>
    <phoneticPr fontId="4" type="noConversion"/>
  </si>
  <si>
    <t>分析說明</t>
    <phoneticPr fontId="4" type="noConversion"/>
  </si>
  <si>
    <t>產能差異分析</t>
    <phoneticPr fontId="4" type="noConversion"/>
  </si>
  <si>
    <t>星期一</t>
  </si>
  <si>
    <t>人時性</t>
    <phoneticPr fontId="4" type="noConversion"/>
  </si>
  <si>
    <t>多次生產數</t>
    <phoneticPr fontId="4" type="noConversion"/>
  </si>
  <si>
    <t>線別</t>
    <phoneticPr fontId="3" type="noConversion"/>
  </si>
  <si>
    <t>品類</t>
    <phoneticPr fontId="4" type="noConversion"/>
  </si>
  <si>
    <t>品名</t>
    <phoneticPr fontId="3" type="noConversion"/>
  </si>
  <si>
    <t>廠價</t>
    <phoneticPr fontId="7" type="noConversion"/>
  </si>
  <si>
    <t>生產量</t>
    <phoneticPr fontId="4" type="noConversion"/>
  </si>
  <si>
    <t>營收</t>
    <phoneticPr fontId="7" type="noConversion"/>
  </si>
  <si>
    <t>多次
生產</t>
    <phoneticPr fontId="4" type="noConversion"/>
  </si>
  <si>
    <t>人數</t>
    <phoneticPr fontId="4" type="noConversion"/>
  </si>
  <si>
    <t>產能/時</t>
    <phoneticPr fontId="4" type="noConversion"/>
  </si>
  <si>
    <t>達成率</t>
    <phoneticPr fontId="4" type="noConversion"/>
  </si>
  <si>
    <t>達成率平均</t>
    <phoneticPr fontId="4" type="noConversion"/>
  </si>
  <si>
    <t>稼動時間/分</t>
    <phoneticPr fontId="4" type="noConversion"/>
  </si>
  <si>
    <t>休息時間</t>
    <phoneticPr fontId="4" type="noConversion"/>
  </si>
  <si>
    <t>(新豐回填)</t>
    <phoneticPr fontId="4" type="noConversion"/>
  </si>
  <si>
    <t>開始</t>
    <phoneticPr fontId="4" type="noConversion"/>
  </si>
  <si>
    <t>結束</t>
    <phoneticPr fontId="4" type="noConversion"/>
  </si>
  <si>
    <t>新豐6線</t>
    <phoneticPr fontId="4" type="noConversion"/>
  </si>
  <si>
    <t>平均</t>
    <phoneticPr fontId="4" type="noConversion"/>
  </si>
  <si>
    <t>新豐2線</t>
    <phoneticPr fontId="4" type="noConversion"/>
  </si>
  <si>
    <t>新豐5線</t>
    <phoneticPr fontId="4" type="noConversion"/>
  </si>
  <si>
    <t>新豐7線</t>
    <phoneticPr fontId="4" type="noConversion"/>
  </si>
  <si>
    <t>新豐8線</t>
    <phoneticPr fontId="4" type="noConversion"/>
  </si>
  <si>
    <t>新豐9線</t>
    <phoneticPr fontId="4" type="noConversion"/>
  </si>
  <si>
    <t>新豐9線</t>
    <phoneticPr fontId="4" type="noConversion"/>
  </si>
  <si>
    <t>新豐9線</t>
    <phoneticPr fontId="4" type="noConversion"/>
  </si>
  <si>
    <t>新豐9線</t>
    <phoneticPr fontId="4" type="noConversion"/>
  </si>
  <si>
    <t>新豐9線</t>
    <phoneticPr fontId="4" type="noConversion"/>
  </si>
  <si>
    <t>新豐9線</t>
    <phoneticPr fontId="4" type="noConversion"/>
  </si>
  <si>
    <t>新豐9線</t>
    <phoneticPr fontId="4" type="noConversion"/>
  </si>
  <si>
    <t>平均</t>
    <phoneticPr fontId="4" type="noConversion"/>
  </si>
  <si>
    <t>新豐3線</t>
    <phoneticPr fontId="4" type="noConversion"/>
  </si>
  <si>
    <t>新豐3線</t>
    <phoneticPr fontId="4" type="noConversion"/>
  </si>
  <si>
    <t>新豐3線</t>
    <phoneticPr fontId="4" type="noConversion"/>
  </si>
  <si>
    <t>新豐3線</t>
    <phoneticPr fontId="4" type="noConversion"/>
  </si>
  <si>
    <t>平均</t>
    <phoneticPr fontId="4" type="noConversion"/>
  </si>
  <si>
    <t>新豐1線</t>
    <phoneticPr fontId="4" type="noConversion"/>
  </si>
  <si>
    <t>新豐1線</t>
    <phoneticPr fontId="4" type="noConversion"/>
  </si>
  <si>
    <t>新豐1線</t>
    <phoneticPr fontId="4" type="noConversion"/>
  </si>
  <si>
    <t>新豐1線</t>
    <phoneticPr fontId="4" type="noConversion"/>
  </si>
  <si>
    <t>新豐1線</t>
    <phoneticPr fontId="4" type="noConversion"/>
  </si>
  <si>
    <t>新豐10線</t>
    <phoneticPr fontId="4" type="noConversion"/>
  </si>
  <si>
    <t>新豐10線</t>
    <phoneticPr fontId="4" type="noConversion"/>
  </si>
  <si>
    <t>新豐10線</t>
    <phoneticPr fontId="4" type="noConversion"/>
  </si>
  <si>
    <t>新豐10線</t>
    <phoneticPr fontId="4" type="noConversion"/>
  </si>
  <si>
    <t>新豐4線</t>
    <phoneticPr fontId="4" type="noConversion"/>
  </si>
  <si>
    <t>新豐4線</t>
    <phoneticPr fontId="4" type="noConversion"/>
  </si>
  <si>
    <t>新豐4線</t>
    <phoneticPr fontId="4" type="noConversion"/>
  </si>
  <si>
    <t>新豐4線</t>
    <phoneticPr fontId="4" type="noConversion"/>
  </si>
  <si>
    <t>新豐4線</t>
    <phoneticPr fontId="4" type="noConversion"/>
  </si>
  <si>
    <t>新豐4線</t>
    <phoneticPr fontId="4" type="noConversion"/>
  </si>
  <si>
    <t>新豐4線</t>
    <phoneticPr fontId="4" type="noConversion"/>
  </si>
  <si>
    <t>日期</t>
    <phoneticPr fontId="3" type="noConversion"/>
  </si>
  <si>
    <t>➁</t>
    <phoneticPr fontId="4" type="noConversion"/>
  </si>
  <si>
    <t>➂</t>
    <phoneticPr fontId="4" type="noConversion"/>
  </si>
  <si>
    <t>溫層</t>
    <phoneticPr fontId="3" type="noConversion"/>
  </si>
  <si>
    <t>排關</t>
    <phoneticPr fontId="3" type="noConversion"/>
  </si>
  <si>
    <t>作業
時間</t>
    <phoneticPr fontId="3" type="noConversion"/>
  </si>
  <si>
    <t>配置人數</t>
    <phoneticPr fontId="3" type="noConversion"/>
  </si>
  <si>
    <t>L型包裝機</t>
    <phoneticPr fontId="4" type="noConversion"/>
  </si>
  <si>
    <t>三明治包裝機</t>
    <phoneticPr fontId="4" type="noConversion"/>
  </si>
  <si>
    <t>三明治包裝機</t>
    <phoneticPr fontId="4" type="noConversion"/>
  </si>
  <si>
    <t>次要應用設備</t>
    <phoneticPr fontId="3" type="noConversion"/>
  </si>
  <si>
    <t>炒飯+沙拉</t>
    <phoneticPr fontId="4" type="noConversion"/>
  </si>
  <si>
    <t>調理麵包</t>
    <phoneticPr fontId="4" type="noConversion"/>
  </si>
  <si>
    <t>總生產量</t>
    <phoneticPr fontId="4" type="noConversion"/>
  </si>
  <si>
    <t>營業額</t>
    <phoneticPr fontId="7" type="noConversion"/>
  </si>
  <si>
    <t>產線配置圖</t>
    <phoneticPr fontId="4" type="noConversion"/>
  </si>
  <si>
    <t>生產實績</t>
    <phoneticPr fontId="4" type="noConversion"/>
  </si>
  <si>
    <t>日報登錄</t>
    <phoneticPr fontId="4" type="noConversion"/>
  </si>
  <si>
    <t>產能差異分析</t>
    <phoneticPr fontId="4" type="noConversion"/>
  </si>
  <si>
    <t>星期二</t>
  </si>
  <si>
    <t>人時性</t>
    <phoneticPr fontId="4" type="noConversion"/>
  </si>
  <si>
    <t>多次生產數</t>
    <phoneticPr fontId="4" type="noConversion"/>
  </si>
  <si>
    <t>線別</t>
    <phoneticPr fontId="3" type="noConversion"/>
  </si>
  <si>
    <t>品類</t>
    <phoneticPr fontId="4" type="noConversion"/>
  </si>
  <si>
    <t>品名</t>
    <phoneticPr fontId="3" type="noConversion"/>
  </si>
  <si>
    <t>廠價</t>
    <phoneticPr fontId="7" type="noConversion"/>
  </si>
  <si>
    <t>營收</t>
    <phoneticPr fontId="7" type="noConversion"/>
  </si>
  <si>
    <t>多次
生產</t>
    <phoneticPr fontId="4" type="noConversion"/>
  </si>
  <si>
    <t>產能/時</t>
    <phoneticPr fontId="4" type="noConversion"/>
  </si>
  <si>
    <t>人時性</t>
    <phoneticPr fontId="4" type="noConversion"/>
  </si>
  <si>
    <t>產能/時</t>
    <phoneticPr fontId="4" type="noConversion"/>
  </si>
  <si>
    <t>人時性</t>
    <phoneticPr fontId="4" type="noConversion"/>
  </si>
  <si>
    <t>人數</t>
    <phoneticPr fontId="4" type="noConversion"/>
  </si>
  <si>
    <t>達成率</t>
    <phoneticPr fontId="4" type="noConversion"/>
  </si>
  <si>
    <t>達成率平均</t>
    <phoneticPr fontId="4" type="noConversion"/>
  </si>
  <si>
    <t>稼動時間/分</t>
    <phoneticPr fontId="4" type="noConversion"/>
  </si>
  <si>
    <t>休息時間</t>
    <phoneticPr fontId="4" type="noConversion"/>
  </si>
  <si>
    <t>(新豐回填)</t>
    <phoneticPr fontId="4" type="noConversion"/>
  </si>
  <si>
    <t>達成率</t>
    <phoneticPr fontId="4" type="noConversion"/>
  </si>
  <si>
    <t>達成率平均</t>
    <phoneticPr fontId="4" type="noConversion"/>
  </si>
  <si>
    <t>開始</t>
    <phoneticPr fontId="4" type="noConversion"/>
  </si>
  <si>
    <t>結束</t>
    <phoneticPr fontId="4" type="noConversion"/>
  </si>
  <si>
    <t>新豐6線</t>
    <phoneticPr fontId="4" type="noConversion"/>
  </si>
  <si>
    <t>新豐6線</t>
    <phoneticPr fontId="4" type="noConversion"/>
  </si>
  <si>
    <t>新豐6線</t>
    <phoneticPr fontId="4" type="noConversion"/>
  </si>
  <si>
    <t>新豐6線</t>
    <phoneticPr fontId="4" type="noConversion"/>
  </si>
  <si>
    <t>新豐6線</t>
    <phoneticPr fontId="4" type="noConversion"/>
  </si>
  <si>
    <t>平均</t>
    <phoneticPr fontId="4" type="noConversion"/>
  </si>
  <si>
    <t>新豐2線</t>
    <phoneticPr fontId="4" type="noConversion"/>
  </si>
  <si>
    <t>新豐2線</t>
    <phoneticPr fontId="4" type="noConversion"/>
  </si>
  <si>
    <t>新豐5線</t>
    <phoneticPr fontId="4" type="noConversion"/>
  </si>
  <si>
    <t>新豐5線</t>
    <phoneticPr fontId="4" type="noConversion"/>
  </si>
  <si>
    <t>平均</t>
    <phoneticPr fontId="4" type="noConversion"/>
  </si>
  <si>
    <t>新豐8線</t>
    <phoneticPr fontId="4" type="noConversion"/>
  </si>
  <si>
    <t>新豐8線</t>
    <phoneticPr fontId="4" type="noConversion"/>
  </si>
  <si>
    <t>新豐8線</t>
    <phoneticPr fontId="4" type="noConversion"/>
  </si>
  <si>
    <t>新豐8線</t>
    <phoneticPr fontId="4" type="noConversion"/>
  </si>
  <si>
    <t>平均</t>
    <phoneticPr fontId="4" type="noConversion"/>
  </si>
  <si>
    <t>新豐9線</t>
    <phoneticPr fontId="4" type="noConversion"/>
  </si>
  <si>
    <t>新豐9線</t>
    <phoneticPr fontId="4" type="noConversion"/>
  </si>
  <si>
    <t>新豐9線</t>
    <phoneticPr fontId="4" type="noConversion"/>
  </si>
  <si>
    <t>新豐9線</t>
    <phoneticPr fontId="4" type="noConversion"/>
  </si>
  <si>
    <t>新豐9線</t>
    <phoneticPr fontId="4" type="noConversion"/>
  </si>
  <si>
    <t>新豐9線</t>
    <phoneticPr fontId="4" type="noConversion"/>
  </si>
  <si>
    <t>新豐9線</t>
    <phoneticPr fontId="4" type="noConversion"/>
  </si>
  <si>
    <t>新豐3線</t>
    <phoneticPr fontId="4" type="noConversion"/>
  </si>
  <si>
    <t>新豐3線</t>
    <phoneticPr fontId="4" type="noConversion"/>
  </si>
  <si>
    <t>新豐3線</t>
    <phoneticPr fontId="4" type="noConversion"/>
  </si>
  <si>
    <t>新豐3線</t>
    <phoneticPr fontId="4" type="noConversion"/>
  </si>
  <si>
    <t>新豐3線</t>
    <phoneticPr fontId="4" type="noConversion"/>
  </si>
  <si>
    <t>厚豆腐蛋白蕈菇豬肉堡</t>
  </si>
  <si>
    <t>新豐3線</t>
    <phoneticPr fontId="4" type="noConversion"/>
  </si>
  <si>
    <t>蜂蜜芥末辣雞堡</t>
  </si>
  <si>
    <t>新豐1線</t>
    <phoneticPr fontId="4" type="noConversion"/>
  </si>
  <si>
    <t>新豐1線</t>
    <phoneticPr fontId="4" type="noConversion"/>
  </si>
  <si>
    <t>平均</t>
    <phoneticPr fontId="4" type="noConversion"/>
  </si>
  <si>
    <t>新豐10線</t>
    <phoneticPr fontId="4" type="noConversion"/>
  </si>
  <si>
    <t>平均</t>
    <phoneticPr fontId="4" type="noConversion"/>
  </si>
  <si>
    <t>新豐4線</t>
    <phoneticPr fontId="4" type="noConversion"/>
  </si>
  <si>
    <t>新豐4線</t>
    <phoneticPr fontId="4" type="noConversion"/>
  </si>
  <si>
    <t>新豐4線</t>
    <phoneticPr fontId="4" type="noConversion"/>
  </si>
  <si>
    <r>
      <t xml:space="preserve">屏榮 </t>
    </r>
    <r>
      <rPr>
        <b/>
        <sz val="26"/>
        <color rgb="FFFF0000"/>
        <rFont val="微軟正黑體"/>
        <family val="2"/>
        <charset val="136"/>
      </rPr>
      <t>新豐廠</t>
    </r>
    <r>
      <rPr>
        <b/>
        <sz val="26"/>
        <color theme="1"/>
        <rFont val="微軟正黑體"/>
        <family val="2"/>
        <charset val="136"/>
      </rPr>
      <t>組合室生產人時性分析</t>
    </r>
    <phoneticPr fontId="3" type="noConversion"/>
  </si>
  <si>
    <t>日期</t>
    <phoneticPr fontId="3" type="noConversion"/>
  </si>
  <si>
    <t>營業額</t>
    <phoneticPr fontId="3" type="noConversion"/>
  </si>
  <si>
    <t>人時性</t>
    <phoneticPr fontId="3" type="noConversion"/>
  </si>
  <si>
    <t>項目</t>
    <phoneticPr fontId="4" type="noConversion"/>
  </si>
  <si>
    <t>➀</t>
    <phoneticPr fontId="4" type="noConversion"/>
  </si>
  <si>
    <t>➁</t>
    <phoneticPr fontId="4" type="noConversion"/>
  </si>
  <si>
    <t>➂</t>
    <phoneticPr fontId="4" type="noConversion"/>
  </si>
  <si>
    <t>組合室</t>
    <phoneticPr fontId="3" type="noConversion"/>
  </si>
  <si>
    <t>全溫層</t>
    <phoneticPr fontId="3" type="noConversion"/>
  </si>
  <si>
    <t>4度C-各編組展開</t>
    <phoneticPr fontId="3" type="noConversion"/>
  </si>
  <si>
    <t>③三明治-各編組展開</t>
    <phoneticPr fontId="3" type="noConversion"/>
  </si>
  <si>
    <t>溫層</t>
    <phoneticPr fontId="3" type="noConversion"/>
  </si>
  <si>
    <t>③三明治-各編組展開</t>
    <phoneticPr fontId="4" type="noConversion"/>
  </si>
  <si>
    <t>人時性</t>
    <phoneticPr fontId="4" type="noConversion"/>
  </si>
  <si>
    <t>排關</t>
    <phoneticPr fontId="3" type="noConversion"/>
  </si>
  <si>
    <t>結束</t>
    <phoneticPr fontId="3" type="noConversion"/>
  </si>
  <si>
    <t>L型包裝機</t>
    <phoneticPr fontId="4" type="noConversion"/>
  </si>
  <si>
    <t>次要應用設備</t>
    <phoneticPr fontId="3" type="noConversion"/>
  </si>
  <si>
    <t>調理麵包</t>
    <phoneticPr fontId="4" type="noConversion"/>
  </si>
  <si>
    <t xml:space="preserve">新豐廠四度C日報分析                              </t>
    <phoneticPr fontId="4" type="noConversion"/>
  </si>
  <si>
    <t>總生產量</t>
    <phoneticPr fontId="4" type="noConversion"/>
  </si>
  <si>
    <t>營業額</t>
    <phoneticPr fontId="7" type="noConversion"/>
  </si>
  <si>
    <t>出勤人數</t>
    <phoneticPr fontId="4" type="noConversion"/>
  </si>
  <si>
    <t>產線配置圖</t>
    <phoneticPr fontId="4" type="noConversion"/>
  </si>
  <si>
    <t>產能差異分析</t>
    <phoneticPr fontId="4" type="noConversion"/>
  </si>
  <si>
    <t>人時性</t>
    <phoneticPr fontId="4" type="noConversion"/>
  </si>
  <si>
    <t>多次生產數</t>
    <phoneticPr fontId="4" type="noConversion"/>
  </si>
  <si>
    <t>品名</t>
    <phoneticPr fontId="3" type="noConversion"/>
  </si>
  <si>
    <t>生產量</t>
    <phoneticPr fontId="4" type="noConversion"/>
  </si>
  <si>
    <t>營收</t>
    <phoneticPr fontId="7" type="noConversion"/>
  </si>
  <si>
    <t>多次
生產</t>
    <phoneticPr fontId="4" type="noConversion"/>
  </si>
  <si>
    <t>產能/時</t>
    <phoneticPr fontId="4" type="noConversion"/>
  </si>
  <si>
    <t>達成率</t>
    <phoneticPr fontId="4" type="noConversion"/>
  </si>
  <si>
    <t>稼動時間/分</t>
    <phoneticPr fontId="4" type="noConversion"/>
  </si>
  <si>
    <t>休息時間</t>
    <phoneticPr fontId="4" type="noConversion"/>
  </si>
  <si>
    <t>(新豐回填)</t>
    <phoneticPr fontId="4" type="noConversion"/>
  </si>
  <si>
    <t>達成率平均</t>
    <phoneticPr fontId="4" type="noConversion"/>
  </si>
  <si>
    <t>開始</t>
    <phoneticPr fontId="4" type="noConversion"/>
  </si>
  <si>
    <t>結束</t>
    <phoneticPr fontId="4" type="noConversion"/>
  </si>
  <si>
    <t>新豐6線</t>
    <phoneticPr fontId="4" type="noConversion"/>
  </si>
  <si>
    <t>新豐6線</t>
    <phoneticPr fontId="4" type="noConversion"/>
  </si>
  <si>
    <t>新豐6線</t>
    <phoneticPr fontId="4" type="noConversion"/>
  </si>
  <si>
    <t>平均</t>
    <phoneticPr fontId="4" type="noConversion"/>
  </si>
  <si>
    <t>新豐2線</t>
    <phoneticPr fontId="4" type="noConversion"/>
  </si>
  <si>
    <t>平均</t>
    <phoneticPr fontId="4" type="noConversion"/>
  </si>
  <si>
    <t>新豐5線</t>
    <phoneticPr fontId="4" type="noConversion"/>
  </si>
  <si>
    <t>新豐5線</t>
    <phoneticPr fontId="4" type="noConversion"/>
  </si>
  <si>
    <t>新豐5線</t>
    <phoneticPr fontId="4" type="noConversion"/>
  </si>
  <si>
    <t>平均</t>
    <phoneticPr fontId="4" type="noConversion"/>
  </si>
  <si>
    <t>新豐7線</t>
    <phoneticPr fontId="4" type="noConversion"/>
  </si>
  <si>
    <t>新豐8線</t>
    <phoneticPr fontId="4" type="noConversion"/>
  </si>
  <si>
    <t>新豐8線</t>
    <phoneticPr fontId="4" type="noConversion"/>
  </si>
  <si>
    <t>新豐9線</t>
    <phoneticPr fontId="4" type="noConversion"/>
  </si>
  <si>
    <t>新豐9線</t>
    <phoneticPr fontId="4" type="noConversion"/>
  </si>
  <si>
    <t>新豐9線</t>
    <phoneticPr fontId="4" type="noConversion"/>
  </si>
  <si>
    <t>平均</t>
    <phoneticPr fontId="4" type="noConversion"/>
  </si>
  <si>
    <t>新豐3線</t>
    <phoneticPr fontId="4" type="noConversion"/>
  </si>
  <si>
    <t>新豐3線</t>
    <phoneticPr fontId="4" type="noConversion"/>
  </si>
  <si>
    <t>新豐3線</t>
    <phoneticPr fontId="4" type="noConversion"/>
  </si>
  <si>
    <t>新豐3線</t>
    <phoneticPr fontId="4" type="noConversion"/>
  </si>
  <si>
    <t>新豐3線</t>
    <phoneticPr fontId="4" type="noConversion"/>
  </si>
  <si>
    <t>新豐3線</t>
    <phoneticPr fontId="4" type="noConversion"/>
  </si>
  <si>
    <t>新豐1線</t>
    <phoneticPr fontId="4" type="noConversion"/>
  </si>
  <si>
    <t>新豐1線</t>
    <phoneticPr fontId="4" type="noConversion"/>
  </si>
  <si>
    <t>新豐1線</t>
    <phoneticPr fontId="4" type="noConversion"/>
  </si>
  <si>
    <t>新豐1線</t>
    <phoneticPr fontId="4" type="noConversion"/>
  </si>
  <si>
    <t>平均</t>
    <phoneticPr fontId="4" type="noConversion"/>
  </si>
  <si>
    <t>新豐10線</t>
    <phoneticPr fontId="4" type="noConversion"/>
  </si>
  <si>
    <t>新豐10線</t>
    <phoneticPr fontId="4" type="noConversion"/>
  </si>
  <si>
    <t>新豐10線</t>
    <phoneticPr fontId="4" type="noConversion"/>
  </si>
  <si>
    <t>新豐4線</t>
    <phoneticPr fontId="4" type="noConversion"/>
  </si>
  <si>
    <t>新豐4線</t>
    <phoneticPr fontId="4" type="noConversion"/>
  </si>
  <si>
    <t>新豐4線</t>
    <phoneticPr fontId="4" type="noConversion"/>
  </si>
  <si>
    <t>新豐4線</t>
    <phoneticPr fontId="4" type="noConversion"/>
  </si>
  <si>
    <r>
      <t xml:space="preserve">屏榮 </t>
    </r>
    <r>
      <rPr>
        <b/>
        <sz val="26"/>
        <color rgb="FFFF0000"/>
        <rFont val="微軟正黑體"/>
        <family val="2"/>
        <charset val="136"/>
      </rPr>
      <t>新豐廠</t>
    </r>
    <r>
      <rPr>
        <b/>
        <sz val="26"/>
        <color theme="1"/>
        <rFont val="微軟正黑體"/>
        <family val="2"/>
        <charset val="136"/>
      </rPr>
      <t>組合室生產人時性分析</t>
    </r>
    <phoneticPr fontId="3" type="noConversion"/>
  </si>
  <si>
    <t>日期</t>
    <phoneticPr fontId="3" type="noConversion"/>
  </si>
  <si>
    <t>訂單量</t>
    <phoneticPr fontId="3" type="noConversion"/>
  </si>
  <si>
    <t>營業額</t>
    <phoneticPr fontId="3" type="noConversion"/>
  </si>
  <si>
    <t>人時性</t>
    <phoneticPr fontId="3" type="noConversion"/>
  </si>
  <si>
    <t>項目</t>
    <phoneticPr fontId="4" type="noConversion"/>
  </si>
  <si>
    <t>➀</t>
    <phoneticPr fontId="4" type="noConversion"/>
  </si>
  <si>
    <t>➁</t>
    <phoneticPr fontId="4" type="noConversion"/>
  </si>
  <si>
    <t>➂</t>
    <phoneticPr fontId="4" type="noConversion"/>
  </si>
  <si>
    <t>組合室</t>
    <phoneticPr fontId="3" type="noConversion"/>
  </si>
  <si>
    <t>全溫層</t>
    <phoneticPr fontId="3" type="noConversion"/>
  </si>
  <si>
    <t>4度C-各編組展開</t>
    <phoneticPr fontId="3" type="noConversion"/>
  </si>
  <si>
    <t>③三明治-各編組展開</t>
    <phoneticPr fontId="3" type="noConversion"/>
  </si>
  <si>
    <t>※現行日本鮮食廠以達成率80%為基本(即為現行KPI)</t>
    <phoneticPr fontId="4" type="noConversion"/>
  </si>
  <si>
    <t>溫層</t>
    <phoneticPr fontId="3" type="noConversion"/>
  </si>
  <si>
    <t>➁4度C-各編組展開</t>
    <phoneticPr fontId="3" type="noConversion"/>
  </si>
  <si>
    <t>③三明治-各編組展開</t>
    <phoneticPr fontId="4" type="noConversion"/>
  </si>
  <si>
    <t>編組</t>
    <phoneticPr fontId="3" type="noConversion"/>
  </si>
  <si>
    <t>人時性</t>
    <phoneticPr fontId="4" type="noConversion"/>
  </si>
  <si>
    <t>排關</t>
    <phoneticPr fontId="3" type="noConversion"/>
  </si>
  <si>
    <t>實績</t>
    <phoneticPr fontId="3" type="noConversion"/>
  </si>
  <si>
    <t>達成率</t>
    <phoneticPr fontId="3" type="noConversion"/>
  </si>
  <si>
    <t>作業
時間</t>
    <phoneticPr fontId="3" type="noConversion"/>
  </si>
  <si>
    <t>開始</t>
    <phoneticPr fontId="3" type="noConversion"/>
  </si>
  <si>
    <t>結束</t>
    <phoneticPr fontId="3" type="noConversion"/>
  </si>
  <si>
    <t>配置人數</t>
    <phoneticPr fontId="3" type="noConversion"/>
  </si>
  <si>
    <t>主要應用設備</t>
    <phoneticPr fontId="3" type="noConversion"/>
  </si>
  <si>
    <t>L型包裝機</t>
    <phoneticPr fontId="4" type="noConversion"/>
  </si>
  <si>
    <t>三明治包裝機</t>
    <phoneticPr fontId="4" type="noConversion"/>
  </si>
  <si>
    <t>三明治包裝機</t>
    <phoneticPr fontId="4" type="noConversion"/>
  </si>
  <si>
    <t>次要應用設備</t>
    <phoneticPr fontId="3" type="noConversion"/>
  </si>
  <si>
    <t>備註</t>
    <phoneticPr fontId="3" type="noConversion"/>
  </si>
  <si>
    <t>握沙拉</t>
    <phoneticPr fontId="4" type="noConversion"/>
  </si>
  <si>
    <t>共用L型包裝機</t>
    <phoneticPr fontId="4" type="noConversion"/>
  </si>
  <si>
    <t>調理麵包</t>
    <phoneticPr fontId="4" type="noConversion"/>
  </si>
  <si>
    <t>炒飯+沙拉</t>
    <phoneticPr fontId="4" type="noConversion"/>
  </si>
  <si>
    <t>調理麵包</t>
    <phoneticPr fontId="4" type="noConversion"/>
  </si>
  <si>
    <t xml:space="preserve">新豐廠四度C日報分析                              </t>
    <phoneticPr fontId="4" type="noConversion"/>
  </si>
  <si>
    <t>總生產量</t>
    <phoneticPr fontId="4" type="noConversion"/>
  </si>
  <si>
    <t>營業額</t>
    <phoneticPr fontId="7" type="noConversion"/>
  </si>
  <si>
    <t>出勤人數</t>
    <phoneticPr fontId="4" type="noConversion"/>
  </si>
  <si>
    <t>產線配置圖</t>
    <phoneticPr fontId="4" type="noConversion"/>
  </si>
  <si>
    <t>生產實績</t>
    <phoneticPr fontId="4" type="noConversion"/>
  </si>
  <si>
    <t>人時性差異分析</t>
    <phoneticPr fontId="4" type="noConversion"/>
  </si>
  <si>
    <t>日報登錄</t>
    <phoneticPr fontId="4" type="noConversion"/>
  </si>
  <si>
    <t>分析說明</t>
    <phoneticPr fontId="4" type="noConversion"/>
  </si>
  <si>
    <t>產能差異分析</t>
    <phoneticPr fontId="4" type="noConversion"/>
  </si>
  <si>
    <t>多次生產數</t>
    <phoneticPr fontId="4" type="noConversion"/>
  </si>
  <si>
    <t>線別</t>
    <phoneticPr fontId="3" type="noConversion"/>
  </si>
  <si>
    <t>品類</t>
    <phoneticPr fontId="4" type="noConversion"/>
  </si>
  <si>
    <t>品名</t>
    <phoneticPr fontId="3" type="noConversion"/>
  </si>
  <si>
    <t>廠價</t>
    <phoneticPr fontId="7" type="noConversion"/>
  </si>
  <si>
    <t>生產量</t>
    <phoneticPr fontId="4" type="noConversion"/>
  </si>
  <si>
    <t>營收</t>
    <phoneticPr fontId="7" type="noConversion"/>
  </si>
  <si>
    <t>多次
生產</t>
    <phoneticPr fontId="4" type="noConversion"/>
  </si>
  <si>
    <t>人數</t>
    <phoneticPr fontId="4" type="noConversion"/>
  </si>
  <si>
    <t>產能/時</t>
    <phoneticPr fontId="4" type="noConversion"/>
  </si>
  <si>
    <t>達成率</t>
    <phoneticPr fontId="4" type="noConversion"/>
  </si>
  <si>
    <t>達成率平均</t>
    <phoneticPr fontId="4" type="noConversion"/>
  </si>
  <si>
    <t>稼動時間/分</t>
    <phoneticPr fontId="4" type="noConversion"/>
  </si>
  <si>
    <t>休息時間</t>
    <phoneticPr fontId="4" type="noConversion"/>
  </si>
  <si>
    <t>(新豐回填)</t>
    <phoneticPr fontId="4" type="noConversion"/>
  </si>
  <si>
    <t>產能/時</t>
    <phoneticPr fontId="4" type="noConversion"/>
  </si>
  <si>
    <t>開始</t>
    <phoneticPr fontId="4" type="noConversion"/>
  </si>
  <si>
    <t>結束</t>
    <phoneticPr fontId="4" type="noConversion"/>
  </si>
  <si>
    <t>新豐6線</t>
    <phoneticPr fontId="4" type="noConversion"/>
  </si>
  <si>
    <t>新豐6線</t>
    <phoneticPr fontId="4" type="noConversion"/>
  </si>
  <si>
    <t>平均</t>
    <phoneticPr fontId="4" type="noConversion"/>
  </si>
  <si>
    <t>新豐2線</t>
    <phoneticPr fontId="4" type="noConversion"/>
  </si>
  <si>
    <t>新豐5線</t>
    <phoneticPr fontId="4" type="noConversion"/>
  </si>
  <si>
    <t>新豐7線</t>
    <phoneticPr fontId="4" type="noConversion"/>
  </si>
  <si>
    <t>新豐8線</t>
    <phoneticPr fontId="4" type="noConversion"/>
  </si>
  <si>
    <t>新豐9線</t>
    <phoneticPr fontId="4" type="noConversion"/>
  </si>
  <si>
    <t>新豐3線</t>
    <phoneticPr fontId="4" type="noConversion"/>
  </si>
  <si>
    <t>新豐1線</t>
    <phoneticPr fontId="4" type="noConversion"/>
  </si>
  <si>
    <t>新豐10線</t>
    <phoneticPr fontId="4" type="noConversion"/>
  </si>
  <si>
    <t>新豐4線</t>
    <phoneticPr fontId="4" type="noConversion"/>
  </si>
  <si>
    <r>
      <t xml:space="preserve">屏榮 </t>
    </r>
    <r>
      <rPr>
        <b/>
        <sz val="26"/>
        <color rgb="FFFF0000"/>
        <rFont val="微軟正黑體"/>
        <family val="2"/>
        <charset val="136"/>
      </rPr>
      <t>新豐廠</t>
    </r>
    <r>
      <rPr>
        <b/>
        <sz val="26"/>
        <color theme="1"/>
        <rFont val="微軟正黑體"/>
        <family val="2"/>
        <charset val="136"/>
      </rPr>
      <t>組合室生產人時性分析</t>
    </r>
    <phoneticPr fontId="3" type="noConversion"/>
  </si>
  <si>
    <t>日期</t>
    <phoneticPr fontId="3" type="noConversion"/>
  </si>
  <si>
    <t>訂單量</t>
    <phoneticPr fontId="3" type="noConversion"/>
  </si>
  <si>
    <t>人時性</t>
    <phoneticPr fontId="3" type="noConversion"/>
  </si>
  <si>
    <t>項目</t>
    <phoneticPr fontId="4" type="noConversion"/>
  </si>
  <si>
    <t>➀</t>
    <phoneticPr fontId="4" type="noConversion"/>
  </si>
  <si>
    <t>➁</t>
    <phoneticPr fontId="4" type="noConversion"/>
  </si>
  <si>
    <t>➂</t>
    <phoneticPr fontId="4" type="noConversion"/>
  </si>
  <si>
    <t>組合室</t>
    <phoneticPr fontId="3" type="noConversion"/>
  </si>
  <si>
    <t>全溫層</t>
    <phoneticPr fontId="3" type="noConversion"/>
  </si>
  <si>
    <t>4度C-各編組展開</t>
    <phoneticPr fontId="3" type="noConversion"/>
  </si>
  <si>
    <t>③三明治-各編組展開</t>
    <phoneticPr fontId="3" type="noConversion"/>
  </si>
  <si>
    <t>※現行日本鮮食廠以達成率80%為基本(即為現行KPI)</t>
    <phoneticPr fontId="4" type="noConversion"/>
  </si>
  <si>
    <t>溫層</t>
    <phoneticPr fontId="3" type="noConversion"/>
  </si>
  <si>
    <t>➁4度C-各編組展開</t>
    <phoneticPr fontId="3" type="noConversion"/>
  </si>
  <si>
    <t>③三明治-各編組展開</t>
    <phoneticPr fontId="4" type="noConversion"/>
  </si>
  <si>
    <t>編組</t>
    <phoneticPr fontId="3" type="noConversion"/>
  </si>
  <si>
    <t>人時性</t>
    <phoneticPr fontId="4" type="noConversion"/>
  </si>
  <si>
    <t>排關</t>
    <phoneticPr fontId="3" type="noConversion"/>
  </si>
  <si>
    <t>實績</t>
    <phoneticPr fontId="3" type="noConversion"/>
  </si>
  <si>
    <t>達成率</t>
    <phoneticPr fontId="3" type="noConversion"/>
  </si>
  <si>
    <t>作業
時間</t>
    <phoneticPr fontId="3" type="noConversion"/>
  </si>
  <si>
    <t>開始</t>
    <phoneticPr fontId="3" type="noConversion"/>
  </si>
  <si>
    <t>配置人數</t>
    <phoneticPr fontId="3" type="noConversion"/>
  </si>
  <si>
    <t>主要應用設備</t>
    <phoneticPr fontId="3" type="noConversion"/>
  </si>
  <si>
    <t>L型包裝機</t>
    <phoneticPr fontId="4" type="noConversion"/>
  </si>
  <si>
    <t>三明治包裝機</t>
    <phoneticPr fontId="4" type="noConversion"/>
  </si>
  <si>
    <t>次要應用設備</t>
    <phoneticPr fontId="3" type="noConversion"/>
  </si>
  <si>
    <t>圓盤機</t>
    <phoneticPr fontId="4" type="noConversion"/>
  </si>
  <si>
    <t>備註</t>
    <phoneticPr fontId="3" type="noConversion"/>
  </si>
  <si>
    <t>握沙拉</t>
    <phoneticPr fontId="4" type="noConversion"/>
  </si>
  <si>
    <t>共用L型包裝機</t>
    <phoneticPr fontId="4" type="noConversion"/>
  </si>
  <si>
    <t>調理麵包</t>
    <phoneticPr fontId="4" type="noConversion"/>
  </si>
  <si>
    <t xml:space="preserve">新豐廠四度C日報分析                              </t>
    <phoneticPr fontId="4" type="noConversion"/>
  </si>
  <si>
    <t>總生產量</t>
    <phoneticPr fontId="4" type="noConversion"/>
  </si>
  <si>
    <t>營業額</t>
    <phoneticPr fontId="7" type="noConversion"/>
  </si>
  <si>
    <t>出勤人數</t>
    <phoneticPr fontId="4" type="noConversion"/>
  </si>
  <si>
    <t>產線配置圖</t>
    <phoneticPr fontId="4" type="noConversion"/>
  </si>
  <si>
    <t>生產實績</t>
    <phoneticPr fontId="4" type="noConversion"/>
  </si>
  <si>
    <t>人時性差異分析</t>
    <phoneticPr fontId="4" type="noConversion"/>
  </si>
  <si>
    <t>日報登錄</t>
    <phoneticPr fontId="4" type="noConversion"/>
  </si>
  <si>
    <t>分析說明</t>
    <phoneticPr fontId="4" type="noConversion"/>
  </si>
  <si>
    <t>產能差異分析</t>
    <phoneticPr fontId="4" type="noConversion"/>
  </si>
  <si>
    <t>多次生產數</t>
    <phoneticPr fontId="4" type="noConversion"/>
  </si>
  <si>
    <t>線別</t>
    <phoneticPr fontId="3" type="noConversion"/>
  </si>
  <si>
    <t>品類</t>
    <phoneticPr fontId="4" type="noConversion"/>
  </si>
  <si>
    <t>品名</t>
    <phoneticPr fontId="3" type="noConversion"/>
  </si>
  <si>
    <t>廠價</t>
    <phoneticPr fontId="7" type="noConversion"/>
  </si>
  <si>
    <t>生產量</t>
    <phoneticPr fontId="4" type="noConversion"/>
  </si>
  <si>
    <t>營收</t>
    <phoneticPr fontId="7" type="noConversion"/>
  </si>
  <si>
    <t>多次
生產</t>
    <phoneticPr fontId="4" type="noConversion"/>
  </si>
  <si>
    <t>人數</t>
    <phoneticPr fontId="4" type="noConversion"/>
  </si>
  <si>
    <t>產能/時</t>
    <phoneticPr fontId="4" type="noConversion"/>
  </si>
  <si>
    <t>達成率</t>
    <phoneticPr fontId="4" type="noConversion"/>
  </si>
  <si>
    <t>達成率平均</t>
    <phoneticPr fontId="4" type="noConversion"/>
  </si>
  <si>
    <t>稼動時間/分</t>
    <phoneticPr fontId="4" type="noConversion"/>
  </si>
  <si>
    <t>休息時間</t>
    <phoneticPr fontId="4" type="noConversion"/>
  </si>
  <si>
    <t>(新豐回填)</t>
    <phoneticPr fontId="4" type="noConversion"/>
  </si>
  <si>
    <t>達成率</t>
    <phoneticPr fontId="4" type="noConversion"/>
  </si>
  <si>
    <t>開始</t>
    <phoneticPr fontId="4" type="noConversion"/>
  </si>
  <si>
    <t>結束</t>
    <phoneticPr fontId="4" type="noConversion"/>
  </si>
  <si>
    <t>新豐6線</t>
    <phoneticPr fontId="4" type="noConversion"/>
  </si>
  <si>
    <t>新豐6線</t>
    <phoneticPr fontId="4" type="noConversion"/>
  </si>
  <si>
    <t>平均</t>
    <phoneticPr fontId="4" type="noConversion"/>
  </si>
  <si>
    <t>新豐2線</t>
    <phoneticPr fontId="4" type="noConversion"/>
  </si>
  <si>
    <t>新豐5線</t>
    <phoneticPr fontId="4" type="noConversion"/>
  </si>
  <si>
    <t>新豐7線</t>
    <phoneticPr fontId="4" type="noConversion"/>
  </si>
  <si>
    <t>新豐8線</t>
    <phoneticPr fontId="4" type="noConversion"/>
  </si>
  <si>
    <t>新豐9線</t>
    <phoneticPr fontId="4" type="noConversion"/>
  </si>
  <si>
    <t>新豐3線</t>
    <phoneticPr fontId="4" type="noConversion"/>
  </si>
  <si>
    <t>新豐1線</t>
    <phoneticPr fontId="4" type="noConversion"/>
  </si>
  <si>
    <t>新豐10線</t>
    <phoneticPr fontId="4" type="noConversion"/>
  </si>
  <si>
    <t>新豐4線</t>
    <phoneticPr fontId="4" type="noConversion"/>
  </si>
  <si>
    <r>
      <t xml:space="preserve">屏榮 </t>
    </r>
    <r>
      <rPr>
        <b/>
        <sz val="26"/>
        <color rgb="FFFF0000"/>
        <rFont val="微軟正黑體"/>
        <family val="2"/>
        <charset val="136"/>
      </rPr>
      <t>新豐廠</t>
    </r>
    <r>
      <rPr>
        <b/>
        <sz val="26"/>
        <color theme="1"/>
        <rFont val="微軟正黑體"/>
        <family val="2"/>
        <charset val="136"/>
      </rPr>
      <t>組合室生產人時性分析</t>
    </r>
    <phoneticPr fontId="3" type="noConversion"/>
  </si>
  <si>
    <t>日期</t>
    <phoneticPr fontId="3" type="noConversion"/>
  </si>
  <si>
    <t>訂單量</t>
    <phoneticPr fontId="3" type="noConversion"/>
  </si>
  <si>
    <t>人時性</t>
    <phoneticPr fontId="3" type="noConversion"/>
  </si>
  <si>
    <t>項目</t>
    <phoneticPr fontId="4" type="noConversion"/>
  </si>
  <si>
    <t>➀</t>
    <phoneticPr fontId="4" type="noConversion"/>
  </si>
  <si>
    <t>➁</t>
    <phoneticPr fontId="4" type="noConversion"/>
  </si>
  <si>
    <t>組合室</t>
    <phoneticPr fontId="3" type="noConversion"/>
  </si>
  <si>
    <t>全溫層</t>
    <phoneticPr fontId="3" type="noConversion"/>
  </si>
  <si>
    <t>4度C-各編組展開</t>
    <phoneticPr fontId="3" type="noConversion"/>
  </si>
  <si>
    <t>③三明治-各編組展開</t>
    <phoneticPr fontId="3" type="noConversion"/>
  </si>
  <si>
    <t>※現行日本鮮食廠以達成率80%為基本(即為現行KPI)</t>
    <phoneticPr fontId="4" type="noConversion"/>
  </si>
  <si>
    <t>溫層</t>
    <phoneticPr fontId="3" type="noConversion"/>
  </si>
  <si>
    <t>➁4度C-各編組展開</t>
    <phoneticPr fontId="3" type="noConversion"/>
  </si>
  <si>
    <t>編組</t>
    <phoneticPr fontId="3" type="noConversion"/>
  </si>
  <si>
    <t>人時性</t>
    <phoneticPr fontId="4" type="noConversion"/>
  </si>
  <si>
    <t>排關</t>
    <phoneticPr fontId="3" type="noConversion"/>
  </si>
  <si>
    <t>實績</t>
    <phoneticPr fontId="3" type="noConversion"/>
  </si>
  <si>
    <t>作業
時間</t>
    <phoneticPr fontId="3" type="noConversion"/>
  </si>
  <si>
    <t>開始</t>
    <phoneticPr fontId="3" type="noConversion"/>
  </si>
  <si>
    <t>結束</t>
    <phoneticPr fontId="3" type="noConversion"/>
  </si>
  <si>
    <t>L型包裝機</t>
    <phoneticPr fontId="4" type="noConversion"/>
  </si>
  <si>
    <t>三明治包裝機</t>
    <phoneticPr fontId="4" type="noConversion"/>
  </si>
  <si>
    <t>次要應用設備</t>
    <phoneticPr fontId="3" type="noConversion"/>
  </si>
  <si>
    <t>圓盤機</t>
    <phoneticPr fontId="4" type="noConversion"/>
  </si>
  <si>
    <t>握沙拉</t>
    <phoneticPr fontId="4" type="noConversion"/>
  </si>
  <si>
    <t>共用L型包裝機</t>
    <phoneticPr fontId="4" type="noConversion"/>
  </si>
  <si>
    <t>調理麵包</t>
    <phoneticPr fontId="4" type="noConversion"/>
  </si>
  <si>
    <t>炒飯+沙拉</t>
    <phoneticPr fontId="4" type="noConversion"/>
  </si>
  <si>
    <t xml:space="preserve">新豐廠四度C日報分析                              </t>
    <phoneticPr fontId="4" type="noConversion"/>
  </si>
  <si>
    <t>總生產量</t>
    <phoneticPr fontId="4" type="noConversion"/>
  </si>
  <si>
    <t>營業額</t>
    <phoneticPr fontId="7" type="noConversion"/>
  </si>
  <si>
    <t>產線配置圖</t>
    <phoneticPr fontId="4" type="noConversion"/>
  </si>
  <si>
    <t>生產實績</t>
    <phoneticPr fontId="4" type="noConversion"/>
  </si>
  <si>
    <t>人時性差異分析</t>
    <phoneticPr fontId="4" type="noConversion"/>
  </si>
  <si>
    <t>日報登錄</t>
    <phoneticPr fontId="4" type="noConversion"/>
  </si>
  <si>
    <t>分析說明</t>
    <phoneticPr fontId="4" type="noConversion"/>
  </si>
  <si>
    <t>產能差異分析</t>
    <phoneticPr fontId="4" type="noConversion"/>
  </si>
  <si>
    <t>品類</t>
    <phoneticPr fontId="4" type="noConversion"/>
  </si>
  <si>
    <t>品名</t>
    <phoneticPr fontId="3" type="noConversion"/>
  </si>
  <si>
    <t>廠價</t>
    <phoneticPr fontId="7" type="noConversion"/>
  </si>
  <si>
    <t>生產量</t>
    <phoneticPr fontId="4" type="noConversion"/>
  </si>
  <si>
    <t>營收</t>
    <phoneticPr fontId="7" type="noConversion"/>
  </si>
  <si>
    <t>多次
生產</t>
    <phoneticPr fontId="4" type="noConversion"/>
  </si>
  <si>
    <t>產能/時</t>
    <phoneticPr fontId="4" type="noConversion"/>
  </si>
  <si>
    <t>人時性</t>
    <phoneticPr fontId="4" type="noConversion"/>
  </si>
  <si>
    <t>人數</t>
    <phoneticPr fontId="4" type="noConversion"/>
  </si>
  <si>
    <t>產能/時</t>
    <phoneticPr fontId="4" type="noConversion"/>
  </si>
  <si>
    <t>人數</t>
    <phoneticPr fontId="4" type="noConversion"/>
  </si>
  <si>
    <t>達成率</t>
    <phoneticPr fontId="4" type="noConversion"/>
  </si>
  <si>
    <t>稼動時間/分</t>
    <phoneticPr fontId="4" type="noConversion"/>
  </si>
  <si>
    <t>休息時間</t>
    <phoneticPr fontId="4" type="noConversion"/>
  </si>
  <si>
    <t>(新豐回填)</t>
    <phoneticPr fontId="4" type="noConversion"/>
  </si>
  <si>
    <t>達成率</t>
    <phoneticPr fontId="4" type="noConversion"/>
  </si>
  <si>
    <t>達成率平均</t>
    <phoneticPr fontId="4" type="noConversion"/>
  </si>
  <si>
    <t>開始</t>
    <phoneticPr fontId="4" type="noConversion"/>
  </si>
  <si>
    <t>結束</t>
    <phoneticPr fontId="4" type="noConversion"/>
  </si>
  <si>
    <t>新豐6線</t>
    <phoneticPr fontId="4" type="noConversion"/>
  </si>
  <si>
    <t>項目</t>
    <phoneticPr fontId="4" type="noConversion"/>
  </si>
  <si>
    <t>組合室</t>
    <phoneticPr fontId="3" type="noConversion"/>
  </si>
  <si>
    <t>4度C-各編組展開</t>
    <phoneticPr fontId="3" type="noConversion"/>
  </si>
  <si>
    <t>排關</t>
    <phoneticPr fontId="3" type="noConversion"/>
  </si>
  <si>
    <t>實績</t>
    <phoneticPr fontId="3" type="noConversion"/>
  </si>
  <si>
    <t>達成率</t>
    <phoneticPr fontId="3" type="noConversion"/>
  </si>
  <si>
    <t>開始</t>
    <phoneticPr fontId="3" type="noConversion"/>
  </si>
  <si>
    <t>主要應用設備</t>
    <phoneticPr fontId="3" type="noConversion"/>
  </si>
  <si>
    <t>三明治包裝機</t>
    <phoneticPr fontId="4" type="noConversion"/>
  </si>
  <si>
    <t>三明治包裝機</t>
    <phoneticPr fontId="4" type="noConversion"/>
  </si>
  <si>
    <t>調理麵包</t>
    <phoneticPr fontId="4" type="noConversion"/>
  </si>
  <si>
    <t>出勤人數</t>
    <phoneticPr fontId="4" type="noConversion"/>
  </si>
  <si>
    <t>產線配置圖</t>
    <phoneticPr fontId="4" type="noConversion"/>
  </si>
  <si>
    <t>人時性差異分析</t>
    <phoneticPr fontId="4" type="noConversion"/>
  </si>
  <si>
    <t>多次生產數</t>
    <phoneticPr fontId="4" type="noConversion"/>
  </si>
  <si>
    <t>多次
生產</t>
    <phoneticPr fontId="4" type="noConversion"/>
  </si>
  <si>
    <t>人時性</t>
    <phoneticPr fontId="4" type="noConversion"/>
  </si>
  <si>
    <t>人數</t>
    <phoneticPr fontId="4" type="noConversion"/>
  </si>
  <si>
    <t>人數</t>
    <phoneticPr fontId="4" type="noConversion"/>
  </si>
  <si>
    <t>達成率</t>
    <phoneticPr fontId="4" type="noConversion"/>
  </si>
  <si>
    <t>達成率平均</t>
    <phoneticPr fontId="4" type="noConversion"/>
  </si>
  <si>
    <t>結束</t>
    <phoneticPr fontId="4" type="noConversion"/>
  </si>
  <si>
    <t>新豐6線</t>
    <phoneticPr fontId="4" type="noConversion"/>
  </si>
  <si>
    <t>新豐2線</t>
    <phoneticPr fontId="4" type="noConversion"/>
  </si>
  <si>
    <t>平均</t>
    <phoneticPr fontId="4" type="noConversion"/>
  </si>
  <si>
    <t>新豐7線</t>
    <phoneticPr fontId="4" type="noConversion"/>
  </si>
  <si>
    <t>新豐8線</t>
    <phoneticPr fontId="4" type="noConversion"/>
  </si>
  <si>
    <t>新豐9線</t>
    <phoneticPr fontId="4" type="noConversion"/>
  </si>
  <si>
    <t>新豐3線</t>
    <phoneticPr fontId="4" type="noConversion"/>
  </si>
  <si>
    <t>平均</t>
    <phoneticPr fontId="4" type="noConversion"/>
  </si>
  <si>
    <t>新豐4線</t>
    <phoneticPr fontId="4" type="noConversion"/>
  </si>
  <si>
    <t>新豐4線</t>
    <phoneticPr fontId="4" type="noConversion"/>
  </si>
  <si>
    <t>新豐4線</t>
    <phoneticPr fontId="4" type="noConversion"/>
  </si>
  <si>
    <t>平均</t>
    <phoneticPr fontId="4" type="noConversion"/>
  </si>
  <si>
    <r>
      <t xml:space="preserve">屏榮 </t>
    </r>
    <r>
      <rPr>
        <b/>
        <sz val="26"/>
        <color rgb="FFFF0000"/>
        <rFont val="微軟正黑體"/>
        <family val="2"/>
        <charset val="136"/>
      </rPr>
      <t>新豐廠</t>
    </r>
    <r>
      <rPr>
        <b/>
        <sz val="26"/>
        <color theme="1"/>
        <rFont val="微軟正黑體"/>
        <family val="2"/>
        <charset val="136"/>
      </rPr>
      <t>組合室生產人時性分析</t>
    </r>
    <phoneticPr fontId="3" type="noConversion"/>
  </si>
  <si>
    <t>營業額</t>
    <phoneticPr fontId="3" type="noConversion"/>
  </si>
  <si>
    <t>人時性</t>
    <phoneticPr fontId="3" type="noConversion"/>
  </si>
  <si>
    <t>➁</t>
    <phoneticPr fontId="4" type="noConversion"/>
  </si>
  <si>
    <t>組合室</t>
    <phoneticPr fontId="3" type="noConversion"/>
  </si>
  <si>
    <t>③三明治-各編組展開</t>
    <phoneticPr fontId="4" type="noConversion"/>
  </si>
  <si>
    <t>L型包裝機</t>
    <phoneticPr fontId="4" type="noConversion"/>
  </si>
  <si>
    <t>三明治包裝機</t>
    <phoneticPr fontId="4" type="noConversion"/>
  </si>
  <si>
    <t>次要應用設備</t>
    <phoneticPr fontId="3" type="noConversion"/>
  </si>
  <si>
    <t>調理麵包</t>
    <phoneticPr fontId="4" type="noConversion"/>
  </si>
  <si>
    <t xml:space="preserve">新豐廠四度C日報分析                              </t>
    <phoneticPr fontId="4" type="noConversion"/>
  </si>
  <si>
    <t>總生產量</t>
    <phoneticPr fontId="4" type="noConversion"/>
  </si>
  <si>
    <t>營業額</t>
    <phoneticPr fontId="7" type="noConversion"/>
  </si>
  <si>
    <t>出勤人數</t>
    <phoneticPr fontId="4" type="noConversion"/>
  </si>
  <si>
    <t>產線配置圖</t>
    <phoneticPr fontId="4" type="noConversion"/>
  </si>
  <si>
    <t>生產實績</t>
    <phoneticPr fontId="4" type="noConversion"/>
  </si>
  <si>
    <t>人時性差異分析</t>
    <phoneticPr fontId="4" type="noConversion"/>
  </si>
  <si>
    <t>日報登錄</t>
    <phoneticPr fontId="4" type="noConversion"/>
  </si>
  <si>
    <t>分析說明</t>
    <phoneticPr fontId="4" type="noConversion"/>
  </si>
  <si>
    <t>產能差異分析</t>
    <phoneticPr fontId="4" type="noConversion"/>
  </si>
  <si>
    <t>人時性</t>
    <phoneticPr fontId="4" type="noConversion"/>
  </si>
  <si>
    <t>多次生產數</t>
    <phoneticPr fontId="4" type="noConversion"/>
  </si>
  <si>
    <t>線別</t>
    <phoneticPr fontId="3" type="noConversion"/>
  </si>
  <si>
    <t>品類</t>
    <phoneticPr fontId="4" type="noConversion"/>
  </si>
  <si>
    <t>品名</t>
    <phoneticPr fontId="3" type="noConversion"/>
  </si>
  <si>
    <t>廠價</t>
    <phoneticPr fontId="7" type="noConversion"/>
  </si>
  <si>
    <t>生產量</t>
    <phoneticPr fontId="4" type="noConversion"/>
  </si>
  <si>
    <t>營收</t>
    <phoneticPr fontId="7" type="noConversion"/>
  </si>
  <si>
    <t>人數</t>
    <phoneticPr fontId="4" type="noConversion"/>
  </si>
  <si>
    <t>產能/時</t>
    <phoneticPr fontId="4" type="noConversion"/>
  </si>
  <si>
    <t>達成率</t>
    <phoneticPr fontId="4" type="noConversion"/>
  </si>
  <si>
    <t>達成率平均</t>
    <phoneticPr fontId="4" type="noConversion"/>
  </si>
  <si>
    <t>稼動時間/分</t>
    <phoneticPr fontId="4" type="noConversion"/>
  </si>
  <si>
    <t>休息時間</t>
    <phoneticPr fontId="4" type="noConversion"/>
  </si>
  <si>
    <t>(新豐回填)</t>
    <phoneticPr fontId="4" type="noConversion"/>
  </si>
  <si>
    <t>開始</t>
    <phoneticPr fontId="4" type="noConversion"/>
  </si>
  <si>
    <t>結束</t>
    <phoneticPr fontId="4" type="noConversion"/>
  </si>
  <si>
    <t>新豐6線</t>
    <phoneticPr fontId="4" type="noConversion"/>
  </si>
  <si>
    <t>新豐6線</t>
    <phoneticPr fontId="4" type="noConversion"/>
  </si>
  <si>
    <t>平均</t>
    <phoneticPr fontId="4" type="noConversion"/>
  </si>
  <si>
    <t>新豐2線</t>
    <phoneticPr fontId="4" type="noConversion"/>
  </si>
  <si>
    <t>新豐5線</t>
    <phoneticPr fontId="4" type="noConversion"/>
  </si>
  <si>
    <t>新豐7線</t>
    <phoneticPr fontId="4" type="noConversion"/>
  </si>
  <si>
    <t>新豐8線</t>
    <phoneticPr fontId="4" type="noConversion"/>
  </si>
  <si>
    <t>新豐9線</t>
    <phoneticPr fontId="4" type="noConversion"/>
  </si>
  <si>
    <t>新豐3線</t>
    <phoneticPr fontId="4" type="noConversion"/>
  </si>
  <si>
    <t>新豐1線</t>
    <phoneticPr fontId="4" type="noConversion"/>
  </si>
  <si>
    <t>新豐10線</t>
    <phoneticPr fontId="4" type="noConversion"/>
  </si>
  <si>
    <t>新豐4線</t>
    <phoneticPr fontId="4" type="noConversion"/>
  </si>
  <si>
    <t>焗烤明太子筆尖麵</t>
  </si>
  <si>
    <r>
      <t xml:space="preserve">屏榮 </t>
    </r>
    <r>
      <rPr>
        <b/>
        <sz val="26"/>
        <color rgb="FFFF0000"/>
        <rFont val="微軟正黑體"/>
        <family val="2"/>
        <charset val="136"/>
      </rPr>
      <t>新豐廠</t>
    </r>
    <r>
      <rPr>
        <b/>
        <sz val="26"/>
        <color theme="1"/>
        <rFont val="微軟正黑體"/>
        <family val="2"/>
        <charset val="136"/>
      </rPr>
      <t>組合室生產人時性分析</t>
    </r>
    <phoneticPr fontId="3" type="noConversion"/>
  </si>
  <si>
    <t>日期</t>
    <phoneticPr fontId="3" type="noConversion"/>
  </si>
  <si>
    <t>訂單量</t>
    <phoneticPr fontId="3" type="noConversion"/>
  </si>
  <si>
    <t>營業額</t>
    <phoneticPr fontId="3" type="noConversion"/>
  </si>
  <si>
    <t>人時性</t>
    <phoneticPr fontId="3" type="noConversion"/>
  </si>
  <si>
    <t>項目</t>
    <phoneticPr fontId="4" type="noConversion"/>
  </si>
  <si>
    <t>➀</t>
    <phoneticPr fontId="4" type="noConversion"/>
  </si>
  <si>
    <t>➁</t>
    <phoneticPr fontId="4" type="noConversion"/>
  </si>
  <si>
    <t>➂</t>
    <phoneticPr fontId="4" type="noConversion"/>
  </si>
  <si>
    <t>組合室</t>
    <phoneticPr fontId="3" type="noConversion"/>
  </si>
  <si>
    <t>全溫層</t>
    <phoneticPr fontId="3" type="noConversion"/>
  </si>
  <si>
    <t>4度C-各編組展開</t>
    <phoneticPr fontId="3" type="noConversion"/>
  </si>
  <si>
    <t>③三明治-各編組展開</t>
    <phoneticPr fontId="3" type="noConversion"/>
  </si>
  <si>
    <t>※現行日本鮮食廠以達成率80%為基本(即為現行KPI)</t>
    <phoneticPr fontId="4" type="noConversion"/>
  </si>
  <si>
    <t>溫層</t>
    <phoneticPr fontId="3" type="noConversion"/>
  </si>
  <si>
    <t>➁4度C-各編組展開</t>
    <phoneticPr fontId="3" type="noConversion"/>
  </si>
  <si>
    <t>③三明治-各編組展開</t>
    <phoneticPr fontId="4" type="noConversion"/>
  </si>
  <si>
    <t>編組</t>
    <phoneticPr fontId="3" type="noConversion"/>
  </si>
  <si>
    <t>人時性</t>
    <phoneticPr fontId="4" type="noConversion"/>
  </si>
  <si>
    <t>排關</t>
    <phoneticPr fontId="3" type="noConversion"/>
  </si>
  <si>
    <t>實績</t>
    <phoneticPr fontId="3" type="noConversion"/>
  </si>
  <si>
    <t>達成率</t>
    <phoneticPr fontId="3" type="noConversion"/>
  </si>
  <si>
    <t>作業
時間</t>
    <phoneticPr fontId="3" type="noConversion"/>
  </si>
  <si>
    <t>開始</t>
    <phoneticPr fontId="3" type="noConversion"/>
  </si>
  <si>
    <t>結束</t>
    <phoneticPr fontId="3" type="noConversion"/>
  </si>
  <si>
    <t>配置人數</t>
    <phoneticPr fontId="3" type="noConversion"/>
  </si>
  <si>
    <t>主要應用設備</t>
    <phoneticPr fontId="3" type="noConversion"/>
  </si>
  <si>
    <t>L型包裝機</t>
    <phoneticPr fontId="4" type="noConversion"/>
  </si>
  <si>
    <t>L型包裝機</t>
    <phoneticPr fontId="4" type="noConversion"/>
  </si>
  <si>
    <t>三明治包裝機</t>
    <phoneticPr fontId="4" type="noConversion"/>
  </si>
  <si>
    <t>次要應用設備</t>
    <phoneticPr fontId="3" type="noConversion"/>
  </si>
  <si>
    <t>圓盤機</t>
    <phoneticPr fontId="4" type="noConversion"/>
  </si>
  <si>
    <t>備註</t>
    <phoneticPr fontId="3" type="noConversion"/>
  </si>
  <si>
    <t>共用L型包裝機</t>
    <phoneticPr fontId="4" type="noConversion"/>
  </si>
  <si>
    <t>調理麵包</t>
    <phoneticPr fontId="4" type="noConversion"/>
  </si>
  <si>
    <t>炒飯+沙拉</t>
    <phoneticPr fontId="4" type="noConversion"/>
  </si>
  <si>
    <t xml:space="preserve">新豐廠四度C日報分析                              </t>
    <phoneticPr fontId="4" type="noConversion"/>
  </si>
  <si>
    <t>總生產量</t>
    <phoneticPr fontId="4" type="noConversion"/>
  </si>
  <si>
    <t>營業額</t>
    <phoneticPr fontId="7" type="noConversion"/>
  </si>
  <si>
    <t>出勤人數</t>
    <phoneticPr fontId="4" type="noConversion"/>
  </si>
  <si>
    <t>產線配置圖</t>
    <phoneticPr fontId="4" type="noConversion"/>
  </si>
  <si>
    <t>生產實績</t>
    <phoneticPr fontId="4" type="noConversion"/>
  </si>
  <si>
    <t>人時性差異分析</t>
    <phoneticPr fontId="4" type="noConversion"/>
  </si>
  <si>
    <t>日報登錄</t>
    <phoneticPr fontId="4" type="noConversion"/>
  </si>
  <si>
    <t>分析說明</t>
    <phoneticPr fontId="4" type="noConversion"/>
  </si>
  <si>
    <t>產能差異分析</t>
    <phoneticPr fontId="4" type="noConversion"/>
  </si>
  <si>
    <t>人時性</t>
    <phoneticPr fontId="4" type="noConversion"/>
  </si>
  <si>
    <t>線別</t>
    <phoneticPr fontId="3" type="noConversion"/>
  </si>
  <si>
    <t>品類</t>
    <phoneticPr fontId="4" type="noConversion"/>
  </si>
  <si>
    <t>品名</t>
    <phoneticPr fontId="3" type="noConversion"/>
  </si>
  <si>
    <t>廠價</t>
    <phoneticPr fontId="7" type="noConversion"/>
  </si>
  <si>
    <t>生產量</t>
    <phoneticPr fontId="4" type="noConversion"/>
  </si>
  <si>
    <t>營收</t>
    <phoneticPr fontId="7" type="noConversion"/>
  </si>
  <si>
    <t>人數</t>
    <phoneticPr fontId="4" type="noConversion"/>
  </si>
  <si>
    <t>產能/時</t>
    <phoneticPr fontId="4" type="noConversion"/>
  </si>
  <si>
    <t>達成率平均</t>
    <phoneticPr fontId="4" type="noConversion"/>
  </si>
  <si>
    <t>稼動時間/分</t>
    <phoneticPr fontId="4" type="noConversion"/>
  </si>
  <si>
    <t>休息時間</t>
    <phoneticPr fontId="4" type="noConversion"/>
  </si>
  <si>
    <t>(新豐回填)</t>
    <phoneticPr fontId="4" type="noConversion"/>
  </si>
  <si>
    <t>產能/時</t>
    <phoneticPr fontId="4" type="noConversion"/>
  </si>
  <si>
    <t>達成率</t>
    <phoneticPr fontId="4" type="noConversion"/>
  </si>
  <si>
    <t>達成率平均</t>
    <phoneticPr fontId="4" type="noConversion"/>
  </si>
  <si>
    <t>開始</t>
    <phoneticPr fontId="4" type="noConversion"/>
  </si>
  <si>
    <t>結束</t>
    <phoneticPr fontId="4" type="noConversion"/>
  </si>
  <si>
    <t>新豐6線</t>
    <phoneticPr fontId="4" type="noConversion"/>
  </si>
  <si>
    <t>新豐6線</t>
    <phoneticPr fontId="4" type="noConversion"/>
  </si>
  <si>
    <t>新豐4線</t>
    <phoneticPr fontId="4" type="noConversion"/>
  </si>
  <si>
    <t>熱食義麵</t>
    <phoneticPr fontId="3" type="noConversion"/>
  </si>
  <si>
    <r>
      <t xml:space="preserve">屏榮 </t>
    </r>
    <r>
      <rPr>
        <b/>
        <sz val="26"/>
        <color rgb="FFFF0000"/>
        <rFont val="微軟正黑體"/>
        <family val="2"/>
        <charset val="136"/>
      </rPr>
      <t>新豐廠</t>
    </r>
    <r>
      <rPr>
        <b/>
        <sz val="26"/>
        <color theme="1"/>
        <rFont val="微軟正黑體"/>
        <family val="2"/>
        <charset val="136"/>
      </rPr>
      <t>組合室生產人時性分析</t>
    </r>
    <phoneticPr fontId="3" type="noConversion"/>
  </si>
  <si>
    <t>日期</t>
    <phoneticPr fontId="3" type="noConversion"/>
  </si>
  <si>
    <t>訂單量</t>
    <phoneticPr fontId="3" type="noConversion"/>
  </si>
  <si>
    <t>營業額</t>
    <phoneticPr fontId="3" type="noConversion"/>
  </si>
  <si>
    <t>人時性</t>
    <phoneticPr fontId="3" type="noConversion"/>
  </si>
  <si>
    <t>➀</t>
    <phoneticPr fontId="4" type="noConversion"/>
  </si>
  <si>
    <t>➁</t>
    <phoneticPr fontId="4" type="noConversion"/>
  </si>
  <si>
    <t>➂</t>
    <phoneticPr fontId="4" type="noConversion"/>
  </si>
  <si>
    <t>組合室</t>
    <phoneticPr fontId="3" type="noConversion"/>
  </si>
  <si>
    <t>4度C-各編組展開</t>
    <phoneticPr fontId="3" type="noConversion"/>
  </si>
  <si>
    <t>③三明治-各編組展開</t>
    <phoneticPr fontId="3" type="noConversion"/>
  </si>
  <si>
    <t>※現行日本鮮食廠以達成率80%為基本(即為現行KPI)</t>
    <phoneticPr fontId="4" type="noConversion"/>
  </si>
  <si>
    <t>➁4度C-各編組展開</t>
    <phoneticPr fontId="3" type="noConversion"/>
  </si>
  <si>
    <t>③三明治-各編組展開</t>
    <phoneticPr fontId="4" type="noConversion"/>
  </si>
  <si>
    <t>編組</t>
    <phoneticPr fontId="3" type="noConversion"/>
  </si>
  <si>
    <t>人時性</t>
    <phoneticPr fontId="4" type="noConversion"/>
  </si>
  <si>
    <t>排關</t>
    <phoneticPr fontId="3" type="noConversion"/>
  </si>
  <si>
    <t>實績</t>
    <phoneticPr fontId="3" type="noConversion"/>
  </si>
  <si>
    <t>作業
時間</t>
    <phoneticPr fontId="3" type="noConversion"/>
  </si>
  <si>
    <t>開始</t>
    <phoneticPr fontId="3" type="noConversion"/>
  </si>
  <si>
    <t>結束</t>
    <phoneticPr fontId="3" type="noConversion"/>
  </si>
  <si>
    <t>配置人數</t>
    <phoneticPr fontId="3" type="noConversion"/>
  </si>
  <si>
    <t>主要應用設備</t>
    <phoneticPr fontId="3" type="noConversion"/>
  </si>
  <si>
    <t>L型包裝機</t>
    <phoneticPr fontId="4" type="noConversion"/>
  </si>
  <si>
    <t>三明治包裝機</t>
    <phoneticPr fontId="4" type="noConversion"/>
  </si>
  <si>
    <t>三明治包裝機</t>
    <phoneticPr fontId="4" type="noConversion"/>
  </si>
  <si>
    <t>三明治包裝機</t>
    <phoneticPr fontId="4" type="noConversion"/>
  </si>
  <si>
    <t>次要應用設備</t>
    <phoneticPr fontId="3" type="noConversion"/>
  </si>
  <si>
    <t>圓盤機</t>
    <phoneticPr fontId="4" type="noConversion"/>
  </si>
  <si>
    <t>備註</t>
    <phoneticPr fontId="3" type="noConversion"/>
  </si>
  <si>
    <t>握沙拉</t>
    <phoneticPr fontId="4" type="noConversion"/>
  </si>
  <si>
    <t>共用L型包裝機</t>
    <phoneticPr fontId="4" type="noConversion"/>
  </si>
  <si>
    <t>調理麵包</t>
    <phoneticPr fontId="4" type="noConversion"/>
  </si>
  <si>
    <t>炒飯+沙拉</t>
    <phoneticPr fontId="4" type="noConversion"/>
  </si>
  <si>
    <t>調理麵包</t>
    <phoneticPr fontId="4" type="noConversion"/>
  </si>
  <si>
    <t xml:space="preserve">新豐廠四度C日報分析                              </t>
    <phoneticPr fontId="4" type="noConversion"/>
  </si>
  <si>
    <t>總生產量</t>
    <phoneticPr fontId="4" type="noConversion"/>
  </si>
  <si>
    <t>營業額</t>
    <phoneticPr fontId="7" type="noConversion"/>
  </si>
  <si>
    <t>出勤人數</t>
    <phoneticPr fontId="4" type="noConversion"/>
  </si>
  <si>
    <t>產線配置圖</t>
    <phoneticPr fontId="4" type="noConversion"/>
  </si>
  <si>
    <t>生產實績</t>
    <phoneticPr fontId="4" type="noConversion"/>
  </si>
  <si>
    <t>人時性差異分析</t>
    <phoneticPr fontId="4" type="noConversion"/>
  </si>
  <si>
    <t>日報登錄</t>
    <phoneticPr fontId="4" type="noConversion"/>
  </si>
  <si>
    <t>分析說明</t>
    <phoneticPr fontId="4" type="noConversion"/>
  </si>
  <si>
    <t>產能差異分析</t>
    <phoneticPr fontId="4" type="noConversion"/>
  </si>
  <si>
    <t>人時性</t>
    <phoneticPr fontId="4" type="noConversion"/>
  </si>
  <si>
    <t>多次生產數</t>
    <phoneticPr fontId="4" type="noConversion"/>
  </si>
  <si>
    <t>線別</t>
    <phoneticPr fontId="3" type="noConversion"/>
  </si>
  <si>
    <t>品類</t>
    <phoneticPr fontId="4" type="noConversion"/>
  </si>
  <si>
    <t>品名</t>
    <phoneticPr fontId="3" type="noConversion"/>
  </si>
  <si>
    <t>廠價</t>
    <phoneticPr fontId="7" type="noConversion"/>
  </si>
  <si>
    <t>生產量</t>
    <phoneticPr fontId="4" type="noConversion"/>
  </si>
  <si>
    <t>營收</t>
    <phoneticPr fontId="7" type="noConversion"/>
  </si>
  <si>
    <t>多次
生產</t>
    <phoneticPr fontId="4" type="noConversion"/>
  </si>
  <si>
    <t>人數</t>
    <phoneticPr fontId="4" type="noConversion"/>
  </si>
  <si>
    <t>產能/時</t>
    <phoneticPr fontId="4" type="noConversion"/>
  </si>
  <si>
    <t>達成率</t>
    <phoneticPr fontId="4" type="noConversion"/>
  </si>
  <si>
    <t>達成率平均</t>
    <phoneticPr fontId="4" type="noConversion"/>
  </si>
  <si>
    <t>稼動時間/分</t>
    <phoneticPr fontId="4" type="noConversion"/>
  </si>
  <si>
    <t>休息時間</t>
    <phoneticPr fontId="4" type="noConversion"/>
  </si>
  <si>
    <t>(新豐回填)</t>
    <phoneticPr fontId="4" type="noConversion"/>
  </si>
  <si>
    <t>達成率</t>
    <phoneticPr fontId="4" type="noConversion"/>
  </si>
  <si>
    <t>開始</t>
    <phoneticPr fontId="4" type="noConversion"/>
  </si>
  <si>
    <t>結束</t>
    <phoneticPr fontId="4" type="noConversion"/>
  </si>
  <si>
    <t>新豐6線</t>
    <phoneticPr fontId="4" type="noConversion"/>
  </si>
  <si>
    <t>新豐6線</t>
    <phoneticPr fontId="4" type="noConversion"/>
  </si>
  <si>
    <t>平均</t>
    <phoneticPr fontId="4" type="noConversion"/>
  </si>
  <si>
    <t>新豐2線</t>
    <phoneticPr fontId="4" type="noConversion"/>
  </si>
  <si>
    <t>新豐2線</t>
    <phoneticPr fontId="4" type="noConversion"/>
  </si>
  <si>
    <t>新豐2線</t>
    <phoneticPr fontId="4" type="noConversion"/>
  </si>
  <si>
    <t>平均</t>
    <phoneticPr fontId="4" type="noConversion"/>
  </si>
  <si>
    <t>新豐5線</t>
    <phoneticPr fontId="4" type="noConversion"/>
  </si>
  <si>
    <t>熱食義麵</t>
  </si>
  <si>
    <t>新豐7線</t>
    <phoneticPr fontId="4" type="noConversion"/>
  </si>
  <si>
    <t>新豐7線</t>
    <phoneticPr fontId="4" type="noConversion"/>
  </si>
  <si>
    <t>新豐8線</t>
    <phoneticPr fontId="4" type="noConversion"/>
  </si>
  <si>
    <t>新豐8線</t>
    <phoneticPr fontId="4" type="noConversion"/>
  </si>
  <si>
    <t>新豐9線</t>
    <phoneticPr fontId="4" type="noConversion"/>
  </si>
  <si>
    <t>新豐9線</t>
    <phoneticPr fontId="4" type="noConversion"/>
  </si>
  <si>
    <t>新豐3線</t>
    <phoneticPr fontId="4" type="noConversion"/>
  </si>
  <si>
    <t>新豐1線</t>
    <phoneticPr fontId="4" type="noConversion"/>
  </si>
  <si>
    <t>新豐10線</t>
    <phoneticPr fontId="4" type="noConversion"/>
  </si>
  <si>
    <t>新豐10線</t>
    <phoneticPr fontId="4" type="noConversion"/>
  </si>
  <si>
    <t>新豐4線</t>
    <phoneticPr fontId="4" type="noConversion"/>
  </si>
  <si>
    <t>平均</t>
    <phoneticPr fontId="4" type="noConversion"/>
  </si>
  <si>
    <r>
      <t xml:space="preserve">屏榮 </t>
    </r>
    <r>
      <rPr>
        <b/>
        <sz val="26"/>
        <color rgb="FFFF0000"/>
        <rFont val="微軟正黑體"/>
        <family val="2"/>
        <charset val="136"/>
      </rPr>
      <t>新豐廠</t>
    </r>
    <r>
      <rPr>
        <b/>
        <sz val="26"/>
        <color theme="1"/>
        <rFont val="微軟正黑體"/>
        <family val="2"/>
        <charset val="136"/>
      </rPr>
      <t>組合室生產人時性分析</t>
    </r>
    <phoneticPr fontId="3" type="noConversion"/>
  </si>
  <si>
    <t>訂單量</t>
    <phoneticPr fontId="3" type="noConversion"/>
  </si>
  <si>
    <t>營業額</t>
    <phoneticPr fontId="3" type="noConversion"/>
  </si>
  <si>
    <t>人時性</t>
    <phoneticPr fontId="3" type="noConversion"/>
  </si>
  <si>
    <t>項目</t>
    <phoneticPr fontId="4" type="noConversion"/>
  </si>
  <si>
    <t>➀</t>
    <phoneticPr fontId="4" type="noConversion"/>
  </si>
  <si>
    <t>➁</t>
    <phoneticPr fontId="4" type="noConversion"/>
  </si>
  <si>
    <t>➂</t>
    <phoneticPr fontId="4" type="noConversion"/>
  </si>
  <si>
    <t>組合室</t>
    <phoneticPr fontId="3" type="noConversion"/>
  </si>
  <si>
    <t>全溫層</t>
    <phoneticPr fontId="3" type="noConversion"/>
  </si>
  <si>
    <t>4度C-各編組展開</t>
    <phoneticPr fontId="3" type="noConversion"/>
  </si>
  <si>
    <t>③三明治-各編組展開</t>
    <phoneticPr fontId="3" type="noConversion"/>
  </si>
  <si>
    <t>※現行日本鮮食廠以達成率80%為基本(即為現行KPI)</t>
    <phoneticPr fontId="4" type="noConversion"/>
  </si>
  <si>
    <t>溫層</t>
    <phoneticPr fontId="3" type="noConversion"/>
  </si>
  <si>
    <t>➁4度C-各編組展開</t>
    <phoneticPr fontId="3" type="noConversion"/>
  </si>
  <si>
    <t>③三明治-各編組展開</t>
    <phoneticPr fontId="4" type="noConversion"/>
  </si>
  <si>
    <t>編組</t>
    <phoneticPr fontId="3" type="noConversion"/>
  </si>
  <si>
    <t>人時性</t>
    <phoneticPr fontId="4" type="noConversion"/>
  </si>
  <si>
    <t>達成率</t>
    <phoneticPr fontId="3" type="noConversion"/>
  </si>
  <si>
    <t>作業
時間</t>
    <phoneticPr fontId="3" type="noConversion"/>
  </si>
  <si>
    <t>開始</t>
    <phoneticPr fontId="3" type="noConversion"/>
  </si>
  <si>
    <t>配置人數</t>
    <phoneticPr fontId="3" type="noConversion"/>
  </si>
  <si>
    <t>L型包裝機</t>
    <phoneticPr fontId="4" type="noConversion"/>
  </si>
  <si>
    <t>三明治包裝機</t>
    <phoneticPr fontId="4" type="noConversion"/>
  </si>
  <si>
    <t>次要應用設備</t>
    <phoneticPr fontId="3" type="noConversion"/>
  </si>
  <si>
    <t>圓盤機</t>
    <phoneticPr fontId="4" type="noConversion"/>
  </si>
  <si>
    <t>備註</t>
    <phoneticPr fontId="3" type="noConversion"/>
  </si>
  <si>
    <t>握沙拉</t>
    <phoneticPr fontId="4" type="noConversion"/>
  </si>
  <si>
    <t>共用L型包裝機</t>
    <phoneticPr fontId="4" type="noConversion"/>
  </si>
  <si>
    <t>調理麵包</t>
    <phoneticPr fontId="4" type="noConversion"/>
  </si>
  <si>
    <t>炒飯+沙拉</t>
    <phoneticPr fontId="4" type="noConversion"/>
  </si>
  <si>
    <t>調理麵包</t>
    <phoneticPr fontId="4" type="noConversion"/>
  </si>
  <si>
    <t xml:space="preserve">新豐廠四度C日報分析                              </t>
    <phoneticPr fontId="4" type="noConversion"/>
  </si>
  <si>
    <t>總生產量</t>
    <phoneticPr fontId="4" type="noConversion"/>
  </si>
  <si>
    <t>日報登錄</t>
    <phoneticPr fontId="4" type="noConversion"/>
  </si>
  <si>
    <t>產能差異分析</t>
    <phoneticPr fontId="4" type="noConversion"/>
  </si>
  <si>
    <t>多次生產數</t>
    <phoneticPr fontId="4" type="noConversion"/>
  </si>
  <si>
    <t>線別</t>
    <phoneticPr fontId="3" type="noConversion"/>
  </si>
  <si>
    <t>品名</t>
    <phoneticPr fontId="3" type="noConversion"/>
  </si>
  <si>
    <t>廠價</t>
    <phoneticPr fontId="7" type="noConversion"/>
  </si>
  <si>
    <t>生產量</t>
    <phoneticPr fontId="4" type="noConversion"/>
  </si>
  <si>
    <t>營收</t>
    <phoneticPr fontId="7" type="noConversion"/>
  </si>
  <si>
    <t>多次
生產</t>
    <phoneticPr fontId="4" type="noConversion"/>
  </si>
  <si>
    <t>人數</t>
    <phoneticPr fontId="4" type="noConversion"/>
  </si>
  <si>
    <t>產能/時</t>
    <phoneticPr fontId="4" type="noConversion"/>
  </si>
  <si>
    <t>產能/時</t>
    <phoneticPr fontId="4" type="noConversion"/>
  </si>
  <si>
    <t>人數</t>
    <phoneticPr fontId="4" type="noConversion"/>
  </si>
  <si>
    <t>達成率</t>
    <phoneticPr fontId="4" type="noConversion"/>
  </si>
  <si>
    <t>達成率平均</t>
    <phoneticPr fontId="4" type="noConversion"/>
  </si>
  <si>
    <t>稼動時間/分</t>
    <phoneticPr fontId="4" type="noConversion"/>
  </si>
  <si>
    <t>休息時間</t>
    <phoneticPr fontId="4" type="noConversion"/>
  </si>
  <si>
    <t>開始</t>
    <phoneticPr fontId="4" type="noConversion"/>
  </si>
  <si>
    <t>結束</t>
    <phoneticPr fontId="4" type="noConversion"/>
  </si>
  <si>
    <t>新豐6線</t>
    <phoneticPr fontId="4" type="noConversion"/>
  </si>
  <si>
    <t>新豐6線</t>
    <phoneticPr fontId="4" type="noConversion"/>
  </si>
  <si>
    <t>新豐6線</t>
    <phoneticPr fontId="4" type="noConversion"/>
  </si>
  <si>
    <t>新豐2線</t>
    <phoneticPr fontId="4" type="noConversion"/>
  </si>
  <si>
    <t>新豐2線</t>
    <phoneticPr fontId="4" type="noConversion"/>
  </si>
  <si>
    <t>新豐2線</t>
    <phoneticPr fontId="4" type="noConversion"/>
  </si>
  <si>
    <t>平均</t>
    <phoneticPr fontId="4" type="noConversion"/>
  </si>
  <si>
    <t>新豐5線</t>
    <phoneticPr fontId="4" type="noConversion"/>
  </si>
  <si>
    <t>新豐5線</t>
    <phoneticPr fontId="4" type="noConversion"/>
  </si>
  <si>
    <t>平均</t>
    <phoneticPr fontId="4" type="noConversion"/>
  </si>
  <si>
    <t>新豐7線</t>
    <phoneticPr fontId="4" type="noConversion"/>
  </si>
  <si>
    <t>新豐8線</t>
    <phoneticPr fontId="4" type="noConversion"/>
  </si>
  <si>
    <t>新豐9線</t>
    <phoneticPr fontId="4" type="noConversion"/>
  </si>
  <si>
    <t>新豐4線</t>
    <phoneticPr fontId="4" type="noConversion"/>
  </si>
  <si>
    <r>
      <t xml:space="preserve">屏榮 </t>
    </r>
    <r>
      <rPr>
        <b/>
        <sz val="26"/>
        <color rgb="FFFF0000"/>
        <rFont val="微軟正黑體"/>
        <family val="2"/>
        <charset val="136"/>
      </rPr>
      <t>新豐廠</t>
    </r>
    <r>
      <rPr>
        <b/>
        <sz val="26"/>
        <color theme="1"/>
        <rFont val="微軟正黑體"/>
        <family val="2"/>
        <charset val="136"/>
      </rPr>
      <t>組合室生產人時性分析</t>
    </r>
    <phoneticPr fontId="3" type="noConversion"/>
  </si>
  <si>
    <t>日期</t>
    <phoneticPr fontId="3" type="noConversion"/>
  </si>
  <si>
    <t>訂單量</t>
    <phoneticPr fontId="3" type="noConversion"/>
  </si>
  <si>
    <t>營業額</t>
    <phoneticPr fontId="3" type="noConversion"/>
  </si>
  <si>
    <t>人時性</t>
    <phoneticPr fontId="3" type="noConversion"/>
  </si>
  <si>
    <t>項目</t>
    <phoneticPr fontId="4" type="noConversion"/>
  </si>
  <si>
    <t>➀</t>
    <phoneticPr fontId="4" type="noConversion"/>
  </si>
  <si>
    <t>➁</t>
    <phoneticPr fontId="4" type="noConversion"/>
  </si>
  <si>
    <t>➂</t>
    <phoneticPr fontId="4" type="noConversion"/>
  </si>
  <si>
    <t>組合室</t>
    <phoneticPr fontId="3" type="noConversion"/>
  </si>
  <si>
    <t>全溫層</t>
    <phoneticPr fontId="3" type="noConversion"/>
  </si>
  <si>
    <t>4度C-各編組展開</t>
    <phoneticPr fontId="3" type="noConversion"/>
  </si>
  <si>
    <t>※現行日本鮮食廠以達成率80%為基本(即為現行KPI)</t>
    <phoneticPr fontId="4" type="noConversion"/>
  </si>
  <si>
    <t>溫層</t>
    <phoneticPr fontId="3" type="noConversion"/>
  </si>
  <si>
    <t>➁4度C-各編組展開</t>
    <phoneticPr fontId="3" type="noConversion"/>
  </si>
  <si>
    <t>③三明治-各編組展開</t>
    <phoneticPr fontId="4" type="noConversion"/>
  </si>
  <si>
    <t>編組</t>
    <phoneticPr fontId="3" type="noConversion"/>
  </si>
  <si>
    <t>人時性</t>
    <phoneticPr fontId="4" type="noConversion"/>
  </si>
  <si>
    <t>排關</t>
    <phoneticPr fontId="3" type="noConversion"/>
  </si>
  <si>
    <t>實績</t>
    <phoneticPr fontId="3" type="noConversion"/>
  </si>
  <si>
    <t>達成率</t>
    <phoneticPr fontId="3" type="noConversion"/>
  </si>
  <si>
    <t>作業
時間</t>
    <phoneticPr fontId="3" type="noConversion"/>
  </si>
  <si>
    <t>開始</t>
    <phoneticPr fontId="3" type="noConversion"/>
  </si>
  <si>
    <t>結束</t>
    <phoneticPr fontId="3" type="noConversion"/>
  </si>
  <si>
    <t>配置人數</t>
    <phoneticPr fontId="3" type="noConversion"/>
  </si>
  <si>
    <t>主要應用設備</t>
    <phoneticPr fontId="3" type="noConversion"/>
  </si>
  <si>
    <t>L型包裝機</t>
    <phoneticPr fontId="4" type="noConversion"/>
  </si>
  <si>
    <t>三明治包裝機</t>
    <phoneticPr fontId="4" type="noConversion"/>
  </si>
  <si>
    <t>三明治包裝機</t>
    <phoneticPr fontId="4" type="noConversion"/>
  </si>
  <si>
    <t>次要應用設備</t>
    <phoneticPr fontId="3" type="noConversion"/>
  </si>
  <si>
    <t>圓盤機</t>
    <phoneticPr fontId="4" type="noConversion"/>
  </si>
  <si>
    <t>備註</t>
    <phoneticPr fontId="3" type="noConversion"/>
  </si>
  <si>
    <t>握沙拉</t>
    <phoneticPr fontId="4" type="noConversion"/>
  </si>
  <si>
    <t>共用L型包裝機</t>
    <phoneticPr fontId="4" type="noConversion"/>
  </si>
  <si>
    <t>調理麵包</t>
    <phoneticPr fontId="4" type="noConversion"/>
  </si>
  <si>
    <t>炒飯+沙拉</t>
    <phoneticPr fontId="4" type="noConversion"/>
  </si>
  <si>
    <t xml:space="preserve">新豐廠四度C日報分析                              </t>
    <phoneticPr fontId="4" type="noConversion"/>
  </si>
  <si>
    <t>總生產量</t>
    <phoneticPr fontId="4" type="noConversion"/>
  </si>
  <si>
    <t>營業額</t>
    <phoneticPr fontId="7" type="noConversion"/>
  </si>
  <si>
    <t>出勤人數</t>
    <phoneticPr fontId="4" type="noConversion"/>
  </si>
  <si>
    <t>產線配置圖</t>
    <phoneticPr fontId="4" type="noConversion"/>
  </si>
  <si>
    <t>生產實績</t>
    <phoneticPr fontId="4" type="noConversion"/>
  </si>
  <si>
    <t>人時性差異分析</t>
    <phoneticPr fontId="4" type="noConversion"/>
  </si>
  <si>
    <t>日報登錄</t>
    <phoneticPr fontId="4" type="noConversion"/>
  </si>
  <si>
    <t>分析說明</t>
    <phoneticPr fontId="4" type="noConversion"/>
  </si>
  <si>
    <t>產能差異分析</t>
    <phoneticPr fontId="4" type="noConversion"/>
  </si>
  <si>
    <t>人時性</t>
    <phoneticPr fontId="4" type="noConversion"/>
  </si>
  <si>
    <t>多次生產數</t>
    <phoneticPr fontId="4" type="noConversion"/>
  </si>
  <si>
    <t>線別</t>
    <phoneticPr fontId="3" type="noConversion"/>
  </si>
  <si>
    <t>品類</t>
    <phoneticPr fontId="4" type="noConversion"/>
  </si>
  <si>
    <t>品名</t>
    <phoneticPr fontId="3" type="noConversion"/>
  </si>
  <si>
    <t>廠價</t>
    <phoneticPr fontId="7" type="noConversion"/>
  </si>
  <si>
    <t>生產量</t>
    <phoneticPr fontId="4" type="noConversion"/>
  </si>
  <si>
    <t>營收</t>
    <phoneticPr fontId="7" type="noConversion"/>
  </si>
  <si>
    <t>多次
生產</t>
    <phoneticPr fontId="4" type="noConversion"/>
  </si>
  <si>
    <t>人數</t>
    <phoneticPr fontId="4" type="noConversion"/>
  </si>
  <si>
    <t>產能/時</t>
    <phoneticPr fontId="4" type="noConversion"/>
  </si>
  <si>
    <t>人數</t>
    <phoneticPr fontId="4" type="noConversion"/>
  </si>
  <si>
    <t>達成率</t>
    <phoneticPr fontId="4" type="noConversion"/>
  </si>
  <si>
    <t>達成率平均</t>
    <phoneticPr fontId="4" type="noConversion"/>
  </si>
  <si>
    <t>稼動時間/分</t>
    <phoneticPr fontId="4" type="noConversion"/>
  </si>
  <si>
    <t>休息時間</t>
    <phoneticPr fontId="4" type="noConversion"/>
  </si>
  <si>
    <t>(新豐回填)</t>
    <phoneticPr fontId="4" type="noConversion"/>
  </si>
  <si>
    <t>產能/時</t>
    <phoneticPr fontId="4" type="noConversion"/>
  </si>
  <si>
    <t>開始</t>
    <phoneticPr fontId="4" type="noConversion"/>
  </si>
  <si>
    <t>結束</t>
    <phoneticPr fontId="4" type="noConversion"/>
  </si>
  <si>
    <t>新豐6線</t>
    <phoneticPr fontId="4" type="noConversion"/>
  </si>
  <si>
    <t>新豐6線</t>
    <phoneticPr fontId="4" type="noConversion"/>
  </si>
  <si>
    <t>平均</t>
    <phoneticPr fontId="4" type="noConversion"/>
  </si>
  <si>
    <t>新豐2線</t>
    <phoneticPr fontId="4" type="noConversion"/>
  </si>
  <si>
    <t>新豐2線</t>
    <phoneticPr fontId="4" type="noConversion"/>
  </si>
  <si>
    <t>新豐5線</t>
    <phoneticPr fontId="4" type="noConversion"/>
  </si>
  <si>
    <t>新豐5線</t>
    <phoneticPr fontId="4" type="noConversion"/>
  </si>
  <si>
    <t>平均</t>
    <phoneticPr fontId="4" type="noConversion"/>
  </si>
  <si>
    <t>新豐7線</t>
    <phoneticPr fontId="4" type="noConversion"/>
  </si>
  <si>
    <t>新豐8線</t>
    <phoneticPr fontId="4" type="noConversion"/>
  </si>
  <si>
    <t>新豐9線</t>
    <phoneticPr fontId="4" type="noConversion"/>
  </si>
  <si>
    <t>新豐3線</t>
    <phoneticPr fontId="4" type="noConversion"/>
  </si>
  <si>
    <t>新豐1線</t>
    <phoneticPr fontId="4" type="noConversion"/>
  </si>
  <si>
    <t>新豐10線</t>
    <phoneticPr fontId="4" type="noConversion"/>
  </si>
  <si>
    <t>新豐4線</t>
    <phoneticPr fontId="4" type="noConversion"/>
  </si>
  <si>
    <r>
      <t xml:space="preserve">屏榮 </t>
    </r>
    <r>
      <rPr>
        <b/>
        <sz val="26"/>
        <color rgb="FFFF0000"/>
        <rFont val="微軟正黑體"/>
        <family val="2"/>
        <charset val="136"/>
      </rPr>
      <t>新豐廠</t>
    </r>
    <r>
      <rPr>
        <b/>
        <sz val="26"/>
        <color theme="1"/>
        <rFont val="微軟正黑體"/>
        <family val="2"/>
        <charset val="136"/>
      </rPr>
      <t>組合室生產人時性分析</t>
    </r>
    <phoneticPr fontId="3" type="noConversion"/>
  </si>
  <si>
    <t>日期</t>
    <phoneticPr fontId="3" type="noConversion"/>
  </si>
  <si>
    <t>訂單量</t>
    <phoneticPr fontId="3" type="noConversion"/>
  </si>
  <si>
    <t>營業額</t>
    <phoneticPr fontId="3" type="noConversion"/>
  </si>
  <si>
    <t>項目</t>
    <phoneticPr fontId="4" type="noConversion"/>
  </si>
  <si>
    <t>➀</t>
    <phoneticPr fontId="4" type="noConversion"/>
  </si>
  <si>
    <t>➁</t>
    <phoneticPr fontId="4" type="noConversion"/>
  </si>
  <si>
    <t>➂</t>
    <phoneticPr fontId="4" type="noConversion"/>
  </si>
  <si>
    <t>組合室</t>
    <phoneticPr fontId="3" type="noConversion"/>
  </si>
  <si>
    <t>全溫層</t>
    <phoneticPr fontId="3" type="noConversion"/>
  </si>
  <si>
    <t>4度C-各編組展開</t>
    <phoneticPr fontId="3" type="noConversion"/>
  </si>
  <si>
    <t>③三明治-各編組展開</t>
    <phoneticPr fontId="3" type="noConversion"/>
  </si>
  <si>
    <t>※現行日本鮮食廠以達成率80%為基本(即為現行KPI)</t>
    <phoneticPr fontId="4" type="noConversion"/>
  </si>
  <si>
    <t>溫層</t>
    <phoneticPr fontId="3" type="noConversion"/>
  </si>
  <si>
    <t>➁4度C-各編組展開</t>
    <phoneticPr fontId="3" type="noConversion"/>
  </si>
  <si>
    <t>③三明治-各編組展開</t>
    <phoneticPr fontId="4" type="noConversion"/>
  </si>
  <si>
    <t>編組</t>
    <phoneticPr fontId="3" type="noConversion"/>
  </si>
  <si>
    <t>人時性</t>
    <phoneticPr fontId="4" type="noConversion"/>
  </si>
  <si>
    <t>排關</t>
    <phoneticPr fontId="3" type="noConversion"/>
  </si>
  <si>
    <t>實績</t>
    <phoneticPr fontId="3" type="noConversion"/>
  </si>
  <si>
    <t>達成率</t>
    <phoneticPr fontId="3" type="noConversion"/>
  </si>
  <si>
    <t>作業
時間</t>
    <phoneticPr fontId="3" type="noConversion"/>
  </si>
  <si>
    <t>結束</t>
    <phoneticPr fontId="3" type="noConversion"/>
  </si>
  <si>
    <t>配置人數</t>
    <phoneticPr fontId="3" type="noConversion"/>
  </si>
  <si>
    <t>L型包裝機</t>
    <phoneticPr fontId="4" type="noConversion"/>
  </si>
  <si>
    <t>三明治包裝機</t>
    <phoneticPr fontId="4" type="noConversion"/>
  </si>
  <si>
    <t>三明治包裝機</t>
    <phoneticPr fontId="4" type="noConversion"/>
  </si>
  <si>
    <t>握沙拉</t>
    <phoneticPr fontId="4" type="noConversion"/>
  </si>
  <si>
    <t>調理麵包</t>
    <phoneticPr fontId="4" type="noConversion"/>
  </si>
  <si>
    <t>炒飯+沙拉</t>
    <phoneticPr fontId="4" type="noConversion"/>
  </si>
  <si>
    <t xml:space="preserve">新豐廠四度C日報分析                              </t>
    <phoneticPr fontId="4" type="noConversion"/>
  </si>
  <si>
    <t>總生產量</t>
    <phoneticPr fontId="4" type="noConversion"/>
  </si>
  <si>
    <t>營業額</t>
    <phoneticPr fontId="7" type="noConversion"/>
  </si>
  <si>
    <t>出勤人數</t>
    <phoneticPr fontId="4" type="noConversion"/>
  </si>
  <si>
    <t>產線配置圖</t>
    <phoneticPr fontId="4" type="noConversion"/>
  </si>
  <si>
    <t>生產實績</t>
    <phoneticPr fontId="4" type="noConversion"/>
  </si>
  <si>
    <t>人時性差異分析</t>
    <phoneticPr fontId="4" type="noConversion"/>
  </si>
  <si>
    <t>日報登錄</t>
    <phoneticPr fontId="4" type="noConversion"/>
  </si>
  <si>
    <t>分析說明</t>
    <phoneticPr fontId="4" type="noConversion"/>
  </si>
  <si>
    <t>產能差異分析</t>
    <phoneticPr fontId="4" type="noConversion"/>
  </si>
  <si>
    <t>人時性</t>
    <phoneticPr fontId="4" type="noConversion"/>
  </si>
  <si>
    <t>多次生產數</t>
    <phoneticPr fontId="4" type="noConversion"/>
  </si>
  <si>
    <t>線別</t>
    <phoneticPr fontId="3" type="noConversion"/>
  </si>
  <si>
    <t>品類</t>
    <phoneticPr fontId="4" type="noConversion"/>
  </si>
  <si>
    <t>品名</t>
    <phoneticPr fontId="3" type="noConversion"/>
  </si>
  <si>
    <t>廠價</t>
    <phoneticPr fontId="7" type="noConversion"/>
  </si>
  <si>
    <t>生產量</t>
    <phoneticPr fontId="4" type="noConversion"/>
  </si>
  <si>
    <t>營收</t>
    <phoneticPr fontId="7" type="noConversion"/>
  </si>
  <si>
    <t>多次
生產</t>
    <phoneticPr fontId="4" type="noConversion"/>
  </si>
  <si>
    <t>人數</t>
    <phoneticPr fontId="4" type="noConversion"/>
  </si>
  <si>
    <t>產能/時</t>
    <phoneticPr fontId="4" type="noConversion"/>
  </si>
  <si>
    <t>產能/時</t>
    <phoneticPr fontId="4" type="noConversion"/>
  </si>
  <si>
    <t>人時性</t>
    <phoneticPr fontId="4" type="noConversion"/>
  </si>
  <si>
    <t>達成率</t>
    <phoneticPr fontId="4" type="noConversion"/>
  </si>
  <si>
    <t>達成率平均</t>
    <phoneticPr fontId="4" type="noConversion"/>
  </si>
  <si>
    <t>稼動時間/分</t>
    <phoneticPr fontId="4" type="noConversion"/>
  </si>
  <si>
    <t>休息時間</t>
    <phoneticPr fontId="4" type="noConversion"/>
  </si>
  <si>
    <t>(新豐回填)</t>
    <phoneticPr fontId="4" type="noConversion"/>
  </si>
  <si>
    <t>產能/時</t>
    <phoneticPr fontId="4" type="noConversion"/>
  </si>
  <si>
    <t>達成率</t>
    <phoneticPr fontId="4" type="noConversion"/>
  </si>
  <si>
    <t>達成率平均</t>
    <phoneticPr fontId="4" type="noConversion"/>
  </si>
  <si>
    <t>開始</t>
    <phoneticPr fontId="4" type="noConversion"/>
  </si>
  <si>
    <t>結束</t>
    <phoneticPr fontId="4" type="noConversion"/>
  </si>
  <si>
    <t>新豐6線</t>
    <phoneticPr fontId="4" type="noConversion"/>
  </si>
  <si>
    <t>新豐6線</t>
    <phoneticPr fontId="4" type="noConversion"/>
  </si>
  <si>
    <t>平均</t>
    <phoneticPr fontId="4" type="noConversion"/>
  </si>
  <si>
    <t>新豐2線</t>
    <phoneticPr fontId="4" type="noConversion"/>
  </si>
  <si>
    <t>平均</t>
    <phoneticPr fontId="4" type="noConversion"/>
  </si>
  <si>
    <t>新豐5線</t>
    <phoneticPr fontId="4" type="noConversion"/>
  </si>
  <si>
    <t>新豐5線</t>
    <phoneticPr fontId="4" type="noConversion"/>
  </si>
  <si>
    <t>新豐5線</t>
    <phoneticPr fontId="4" type="noConversion"/>
  </si>
  <si>
    <t>平均</t>
    <phoneticPr fontId="4" type="noConversion"/>
  </si>
  <si>
    <t>新豐7線</t>
    <phoneticPr fontId="4" type="noConversion"/>
  </si>
  <si>
    <t>新豐7線</t>
    <phoneticPr fontId="4" type="noConversion"/>
  </si>
  <si>
    <t>新豐7線</t>
    <phoneticPr fontId="4" type="noConversion"/>
  </si>
  <si>
    <t>新豐7線</t>
    <phoneticPr fontId="4" type="noConversion"/>
  </si>
  <si>
    <t>平均</t>
    <phoneticPr fontId="4" type="noConversion"/>
  </si>
  <si>
    <t>新豐8線</t>
    <phoneticPr fontId="4" type="noConversion"/>
  </si>
  <si>
    <t>新豐8線</t>
    <phoneticPr fontId="4" type="noConversion"/>
  </si>
  <si>
    <t>新豐8線</t>
    <phoneticPr fontId="4" type="noConversion"/>
  </si>
  <si>
    <t>平均</t>
    <phoneticPr fontId="4" type="noConversion"/>
  </si>
  <si>
    <t>新豐9線</t>
    <phoneticPr fontId="4" type="noConversion"/>
  </si>
  <si>
    <t>新豐9線</t>
    <phoneticPr fontId="4" type="noConversion"/>
  </si>
  <si>
    <t>新豐9線</t>
    <phoneticPr fontId="4" type="noConversion"/>
  </si>
  <si>
    <t>新豐3線</t>
    <phoneticPr fontId="4" type="noConversion"/>
  </si>
  <si>
    <t>新豐3線</t>
    <phoneticPr fontId="4" type="noConversion"/>
  </si>
  <si>
    <t>新豐3線</t>
    <phoneticPr fontId="4" type="noConversion"/>
  </si>
  <si>
    <t>新豐1線</t>
    <phoneticPr fontId="4" type="noConversion"/>
  </si>
  <si>
    <t>新豐1線</t>
    <phoneticPr fontId="4" type="noConversion"/>
  </si>
  <si>
    <t>新豐1線</t>
    <phoneticPr fontId="4" type="noConversion"/>
  </si>
  <si>
    <t>新豐1線</t>
    <phoneticPr fontId="4" type="noConversion"/>
  </si>
  <si>
    <t>新豐10線</t>
    <phoneticPr fontId="4" type="noConversion"/>
  </si>
  <si>
    <t>新豐10線</t>
    <phoneticPr fontId="4" type="noConversion"/>
  </si>
  <si>
    <t>新豐10線</t>
    <phoneticPr fontId="4" type="noConversion"/>
  </si>
  <si>
    <t>新豐10線</t>
    <phoneticPr fontId="4" type="noConversion"/>
  </si>
  <si>
    <t>平均</t>
    <phoneticPr fontId="4" type="noConversion"/>
  </si>
  <si>
    <t>新豐4線</t>
    <phoneticPr fontId="4" type="noConversion"/>
  </si>
  <si>
    <t>新豐4線</t>
    <phoneticPr fontId="4" type="noConversion"/>
  </si>
  <si>
    <r>
      <t xml:space="preserve">屏榮 </t>
    </r>
    <r>
      <rPr>
        <b/>
        <sz val="26"/>
        <color rgb="FFFF0000"/>
        <rFont val="微軟正黑體"/>
        <family val="2"/>
        <charset val="136"/>
      </rPr>
      <t>新豐廠</t>
    </r>
    <r>
      <rPr>
        <b/>
        <sz val="26"/>
        <color theme="1"/>
        <rFont val="微軟正黑體"/>
        <family val="2"/>
        <charset val="136"/>
      </rPr>
      <t>組合室生產人時性分析</t>
    </r>
    <phoneticPr fontId="3" type="noConversion"/>
  </si>
  <si>
    <t>日期</t>
    <phoneticPr fontId="3" type="noConversion"/>
  </si>
  <si>
    <t>訂單量</t>
    <phoneticPr fontId="3" type="noConversion"/>
  </si>
  <si>
    <t>營業額</t>
    <phoneticPr fontId="3" type="noConversion"/>
  </si>
  <si>
    <t>人時性</t>
    <phoneticPr fontId="3" type="noConversion"/>
  </si>
  <si>
    <t>項目</t>
    <phoneticPr fontId="4" type="noConversion"/>
  </si>
  <si>
    <t>➀</t>
    <phoneticPr fontId="4" type="noConversion"/>
  </si>
  <si>
    <t>➁</t>
    <phoneticPr fontId="4" type="noConversion"/>
  </si>
  <si>
    <t>➂</t>
    <phoneticPr fontId="4" type="noConversion"/>
  </si>
  <si>
    <t>組合室</t>
    <phoneticPr fontId="3" type="noConversion"/>
  </si>
  <si>
    <t>全溫層</t>
    <phoneticPr fontId="3" type="noConversion"/>
  </si>
  <si>
    <t>4度C-各編組展開</t>
    <phoneticPr fontId="3" type="noConversion"/>
  </si>
  <si>
    <t>③三明治-各編組展開</t>
    <phoneticPr fontId="3" type="noConversion"/>
  </si>
  <si>
    <t>※現行日本鮮食廠以達成率80%為基本(即為現行KPI)</t>
    <phoneticPr fontId="4" type="noConversion"/>
  </si>
  <si>
    <t>溫層</t>
    <phoneticPr fontId="3" type="noConversion"/>
  </si>
  <si>
    <t>➁4度C-各編組展開</t>
    <phoneticPr fontId="3" type="noConversion"/>
  </si>
  <si>
    <t>③三明治-各編組展開</t>
    <phoneticPr fontId="4" type="noConversion"/>
  </si>
  <si>
    <t>編組</t>
    <phoneticPr fontId="3" type="noConversion"/>
  </si>
  <si>
    <t>人時性</t>
    <phoneticPr fontId="4" type="noConversion"/>
  </si>
  <si>
    <t>排關</t>
    <phoneticPr fontId="3" type="noConversion"/>
  </si>
  <si>
    <t>實績</t>
    <phoneticPr fontId="3" type="noConversion"/>
  </si>
  <si>
    <t>作業
時間</t>
    <phoneticPr fontId="3" type="noConversion"/>
  </si>
  <si>
    <t>開始</t>
    <phoneticPr fontId="3" type="noConversion"/>
  </si>
  <si>
    <t>結束</t>
    <phoneticPr fontId="3" type="noConversion"/>
  </si>
  <si>
    <t>配置人數</t>
    <phoneticPr fontId="3" type="noConversion"/>
  </si>
  <si>
    <t>主要應用設備</t>
    <phoneticPr fontId="3" type="noConversion"/>
  </si>
  <si>
    <t>L型包裝機</t>
    <phoneticPr fontId="4" type="noConversion"/>
  </si>
  <si>
    <t>三明治包裝機</t>
    <phoneticPr fontId="4" type="noConversion"/>
  </si>
  <si>
    <t>三明治包裝機</t>
    <phoneticPr fontId="4" type="noConversion"/>
  </si>
  <si>
    <t>圓盤機</t>
    <phoneticPr fontId="4" type="noConversion"/>
  </si>
  <si>
    <t>握沙拉</t>
    <phoneticPr fontId="4" type="noConversion"/>
  </si>
  <si>
    <t>共用L型包裝機</t>
    <phoneticPr fontId="4" type="noConversion"/>
  </si>
  <si>
    <t>調理麵包</t>
    <phoneticPr fontId="4" type="noConversion"/>
  </si>
  <si>
    <t>炒飯+沙拉</t>
    <phoneticPr fontId="4" type="noConversion"/>
  </si>
  <si>
    <t xml:space="preserve">新豐廠四度C日報分析                              </t>
    <phoneticPr fontId="4" type="noConversion"/>
  </si>
  <si>
    <t>總生產量</t>
    <phoneticPr fontId="4" type="noConversion"/>
  </si>
  <si>
    <t>營業額</t>
    <phoneticPr fontId="7" type="noConversion"/>
  </si>
  <si>
    <t>人時性差異分析</t>
    <phoneticPr fontId="4" type="noConversion"/>
  </si>
  <si>
    <t>分析說明</t>
    <phoneticPr fontId="4" type="noConversion"/>
  </si>
  <si>
    <t>人時性</t>
    <phoneticPr fontId="4" type="noConversion"/>
  </si>
  <si>
    <t>多次生產數</t>
    <phoneticPr fontId="4" type="noConversion"/>
  </si>
  <si>
    <t>品名</t>
    <phoneticPr fontId="3" type="noConversion"/>
  </si>
  <si>
    <t>廠價</t>
    <phoneticPr fontId="7" type="noConversion"/>
  </si>
  <si>
    <t>生產量</t>
    <phoneticPr fontId="4" type="noConversion"/>
  </si>
  <si>
    <t>營收</t>
    <phoneticPr fontId="7" type="noConversion"/>
  </si>
  <si>
    <t>多次
生產</t>
    <phoneticPr fontId="4" type="noConversion"/>
  </si>
  <si>
    <t>人數</t>
    <phoneticPr fontId="4" type="noConversion"/>
  </si>
  <si>
    <t>產能/時</t>
    <phoneticPr fontId="4" type="noConversion"/>
  </si>
  <si>
    <t>人時性</t>
    <phoneticPr fontId="4" type="noConversion"/>
  </si>
  <si>
    <t>達成率</t>
    <phoneticPr fontId="4" type="noConversion"/>
  </si>
  <si>
    <t>達成率平均</t>
    <phoneticPr fontId="4" type="noConversion"/>
  </si>
  <si>
    <t>休息時間</t>
    <phoneticPr fontId="4" type="noConversion"/>
  </si>
  <si>
    <t>達成率平均</t>
    <phoneticPr fontId="4" type="noConversion"/>
  </si>
  <si>
    <t>開始</t>
    <phoneticPr fontId="4" type="noConversion"/>
  </si>
  <si>
    <t>結束</t>
    <phoneticPr fontId="4" type="noConversion"/>
  </si>
  <si>
    <t>新豐6線</t>
    <phoneticPr fontId="4" type="noConversion"/>
  </si>
  <si>
    <t>新豐6線</t>
    <phoneticPr fontId="4" type="noConversion"/>
  </si>
  <si>
    <t>平均</t>
    <phoneticPr fontId="4" type="noConversion"/>
  </si>
  <si>
    <t>新豐2線</t>
    <phoneticPr fontId="4" type="noConversion"/>
  </si>
  <si>
    <t>新豐2線</t>
    <phoneticPr fontId="4" type="noConversion"/>
  </si>
  <si>
    <t>新豐5線</t>
    <phoneticPr fontId="4" type="noConversion"/>
  </si>
  <si>
    <t>新豐5線</t>
    <phoneticPr fontId="4" type="noConversion"/>
  </si>
  <si>
    <t>新豐5線</t>
    <phoneticPr fontId="4" type="noConversion"/>
  </si>
  <si>
    <t>平均</t>
    <phoneticPr fontId="4" type="noConversion"/>
  </si>
  <si>
    <t>新豐7線</t>
    <phoneticPr fontId="4" type="noConversion"/>
  </si>
  <si>
    <t>新豐7線</t>
    <phoneticPr fontId="4" type="noConversion"/>
  </si>
  <si>
    <t>平均</t>
    <phoneticPr fontId="4" type="noConversion"/>
  </si>
  <si>
    <t>新豐8線</t>
    <phoneticPr fontId="4" type="noConversion"/>
  </si>
  <si>
    <t>新豐8線</t>
    <phoneticPr fontId="4" type="noConversion"/>
  </si>
  <si>
    <t>新豐9線</t>
    <phoneticPr fontId="4" type="noConversion"/>
  </si>
  <si>
    <t>新豐9線</t>
    <phoneticPr fontId="4" type="noConversion"/>
  </si>
  <si>
    <t>新豐3線</t>
    <phoneticPr fontId="4" type="noConversion"/>
  </si>
  <si>
    <t>新豐3線</t>
    <phoneticPr fontId="4" type="noConversion"/>
  </si>
  <si>
    <t>新豐3線</t>
    <phoneticPr fontId="4" type="noConversion"/>
  </si>
  <si>
    <t>新豐1線</t>
    <phoneticPr fontId="4" type="noConversion"/>
  </si>
  <si>
    <t>新豐1線</t>
    <phoneticPr fontId="4" type="noConversion"/>
  </si>
  <si>
    <t>新豐10線</t>
    <phoneticPr fontId="4" type="noConversion"/>
  </si>
  <si>
    <t>新豐10線</t>
    <phoneticPr fontId="4" type="noConversion"/>
  </si>
  <si>
    <t>新豐4線</t>
    <phoneticPr fontId="4" type="noConversion"/>
  </si>
  <si>
    <t>三明治包裝機</t>
    <phoneticPr fontId="4" type="noConversion"/>
  </si>
  <si>
    <t>次要應用設備</t>
    <phoneticPr fontId="3" type="noConversion"/>
  </si>
  <si>
    <t xml:space="preserve">新豐廠四度C日報分析                              </t>
    <phoneticPr fontId="4" type="noConversion"/>
  </si>
  <si>
    <t>總生產量</t>
    <phoneticPr fontId="4" type="noConversion"/>
  </si>
  <si>
    <t>營業額</t>
    <phoneticPr fontId="7" type="noConversion"/>
  </si>
  <si>
    <t>出勤人數</t>
    <phoneticPr fontId="4" type="noConversion"/>
  </si>
  <si>
    <t>產線配置圖</t>
    <phoneticPr fontId="4" type="noConversion"/>
  </si>
  <si>
    <t>生產實績</t>
    <phoneticPr fontId="4" type="noConversion"/>
  </si>
  <si>
    <t>人時性差異分析</t>
    <phoneticPr fontId="4" type="noConversion"/>
  </si>
  <si>
    <t>日報登錄</t>
    <phoneticPr fontId="4" type="noConversion"/>
  </si>
  <si>
    <t>分析說明</t>
    <phoneticPr fontId="4" type="noConversion"/>
  </si>
  <si>
    <t>產能差異分析</t>
    <phoneticPr fontId="4" type="noConversion"/>
  </si>
  <si>
    <t>人時性</t>
    <phoneticPr fontId="4" type="noConversion"/>
  </si>
  <si>
    <t>多次生產數</t>
    <phoneticPr fontId="4" type="noConversion"/>
  </si>
  <si>
    <t>線別</t>
    <phoneticPr fontId="3" type="noConversion"/>
  </si>
  <si>
    <t>品類</t>
    <phoneticPr fontId="4" type="noConversion"/>
  </si>
  <si>
    <t>品名</t>
    <phoneticPr fontId="3" type="noConversion"/>
  </si>
  <si>
    <t>廠價</t>
    <phoneticPr fontId="7" type="noConversion"/>
  </si>
  <si>
    <t>生產量</t>
    <phoneticPr fontId="4" type="noConversion"/>
  </si>
  <si>
    <t>營收</t>
    <phoneticPr fontId="7" type="noConversion"/>
  </si>
  <si>
    <t>多次
生產</t>
    <phoneticPr fontId="4" type="noConversion"/>
  </si>
  <si>
    <t>人數</t>
    <phoneticPr fontId="4" type="noConversion"/>
  </si>
  <si>
    <t>產能/時</t>
    <phoneticPr fontId="4" type="noConversion"/>
  </si>
  <si>
    <t>達成率</t>
    <phoneticPr fontId="4" type="noConversion"/>
  </si>
  <si>
    <t>達成率平均</t>
    <phoneticPr fontId="4" type="noConversion"/>
  </si>
  <si>
    <t>稼動時間/分</t>
    <phoneticPr fontId="4" type="noConversion"/>
  </si>
  <si>
    <t>休息時間</t>
    <phoneticPr fontId="4" type="noConversion"/>
  </si>
  <si>
    <t>(新豐回填)</t>
    <phoneticPr fontId="4" type="noConversion"/>
  </si>
  <si>
    <t>開始</t>
    <phoneticPr fontId="4" type="noConversion"/>
  </si>
  <si>
    <t>結束</t>
    <phoneticPr fontId="4" type="noConversion"/>
  </si>
  <si>
    <t>新豐6線</t>
    <phoneticPr fontId="4" type="noConversion"/>
  </si>
  <si>
    <t>平均</t>
    <phoneticPr fontId="4" type="noConversion"/>
  </si>
  <si>
    <t>新豐2線</t>
    <phoneticPr fontId="4" type="noConversion"/>
  </si>
  <si>
    <t>新豐5線</t>
    <phoneticPr fontId="4" type="noConversion"/>
  </si>
  <si>
    <t>新豐7線</t>
    <phoneticPr fontId="4" type="noConversion"/>
  </si>
  <si>
    <t>新豐8線</t>
    <phoneticPr fontId="4" type="noConversion"/>
  </si>
  <si>
    <t>新豐9線</t>
    <phoneticPr fontId="4" type="noConversion"/>
  </si>
  <si>
    <t>新豐3線</t>
    <phoneticPr fontId="4" type="noConversion"/>
  </si>
  <si>
    <t>新豐1線</t>
    <phoneticPr fontId="4" type="noConversion"/>
  </si>
  <si>
    <t>新豐10線</t>
    <phoneticPr fontId="4" type="noConversion"/>
  </si>
  <si>
    <t>新豐4線</t>
    <phoneticPr fontId="4" type="noConversion"/>
  </si>
  <si>
    <r>
      <t xml:space="preserve">屏榮 </t>
    </r>
    <r>
      <rPr>
        <b/>
        <sz val="26"/>
        <color rgb="FFFF0000"/>
        <rFont val="微軟正黑體"/>
        <family val="2"/>
        <charset val="136"/>
      </rPr>
      <t>新豐廠</t>
    </r>
    <r>
      <rPr>
        <b/>
        <sz val="26"/>
        <color theme="1"/>
        <rFont val="微軟正黑體"/>
        <family val="2"/>
        <charset val="136"/>
      </rPr>
      <t>組合室生產人時性分析</t>
    </r>
    <phoneticPr fontId="3" type="noConversion"/>
  </si>
  <si>
    <t>訂單量</t>
    <phoneticPr fontId="3" type="noConversion"/>
  </si>
  <si>
    <t>營業額</t>
    <phoneticPr fontId="3" type="noConversion"/>
  </si>
  <si>
    <t>人時性</t>
    <phoneticPr fontId="3" type="noConversion"/>
  </si>
  <si>
    <t>➁</t>
    <phoneticPr fontId="4" type="noConversion"/>
  </si>
  <si>
    <t>➂</t>
    <phoneticPr fontId="4" type="noConversion"/>
  </si>
  <si>
    <t>全溫層</t>
    <phoneticPr fontId="3" type="noConversion"/>
  </si>
  <si>
    <t>4度C-各編組展開</t>
    <phoneticPr fontId="3" type="noConversion"/>
  </si>
  <si>
    <t>※現行日本鮮食廠以達成率80%為基本(即為現行KPI)</t>
    <phoneticPr fontId="4" type="noConversion"/>
  </si>
  <si>
    <t>溫層</t>
    <phoneticPr fontId="3" type="noConversion"/>
  </si>
  <si>
    <t>➁4度C-各編組展開</t>
    <phoneticPr fontId="3" type="noConversion"/>
  </si>
  <si>
    <t>③三明治-各編組展開</t>
    <phoneticPr fontId="4" type="noConversion"/>
  </si>
  <si>
    <t>人時性</t>
    <phoneticPr fontId="4" type="noConversion"/>
  </si>
  <si>
    <t>排關</t>
    <phoneticPr fontId="3" type="noConversion"/>
  </si>
  <si>
    <t>作業
時間</t>
    <phoneticPr fontId="3" type="noConversion"/>
  </si>
  <si>
    <t>開始</t>
    <phoneticPr fontId="3" type="noConversion"/>
  </si>
  <si>
    <t>結束</t>
    <phoneticPr fontId="3" type="noConversion"/>
  </si>
  <si>
    <t>主要應用設備</t>
    <phoneticPr fontId="3" type="noConversion"/>
  </si>
  <si>
    <t>L型包裝機</t>
    <phoneticPr fontId="4" type="noConversion"/>
  </si>
  <si>
    <t>次要應用設備</t>
    <phoneticPr fontId="3" type="noConversion"/>
  </si>
  <si>
    <t>圓盤機</t>
    <phoneticPr fontId="4" type="noConversion"/>
  </si>
  <si>
    <t>握沙拉</t>
    <phoneticPr fontId="4" type="noConversion"/>
  </si>
  <si>
    <t>共用L型包裝機</t>
    <phoneticPr fontId="4" type="noConversion"/>
  </si>
  <si>
    <t>炒飯+沙拉</t>
    <phoneticPr fontId="4" type="noConversion"/>
  </si>
  <si>
    <t>調理麵包</t>
    <phoneticPr fontId="4" type="noConversion"/>
  </si>
  <si>
    <t>總生產量</t>
    <phoneticPr fontId="4" type="noConversion"/>
  </si>
  <si>
    <t>營業額</t>
    <phoneticPr fontId="7" type="noConversion"/>
  </si>
  <si>
    <t>出勤人數</t>
    <phoneticPr fontId="4" type="noConversion"/>
  </si>
  <si>
    <t>產線配置圖</t>
    <phoneticPr fontId="4" type="noConversion"/>
  </si>
  <si>
    <t>人時性差異分析</t>
    <phoneticPr fontId="4" type="noConversion"/>
  </si>
  <si>
    <t>日報登錄</t>
    <phoneticPr fontId="4" type="noConversion"/>
  </si>
  <si>
    <t>分析說明</t>
    <phoneticPr fontId="4" type="noConversion"/>
  </si>
  <si>
    <t>產能差異分析</t>
    <phoneticPr fontId="4" type="noConversion"/>
  </si>
  <si>
    <t>人時性</t>
    <phoneticPr fontId="4" type="noConversion"/>
  </si>
  <si>
    <t>廠價</t>
    <phoneticPr fontId="7" type="noConversion"/>
  </si>
  <si>
    <t>人數</t>
    <phoneticPr fontId="4" type="noConversion"/>
  </si>
  <si>
    <t>達成率平均</t>
    <phoneticPr fontId="4" type="noConversion"/>
  </si>
  <si>
    <t>達成率</t>
    <phoneticPr fontId="4" type="noConversion"/>
  </si>
  <si>
    <t>達成率平均</t>
    <phoneticPr fontId="4" type="noConversion"/>
  </si>
  <si>
    <t>開始</t>
    <phoneticPr fontId="4" type="noConversion"/>
  </si>
  <si>
    <t>結束</t>
    <phoneticPr fontId="4" type="noConversion"/>
  </si>
  <si>
    <t>新豐6線</t>
    <phoneticPr fontId="4" type="noConversion"/>
  </si>
  <si>
    <t>新豐6線</t>
    <phoneticPr fontId="4" type="noConversion"/>
  </si>
  <si>
    <t>平均</t>
    <phoneticPr fontId="4" type="noConversion"/>
  </si>
  <si>
    <t>新豐2線</t>
    <phoneticPr fontId="4" type="noConversion"/>
  </si>
  <si>
    <t>新豐5線</t>
    <phoneticPr fontId="4" type="noConversion"/>
  </si>
  <si>
    <t>新豐7線</t>
    <phoneticPr fontId="4" type="noConversion"/>
  </si>
  <si>
    <t>新豐8線</t>
    <phoneticPr fontId="4" type="noConversion"/>
  </si>
  <si>
    <t>新豐9線</t>
    <phoneticPr fontId="4" type="noConversion"/>
  </si>
  <si>
    <t>新豐9線</t>
    <phoneticPr fontId="4" type="noConversion"/>
  </si>
  <si>
    <t>新豐3線</t>
    <phoneticPr fontId="4" type="noConversion"/>
  </si>
  <si>
    <t>新豐1線</t>
    <phoneticPr fontId="4" type="noConversion"/>
  </si>
  <si>
    <t>新豐10線</t>
    <phoneticPr fontId="4" type="noConversion"/>
  </si>
  <si>
    <t>新豐4線</t>
    <phoneticPr fontId="4" type="noConversion"/>
  </si>
  <si>
    <t>新豐4線</t>
    <phoneticPr fontId="4" type="noConversion"/>
  </si>
  <si>
    <t>新豐4線</t>
    <phoneticPr fontId="4" type="noConversion"/>
  </si>
  <si>
    <t>平均</t>
    <phoneticPr fontId="4" type="noConversion"/>
  </si>
  <si>
    <t>日期</t>
    <phoneticPr fontId="3" type="noConversion"/>
  </si>
  <si>
    <t>訂單量</t>
    <phoneticPr fontId="3" type="noConversion"/>
  </si>
  <si>
    <t>營業額</t>
    <phoneticPr fontId="3" type="noConversion"/>
  </si>
  <si>
    <t>人時性</t>
    <phoneticPr fontId="3" type="noConversion"/>
  </si>
  <si>
    <t>項目</t>
    <phoneticPr fontId="4" type="noConversion"/>
  </si>
  <si>
    <t>➀</t>
    <phoneticPr fontId="4" type="noConversion"/>
  </si>
  <si>
    <t>➁</t>
    <phoneticPr fontId="4" type="noConversion"/>
  </si>
  <si>
    <t>➂</t>
    <phoneticPr fontId="4" type="noConversion"/>
  </si>
  <si>
    <t>組合室</t>
    <phoneticPr fontId="3" type="noConversion"/>
  </si>
  <si>
    <t>全溫層</t>
    <phoneticPr fontId="3" type="noConversion"/>
  </si>
  <si>
    <t>4度C-各編組展開</t>
    <phoneticPr fontId="3" type="noConversion"/>
  </si>
  <si>
    <t>③三明治-各編組展開</t>
    <phoneticPr fontId="3" type="noConversion"/>
  </si>
  <si>
    <t>※現行日本鮮食廠以達成率80%為基本(即為現行KPI)</t>
    <phoneticPr fontId="4" type="noConversion"/>
  </si>
  <si>
    <t>溫層</t>
    <phoneticPr fontId="3" type="noConversion"/>
  </si>
  <si>
    <t>➁4度C-各編組展開</t>
    <phoneticPr fontId="3" type="noConversion"/>
  </si>
  <si>
    <t>③三明治-各編組展開</t>
    <phoneticPr fontId="4" type="noConversion"/>
  </si>
  <si>
    <t>編組</t>
    <phoneticPr fontId="3" type="noConversion"/>
  </si>
  <si>
    <t>人時性</t>
    <phoneticPr fontId="4" type="noConversion"/>
  </si>
  <si>
    <t>排關</t>
    <phoneticPr fontId="3" type="noConversion"/>
  </si>
  <si>
    <t>實績</t>
    <phoneticPr fontId="3" type="noConversion"/>
  </si>
  <si>
    <t>達成率</t>
    <phoneticPr fontId="3" type="noConversion"/>
  </si>
  <si>
    <t>作業
時間</t>
    <phoneticPr fontId="3" type="noConversion"/>
  </si>
  <si>
    <t>開始</t>
    <phoneticPr fontId="3" type="noConversion"/>
  </si>
  <si>
    <t>結束</t>
    <phoneticPr fontId="3" type="noConversion"/>
  </si>
  <si>
    <t>配置人數</t>
    <phoneticPr fontId="3" type="noConversion"/>
  </si>
  <si>
    <t>主要應用設備</t>
    <phoneticPr fontId="3" type="noConversion"/>
  </si>
  <si>
    <t>L型包裝機</t>
    <phoneticPr fontId="4" type="noConversion"/>
  </si>
  <si>
    <t>三明治包裝機</t>
    <phoneticPr fontId="4" type="noConversion"/>
  </si>
  <si>
    <t>次要應用設備</t>
    <phoneticPr fontId="3" type="noConversion"/>
  </si>
  <si>
    <t>圓盤機</t>
    <phoneticPr fontId="4" type="noConversion"/>
  </si>
  <si>
    <t>備註</t>
    <phoneticPr fontId="3" type="noConversion"/>
  </si>
  <si>
    <t>握沙拉</t>
    <phoneticPr fontId="4" type="noConversion"/>
  </si>
  <si>
    <t>共用L型包裝機</t>
    <phoneticPr fontId="4" type="noConversion"/>
  </si>
  <si>
    <t>調理麵包</t>
    <phoneticPr fontId="4" type="noConversion"/>
  </si>
  <si>
    <t>炒飯+沙拉</t>
    <phoneticPr fontId="4" type="noConversion"/>
  </si>
  <si>
    <t xml:space="preserve">新豐廠四度C日報分析                              </t>
    <phoneticPr fontId="4" type="noConversion"/>
  </si>
  <si>
    <t>總生產量</t>
    <phoneticPr fontId="4" type="noConversion"/>
  </si>
  <si>
    <t>出勤人數</t>
    <phoneticPr fontId="4" type="noConversion"/>
  </si>
  <si>
    <t>人時性差異分析</t>
    <phoneticPr fontId="4" type="noConversion"/>
  </si>
  <si>
    <t>分析說明</t>
    <phoneticPr fontId="4" type="noConversion"/>
  </si>
  <si>
    <t>人時性</t>
    <phoneticPr fontId="4" type="noConversion"/>
  </si>
  <si>
    <t>多次生產數</t>
    <phoneticPr fontId="4" type="noConversion"/>
  </si>
  <si>
    <t>線別</t>
    <phoneticPr fontId="3" type="noConversion"/>
  </si>
  <si>
    <t>品類</t>
    <phoneticPr fontId="4" type="noConversion"/>
  </si>
  <si>
    <t>品名</t>
    <phoneticPr fontId="3" type="noConversion"/>
  </si>
  <si>
    <t>生產量</t>
    <phoneticPr fontId="4" type="noConversion"/>
  </si>
  <si>
    <t>營收</t>
    <phoneticPr fontId="7" type="noConversion"/>
  </si>
  <si>
    <t>多次
生產</t>
    <phoneticPr fontId="4" type="noConversion"/>
  </si>
  <si>
    <t>人數</t>
    <phoneticPr fontId="4" type="noConversion"/>
  </si>
  <si>
    <t>人時性</t>
    <phoneticPr fontId="4" type="noConversion"/>
  </si>
  <si>
    <t>人數</t>
    <phoneticPr fontId="4" type="noConversion"/>
  </si>
  <si>
    <t>產能/時</t>
    <phoneticPr fontId="4" type="noConversion"/>
  </si>
  <si>
    <t>人時性</t>
    <phoneticPr fontId="4" type="noConversion"/>
  </si>
  <si>
    <t>稼動時間/分</t>
    <phoneticPr fontId="4" type="noConversion"/>
  </si>
  <si>
    <t>(新豐回填)</t>
    <phoneticPr fontId="4" type="noConversion"/>
  </si>
  <si>
    <t>達成率</t>
    <phoneticPr fontId="4" type="noConversion"/>
  </si>
  <si>
    <t>達成率平均</t>
    <phoneticPr fontId="4" type="noConversion"/>
  </si>
  <si>
    <t>開始</t>
    <phoneticPr fontId="4" type="noConversion"/>
  </si>
  <si>
    <t>結束</t>
    <phoneticPr fontId="4" type="noConversion"/>
  </si>
  <si>
    <t>新豐6線</t>
    <phoneticPr fontId="4" type="noConversion"/>
  </si>
  <si>
    <t>新豐2線</t>
    <phoneticPr fontId="4" type="noConversion"/>
  </si>
  <si>
    <t>新豐2線</t>
    <phoneticPr fontId="4" type="noConversion"/>
  </si>
  <si>
    <t>新豐2線</t>
    <phoneticPr fontId="4" type="noConversion"/>
  </si>
  <si>
    <t>新豐5線</t>
    <phoneticPr fontId="4" type="noConversion"/>
  </si>
  <si>
    <t>新豐5線</t>
    <phoneticPr fontId="4" type="noConversion"/>
  </si>
  <si>
    <t>平均</t>
    <phoneticPr fontId="4" type="noConversion"/>
  </si>
  <si>
    <t>新豐7線</t>
    <phoneticPr fontId="4" type="noConversion"/>
  </si>
  <si>
    <t>平均</t>
    <phoneticPr fontId="4" type="noConversion"/>
  </si>
  <si>
    <t>新豐8線</t>
    <phoneticPr fontId="4" type="noConversion"/>
  </si>
  <si>
    <t>新豐8線</t>
    <phoneticPr fontId="4" type="noConversion"/>
  </si>
  <si>
    <t>新豐9線</t>
    <phoneticPr fontId="4" type="noConversion"/>
  </si>
  <si>
    <t>新豐3線</t>
    <phoneticPr fontId="4" type="noConversion"/>
  </si>
  <si>
    <t>新豐1線</t>
    <phoneticPr fontId="4" type="noConversion"/>
  </si>
  <si>
    <t>新豐10線</t>
    <phoneticPr fontId="4" type="noConversion"/>
  </si>
  <si>
    <t>新豐4線</t>
    <phoneticPr fontId="4" type="noConversion"/>
  </si>
  <si>
    <r>
      <t xml:space="preserve">屏榮 </t>
    </r>
    <r>
      <rPr>
        <b/>
        <sz val="26"/>
        <color rgb="FFFF0000"/>
        <rFont val="微軟正黑體"/>
        <family val="2"/>
        <charset val="136"/>
      </rPr>
      <t>新豐廠</t>
    </r>
    <r>
      <rPr>
        <b/>
        <sz val="26"/>
        <color theme="1"/>
        <rFont val="微軟正黑體"/>
        <family val="2"/>
        <charset val="136"/>
      </rPr>
      <t>組合室生產人時性分析</t>
    </r>
    <phoneticPr fontId="3" type="noConversion"/>
  </si>
  <si>
    <t>營業額</t>
    <phoneticPr fontId="3" type="noConversion"/>
  </si>
  <si>
    <t>人時性</t>
    <phoneticPr fontId="3" type="noConversion"/>
  </si>
  <si>
    <t>項目</t>
    <phoneticPr fontId="4" type="noConversion"/>
  </si>
  <si>
    <t>➀</t>
    <phoneticPr fontId="4" type="noConversion"/>
  </si>
  <si>
    <t>➁</t>
    <phoneticPr fontId="4" type="noConversion"/>
  </si>
  <si>
    <t>➂</t>
    <phoneticPr fontId="4" type="noConversion"/>
  </si>
  <si>
    <t>組合室</t>
    <phoneticPr fontId="3" type="noConversion"/>
  </si>
  <si>
    <t>全溫層</t>
    <phoneticPr fontId="3" type="noConversion"/>
  </si>
  <si>
    <t>4度C-各編組展開</t>
    <phoneticPr fontId="3" type="noConversion"/>
  </si>
  <si>
    <t>③三明治-各編組展開</t>
    <phoneticPr fontId="3" type="noConversion"/>
  </si>
  <si>
    <t>※現行日本鮮食廠以達成率80%為基本(即為現行KPI)</t>
    <phoneticPr fontId="4" type="noConversion"/>
  </si>
  <si>
    <t>溫層</t>
    <phoneticPr fontId="3" type="noConversion"/>
  </si>
  <si>
    <t>➁4度C-各編組展開</t>
    <phoneticPr fontId="3" type="noConversion"/>
  </si>
  <si>
    <t>③三明治-各編組展開</t>
    <phoneticPr fontId="4" type="noConversion"/>
  </si>
  <si>
    <t>編組</t>
    <phoneticPr fontId="3" type="noConversion"/>
  </si>
  <si>
    <t>人時性</t>
    <phoneticPr fontId="4" type="noConversion"/>
  </si>
  <si>
    <t>排關</t>
    <phoneticPr fontId="3" type="noConversion"/>
  </si>
  <si>
    <t>實績</t>
    <phoneticPr fontId="3" type="noConversion"/>
  </si>
  <si>
    <t>達成率</t>
    <phoneticPr fontId="3" type="noConversion"/>
  </si>
  <si>
    <t>作業
時間</t>
    <phoneticPr fontId="3" type="noConversion"/>
  </si>
  <si>
    <t>開始</t>
    <phoneticPr fontId="3" type="noConversion"/>
  </si>
  <si>
    <t>結束</t>
    <phoneticPr fontId="3" type="noConversion"/>
  </si>
  <si>
    <t>配置人數</t>
    <phoneticPr fontId="3" type="noConversion"/>
  </si>
  <si>
    <t>主要應用設備</t>
    <phoneticPr fontId="3" type="noConversion"/>
  </si>
  <si>
    <t>L型包裝機</t>
    <phoneticPr fontId="4" type="noConversion"/>
  </si>
  <si>
    <t>L型包裝機</t>
    <phoneticPr fontId="4" type="noConversion"/>
  </si>
  <si>
    <t>三明治包裝機</t>
    <phoneticPr fontId="4" type="noConversion"/>
  </si>
  <si>
    <t>三明治包裝機</t>
    <phoneticPr fontId="4" type="noConversion"/>
  </si>
  <si>
    <t>三明治包裝機</t>
    <phoneticPr fontId="4" type="noConversion"/>
  </si>
  <si>
    <t>次要應用設備</t>
    <phoneticPr fontId="3" type="noConversion"/>
  </si>
  <si>
    <t>圓盤機</t>
    <phoneticPr fontId="4" type="noConversion"/>
  </si>
  <si>
    <t>備註</t>
    <phoneticPr fontId="3" type="noConversion"/>
  </si>
  <si>
    <t>握沙拉</t>
    <phoneticPr fontId="4" type="noConversion"/>
  </si>
  <si>
    <t>共用L型包裝機</t>
    <phoneticPr fontId="4" type="noConversion"/>
  </si>
  <si>
    <t>調理麵包</t>
    <phoneticPr fontId="4" type="noConversion"/>
  </si>
  <si>
    <t>炒飯+沙拉</t>
    <phoneticPr fontId="4" type="noConversion"/>
  </si>
  <si>
    <t>調理麵包</t>
    <phoneticPr fontId="4" type="noConversion"/>
  </si>
  <si>
    <t xml:space="preserve">新豐廠四度C日報分析                              </t>
    <phoneticPr fontId="4" type="noConversion"/>
  </si>
  <si>
    <t>總生產量</t>
    <phoneticPr fontId="4" type="noConversion"/>
  </si>
  <si>
    <t>營業額</t>
    <phoneticPr fontId="7" type="noConversion"/>
  </si>
  <si>
    <t>出勤人數</t>
    <phoneticPr fontId="4" type="noConversion"/>
  </si>
  <si>
    <t>產線配置圖</t>
    <phoneticPr fontId="4" type="noConversion"/>
  </si>
  <si>
    <t>生產實績</t>
    <phoneticPr fontId="4" type="noConversion"/>
  </si>
  <si>
    <t>人時性差異分析</t>
    <phoneticPr fontId="4" type="noConversion"/>
  </si>
  <si>
    <t>日報登錄</t>
    <phoneticPr fontId="4" type="noConversion"/>
  </si>
  <si>
    <t>分析說明</t>
    <phoneticPr fontId="4" type="noConversion"/>
  </si>
  <si>
    <t>產能差異分析</t>
    <phoneticPr fontId="4" type="noConversion"/>
  </si>
  <si>
    <t>人時性</t>
    <phoneticPr fontId="4" type="noConversion"/>
  </si>
  <si>
    <t>多次生產數</t>
    <phoneticPr fontId="4" type="noConversion"/>
  </si>
  <si>
    <t>線別</t>
    <phoneticPr fontId="3" type="noConversion"/>
  </si>
  <si>
    <t>品類</t>
    <phoneticPr fontId="4" type="noConversion"/>
  </si>
  <si>
    <t>品名</t>
    <phoneticPr fontId="3" type="noConversion"/>
  </si>
  <si>
    <t>廠價</t>
    <phoneticPr fontId="7" type="noConversion"/>
  </si>
  <si>
    <t>生產量</t>
    <phoneticPr fontId="4" type="noConversion"/>
  </si>
  <si>
    <t>營收</t>
    <phoneticPr fontId="7" type="noConversion"/>
  </si>
  <si>
    <t>多次
生產</t>
    <phoneticPr fontId="4" type="noConversion"/>
  </si>
  <si>
    <t>人數</t>
    <phoneticPr fontId="4" type="noConversion"/>
  </si>
  <si>
    <t>產能/時</t>
    <phoneticPr fontId="4" type="noConversion"/>
  </si>
  <si>
    <t>達成率</t>
    <phoneticPr fontId="4" type="noConversion"/>
  </si>
  <si>
    <t>達成率平均</t>
    <phoneticPr fontId="4" type="noConversion"/>
  </si>
  <si>
    <t>稼動時間/分</t>
    <phoneticPr fontId="4" type="noConversion"/>
  </si>
  <si>
    <t>休息時間</t>
    <phoneticPr fontId="4" type="noConversion"/>
  </si>
  <si>
    <t>(新豐回填)</t>
    <phoneticPr fontId="4" type="noConversion"/>
  </si>
  <si>
    <t>產能/時</t>
    <phoneticPr fontId="4" type="noConversion"/>
  </si>
  <si>
    <t>達成率</t>
    <phoneticPr fontId="4" type="noConversion"/>
  </si>
  <si>
    <t>達成率平均</t>
    <phoneticPr fontId="4" type="noConversion"/>
  </si>
  <si>
    <t>開始</t>
    <phoneticPr fontId="4" type="noConversion"/>
  </si>
  <si>
    <t>結束</t>
    <phoneticPr fontId="4" type="noConversion"/>
  </si>
  <si>
    <t>新豐6線</t>
    <phoneticPr fontId="4" type="noConversion"/>
  </si>
  <si>
    <t>新豐6線</t>
    <phoneticPr fontId="4" type="noConversion"/>
  </si>
  <si>
    <t>平均</t>
    <phoneticPr fontId="4" type="noConversion"/>
  </si>
  <si>
    <t>新豐2線</t>
    <phoneticPr fontId="4" type="noConversion"/>
  </si>
  <si>
    <t>新豐5線</t>
    <phoneticPr fontId="4" type="noConversion"/>
  </si>
  <si>
    <t>新豐7線</t>
    <phoneticPr fontId="4" type="noConversion"/>
  </si>
  <si>
    <t>新豐8線</t>
    <phoneticPr fontId="4" type="noConversion"/>
  </si>
  <si>
    <t>新豐9線</t>
    <phoneticPr fontId="4" type="noConversion"/>
  </si>
  <si>
    <t>新豐3線</t>
    <phoneticPr fontId="4" type="noConversion"/>
  </si>
  <si>
    <t>新豐1線</t>
    <phoneticPr fontId="4" type="noConversion"/>
  </si>
  <si>
    <t>新豐10線</t>
    <phoneticPr fontId="4" type="noConversion"/>
  </si>
  <si>
    <t>新豐4線</t>
    <phoneticPr fontId="4" type="noConversion"/>
  </si>
  <si>
    <t>新豐4線</t>
    <phoneticPr fontId="4" type="noConversion"/>
  </si>
  <si>
    <t>平均</t>
    <phoneticPr fontId="4" type="noConversion"/>
  </si>
  <si>
    <r>
      <t xml:space="preserve">屏榮 </t>
    </r>
    <r>
      <rPr>
        <b/>
        <sz val="26"/>
        <color rgb="FFFF0000"/>
        <rFont val="微軟正黑體"/>
        <family val="2"/>
        <charset val="136"/>
      </rPr>
      <t>新豐廠</t>
    </r>
    <r>
      <rPr>
        <b/>
        <sz val="26"/>
        <color theme="1"/>
        <rFont val="微軟正黑體"/>
        <family val="2"/>
        <charset val="136"/>
      </rPr>
      <t>組合室生產人時性分析</t>
    </r>
    <phoneticPr fontId="3" type="noConversion"/>
  </si>
  <si>
    <t>日期</t>
    <phoneticPr fontId="3" type="noConversion"/>
  </si>
  <si>
    <t>訂單量</t>
    <phoneticPr fontId="3" type="noConversion"/>
  </si>
  <si>
    <t>營業額</t>
    <phoneticPr fontId="3" type="noConversion"/>
  </si>
  <si>
    <t>人時性</t>
    <phoneticPr fontId="3" type="noConversion"/>
  </si>
  <si>
    <t>項目</t>
    <phoneticPr fontId="4" type="noConversion"/>
  </si>
  <si>
    <t>➀</t>
    <phoneticPr fontId="4" type="noConversion"/>
  </si>
  <si>
    <t>➁</t>
    <phoneticPr fontId="4" type="noConversion"/>
  </si>
  <si>
    <t>➂</t>
    <phoneticPr fontId="4" type="noConversion"/>
  </si>
  <si>
    <t>組合室</t>
    <phoneticPr fontId="3" type="noConversion"/>
  </si>
  <si>
    <t>全溫層</t>
    <phoneticPr fontId="3" type="noConversion"/>
  </si>
  <si>
    <t>4度C-各編組展開</t>
    <phoneticPr fontId="3" type="noConversion"/>
  </si>
  <si>
    <t>③三明治-各編組展開</t>
    <phoneticPr fontId="3" type="noConversion"/>
  </si>
  <si>
    <t>※現行日本鮮食廠以達成率80%為基本(即為現行KPI)</t>
    <phoneticPr fontId="4" type="noConversion"/>
  </si>
  <si>
    <t>溫層</t>
    <phoneticPr fontId="3" type="noConversion"/>
  </si>
  <si>
    <t>➁4度C-各編組展開</t>
    <phoneticPr fontId="3" type="noConversion"/>
  </si>
  <si>
    <t>③三明治-各編組展開</t>
    <phoneticPr fontId="4" type="noConversion"/>
  </si>
  <si>
    <t>編組</t>
    <phoneticPr fontId="3" type="noConversion"/>
  </si>
  <si>
    <t>人時性</t>
    <phoneticPr fontId="4" type="noConversion"/>
  </si>
  <si>
    <t>排關</t>
    <phoneticPr fontId="3" type="noConversion"/>
  </si>
  <si>
    <t>實績</t>
    <phoneticPr fontId="3" type="noConversion"/>
  </si>
  <si>
    <t>達成率</t>
    <phoneticPr fontId="3" type="noConversion"/>
  </si>
  <si>
    <t>作業
時間</t>
    <phoneticPr fontId="3" type="noConversion"/>
  </si>
  <si>
    <t>開始</t>
    <phoneticPr fontId="3" type="noConversion"/>
  </si>
  <si>
    <t>結束</t>
    <phoneticPr fontId="3" type="noConversion"/>
  </si>
  <si>
    <t>配置人數</t>
    <phoneticPr fontId="3" type="noConversion"/>
  </si>
  <si>
    <t>主要應用設備</t>
    <phoneticPr fontId="3" type="noConversion"/>
  </si>
  <si>
    <t>L型包裝機</t>
    <phoneticPr fontId="4" type="noConversion"/>
  </si>
  <si>
    <t>三明治包裝機</t>
    <phoneticPr fontId="4" type="noConversion"/>
  </si>
  <si>
    <t>次要應用設備</t>
    <phoneticPr fontId="3" type="noConversion"/>
  </si>
  <si>
    <t>圓盤機</t>
    <phoneticPr fontId="4" type="noConversion"/>
  </si>
  <si>
    <t>備註</t>
    <phoneticPr fontId="3" type="noConversion"/>
  </si>
  <si>
    <t>握沙拉</t>
    <phoneticPr fontId="4" type="noConversion"/>
  </si>
  <si>
    <t>共用L型包裝機</t>
    <phoneticPr fontId="4" type="noConversion"/>
  </si>
  <si>
    <t>炒飯+沙拉</t>
    <phoneticPr fontId="4" type="noConversion"/>
  </si>
  <si>
    <t>調理麵包</t>
    <phoneticPr fontId="4" type="noConversion"/>
  </si>
  <si>
    <t xml:space="preserve">新豐廠四度C日報分析                              </t>
    <phoneticPr fontId="4" type="noConversion"/>
  </si>
  <si>
    <t>總生產量</t>
    <phoneticPr fontId="4" type="noConversion"/>
  </si>
  <si>
    <t>營業額</t>
    <phoneticPr fontId="7" type="noConversion"/>
  </si>
  <si>
    <t>出勤人數</t>
    <phoneticPr fontId="4" type="noConversion"/>
  </si>
  <si>
    <t>產線配置圖</t>
    <phoneticPr fontId="4" type="noConversion"/>
  </si>
  <si>
    <t>生產實績</t>
    <phoneticPr fontId="4" type="noConversion"/>
  </si>
  <si>
    <t>人時性差異分析</t>
    <phoneticPr fontId="4" type="noConversion"/>
  </si>
  <si>
    <t>日報登錄</t>
    <phoneticPr fontId="4" type="noConversion"/>
  </si>
  <si>
    <t>分析說明</t>
    <phoneticPr fontId="4" type="noConversion"/>
  </si>
  <si>
    <t>產能差異分析</t>
    <phoneticPr fontId="4" type="noConversion"/>
  </si>
  <si>
    <t>多次生產數</t>
    <phoneticPr fontId="4" type="noConversion"/>
  </si>
  <si>
    <t>線別</t>
    <phoneticPr fontId="3" type="noConversion"/>
  </si>
  <si>
    <t>品類</t>
    <phoneticPr fontId="4" type="noConversion"/>
  </si>
  <si>
    <t>品名</t>
    <phoneticPr fontId="3" type="noConversion"/>
  </si>
  <si>
    <t>廠價</t>
    <phoneticPr fontId="7" type="noConversion"/>
  </si>
  <si>
    <t>生產量</t>
    <phoneticPr fontId="4" type="noConversion"/>
  </si>
  <si>
    <t>營收</t>
    <phoneticPr fontId="7" type="noConversion"/>
  </si>
  <si>
    <t>多次
生產</t>
    <phoneticPr fontId="4" type="noConversion"/>
  </si>
  <si>
    <t>人數</t>
    <phoneticPr fontId="4" type="noConversion"/>
  </si>
  <si>
    <t>產能/時</t>
    <phoneticPr fontId="4" type="noConversion"/>
  </si>
  <si>
    <t>達成率</t>
    <phoneticPr fontId="4" type="noConversion"/>
  </si>
  <si>
    <t>達成率平均</t>
    <phoneticPr fontId="4" type="noConversion"/>
  </si>
  <si>
    <t>稼動時間/分</t>
    <phoneticPr fontId="4" type="noConversion"/>
  </si>
  <si>
    <t>休息時間</t>
    <phoneticPr fontId="4" type="noConversion"/>
  </si>
  <si>
    <t>(新豐回填)</t>
    <phoneticPr fontId="4" type="noConversion"/>
  </si>
  <si>
    <t>產能/時</t>
    <phoneticPr fontId="4" type="noConversion"/>
  </si>
  <si>
    <t>達成率平均</t>
    <phoneticPr fontId="4" type="noConversion"/>
  </si>
  <si>
    <t>開始</t>
    <phoneticPr fontId="4" type="noConversion"/>
  </si>
  <si>
    <t>結束</t>
    <phoneticPr fontId="4" type="noConversion"/>
  </si>
  <si>
    <t>新豐6線</t>
    <phoneticPr fontId="4" type="noConversion"/>
  </si>
  <si>
    <t>新豐6線</t>
    <phoneticPr fontId="4" type="noConversion"/>
  </si>
  <si>
    <t>平均</t>
    <phoneticPr fontId="4" type="noConversion"/>
  </si>
  <si>
    <t>新豐2線</t>
    <phoneticPr fontId="4" type="noConversion"/>
  </si>
  <si>
    <t>新豐5線</t>
    <phoneticPr fontId="4" type="noConversion"/>
  </si>
  <si>
    <t>新豐7線</t>
    <phoneticPr fontId="4" type="noConversion"/>
  </si>
  <si>
    <t>新豐8線</t>
    <phoneticPr fontId="4" type="noConversion"/>
  </si>
  <si>
    <t>新豐9線</t>
    <phoneticPr fontId="4" type="noConversion"/>
  </si>
  <si>
    <t>新豐3線</t>
    <phoneticPr fontId="4" type="noConversion"/>
  </si>
  <si>
    <t>新豐1線</t>
    <phoneticPr fontId="4" type="noConversion"/>
  </si>
  <si>
    <t>新豐10線</t>
    <phoneticPr fontId="4" type="noConversion"/>
  </si>
  <si>
    <t>新豐4線</t>
    <phoneticPr fontId="4" type="noConversion"/>
  </si>
  <si>
    <t>人時性</t>
    <phoneticPr fontId="4" type="noConversion"/>
  </si>
  <si>
    <t>結束</t>
    <phoneticPr fontId="3" type="noConversion"/>
  </si>
  <si>
    <t>調理麵包</t>
    <phoneticPr fontId="4" type="noConversion"/>
  </si>
  <si>
    <t>調理麵包</t>
    <phoneticPr fontId="4" type="noConversion"/>
  </si>
  <si>
    <t xml:space="preserve">新豐廠四度C日報分析                              </t>
    <phoneticPr fontId="4" type="noConversion"/>
  </si>
  <si>
    <t>總生產量</t>
    <phoneticPr fontId="4" type="noConversion"/>
  </si>
  <si>
    <t>出勤人數</t>
    <phoneticPr fontId="4" type="noConversion"/>
  </si>
  <si>
    <t>生產實績</t>
    <phoneticPr fontId="4" type="noConversion"/>
  </si>
  <si>
    <t>人時性差異分析</t>
    <phoneticPr fontId="4" type="noConversion"/>
  </si>
  <si>
    <t>日報登錄</t>
    <phoneticPr fontId="4" type="noConversion"/>
  </si>
  <si>
    <t>分析說明</t>
    <phoneticPr fontId="4" type="noConversion"/>
  </si>
  <si>
    <t>人時性</t>
    <phoneticPr fontId="4" type="noConversion"/>
  </si>
  <si>
    <t>廠價</t>
    <phoneticPr fontId="7" type="noConversion"/>
  </si>
  <si>
    <t>營收</t>
    <phoneticPr fontId="7" type="noConversion"/>
  </si>
  <si>
    <t>產能/時</t>
    <phoneticPr fontId="4" type="noConversion"/>
  </si>
  <si>
    <t>稼動時間/分</t>
    <phoneticPr fontId="4" type="noConversion"/>
  </si>
  <si>
    <t>開始</t>
    <phoneticPr fontId="4" type="noConversion"/>
  </si>
  <si>
    <t>平均</t>
    <phoneticPr fontId="4" type="noConversion"/>
  </si>
  <si>
    <t>新豐2線</t>
    <phoneticPr fontId="4" type="noConversion"/>
  </si>
  <si>
    <t>新豐5線</t>
    <phoneticPr fontId="4" type="noConversion"/>
  </si>
  <si>
    <t>新豐7線</t>
    <phoneticPr fontId="4" type="noConversion"/>
  </si>
  <si>
    <t>新豐8線</t>
    <phoneticPr fontId="4" type="noConversion"/>
  </si>
  <si>
    <t>新豐9線</t>
    <phoneticPr fontId="4" type="noConversion"/>
  </si>
  <si>
    <t>新豐3線</t>
    <phoneticPr fontId="4" type="noConversion"/>
  </si>
  <si>
    <t>新豐1線</t>
    <phoneticPr fontId="4" type="noConversion"/>
  </si>
  <si>
    <t>新豐10線</t>
    <phoneticPr fontId="4" type="noConversion"/>
  </si>
  <si>
    <t>新豐4線</t>
    <phoneticPr fontId="4" type="noConversion"/>
  </si>
  <si>
    <t>新豐4線</t>
    <phoneticPr fontId="4" type="noConversion"/>
  </si>
  <si>
    <r>
      <t xml:space="preserve">屏榮 </t>
    </r>
    <r>
      <rPr>
        <b/>
        <sz val="26"/>
        <color rgb="FFFF0000"/>
        <rFont val="微軟正黑體"/>
        <family val="2"/>
        <charset val="136"/>
      </rPr>
      <t>新豐廠</t>
    </r>
    <r>
      <rPr>
        <b/>
        <sz val="26"/>
        <color theme="1"/>
        <rFont val="微軟正黑體"/>
        <family val="2"/>
        <charset val="136"/>
      </rPr>
      <t>組合室生產人時性分析</t>
    </r>
    <phoneticPr fontId="3" type="noConversion"/>
  </si>
  <si>
    <t>日期</t>
    <phoneticPr fontId="3" type="noConversion"/>
  </si>
  <si>
    <t>訂單量</t>
    <phoneticPr fontId="3" type="noConversion"/>
  </si>
  <si>
    <t>營業額</t>
    <phoneticPr fontId="3" type="noConversion"/>
  </si>
  <si>
    <t>人時性</t>
    <phoneticPr fontId="3" type="noConversion"/>
  </si>
  <si>
    <t>項目</t>
    <phoneticPr fontId="4" type="noConversion"/>
  </si>
  <si>
    <t>➀</t>
    <phoneticPr fontId="4" type="noConversion"/>
  </si>
  <si>
    <t>➁</t>
    <phoneticPr fontId="4" type="noConversion"/>
  </si>
  <si>
    <t>➂</t>
    <phoneticPr fontId="4" type="noConversion"/>
  </si>
  <si>
    <t>組合室</t>
    <phoneticPr fontId="3" type="noConversion"/>
  </si>
  <si>
    <t>全溫層</t>
    <phoneticPr fontId="3" type="noConversion"/>
  </si>
  <si>
    <t>4度C-各編組展開</t>
    <phoneticPr fontId="3" type="noConversion"/>
  </si>
  <si>
    <t>③三明治-各編組展開</t>
    <phoneticPr fontId="3" type="noConversion"/>
  </si>
  <si>
    <t>※現行日本鮮食廠以達成率80%為基本(即為現行KPI)</t>
    <phoneticPr fontId="4" type="noConversion"/>
  </si>
  <si>
    <t>溫層</t>
    <phoneticPr fontId="3" type="noConversion"/>
  </si>
  <si>
    <t>➁4度C-各編組展開</t>
    <phoneticPr fontId="3" type="noConversion"/>
  </si>
  <si>
    <t>③三明治-各編組展開</t>
    <phoneticPr fontId="4" type="noConversion"/>
  </si>
  <si>
    <t>編組</t>
    <phoneticPr fontId="3" type="noConversion"/>
  </si>
  <si>
    <t>排關</t>
    <phoneticPr fontId="3" type="noConversion"/>
  </si>
  <si>
    <t>實績</t>
    <phoneticPr fontId="3" type="noConversion"/>
  </si>
  <si>
    <t>達成率</t>
    <phoneticPr fontId="3" type="noConversion"/>
  </si>
  <si>
    <t>作業
時間</t>
    <phoneticPr fontId="3" type="noConversion"/>
  </si>
  <si>
    <t>開始</t>
    <phoneticPr fontId="3" type="noConversion"/>
  </si>
  <si>
    <t>配置人數</t>
    <phoneticPr fontId="3" type="noConversion"/>
  </si>
  <si>
    <t>主要應用設備</t>
    <phoneticPr fontId="3" type="noConversion"/>
  </si>
  <si>
    <t>L型包裝機</t>
    <phoneticPr fontId="4" type="noConversion"/>
  </si>
  <si>
    <t>三明治包裝機</t>
    <phoneticPr fontId="4" type="noConversion"/>
  </si>
  <si>
    <t>次要應用設備</t>
    <phoneticPr fontId="3" type="noConversion"/>
  </si>
  <si>
    <t>圓盤機</t>
    <phoneticPr fontId="4" type="noConversion"/>
  </si>
  <si>
    <t>備註</t>
    <phoneticPr fontId="3" type="noConversion"/>
  </si>
  <si>
    <t>握沙拉</t>
    <phoneticPr fontId="4" type="noConversion"/>
  </si>
  <si>
    <t>共用L型包裝機</t>
    <phoneticPr fontId="4" type="noConversion"/>
  </si>
  <si>
    <t>炒飯+沙拉</t>
    <phoneticPr fontId="4" type="noConversion"/>
  </si>
  <si>
    <t>營業額</t>
    <phoneticPr fontId="7" type="noConversion"/>
  </si>
  <si>
    <t>產線配置圖</t>
    <phoneticPr fontId="4" type="noConversion"/>
  </si>
  <si>
    <t>產能差異分析</t>
    <phoneticPr fontId="4" type="noConversion"/>
  </si>
  <si>
    <t>多次生產數</t>
    <phoneticPr fontId="4" type="noConversion"/>
  </si>
  <si>
    <t>線別</t>
    <phoneticPr fontId="3" type="noConversion"/>
  </si>
  <si>
    <t>品類</t>
    <phoneticPr fontId="4" type="noConversion"/>
  </si>
  <si>
    <t>品名</t>
    <phoneticPr fontId="3" type="noConversion"/>
  </si>
  <si>
    <t>生產量</t>
    <phoneticPr fontId="4" type="noConversion"/>
  </si>
  <si>
    <t>多次
生產</t>
    <phoneticPr fontId="4" type="noConversion"/>
  </si>
  <si>
    <t>人數</t>
    <phoneticPr fontId="4" type="noConversion"/>
  </si>
  <si>
    <t>達成率</t>
    <phoneticPr fontId="4" type="noConversion"/>
  </si>
  <si>
    <t>達成率平均</t>
    <phoneticPr fontId="4" type="noConversion"/>
  </si>
  <si>
    <t>休息時間</t>
    <phoneticPr fontId="4" type="noConversion"/>
  </si>
  <si>
    <t>(新豐回填)</t>
    <phoneticPr fontId="4" type="noConversion"/>
  </si>
  <si>
    <t>達成率</t>
    <phoneticPr fontId="4" type="noConversion"/>
  </si>
  <si>
    <t>結束</t>
    <phoneticPr fontId="4" type="noConversion"/>
  </si>
  <si>
    <t>新豐6線</t>
    <phoneticPr fontId="4" type="noConversion"/>
  </si>
  <si>
    <t>新豐6線</t>
    <phoneticPr fontId="4" type="noConversion"/>
  </si>
  <si>
    <t>平均</t>
    <phoneticPr fontId="4" type="noConversion"/>
  </si>
  <si>
    <t>新豐2線</t>
    <phoneticPr fontId="4" type="noConversion"/>
  </si>
  <si>
    <t>新豐7線</t>
    <phoneticPr fontId="4" type="noConversion"/>
  </si>
  <si>
    <t>平均</t>
    <phoneticPr fontId="4" type="noConversion"/>
  </si>
  <si>
    <t>新豐10線</t>
    <phoneticPr fontId="4" type="noConversion"/>
  </si>
  <si>
    <t>新豐4線</t>
    <phoneticPr fontId="4" type="noConversion"/>
  </si>
  <si>
    <r>
      <t xml:space="preserve">屏榮 </t>
    </r>
    <r>
      <rPr>
        <b/>
        <sz val="26"/>
        <color rgb="FFFF0000"/>
        <rFont val="微軟正黑體"/>
        <family val="2"/>
        <charset val="136"/>
      </rPr>
      <t>新豐廠</t>
    </r>
    <r>
      <rPr>
        <b/>
        <sz val="26"/>
        <color theme="1"/>
        <rFont val="微軟正黑體"/>
        <family val="2"/>
        <charset val="136"/>
      </rPr>
      <t>組合室生產人時性分析</t>
    </r>
    <phoneticPr fontId="3" type="noConversion"/>
  </si>
  <si>
    <t>日期</t>
    <phoneticPr fontId="3" type="noConversion"/>
  </si>
  <si>
    <t>訂單量</t>
    <phoneticPr fontId="3" type="noConversion"/>
  </si>
  <si>
    <t>人時性</t>
    <phoneticPr fontId="3" type="noConversion"/>
  </si>
  <si>
    <t>項目</t>
    <phoneticPr fontId="4" type="noConversion"/>
  </si>
  <si>
    <t>➂</t>
    <phoneticPr fontId="4" type="noConversion"/>
  </si>
  <si>
    <t>組合室</t>
    <phoneticPr fontId="3" type="noConversion"/>
  </si>
  <si>
    <t>全溫層</t>
    <phoneticPr fontId="3" type="noConversion"/>
  </si>
  <si>
    <t>4度C-各編組展開</t>
    <phoneticPr fontId="3" type="noConversion"/>
  </si>
  <si>
    <t>③三明治-各編組展開</t>
    <phoneticPr fontId="3" type="noConversion"/>
  </si>
  <si>
    <t>※現行日本鮮食廠以達成率80%為基本(即為現行KPI)</t>
    <phoneticPr fontId="4" type="noConversion"/>
  </si>
  <si>
    <t>➁4度C-各編組展開</t>
    <phoneticPr fontId="3" type="noConversion"/>
  </si>
  <si>
    <t>編組</t>
    <phoneticPr fontId="3" type="noConversion"/>
  </si>
  <si>
    <t>人時性</t>
    <phoneticPr fontId="4" type="noConversion"/>
  </si>
  <si>
    <t>排關</t>
    <phoneticPr fontId="3" type="noConversion"/>
  </si>
  <si>
    <t>實績</t>
    <phoneticPr fontId="3" type="noConversion"/>
  </si>
  <si>
    <t>達成率</t>
    <phoneticPr fontId="3" type="noConversion"/>
  </si>
  <si>
    <t>作業
時間</t>
    <phoneticPr fontId="3" type="noConversion"/>
  </si>
  <si>
    <t>開始</t>
    <phoneticPr fontId="3" type="noConversion"/>
  </si>
  <si>
    <t>結束</t>
    <phoneticPr fontId="3" type="noConversion"/>
  </si>
  <si>
    <t>配置人數</t>
    <phoneticPr fontId="3" type="noConversion"/>
  </si>
  <si>
    <t>L型包裝機</t>
    <phoneticPr fontId="4" type="noConversion"/>
  </si>
  <si>
    <t>L型包裝機</t>
    <phoneticPr fontId="4" type="noConversion"/>
  </si>
  <si>
    <t>三明治包裝機</t>
    <phoneticPr fontId="4" type="noConversion"/>
  </si>
  <si>
    <t>圓盤機</t>
    <phoneticPr fontId="4" type="noConversion"/>
  </si>
  <si>
    <t>備註</t>
    <phoneticPr fontId="3" type="noConversion"/>
  </si>
  <si>
    <t>握沙拉</t>
    <phoneticPr fontId="4" type="noConversion"/>
  </si>
  <si>
    <t>共用L型包裝機</t>
    <phoneticPr fontId="4" type="noConversion"/>
  </si>
  <si>
    <t>炒飯+沙拉</t>
    <phoneticPr fontId="4" type="noConversion"/>
  </si>
  <si>
    <t>調理麵包</t>
    <phoneticPr fontId="4" type="noConversion"/>
  </si>
  <si>
    <t>稼動時間/分</t>
    <phoneticPr fontId="4" type="noConversion"/>
  </si>
  <si>
    <t>休息時間</t>
    <phoneticPr fontId="4" type="noConversion"/>
  </si>
  <si>
    <t>(新豐回填)</t>
    <phoneticPr fontId="4" type="noConversion"/>
  </si>
  <si>
    <t>產能/時</t>
    <phoneticPr fontId="4" type="noConversion"/>
  </si>
  <si>
    <t>達成率平均</t>
    <phoneticPr fontId="4" type="noConversion"/>
  </si>
  <si>
    <t>開始</t>
    <phoneticPr fontId="4" type="noConversion"/>
  </si>
  <si>
    <t>結束</t>
    <phoneticPr fontId="4" type="noConversion"/>
  </si>
  <si>
    <t>新豐6線</t>
    <phoneticPr fontId="4" type="noConversion"/>
  </si>
  <si>
    <t>二配泰式綠咖哩雞</t>
  </si>
  <si>
    <t>二配粗飽系雞排炒飯(114年)</t>
  </si>
  <si>
    <r>
      <t xml:space="preserve">屏榮 </t>
    </r>
    <r>
      <rPr>
        <b/>
        <sz val="26"/>
        <color rgb="FFFF0000"/>
        <rFont val="微軟正黑體"/>
        <family val="2"/>
        <charset val="136"/>
      </rPr>
      <t>新豐廠</t>
    </r>
    <r>
      <rPr>
        <b/>
        <sz val="26"/>
        <color theme="1"/>
        <rFont val="微軟正黑體"/>
        <family val="2"/>
        <charset val="136"/>
      </rPr>
      <t>組合室生產人時性分析</t>
    </r>
    <phoneticPr fontId="3" type="noConversion"/>
  </si>
  <si>
    <t>日期</t>
    <phoneticPr fontId="3" type="noConversion"/>
  </si>
  <si>
    <t>訂單量</t>
    <phoneticPr fontId="3" type="noConversion"/>
  </si>
  <si>
    <t>營業額</t>
    <phoneticPr fontId="3" type="noConversion"/>
  </si>
  <si>
    <t>人時性</t>
    <phoneticPr fontId="3" type="noConversion"/>
  </si>
  <si>
    <t>項目</t>
    <phoneticPr fontId="4" type="noConversion"/>
  </si>
  <si>
    <t>➀</t>
    <phoneticPr fontId="4" type="noConversion"/>
  </si>
  <si>
    <t>➁</t>
    <phoneticPr fontId="4" type="noConversion"/>
  </si>
  <si>
    <t>➂</t>
    <phoneticPr fontId="4" type="noConversion"/>
  </si>
  <si>
    <t>組合室</t>
    <phoneticPr fontId="3" type="noConversion"/>
  </si>
  <si>
    <t>全溫層</t>
    <phoneticPr fontId="3" type="noConversion"/>
  </si>
  <si>
    <t>4度C-各編組展開</t>
    <phoneticPr fontId="3" type="noConversion"/>
  </si>
  <si>
    <t>③三明治-各編組展開</t>
    <phoneticPr fontId="3" type="noConversion"/>
  </si>
  <si>
    <t>※現行日本鮮食廠以達成率80%為基本(即為現行KPI)</t>
    <phoneticPr fontId="4" type="noConversion"/>
  </si>
  <si>
    <t>溫層</t>
    <phoneticPr fontId="3" type="noConversion"/>
  </si>
  <si>
    <t>➁4度C-各編組展開</t>
    <phoneticPr fontId="3" type="noConversion"/>
  </si>
  <si>
    <t>③三明治-各編組展開</t>
    <phoneticPr fontId="4" type="noConversion"/>
  </si>
  <si>
    <t>編組</t>
    <phoneticPr fontId="3" type="noConversion"/>
  </si>
  <si>
    <t>人時性</t>
    <phoneticPr fontId="4" type="noConversion"/>
  </si>
  <si>
    <t>排關</t>
    <phoneticPr fontId="3" type="noConversion"/>
  </si>
  <si>
    <t>實績</t>
    <phoneticPr fontId="3" type="noConversion"/>
  </si>
  <si>
    <t>達成率</t>
    <phoneticPr fontId="3" type="noConversion"/>
  </si>
  <si>
    <t>作業
時間</t>
    <phoneticPr fontId="3" type="noConversion"/>
  </si>
  <si>
    <t>開始</t>
    <phoneticPr fontId="3" type="noConversion"/>
  </si>
  <si>
    <t>結束</t>
    <phoneticPr fontId="3" type="noConversion"/>
  </si>
  <si>
    <t>配置人數</t>
    <phoneticPr fontId="3" type="noConversion"/>
  </si>
  <si>
    <t>主要應用設備</t>
    <phoneticPr fontId="3" type="noConversion"/>
  </si>
  <si>
    <t>L型包裝機</t>
    <phoneticPr fontId="4" type="noConversion"/>
  </si>
  <si>
    <t>三明治包裝機</t>
    <phoneticPr fontId="4" type="noConversion"/>
  </si>
  <si>
    <t>次要應用設備</t>
    <phoneticPr fontId="3" type="noConversion"/>
  </si>
  <si>
    <t>圓盤機</t>
    <phoneticPr fontId="4" type="noConversion"/>
  </si>
  <si>
    <t>備註</t>
    <phoneticPr fontId="3" type="noConversion"/>
  </si>
  <si>
    <t>握沙拉</t>
    <phoneticPr fontId="4" type="noConversion"/>
  </si>
  <si>
    <t>共用L型包裝機</t>
    <phoneticPr fontId="4" type="noConversion"/>
  </si>
  <si>
    <t>調理麵包</t>
    <phoneticPr fontId="4" type="noConversion"/>
  </si>
  <si>
    <t>炒飯+沙拉</t>
    <phoneticPr fontId="4" type="noConversion"/>
  </si>
  <si>
    <t>調理麵包</t>
    <phoneticPr fontId="4" type="noConversion"/>
  </si>
  <si>
    <t>營業額</t>
    <phoneticPr fontId="7" type="noConversion"/>
  </si>
  <si>
    <t>出勤人數</t>
    <phoneticPr fontId="4" type="noConversion"/>
  </si>
  <si>
    <t>產線配置圖</t>
    <phoneticPr fontId="4" type="noConversion"/>
  </si>
  <si>
    <t>生產實績</t>
    <phoneticPr fontId="4" type="noConversion"/>
  </si>
  <si>
    <t>日報登錄</t>
    <phoneticPr fontId="4" type="noConversion"/>
  </si>
  <si>
    <t>多次生產數</t>
    <phoneticPr fontId="4" type="noConversion"/>
  </si>
  <si>
    <t>廠價</t>
    <phoneticPr fontId="7" type="noConversion"/>
  </si>
  <si>
    <t>營收</t>
    <phoneticPr fontId="7" type="noConversion"/>
  </si>
  <si>
    <t>人時性</t>
    <phoneticPr fontId="4" type="noConversion"/>
  </si>
  <si>
    <t>人數</t>
    <phoneticPr fontId="4" type="noConversion"/>
  </si>
  <si>
    <t>達成率</t>
    <phoneticPr fontId="4" type="noConversion"/>
  </si>
  <si>
    <t>達成率平均</t>
    <phoneticPr fontId="4" type="noConversion"/>
  </si>
  <si>
    <t>產能/時</t>
    <phoneticPr fontId="4" type="noConversion"/>
  </si>
  <si>
    <t>結束</t>
    <phoneticPr fontId="4" type="noConversion"/>
  </si>
  <si>
    <t>新豐6線</t>
    <phoneticPr fontId="4" type="noConversion"/>
  </si>
  <si>
    <t>新豐6線</t>
    <phoneticPr fontId="4" type="noConversion"/>
  </si>
  <si>
    <t>新豐2線</t>
    <phoneticPr fontId="4" type="noConversion"/>
  </si>
  <si>
    <t>平均</t>
    <phoneticPr fontId="4" type="noConversion"/>
  </si>
  <si>
    <t>新豐5線</t>
    <phoneticPr fontId="4" type="noConversion"/>
  </si>
  <si>
    <t>新豐5線</t>
    <phoneticPr fontId="4" type="noConversion"/>
  </si>
  <si>
    <t>新豐7線</t>
    <phoneticPr fontId="4" type="noConversion"/>
  </si>
  <si>
    <t>新豐8線</t>
    <phoneticPr fontId="4" type="noConversion"/>
  </si>
  <si>
    <t>新豐9線</t>
    <phoneticPr fontId="4" type="noConversion"/>
  </si>
  <si>
    <t>新豐3線</t>
    <phoneticPr fontId="4" type="noConversion"/>
  </si>
  <si>
    <t>新豐1線</t>
    <phoneticPr fontId="4" type="noConversion"/>
  </si>
  <si>
    <t>新豐10線</t>
    <phoneticPr fontId="4" type="noConversion"/>
  </si>
  <si>
    <r>
      <t xml:space="preserve">屏榮 </t>
    </r>
    <r>
      <rPr>
        <b/>
        <sz val="26"/>
        <color rgb="FFFF0000"/>
        <rFont val="微軟正黑體"/>
        <family val="2"/>
        <charset val="136"/>
      </rPr>
      <t>新豐廠</t>
    </r>
    <r>
      <rPr>
        <b/>
        <sz val="26"/>
        <color theme="1"/>
        <rFont val="微軟正黑體"/>
        <family val="2"/>
        <charset val="136"/>
      </rPr>
      <t>組合室生產人時性分析</t>
    </r>
    <phoneticPr fontId="3" type="noConversion"/>
  </si>
  <si>
    <t>日期</t>
    <phoneticPr fontId="3" type="noConversion"/>
  </si>
  <si>
    <t>訂單量</t>
    <phoneticPr fontId="3" type="noConversion"/>
  </si>
  <si>
    <t>營業額</t>
    <phoneticPr fontId="3" type="noConversion"/>
  </si>
  <si>
    <t>人時性</t>
    <phoneticPr fontId="3" type="noConversion"/>
  </si>
  <si>
    <t>項目</t>
    <phoneticPr fontId="4" type="noConversion"/>
  </si>
  <si>
    <t>➀</t>
    <phoneticPr fontId="4" type="noConversion"/>
  </si>
  <si>
    <t>➁</t>
    <phoneticPr fontId="4" type="noConversion"/>
  </si>
  <si>
    <t>➂</t>
    <phoneticPr fontId="4" type="noConversion"/>
  </si>
  <si>
    <t>組合室</t>
    <phoneticPr fontId="3" type="noConversion"/>
  </si>
  <si>
    <t>全溫層</t>
    <phoneticPr fontId="3" type="noConversion"/>
  </si>
  <si>
    <t>4度C-各編組展開</t>
    <phoneticPr fontId="3" type="noConversion"/>
  </si>
  <si>
    <t>③三明治-各編組展開</t>
    <phoneticPr fontId="3" type="noConversion"/>
  </si>
  <si>
    <t>※現行日本鮮食廠以達成率80%為基本(即為現行KPI)</t>
    <phoneticPr fontId="4" type="noConversion"/>
  </si>
  <si>
    <t>溫層</t>
    <phoneticPr fontId="3" type="noConversion"/>
  </si>
  <si>
    <t>➁4度C-各編組展開</t>
    <phoneticPr fontId="3" type="noConversion"/>
  </si>
  <si>
    <t>③三明治-各編組展開</t>
    <phoneticPr fontId="4" type="noConversion"/>
  </si>
  <si>
    <t>編組</t>
    <phoneticPr fontId="3" type="noConversion"/>
  </si>
  <si>
    <t>人時性</t>
    <phoneticPr fontId="4" type="noConversion"/>
  </si>
  <si>
    <t>排關</t>
    <phoneticPr fontId="3" type="noConversion"/>
  </si>
  <si>
    <t>實績</t>
    <phoneticPr fontId="3" type="noConversion"/>
  </si>
  <si>
    <t>達成率</t>
    <phoneticPr fontId="3" type="noConversion"/>
  </si>
  <si>
    <t>作業
時間</t>
    <phoneticPr fontId="3" type="noConversion"/>
  </si>
  <si>
    <t>開始</t>
    <phoneticPr fontId="3" type="noConversion"/>
  </si>
  <si>
    <t>結束</t>
    <phoneticPr fontId="3" type="noConversion"/>
  </si>
  <si>
    <t>配置人數</t>
    <phoneticPr fontId="3" type="noConversion"/>
  </si>
  <si>
    <t>主要應用設備</t>
    <phoneticPr fontId="3" type="noConversion"/>
  </si>
  <si>
    <t>L型包裝機</t>
    <phoneticPr fontId="4" type="noConversion"/>
  </si>
  <si>
    <t>三明治包裝機</t>
    <phoneticPr fontId="4" type="noConversion"/>
  </si>
  <si>
    <t>次要應用設備</t>
    <phoneticPr fontId="3" type="noConversion"/>
  </si>
  <si>
    <t>圓盤機</t>
    <phoneticPr fontId="4" type="noConversion"/>
  </si>
  <si>
    <t>備註</t>
    <phoneticPr fontId="3" type="noConversion"/>
  </si>
  <si>
    <t>握沙拉</t>
    <phoneticPr fontId="4" type="noConversion"/>
  </si>
  <si>
    <t>共用L型包裝機</t>
    <phoneticPr fontId="4" type="noConversion"/>
  </si>
  <si>
    <t>調理麵包</t>
    <phoneticPr fontId="4" type="noConversion"/>
  </si>
  <si>
    <t>炒飯+沙拉</t>
    <phoneticPr fontId="4" type="noConversion"/>
  </si>
  <si>
    <t xml:space="preserve">新豐廠四度C日報分析                              </t>
    <phoneticPr fontId="4" type="noConversion"/>
  </si>
  <si>
    <t>總生產量</t>
    <phoneticPr fontId="4" type="noConversion"/>
  </si>
  <si>
    <t>營業額</t>
    <phoneticPr fontId="7" type="noConversion"/>
  </si>
  <si>
    <t>出勤人數</t>
    <phoneticPr fontId="4" type="noConversion"/>
  </si>
  <si>
    <t>產線配置圖</t>
    <phoneticPr fontId="4" type="noConversion"/>
  </si>
  <si>
    <t>生產實績</t>
    <phoneticPr fontId="4" type="noConversion"/>
  </si>
  <si>
    <t>人時性差異分析</t>
    <phoneticPr fontId="4" type="noConversion"/>
  </si>
  <si>
    <t>日報登錄</t>
    <phoneticPr fontId="4" type="noConversion"/>
  </si>
  <si>
    <t>產能差異分析</t>
    <phoneticPr fontId="4" type="noConversion"/>
  </si>
  <si>
    <t>多次生產數</t>
    <phoneticPr fontId="4" type="noConversion"/>
  </si>
  <si>
    <t>線別</t>
    <phoneticPr fontId="3" type="noConversion"/>
  </si>
  <si>
    <t>品類</t>
    <phoneticPr fontId="4" type="noConversion"/>
  </si>
  <si>
    <t>品名</t>
    <phoneticPr fontId="3" type="noConversion"/>
  </si>
  <si>
    <t>廠價</t>
    <phoneticPr fontId="7" type="noConversion"/>
  </si>
  <si>
    <t>生產量</t>
    <phoneticPr fontId="4" type="noConversion"/>
  </si>
  <si>
    <t>營收</t>
    <phoneticPr fontId="7" type="noConversion"/>
  </si>
  <si>
    <t>多次
生產</t>
    <phoneticPr fontId="4" type="noConversion"/>
  </si>
  <si>
    <t>人數</t>
    <phoneticPr fontId="4" type="noConversion"/>
  </si>
  <si>
    <t>產能/時</t>
    <phoneticPr fontId="4" type="noConversion"/>
  </si>
  <si>
    <t>產能/時</t>
    <phoneticPr fontId="4" type="noConversion"/>
  </si>
  <si>
    <t>人數</t>
    <phoneticPr fontId="4" type="noConversion"/>
  </si>
  <si>
    <t>達成率</t>
    <phoneticPr fontId="4" type="noConversion"/>
  </si>
  <si>
    <t>稼動時間/分</t>
    <phoneticPr fontId="4" type="noConversion"/>
  </si>
  <si>
    <t>休息時間</t>
    <phoneticPr fontId="4" type="noConversion"/>
  </si>
  <si>
    <t>(新豐回填)</t>
    <phoneticPr fontId="4" type="noConversion"/>
  </si>
  <si>
    <t>產能/時</t>
    <phoneticPr fontId="4" type="noConversion"/>
  </si>
  <si>
    <t>達成率平均</t>
    <phoneticPr fontId="4" type="noConversion"/>
  </si>
  <si>
    <t>開始</t>
    <phoneticPr fontId="4" type="noConversion"/>
  </si>
  <si>
    <t>結束</t>
    <phoneticPr fontId="4" type="noConversion"/>
  </si>
  <si>
    <t>新豐6線</t>
    <phoneticPr fontId="4" type="noConversion"/>
  </si>
  <si>
    <t>新豐6線</t>
    <phoneticPr fontId="4" type="noConversion"/>
  </si>
  <si>
    <t>平均</t>
    <phoneticPr fontId="4" type="noConversion"/>
  </si>
  <si>
    <t>新豐2線</t>
    <phoneticPr fontId="4" type="noConversion"/>
  </si>
  <si>
    <t>新豐2線</t>
    <phoneticPr fontId="4" type="noConversion"/>
  </si>
  <si>
    <t>新豐5線</t>
    <phoneticPr fontId="4" type="noConversion"/>
  </si>
  <si>
    <t>新豐7線</t>
    <phoneticPr fontId="4" type="noConversion"/>
  </si>
  <si>
    <t>新豐8線</t>
    <phoneticPr fontId="4" type="noConversion"/>
  </si>
  <si>
    <t>雞蛋沙拉三明治(114年)</t>
  </si>
  <si>
    <t>新豐9線</t>
    <phoneticPr fontId="4" type="noConversion"/>
  </si>
  <si>
    <t>新豐3線</t>
    <phoneticPr fontId="4" type="noConversion"/>
  </si>
  <si>
    <t>排骨雞起司炒麵麵包</t>
  </si>
  <si>
    <t>新豐1線</t>
    <phoneticPr fontId="4" type="noConversion"/>
  </si>
  <si>
    <t>新豐10線</t>
    <phoneticPr fontId="4" type="noConversion"/>
  </si>
  <si>
    <t>新豐10線</t>
    <phoneticPr fontId="4" type="noConversion"/>
  </si>
  <si>
    <t>經典美式起司巨牛堡</t>
  </si>
  <si>
    <t>平均</t>
    <phoneticPr fontId="4" type="noConversion"/>
  </si>
  <si>
    <t>新豐4線</t>
    <phoneticPr fontId="4" type="noConversion"/>
  </si>
  <si>
    <r>
      <t xml:space="preserve">屏榮 </t>
    </r>
    <r>
      <rPr>
        <b/>
        <sz val="26"/>
        <color rgb="FFFF0000"/>
        <rFont val="微軟正黑體"/>
        <family val="2"/>
        <charset val="136"/>
      </rPr>
      <t>新豐廠</t>
    </r>
    <r>
      <rPr>
        <b/>
        <sz val="26"/>
        <color theme="1"/>
        <rFont val="微軟正黑體"/>
        <family val="2"/>
        <charset val="136"/>
      </rPr>
      <t>組合室生產人時性分析</t>
    </r>
    <phoneticPr fontId="3" type="noConversion"/>
  </si>
  <si>
    <t>日期</t>
    <phoneticPr fontId="3" type="noConversion"/>
  </si>
  <si>
    <t>訂單量</t>
    <phoneticPr fontId="3" type="noConversion"/>
  </si>
  <si>
    <t>營業額</t>
    <phoneticPr fontId="3" type="noConversion"/>
  </si>
  <si>
    <t>人時性</t>
    <phoneticPr fontId="3" type="noConversion"/>
  </si>
  <si>
    <t>項目</t>
    <phoneticPr fontId="4" type="noConversion"/>
  </si>
  <si>
    <t>➀</t>
    <phoneticPr fontId="4" type="noConversion"/>
  </si>
  <si>
    <t>➁</t>
    <phoneticPr fontId="4" type="noConversion"/>
  </si>
  <si>
    <t>組合室</t>
    <phoneticPr fontId="3" type="noConversion"/>
  </si>
  <si>
    <t>全溫層</t>
    <phoneticPr fontId="3" type="noConversion"/>
  </si>
  <si>
    <t>4度C-各編組展開</t>
    <phoneticPr fontId="3" type="noConversion"/>
  </si>
  <si>
    <t>③三明治-各編組展開</t>
    <phoneticPr fontId="3" type="noConversion"/>
  </si>
  <si>
    <t>※現行日本鮮食廠以達成率80%為基本(即為現行KPI)</t>
    <phoneticPr fontId="4" type="noConversion"/>
  </si>
  <si>
    <t>溫層</t>
    <phoneticPr fontId="3" type="noConversion"/>
  </si>
  <si>
    <t>➁4度C-各編組展開</t>
    <phoneticPr fontId="3" type="noConversion"/>
  </si>
  <si>
    <t>③三明治-各編組展開</t>
    <phoneticPr fontId="4" type="noConversion"/>
  </si>
  <si>
    <t>編組</t>
    <phoneticPr fontId="3" type="noConversion"/>
  </si>
  <si>
    <t>人時性</t>
    <phoneticPr fontId="4" type="noConversion"/>
  </si>
  <si>
    <t>排關</t>
    <phoneticPr fontId="3" type="noConversion"/>
  </si>
  <si>
    <t>實績</t>
    <phoneticPr fontId="3" type="noConversion"/>
  </si>
  <si>
    <t>達成率</t>
    <phoneticPr fontId="3" type="noConversion"/>
  </si>
  <si>
    <t>作業
時間</t>
    <phoneticPr fontId="3" type="noConversion"/>
  </si>
  <si>
    <t>開始</t>
    <phoneticPr fontId="3" type="noConversion"/>
  </si>
  <si>
    <t>結束</t>
    <phoneticPr fontId="3" type="noConversion"/>
  </si>
  <si>
    <t>主要應用設備</t>
    <phoneticPr fontId="3" type="noConversion"/>
  </si>
  <si>
    <t>L型包裝機</t>
    <phoneticPr fontId="4" type="noConversion"/>
  </si>
  <si>
    <t>L型包裝機</t>
    <phoneticPr fontId="4" type="noConversion"/>
  </si>
  <si>
    <t>三明治包裝機</t>
    <phoneticPr fontId="4" type="noConversion"/>
  </si>
  <si>
    <t>三明治包裝機</t>
    <phoneticPr fontId="4" type="noConversion"/>
  </si>
  <si>
    <t>次要應用設備</t>
    <phoneticPr fontId="3" type="noConversion"/>
  </si>
  <si>
    <t>圓盤機</t>
    <phoneticPr fontId="4" type="noConversion"/>
  </si>
  <si>
    <t>備註</t>
    <phoneticPr fontId="3" type="noConversion"/>
  </si>
  <si>
    <t>共用L型包裝機</t>
    <phoneticPr fontId="4" type="noConversion"/>
  </si>
  <si>
    <t>調理麵包</t>
    <phoneticPr fontId="4" type="noConversion"/>
  </si>
  <si>
    <t>炒飯+沙拉</t>
    <phoneticPr fontId="4" type="noConversion"/>
  </si>
  <si>
    <t xml:space="preserve">新豐廠四度C日報分析                              </t>
    <phoneticPr fontId="4" type="noConversion"/>
  </si>
  <si>
    <t>總生產量</t>
    <phoneticPr fontId="4" type="noConversion"/>
  </si>
  <si>
    <t>營業額</t>
    <phoneticPr fontId="7" type="noConversion"/>
  </si>
  <si>
    <t>出勤人數</t>
    <phoneticPr fontId="4" type="noConversion"/>
  </si>
  <si>
    <t>產線配置圖</t>
    <phoneticPr fontId="4" type="noConversion"/>
  </si>
  <si>
    <t>生產實績</t>
    <phoneticPr fontId="4" type="noConversion"/>
  </si>
  <si>
    <t>人時性差異分析</t>
    <phoneticPr fontId="4" type="noConversion"/>
  </si>
  <si>
    <t>日報登錄</t>
    <phoneticPr fontId="4" type="noConversion"/>
  </si>
  <si>
    <t>分析說明</t>
    <phoneticPr fontId="4" type="noConversion"/>
  </si>
  <si>
    <t>產能差異分析</t>
    <phoneticPr fontId="4" type="noConversion"/>
  </si>
  <si>
    <t>人時性</t>
    <phoneticPr fontId="4" type="noConversion"/>
  </si>
  <si>
    <t>多次生產數</t>
    <phoneticPr fontId="4" type="noConversion"/>
  </si>
  <si>
    <t>線別</t>
    <phoneticPr fontId="3" type="noConversion"/>
  </si>
  <si>
    <t>品類</t>
    <phoneticPr fontId="4" type="noConversion"/>
  </si>
  <si>
    <t>品名</t>
    <phoneticPr fontId="3" type="noConversion"/>
  </si>
  <si>
    <t>廠價</t>
    <phoneticPr fontId="7" type="noConversion"/>
  </si>
  <si>
    <t>生產量</t>
    <phoneticPr fontId="4" type="noConversion"/>
  </si>
  <si>
    <t>營收</t>
    <phoneticPr fontId="7" type="noConversion"/>
  </si>
  <si>
    <t>多次
生產</t>
    <phoneticPr fontId="4" type="noConversion"/>
  </si>
  <si>
    <t>人數</t>
    <phoneticPr fontId="4" type="noConversion"/>
  </si>
  <si>
    <t>產能/時</t>
    <phoneticPr fontId="4" type="noConversion"/>
  </si>
  <si>
    <t>達成率</t>
    <phoneticPr fontId="4" type="noConversion"/>
  </si>
  <si>
    <t>達成率平均</t>
    <phoneticPr fontId="4" type="noConversion"/>
  </si>
  <si>
    <t>稼動時間/分</t>
    <phoneticPr fontId="4" type="noConversion"/>
  </si>
  <si>
    <t>休息時間</t>
    <phoneticPr fontId="4" type="noConversion"/>
  </si>
  <si>
    <t>(新豐回填)</t>
    <phoneticPr fontId="4" type="noConversion"/>
  </si>
  <si>
    <t>開始</t>
    <phoneticPr fontId="4" type="noConversion"/>
  </si>
  <si>
    <t>結束</t>
    <phoneticPr fontId="4" type="noConversion"/>
  </si>
  <si>
    <t>新豐6線</t>
    <phoneticPr fontId="4" type="noConversion"/>
  </si>
  <si>
    <t>新豐6線</t>
    <phoneticPr fontId="4" type="noConversion"/>
  </si>
  <si>
    <t>新豐6線</t>
    <phoneticPr fontId="4" type="noConversion"/>
  </si>
  <si>
    <t>平均</t>
    <phoneticPr fontId="4" type="noConversion"/>
  </si>
  <si>
    <t>新豐2線</t>
    <phoneticPr fontId="4" type="noConversion"/>
  </si>
  <si>
    <t>新豐5線</t>
    <phoneticPr fontId="4" type="noConversion"/>
  </si>
  <si>
    <t>新豐5線</t>
    <phoneticPr fontId="4" type="noConversion"/>
  </si>
  <si>
    <t>新豐7線</t>
    <phoneticPr fontId="4" type="noConversion"/>
  </si>
  <si>
    <t>新豐7線</t>
    <phoneticPr fontId="4" type="noConversion"/>
  </si>
  <si>
    <t>新豐8線</t>
    <phoneticPr fontId="4" type="noConversion"/>
  </si>
  <si>
    <t>新豐8線</t>
    <phoneticPr fontId="4" type="noConversion"/>
  </si>
  <si>
    <t>新豐9線</t>
    <phoneticPr fontId="4" type="noConversion"/>
  </si>
  <si>
    <t>新豐9線</t>
    <phoneticPr fontId="4" type="noConversion"/>
  </si>
  <si>
    <t>平均</t>
    <phoneticPr fontId="4" type="noConversion"/>
  </si>
  <si>
    <t>新豐3線</t>
    <phoneticPr fontId="4" type="noConversion"/>
  </si>
  <si>
    <t>新豐1線</t>
    <phoneticPr fontId="4" type="noConversion"/>
  </si>
  <si>
    <t>新豐10線</t>
    <phoneticPr fontId="4" type="noConversion"/>
  </si>
  <si>
    <t>新豐4線</t>
    <phoneticPr fontId="4" type="noConversion"/>
  </si>
  <si>
    <r>
      <t xml:space="preserve">屏榮 </t>
    </r>
    <r>
      <rPr>
        <b/>
        <sz val="26"/>
        <color rgb="FFFF0000"/>
        <rFont val="微軟正黑體"/>
        <family val="2"/>
        <charset val="136"/>
      </rPr>
      <t>新豐廠</t>
    </r>
    <r>
      <rPr>
        <b/>
        <sz val="26"/>
        <color theme="1"/>
        <rFont val="微軟正黑體"/>
        <family val="2"/>
        <charset val="136"/>
      </rPr>
      <t>組合室生產人時性分析</t>
    </r>
    <phoneticPr fontId="3" type="noConversion"/>
  </si>
  <si>
    <t>日期</t>
    <phoneticPr fontId="3" type="noConversion"/>
  </si>
  <si>
    <t>訂單量</t>
    <phoneticPr fontId="3" type="noConversion"/>
  </si>
  <si>
    <t>營業額</t>
    <phoneticPr fontId="3" type="noConversion"/>
  </si>
  <si>
    <t>人時性</t>
    <phoneticPr fontId="3" type="noConversion"/>
  </si>
  <si>
    <t>項目</t>
    <phoneticPr fontId="4" type="noConversion"/>
  </si>
  <si>
    <t>➀</t>
    <phoneticPr fontId="4" type="noConversion"/>
  </si>
  <si>
    <t>➁</t>
    <phoneticPr fontId="4" type="noConversion"/>
  </si>
  <si>
    <t>組合室</t>
    <phoneticPr fontId="3" type="noConversion"/>
  </si>
  <si>
    <t>全溫層</t>
    <phoneticPr fontId="3" type="noConversion"/>
  </si>
  <si>
    <t>4度C-各編組展開</t>
    <phoneticPr fontId="3" type="noConversion"/>
  </si>
  <si>
    <t>③三明治-各編組展開</t>
    <phoneticPr fontId="3" type="noConversion"/>
  </si>
  <si>
    <t>※現行日本鮮食廠以達成率80%為基本(即為現行KPI)</t>
    <phoneticPr fontId="4" type="noConversion"/>
  </si>
  <si>
    <t>溫層</t>
    <phoneticPr fontId="3" type="noConversion"/>
  </si>
  <si>
    <t>➁4度C-各編組展開</t>
    <phoneticPr fontId="3" type="noConversion"/>
  </si>
  <si>
    <t>③三明治-各編組展開</t>
    <phoneticPr fontId="4" type="noConversion"/>
  </si>
  <si>
    <t>編組</t>
    <phoneticPr fontId="3" type="noConversion"/>
  </si>
  <si>
    <t>人時性</t>
    <phoneticPr fontId="4" type="noConversion"/>
  </si>
  <si>
    <t>排關</t>
    <phoneticPr fontId="3" type="noConversion"/>
  </si>
  <si>
    <t>實績</t>
    <phoneticPr fontId="3" type="noConversion"/>
  </si>
  <si>
    <t>達成率</t>
    <phoneticPr fontId="3" type="noConversion"/>
  </si>
  <si>
    <t>作業
時間</t>
    <phoneticPr fontId="3" type="noConversion"/>
  </si>
  <si>
    <t>開始</t>
    <phoneticPr fontId="3" type="noConversion"/>
  </si>
  <si>
    <t>結束</t>
    <phoneticPr fontId="3" type="noConversion"/>
  </si>
  <si>
    <t>配置人數</t>
    <phoneticPr fontId="3" type="noConversion"/>
  </si>
  <si>
    <t>主要應用設備</t>
    <phoneticPr fontId="3" type="noConversion"/>
  </si>
  <si>
    <t>L型包裝機</t>
    <phoneticPr fontId="4" type="noConversion"/>
  </si>
  <si>
    <t>三明治包裝機</t>
    <phoneticPr fontId="4" type="noConversion"/>
  </si>
  <si>
    <t>次要應用設備</t>
    <phoneticPr fontId="3" type="noConversion"/>
  </si>
  <si>
    <t>圓盤機</t>
    <phoneticPr fontId="4" type="noConversion"/>
  </si>
  <si>
    <t>共用L型包裝機</t>
    <phoneticPr fontId="4" type="noConversion"/>
  </si>
  <si>
    <t>調理麵包</t>
    <phoneticPr fontId="4" type="noConversion"/>
  </si>
  <si>
    <t>炒飯+沙拉</t>
    <phoneticPr fontId="4" type="noConversion"/>
  </si>
  <si>
    <t xml:space="preserve">新豐廠四度C日報分析                              </t>
    <phoneticPr fontId="4" type="noConversion"/>
  </si>
  <si>
    <t>總生產量</t>
    <phoneticPr fontId="4" type="noConversion"/>
  </si>
  <si>
    <t>營業額</t>
    <phoneticPr fontId="7" type="noConversion"/>
  </si>
  <si>
    <t>出勤人數</t>
    <phoneticPr fontId="4" type="noConversion"/>
  </si>
  <si>
    <t>產線配置圖</t>
    <phoneticPr fontId="4" type="noConversion"/>
  </si>
  <si>
    <t>生產實績</t>
    <phoneticPr fontId="4" type="noConversion"/>
  </si>
  <si>
    <t>人時性差異分析</t>
    <phoneticPr fontId="4" type="noConversion"/>
  </si>
  <si>
    <t>日報登錄</t>
    <phoneticPr fontId="4" type="noConversion"/>
  </si>
  <si>
    <t>分析說明</t>
    <phoneticPr fontId="4" type="noConversion"/>
  </si>
  <si>
    <t>產能差異分析</t>
    <phoneticPr fontId="4" type="noConversion"/>
  </si>
  <si>
    <t>人時性</t>
    <phoneticPr fontId="4" type="noConversion"/>
  </si>
  <si>
    <t>多次生產數</t>
    <phoneticPr fontId="4" type="noConversion"/>
  </si>
  <si>
    <t>品類</t>
    <phoneticPr fontId="4" type="noConversion"/>
  </si>
  <si>
    <t>品名</t>
    <phoneticPr fontId="3" type="noConversion"/>
  </si>
  <si>
    <t>廠價</t>
    <phoneticPr fontId="7" type="noConversion"/>
  </si>
  <si>
    <t>生產量</t>
    <phoneticPr fontId="4" type="noConversion"/>
  </si>
  <si>
    <t>營收</t>
    <phoneticPr fontId="7" type="noConversion"/>
  </si>
  <si>
    <t>多次
生產</t>
    <phoneticPr fontId="4" type="noConversion"/>
  </si>
  <si>
    <t>人數</t>
    <phoneticPr fontId="4" type="noConversion"/>
  </si>
  <si>
    <t>產能/時</t>
    <phoneticPr fontId="4" type="noConversion"/>
  </si>
  <si>
    <t>達成率</t>
    <phoneticPr fontId="4" type="noConversion"/>
  </si>
  <si>
    <t>達成率平均</t>
    <phoneticPr fontId="4" type="noConversion"/>
  </si>
  <si>
    <t>稼動時間/分</t>
    <phoneticPr fontId="4" type="noConversion"/>
  </si>
  <si>
    <t>休息時間</t>
    <phoneticPr fontId="4" type="noConversion"/>
  </si>
  <si>
    <t>(新豐回填)</t>
    <phoneticPr fontId="4" type="noConversion"/>
  </si>
  <si>
    <t>達成率平均</t>
    <phoneticPr fontId="4" type="noConversion"/>
  </si>
  <si>
    <t>開始</t>
    <phoneticPr fontId="4" type="noConversion"/>
  </si>
  <si>
    <t>結束</t>
    <phoneticPr fontId="4" type="noConversion"/>
  </si>
  <si>
    <t>新豐6線</t>
    <phoneticPr fontId="4" type="noConversion"/>
  </si>
  <si>
    <t>新豐6線</t>
    <phoneticPr fontId="4" type="noConversion"/>
  </si>
  <si>
    <t>平均</t>
    <phoneticPr fontId="4" type="noConversion"/>
  </si>
  <si>
    <t>新豐2線</t>
    <phoneticPr fontId="4" type="noConversion"/>
  </si>
  <si>
    <t>新豐2線</t>
    <phoneticPr fontId="4" type="noConversion"/>
  </si>
  <si>
    <t>平均</t>
    <phoneticPr fontId="4" type="noConversion"/>
  </si>
  <si>
    <t>新豐5線</t>
    <phoneticPr fontId="4" type="noConversion"/>
  </si>
  <si>
    <t>新豐7線</t>
    <phoneticPr fontId="4" type="noConversion"/>
  </si>
  <si>
    <t>新豐7線</t>
    <phoneticPr fontId="4" type="noConversion"/>
  </si>
  <si>
    <t>新豐8線</t>
    <phoneticPr fontId="4" type="noConversion"/>
  </si>
  <si>
    <t>新豐9線</t>
    <phoneticPr fontId="4" type="noConversion"/>
  </si>
  <si>
    <t>新豐3線</t>
    <phoneticPr fontId="4" type="noConversion"/>
  </si>
  <si>
    <t>新豐1線</t>
    <phoneticPr fontId="4" type="noConversion"/>
  </si>
  <si>
    <t>新豐10線</t>
    <phoneticPr fontId="4" type="noConversion"/>
  </si>
  <si>
    <t>新豐4線</t>
    <phoneticPr fontId="4" type="noConversion"/>
  </si>
  <si>
    <r>
      <t xml:space="preserve">屏榮 </t>
    </r>
    <r>
      <rPr>
        <b/>
        <sz val="26"/>
        <color rgb="FFFF0000"/>
        <rFont val="微軟正黑體"/>
        <family val="2"/>
        <charset val="136"/>
      </rPr>
      <t>新豐廠</t>
    </r>
    <r>
      <rPr>
        <b/>
        <sz val="26"/>
        <color theme="1"/>
        <rFont val="微軟正黑體"/>
        <family val="2"/>
        <charset val="136"/>
      </rPr>
      <t>組合室生產人時性分析</t>
    </r>
    <phoneticPr fontId="3" type="noConversion"/>
  </si>
  <si>
    <t>日期</t>
    <phoneticPr fontId="3" type="noConversion"/>
  </si>
  <si>
    <t>訂單量</t>
    <phoneticPr fontId="3" type="noConversion"/>
  </si>
  <si>
    <t>營業額</t>
    <phoneticPr fontId="3" type="noConversion"/>
  </si>
  <si>
    <t>人時性</t>
    <phoneticPr fontId="3" type="noConversion"/>
  </si>
  <si>
    <t>項目</t>
    <phoneticPr fontId="4" type="noConversion"/>
  </si>
  <si>
    <t>➀</t>
    <phoneticPr fontId="4" type="noConversion"/>
  </si>
  <si>
    <t>➁</t>
    <phoneticPr fontId="4" type="noConversion"/>
  </si>
  <si>
    <t>➂</t>
    <phoneticPr fontId="4" type="noConversion"/>
  </si>
  <si>
    <t>組合室</t>
    <phoneticPr fontId="3" type="noConversion"/>
  </si>
  <si>
    <t>全溫層</t>
    <phoneticPr fontId="3" type="noConversion"/>
  </si>
  <si>
    <t>4度C-各編組展開</t>
    <phoneticPr fontId="3" type="noConversion"/>
  </si>
  <si>
    <t>③三明治-各編組展開</t>
    <phoneticPr fontId="3" type="noConversion"/>
  </si>
  <si>
    <t>※現行日本鮮食廠以達成率80%為基本(即為現行KPI)</t>
    <phoneticPr fontId="4" type="noConversion"/>
  </si>
  <si>
    <t>溫層</t>
    <phoneticPr fontId="3" type="noConversion"/>
  </si>
  <si>
    <t>➁4度C-各編組展開</t>
    <phoneticPr fontId="3" type="noConversion"/>
  </si>
  <si>
    <t>③三明治-各編組展開</t>
    <phoneticPr fontId="4" type="noConversion"/>
  </si>
  <si>
    <t>編組</t>
    <phoneticPr fontId="3" type="noConversion"/>
  </si>
  <si>
    <t>人時性</t>
    <phoneticPr fontId="4" type="noConversion"/>
  </si>
  <si>
    <t>排關</t>
    <phoneticPr fontId="3" type="noConversion"/>
  </si>
  <si>
    <t>實績</t>
    <phoneticPr fontId="3" type="noConversion"/>
  </si>
  <si>
    <t>達成率</t>
    <phoneticPr fontId="3" type="noConversion"/>
  </si>
  <si>
    <t>作業
時間</t>
    <phoneticPr fontId="3" type="noConversion"/>
  </si>
  <si>
    <t>開始</t>
    <phoneticPr fontId="3" type="noConversion"/>
  </si>
  <si>
    <t>結束</t>
    <phoneticPr fontId="3" type="noConversion"/>
  </si>
  <si>
    <t>配置人數</t>
    <phoneticPr fontId="3" type="noConversion"/>
  </si>
  <si>
    <t>主要應用設備</t>
    <phoneticPr fontId="3" type="noConversion"/>
  </si>
  <si>
    <t>L型包裝機</t>
    <phoneticPr fontId="4" type="noConversion"/>
  </si>
  <si>
    <t>三明治包裝機</t>
    <phoneticPr fontId="4" type="noConversion"/>
  </si>
  <si>
    <t>次要應用設備</t>
    <phoneticPr fontId="3" type="noConversion"/>
  </si>
  <si>
    <t>圓盤機</t>
    <phoneticPr fontId="4" type="noConversion"/>
  </si>
  <si>
    <t>備註</t>
    <phoneticPr fontId="3" type="noConversion"/>
  </si>
  <si>
    <t>握沙拉</t>
    <phoneticPr fontId="4" type="noConversion"/>
  </si>
  <si>
    <t>共用L型包裝機</t>
    <phoneticPr fontId="4" type="noConversion"/>
  </si>
  <si>
    <t>調理麵包</t>
    <phoneticPr fontId="4" type="noConversion"/>
  </si>
  <si>
    <t>炒飯+沙拉</t>
    <phoneticPr fontId="4" type="noConversion"/>
  </si>
  <si>
    <t xml:space="preserve">新豐廠四度C日報分析                              </t>
    <phoneticPr fontId="4" type="noConversion"/>
  </si>
  <si>
    <t>總生產量</t>
    <phoneticPr fontId="4" type="noConversion"/>
  </si>
  <si>
    <t>營業額</t>
    <phoneticPr fontId="7" type="noConversion"/>
  </si>
  <si>
    <t>出勤人數</t>
    <phoneticPr fontId="4" type="noConversion"/>
  </si>
  <si>
    <t>產線配置圖</t>
    <phoneticPr fontId="4" type="noConversion"/>
  </si>
  <si>
    <t>生產實績</t>
    <phoneticPr fontId="4" type="noConversion"/>
  </si>
  <si>
    <t>人時性差異分析</t>
    <phoneticPr fontId="4" type="noConversion"/>
  </si>
  <si>
    <t>日報登錄</t>
    <phoneticPr fontId="4" type="noConversion"/>
  </si>
  <si>
    <t>分析說明</t>
    <phoneticPr fontId="4" type="noConversion"/>
  </si>
  <si>
    <t>產能差異分析</t>
    <phoneticPr fontId="4" type="noConversion"/>
  </si>
  <si>
    <t>人時性</t>
    <phoneticPr fontId="4" type="noConversion"/>
  </si>
  <si>
    <t>多次生產數</t>
    <phoneticPr fontId="4" type="noConversion"/>
  </si>
  <si>
    <t>線別</t>
    <phoneticPr fontId="3" type="noConversion"/>
  </si>
  <si>
    <t>品類</t>
    <phoneticPr fontId="4" type="noConversion"/>
  </si>
  <si>
    <t>品名</t>
    <phoneticPr fontId="3" type="noConversion"/>
  </si>
  <si>
    <t>廠價</t>
    <phoneticPr fontId="7" type="noConversion"/>
  </si>
  <si>
    <t>生產量</t>
    <phoneticPr fontId="4" type="noConversion"/>
  </si>
  <si>
    <t>營收</t>
    <phoneticPr fontId="7" type="noConversion"/>
  </si>
  <si>
    <t>多次
生產</t>
    <phoneticPr fontId="4" type="noConversion"/>
  </si>
  <si>
    <t>人數</t>
    <phoneticPr fontId="4" type="noConversion"/>
  </si>
  <si>
    <t>產能/時</t>
    <phoneticPr fontId="4" type="noConversion"/>
  </si>
  <si>
    <t>達成率</t>
    <phoneticPr fontId="4" type="noConversion"/>
  </si>
  <si>
    <t>達成率平均</t>
    <phoneticPr fontId="4" type="noConversion"/>
  </si>
  <si>
    <t>稼動時間/分</t>
    <phoneticPr fontId="4" type="noConversion"/>
  </si>
  <si>
    <t>休息時間</t>
    <phoneticPr fontId="4" type="noConversion"/>
  </si>
  <si>
    <t>(新豐回填)</t>
    <phoneticPr fontId="4" type="noConversion"/>
  </si>
  <si>
    <t>開始</t>
    <phoneticPr fontId="4" type="noConversion"/>
  </si>
  <si>
    <t>結束</t>
    <phoneticPr fontId="4" type="noConversion"/>
  </si>
  <si>
    <t>新豐6線</t>
    <phoneticPr fontId="4" type="noConversion"/>
  </si>
  <si>
    <t>新豐6線</t>
    <phoneticPr fontId="4" type="noConversion"/>
  </si>
  <si>
    <t>平均</t>
    <phoneticPr fontId="4" type="noConversion"/>
  </si>
  <si>
    <t>新豐2線</t>
    <phoneticPr fontId="4" type="noConversion"/>
  </si>
  <si>
    <t>平均</t>
    <phoneticPr fontId="4" type="noConversion"/>
  </si>
  <si>
    <t>新豐5線</t>
    <phoneticPr fontId="4" type="noConversion"/>
  </si>
  <si>
    <t>新豐5線</t>
    <phoneticPr fontId="4" type="noConversion"/>
  </si>
  <si>
    <t>新豐7線</t>
    <phoneticPr fontId="4" type="noConversion"/>
  </si>
  <si>
    <t>新豐7線</t>
    <phoneticPr fontId="4" type="noConversion"/>
  </si>
  <si>
    <t>新豐8線</t>
    <phoneticPr fontId="4" type="noConversion"/>
  </si>
  <si>
    <t>新豐8線</t>
    <phoneticPr fontId="4" type="noConversion"/>
  </si>
  <si>
    <t>新豐9線</t>
    <phoneticPr fontId="4" type="noConversion"/>
  </si>
  <si>
    <t>新豐9線</t>
    <phoneticPr fontId="4" type="noConversion"/>
  </si>
  <si>
    <t>新豐3線</t>
    <phoneticPr fontId="4" type="noConversion"/>
  </si>
  <si>
    <t>新豐3線</t>
    <phoneticPr fontId="4" type="noConversion"/>
  </si>
  <si>
    <t>新豐1線</t>
    <phoneticPr fontId="4" type="noConversion"/>
  </si>
  <si>
    <t>新豐10線</t>
    <phoneticPr fontId="4" type="noConversion"/>
  </si>
  <si>
    <t>新豐4線</t>
    <phoneticPr fontId="4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</si>
</sst>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9">
    <numFmt numFmtId="43" formatCode="_-* #,##0.00_-;\-* #,##0.00_-;_-* &quot;-&quot;??_-;_-@_-"/>
    <numFmt numFmtId="176" formatCode="m&quot;月&quot;d&quot;日&quot;;@"/>
    <numFmt numFmtId="177" formatCode="0.0"/>
    <numFmt numFmtId="178" formatCode="0_ "/>
    <numFmt numFmtId="179" formatCode="0.0_ "/>
    <numFmt numFmtId="180" formatCode="0.0%"/>
    <numFmt numFmtId="181" formatCode="h:mm;@"/>
    <numFmt numFmtId="182" formatCode="_-* #,##0_-;\-* #,##0_-;_-* &quot;-&quot;??_-;_-@_-"/>
    <numFmt numFmtId="183" formatCode="0,000&quot;元&quot;"/>
  </numFmts>
  <fonts count="23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4"/>
      <color theme="1"/>
      <name val="微軟正黑體"/>
      <family val="2"/>
      <charset val="136"/>
    </font>
    <font>
      <sz val="9"/>
      <name val="新細明體"/>
      <family val="2"/>
      <charset val="136"/>
      <scheme val="minor"/>
    </font>
    <font>
      <sz val="9"/>
      <name val="新細明體"/>
      <family val="3"/>
      <charset val="136"/>
      <scheme val="minor"/>
    </font>
    <font>
      <sz val="16"/>
      <color theme="1"/>
      <name val="微軟正黑體"/>
      <family val="2"/>
      <charset val="136"/>
    </font>
    <font>
      <sz val="12"/>
      <color theme="1"/>
      <name val="微軟正黑體"/>
      <family val="2"/>
      <charset val="136"/>
    </font>
    <font>
      <sz val="9"/>
      <name val="新細明體"/>
      <family val="1"/>
      <charset val="136"/>
    </font>
    <font>
      <sz val="18"/>
      <color theme="1"/>
      <name val="微軟正黑體"/>
      <family val="2"/>
      <charset val="136"/>
    </font>
    <font>
      <sz val="11"/>
      <color theme="1"/>
      <name val="微軟正黑體"/>
      <family val="2"/>
      <charset val="136"/>
    </font>
    <font>
      <sz val="12"/>
      <name val="微軟正黑體"/>
      <family val="2"/>
      <charset val="136"/>
    </font>
    <font>
      <sz val="11"/>
      <color theme="1"/>
      <name val="新細明體"/>
      <family val="2"/>
      <charset val="128"/>
      <scheme val="minor"/>
    </font>
    <font>
      <sz val="11"/>
      <color theme="1"/>
      <name val="新細明體"/>
      <family val="2"/>
      <scheme val="minor"/>
    </font>
    <font>
      <b/>
      <sz val="12"/>
      <color rgb="FFFF0000"/>
      <name val="微軟正黑體"/>
      <family val="2"/>
      <charset val="136"/>
    </font>
    <font>
      <b/>
      <sz val="26"/>
      <color theme="1"/>
      <name val="微軟正黑體"/>
      <family val="2"/>
      <charset val="136"/>
    </font>
    <font>
      <b/>
      <sz val="26"/>
      <color rgb="FFFF0000"/>
      <name val="微軟正黑體"/>
      <family val="2"/>
      <charset val="136"/>
    </font>
    <font>
      <b/>
      <sz val="14"/>
      <color theme="0"/>
      <name val="微軟正黑體"/>
      <family val="2"/>
      <charset val="136"/>
    </font>
    <font>
      <sz val="16"/>
      <color theme="1"/>
      <name val="Meiryo UI"/>
      <family val="2"/>
      <charset val="128"/>
    </font>
    <font>
      <b/>
      <sz val="18"/>
      <color theme="1"/>
      <name val="微軟正黑體"/>
      <family val="2"/>
      <charset val="136"/>
    </font>
    <font>
      <sz val="12"/>
      <color theme="0" tint="-0.499984740745262"/>
      <name val="微軟正黑體"/>
      <family val="2"/>
      <charset val="136"/>
    </font>
    <font>
      <sz val="14"/>
      <color theme="5"/>
      <name val="微軟正黑體"/>
      <family val="2"/>
      <charset val="136"/>
    </font>
    <font>
      <b/>
      <sz val="16"/>
      <color theme="1"/>
      <name val="微軟正黑體"/>
      <family val="2"/>
      <charset val="136"/>
    </font>
    <font>
      <b/>
      <sz val="14"/>
      <color theme="1"/>
      <name val="微軟正黑體"/>
      <family val="2"/>
      <charset val="136"/>
    </font>
  </fonts>
  <fills count="14">
    <fill>
      <patternFill patternType="none"/>
    </fill>
    <fill>
      <patternFill patternType="gray125"/>
    </fill>
    <fill>
      <patternFill patternType="solid">
        <fgColor theme="7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rgb="FFFFCCFF"/>
        <bgColor indexed="64"/>
      </patternFill>
    </fill>
    <fill>
      <patternFill patternType="solid">
        <fgColor rgb="FFF6D1A0"/>
        <bgColor indexed="64"/>
      </patternFill>
    </fill>
    <fill>
      <patternFill patternType="solid">
        <fgColor rgb="FFCCECFF"/>
        <bgColor indexed="64"/>
      </patternFill>
    </fill>
    <fill>
      <patternFill patternType="solid">
        <fgColor rgb="FFCCFFCC"/>
        <bgColor indexed="64"/>
      </patternFill>
    </fill>
    <fill>
      <patternFill patternType="solid">
        <fgColor rgb="FFDDDDDD"/>
        <bgColor indexed="64"/>
      </patternFill>
    </fill>
    <fill>
      <patternFill patternType="solid">
        <fgColor rgb="FF002060"/>
        <bgColor indexed="64"/>
      </patternFill>
    </fill>
  </fills>
  <borders count="4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/>
      <diagonal/>
    </border>
    <border>
      <left/>
      <right style="medium">
        <color indexed="64"/>
      </right>
      <top style="thin">
        <color indexed="64"/>
      </top>
      <bottom/>
      <diagonal/>
    </border>
    <border>
      <left style="medium">
        <color indexed="64"/>
      </left>
      <right style="thin">
        <color theme="1"/>
      </right>
      <top/>
      <bottom style="thin">
        <color theme="1"/>
      </bottom>
      <diagonal/>
    </border>
    <border>
      <left style="thin">
        <color theme="1"/>
      </left>
      <right style="thin">
        <color theme="1"/>
      </right>
      <top/>
      <bottom style="thin">
        <color theme="1"/>
      </bottom>
      <diagonal/>
    </border>
    <border>
      <left style="thin">
        <color theme="1"/>
      </left>
      <right style="medium">
        <color indexed="64"/>
      </right>
      <top/>
      <bottom style="thin">
        <color theme="1"/>
      </bottom>
      <diagonal/>
    </border>
    <border>
      <left style="medium">
        <color indexed="64"/>
      </left>
      <right/>
      <top/>
      <bottom style="thin">
        <color indexed="64"/>
      </bottom>
      <diagonal/>
    </border>
    <border>
      <left/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theme="1"/>
      </right>
      <top style="thin">
        <color theme="1"/>
      </top>
      <bottom style="thin">
        <color theme="1"/>
      </bottom>
      <diagonal/>
    </border>
    <border>
      <left style="thin">
        <color theme="1"/>
      </left>
      <right style="thin">
        <color theme="1"/>
      </right>
      <top style="thin">
        <color theme="1"/>
      </top>
      <bottom style="thin">
        <color theme="1"/>
      </bottom>
      <diagonal/>
    </border>
    <border>
      <left style="thin">
        <color theme="1"/>
      </left>
      <right style="medium">
        <color indexed="64"/>
      </right>
      <top style="thin">
        <color theme="1"/>
      </top>
      <bottom style="thin">
        <color theme="1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theme="1"/>
      </top>
      <bottom style="thin">
        <color theme="1"/>
      </bottom>
      <diagonal/>
    </border>
    <border>
      <left/>
      <right style="thin">
        <color theme="1"/>
      </right>
      <top style="thin">
        <color theme="1"/>
      </top>
      <bottom style="thin">
        <color theme="1"/>
      </bottom>
      <diagonal/>
    </border>
    <border>
      <left style="medium">
        <color indexed="64"/>
      </left>
      <right/>
      <top style="thin">
        <color theme="1"/>
      </top>
      <bottom style="thin">
        <color theme="1"/>
      </bottom>
      <diagonal/>
    </border>
    <border>
      <left style="thin">
        <color indexed="64"/>
      </left>
      <right style="thin">
        <color theme="1"/>
      </right>
      <top style="thin">
        <color theme="1"/>
      </top>
      <bottom style="thin">
        <color theme="1"/>
      </bottom>
      <diagonal/>
    </border>
    <border>
      <left style="medium">
        <color indexed="64"/>
      </left>
      <right style="thin">
        <color indexed="64"/>
      </right>
      <top/>
      <bottom/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theme="1"/>
      </right>
      <top style="thin">
        <color theme="1"/>
      </top>
      <bottom/>
      <diagonal/>
    </border>
    <border>
      <left style="thin">
        <color theme="1"/>
      </left>
      <right style="thin">
        <color theme="1"/>
      </right>
      <top style="thin">
        <color theme="1"/>
      </top>
      <bottom/>
      <diagonal/>
    </border>
    <border>
      <left style="thin">
        <color theme="1"/>
      </left>
      <right style="medium">
        <color indexed="64"/>
      </right>
      <top style="thin">
        <color theme="1"/>
      </top>
      <bottom/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</borders>
  <cellStyleXfs count="9">
    <xf numFmtId="0" fontId="0" fillId="0" borderId="0">
      <alignment vertical="center"/>
    </xf>
    <xf numFmtId="0" fontId="1" fillId="0" borderId="0">
      <alignment vertical="center"/>
    </xf>
    <xf numFmtId="0" fontId="11" fillId="0" borderId="0">
      <alignment vertical="center"/>
    </xf>
    <xf numFmtId="9" fontId="12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3" fontId="12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</cellStyleXfs>
  <cellXfs count="664">
    <xf numFmtId="0" fontId="0" fillId="0" borderId="0" xfId="0">
      <alignment vertical="center"/>
    </xf>
    <xf numFmtId="0" fontId="2" fillId="0" borderId="1" xfId="1" applyFont="1" applyBorder="1">
      <alignment vertical="center"/>
    </xf>
    <xf numFmtId="0" fontId="2" fillId="0" borderId="1" xfId="1" applyFont="1" applyBorder="1" applyAlignment="1">
      <alignment horizontal="left" vertical="center"/>
    </xf>
    <xf numFmtId="0" fontId="5" fillId="2" borderId="1" xfId="1" applyFont="1" applyFill="1" applyBorder="1" applyAlignment="1">
      <alignment horizontal="center" vertical="center"/>
    </xf>
    <xf numFmtId="1" fontId="2" fillId="0" borderId="1" xfId="1" applyNumberFormat="1" applyFont="1" applyBorder="1" applyAlignment="1">
      <alignment horizontal="center" vertical="center"/>
    </xf>
    <xf numFmtId="0" fontId="6" fillId="0" borderId="0" xfId="1" applyFont="1">
      <alignment vertical="center"/>
    </xf>
    <xf numFmtId="177" fontId="2" fillId="0" borderId="1" xfId="1" applyNumberFormat="1" applyFont="1" applyBorder="1" applyAlignment="1">
      <alignment horizontal="center" vertical="center"/>
    </xf>
    <xf numFmtId="177" fontId="9" fillId="0" borderId="1" xfId="1" applyNumberFormat="1" applyFont="1" applyBorder="1" applyAlignment="1">
      <alignment horizontal="center" vertical="center"/>
    </xf>
    <xf numFmtId="2" fontId="2" fillId="0" borderId="1" xfId="1" applyNumberFormat="1" applyFont="1" applyBorder="1">
      <alignment vertical="center"/>
    </xf>
    <xf numFmtId="177" fontId="6" fillId="0" borderId="1" xfId="1" applyNumberFormat="1" applyFont="1" applyBorder="1" applyAlignment="1">
      <alignment horizontal="center" vertical="center"/>
    </xf>
    <xf numFmtId="1" fontId="6" fillId="0" borderId="1" xfId="1" applyNumberFormat="1" applyFont="1" applyBorder="1" applyAlignment="1">
      <alignment horizontal="center" vertical="center"/>
    </xf>
    <xf numFmtId="178" fontId="6" fillId="0" borderId="1" xfId="1" applyNumberFormat="1" applyFont="1" applyBorder="1" applyAlignment="1">
      <alignment horizontal="center" vertical="center"/>
    </xf>
    <xf numFmtId="179" fontId="6" fillId="0" borderId="1" xfId="1" applyNumberFormat="1" applyFont="1" applyBorder="1" applyAlignment="1">
      <alignment horizontal="center" vertical="center"/>
    </xf>
    <xf numFmtId="20" fontId="6" fillId="0" borderId="1" xfId="1" applyNumberFormat="1" applyFont="1" applyBorder="1" applyAlignment="1">
      <alignment horizontal="center" vertical="center"/>
    </xf>
    <xf numFmtId="0" fontId="6" fillId="0" borderId="1" xfId="1" applyFont="1" applyBorder="1">
      <alignment vertical="center"/>
    </xf>
    <xf numFmtId="181" fontId="6" fillId="0" borderId="1" xfId="1" applyNumberFormat="1" applyFont="1" applyBorder="1" applyAlignment="1">
      <alignment horizontal="center" vertical="center"/>
    </xf>
    <xf numFmtId="1" fontId="6" fillId="3" borderId="1" xfId="1" applyNumberFormat="1" applyFont="1" applyFill="1" applyBorder="1" applyAlignment="1">
      <alignment horizontal="center" vertical="center"/>
    </xf>
    <xf numFmtId="0" fontId="9" fillId="0" borderId="0" xfId="1" applyFont="1">
      <alignment vertical="center"/>
    </xf>
    <xf numFmtId="0" fontId="6" fillId="0" borderId="0" xfId="1" applyFont="1" applyAlignment="1">
      <alignment vertical="center" wrapText="1"/>
    </xf>
    <xf numFmtId="176" fontId="2" fillId="0" borderId="2" xfId="1" applyNumberFormat="1" applyFont="1" applyFill="1" applyBorder="1" applyAlignment="1">
      <alignment horizontal="left" vertical="center"/>
    </xf>
    <xf numFmtId="176" fontId="2" fillId="0" borderId="3" xfId="1" applyNumberFormat="1" applyFont="1" applyFill="1" applyBorder="1">
      <alignment vertical="center"/>
    </xf>
    <xf numFmtId="0" fontId="6" fillId="0" borderId="1" xfId="1" applyFont="1" applyFill="1" applyBorder="1" applyAlignment="1">
      <alignment horizontal="center" vertical="center" wrapText="1"/>
    </xf>
    <xf numFmtId="0" fontId="6" fillId="0" borderId="0" xfId="1" applyFont="1" applyFill="1">
      <alignment vertical="center"/>
    </xf>
    <xf numFmtId="1" fontId="6" fillId="0" borderId="1" xfId="1" applyNumberFormat="1" applyFont="1" applyFill="1" applyBorder="1" applyAlignment="1">
      <alignment horizontal="center" vertical="center"/>
    </xf>
    <xf numFmtId="181" fontId="6" fillId="0" borderId="1" xfId="1" applyNumberFormat="1" applyFont="1" applyFill="1" applyBorder="1" applyAlignment="1">
      <alignment horizontal="center" vertical="center"/>
    </xf>
    <xf numFmtId="181" fontId="6" fillId="0" borderId="1" xfId="1" applyNumberFormat="1" applyFont="1" applyFill="1" applyBorder="1" applyAlignment="1">
      <alignment horizontal="left" vertical="center"/>
    </xf>
    <xf numFmtId="0" fontId="6" fillId="0" borderId="1" xfId="1" applyFont="1" applyFill="1" applyBorder="1" applyAlignment="1">
      <alignment horizontal="center"/>
    </xf>
    <xf numFmtId="177" fontId="6" fillId="0" borderId="1" xfId="1" applyNumberFormat="1" applyFont="1" applyFill="1" applyBorder="1" applyAlignment="1">
      <alignment horizontal="center" vertical="center"/>
    </xf>
    <xf numFmtId="3" fontId="6" fillId="0" borderId="1" xfId="1" applyNumberFormat="1" applyFont="1" applyFill="1" applyBorder="1" applyAlignment="1">
      <alignment horizontal="center" vertical="center"/>
    </xf>
    <xf numFmtId="0" fontId="14" fillId="0" borderId="0" xfId="4" applyFont="1" applyAlignment="1">
      <alignment vertical="center"/>
    </xf>
    <xf numFmtId="0" fontId="6" fillId="0" borderId="0" xfId="4" applyFont="1">
      <alignment vertical="center"/>
    </xf>
    <xf numFmtId="0" fontId="14" fillId="0" borderId="0" xfId="4" applyFont="1" applyBorder="1" applyAlignment="1">
      <alignment vertical="center"/>
    </xf>
    <xf numFmtId="0" fontId="5" fillId="0" borderId="1" xfId="5" applyFont="1" applyBorder="1" applyAlignment="1">
      <alignment horizontal="center" vertical="center"/>
    </xf>
    <xf numFmtId="0" fontId="6" fillId="0" borderId="10" xfId="5" applyFont="1" applyBorder="1">
      <alignment vertical="center"/>
    </xf>
    <xf numFmtId="0" fontId="6" fillId="0" borderId="0" xfId="5" applyFont="1" applyBorder="1">
      <alignment vertical="center"/>
    </xf>
    <xf numFmtId="0" fontId="6" fillId="0" borderId="0" xfId="5" applyFont="1">
      <alignment vertical="center"/>
    </xf>
    <xf numFmtId="0" fontId="19" fillId="0" borderId="0" xfId="5" applyFont="1" applyBorder="1" applyAlignment="1">
      <alignment vertical="center"/>
    </xf>
    <xf numFmtId="0" fontId="6" fillId="0" borderId="0" xfId="4" applyFont="1" applyAlignment="1">
      <alignment horizontal="center" vertical="center"/>
    </xf>
    <xf numFmtId="0" fontId="20" fillId="0" borderId="0" xfId="5" applyFont="1" applyBorder="1" applyAlignment="1">
      <alignment vertical="center"/>
    </xf>
    <xf numFmtId="0" fontId="2" fillId="0" borderId="0" xfId="5" applyFont="1">
      <alignment vertical="center"/>
    </xf>
    <xf numFmtId="0" fontId="6" fillId="0" borderId="16" xfId="4" applyFont="1" applyBorder="1" applyAlignment="1">
      <alignment horizontal="center" vertical="center"/>
    </xf>
    <xf numFmtId="0" fontId="6" fillId="0" borderId="17" xfId="4" applyFont="1" applyBorder="1" applyAlignment="1">
      <alignment horizontal="center" vertical="center"/>
    </xf>
    <xf numFmtId="0" fontId="6" fillId="0" borderId="18" xfId="4" applyFont="1" applyBorder="1" applyAlignment="1">
      <alignment horizontal="center" vertical="center"/>
    </xf>
    <xf numFmtId="0" fontId="9" fillId="0" borderId="21" xfId="4" applyFont="1" applyBorder="1" applyAlignment="1">
      <alignment horizontal="center" vertical="center" wrapText="1"/>
    </xf>
    <xf numFmtId="0" fontId="9" fillId="0" borderId="22" xfId="4" applyFont="1" applyBorder="1" applyAlignment="1">
      <alignment horizontal="center" vertical="center" wrapText="1"/>
    </xf>
    <xf numFmtId="0" fontId="9" fillId="0" borderId="23" xfId="4" applyFont="1" applyBorder="1" applyAlignment="1">
      <alignment horizontal="center" vertical="center" wrapText="1"/>
    </xf>
    <xf numFmtId="0" fontId="6" fillId="0" borderId="25" xfId="5" applyFont="1" applyBorder="1" applyAlignment="1">
      <alignment horizontal="center" vertical="center" wrapText="1"/>
    </xf>
    <xf numFmtId="177" fontId="6" fillId="0" borderId="26" xfId="4" applyNumberFormat="1" applyFont="1" applyFill="1" applyBorder="1" applyAlignment="1">
      <alignment horizontal="center" vertical="center" wrapText="1"/>
    </xf>
    <xf numFmtId="177" fontId="6" fillId="0" borderId="27" xfId="4" applyNumberFormat="1" applyFont="1" applyFill="1" applyBorder="1" applyAlignment="1">
      <alignment horizontal="center" vertical="center" wrapText="1"/>
    </xf>
    <xf numFmtId="177" fontId="6" fillId="0" borderId="22" xfId="4" applyNumberFormat="1" applyFont="1" applyFill="1" applyBorder="1" applyAlignment="1">
      <alignment horizontal="center" vertical="center" wrapText="1"/>
    </xf>
    <xf numFmtId="177" fontId="6" fillId="0" borderId="23" xfId="4" applyNumberFormat="1" applyFont="1" applyFill="1" applyBorder="1" applyAlignment="1">
      <alignment horizontal="center" vertical="center" wrapText="1"/>
    </xf>
    <xf numFmtId="177" fontId="6" fillId="0" borderId="28" xfId="4" applyNumberFormat="1" applyFont="1" applyFill="1" applyBorder="1" applyAlignment="1">
      <alignment horizontal="center" vertical="center" wrapText="1"/>
    </xf>
    <xf numFmtId="177" fontId="6" fillId="0" borderId="29" xfId="4" applyNumberFormat="1" applyFont="1" applyFill="1" applyBorder="1" applyAlignment="1">
      <alignment horizontal="center" vertical="center" wrapText="1"/>
    </xf>
    <xf numFmtId="0" fontId="22" fillId="0" borderId="25" xfId="5" applyFont="1" applyBorder="1" applyAlignment="1">
      <alignment horizontal="center" vertical="center" wrapText="1"/>
    </xf>
    <xf numFmtId="177" fontId="22" fillId="0" borderId="21" xfId="4" applyNumberFormat="1" applyFont="1" applyFill="1" applyBorder="1" applyAlignment="1">
      <alignment horizontal="center" vertical="center"/>
    </xf>
    <xf numFmtId="177" fontId="22" fillId="0" borderId="22" xfId="4" applyNumberFormat="1" applyFont="1" applyFill="1" applyBorder="1" applyAlignment="1">
      <alignment horizontal="center" vertical="center"/>
    </xf>
    <xf numFmtId="177" fontId="22" fillId="0" borderId="23" xfId="4" applyNumberFormat="1" applyFont="1" applyFill="1" applyBorder="1" applyAlignment="1">
      <alignment horizontal="center" vertical="center"/>
    </xf>
    <xf numFmtId="177" fontId="22" fillId="0" borderId="28" xfId="4" applyNumberFormat="1" applyFont="1" applyFill="1" applyBorder="1" applyAlignment="1">
      <alignment horizontal="center" vertical="center"/>
    </xf>
    <xf numFmtId="177" fontId="22" fillId="0" borderId="29" xfId="4" applyNumberFormat="1" applyFont="1" applyFill="1" applyBorder="1" applyAlignment="1">
      <alignment horizontal="center" vertical="center"/>
    </xf>
    <xf numFmtId="0" fontId="22" fillId="0" borderId="25" xfId="5" applyFont="1" applyBorder="1" applyAlignment="1">
      <alignment horizontal="center" vertical="center"/>
    </xf>
    <xf numFmtId="180" fontId="22" fillId="0" borderId="21" xfId="3" applyNumberFormat="1" applyFont="1" applyFill="1" applyBorder="1" applyAlignment="1">
      <alignment horizontal="center" vertical="center"/>
    </xf>
    <xf numFmtId="180" fontId="22" fillId="0" borderId="22" xfId="3" applyNumberFormat="1" applyFont="1" applyFill="1" applyBorder="1" applyAlignment="1">
      <alignment horizontal="center" vertical="center"/>
    </xf>
    <xf numFmtId="180" fontId="22" fillId="0" borderId="23" xfId="3" applyNumberFormat="1" applyFont="1" applyFill="1" applyBorder="1" applyAlignment="1">
      <alignment horizontal="center" vertical="center"/>
    </xf>
    <xf numFmtId="0" fontId="6" fillId="0" borderId="25" xfId="5" applyFont="1" applyBorder="1" applyAlignment="1">
      <alignment horizontal="center" vertical="center"/>
    </xf>
    <xf numFmtId="181" fontId="6" fillId="0" borderId="32" xfId="1" applyNumberFormat="1" applyFont="1" applyFill="1" applyBorder="1" applyAlignment="1">
      <alignment horizontal="center" vertical="center"/>
    </xf>
    <xf numFmtId="181" fontId="6" fillId="0" borderId="25" xfId="1" applyNumberFormat="1" applyFont="1" applyFill="1" applyBorder="1" applyAlignment="1">
      <alignment horizontal="center" vertical="center"/>
    </xf>
    <xf numFmtId="181" fontId="6" fillId="0" borderId="32" xfId="7" applyNumberFormat="1" applyFont="1" applyFill="1" applyBorder="1" applyAlignment="1">
      <alignment horizontal="center" vertical="center"/>
    </xf>
    <xf numFmtId="181" fontId="6" fillId="0" borderId="1" xfId="7" applyNumberFormat="1" applyFont="1" applyFill="1" applyBorder="1" applyAlignment="1">
      <alignment horizontal="center" vertical="center"/>
    </xf>
    <xf numFmtId="181" fontId="6" fillId="0" borderId="25" xfId="7" applyNumberFormat="1" applyFont="1" applyFill="1" applyBorder="1" applyAlignment="1">
      <alignment horizontal="center" vertical="center"/>
    </xf>
    <xf numFmtId="1" fontId="6" fillId="0" borderId="35" xfId="4" applyNumberFormat="1" applyFont="1" applyFill="1" applyBorder="1" applyAlignment="1">
      <alignment horizontal="center" vertical="center"/>
    </xf>
    <xf numFmtId="1" fontId="6" fillId="0" borderId="36" xfId="4" applyNumberFormat="1" applyFont="1" applyFill="1" applyBorder="1" applyAlignment="1">
      <alignment horizontal="center" vertical="center"/>
    </xf>
    <xf numFmtId="1" fontId="6" fillId="0" borderId="37" xfId="4" applyNumberFormat="1" applyFont="1" applyFill="1" applyBorder="1" applyAlignment="1">
      <alignment horizontal="center" vertical="center"/>
    </xf>
    <xf numFmtId="0" fontId="9" fillId="0" borderId="32" xfId="4" applyFont="1" applyBorder="1" applyAlignment="1">
      <alignment horizontal="center" vertical="center"/>
    </xf>
    <xf numFmtId="0" fontId="9" fillId="0" borderId="1" xfId="4" applyFont="1" applyBorder="1" applyAlignment="1">
      <alignment horizontal="center" vertical="center"/>
    </xf>
    <xf numFmtId="0" fontId="9" fillId="0" borderId="25" xfId="4" applyFont="1" applyBorder="1" applyAlignment="1">
      <alignment horizontal="center" vertical="center"/>
    </xf>
    <xf numFmtId="0" fontId="6" fillId="0" borderId="40" xfId="4" applyFont="1" applyBorder="1">
      <alignment vertical="center"/>
    </xf>
    <xf numFmtId="0" fontId="6" fillId="0" borderId="41" xfId="4" applyFont="1" applyBorder="1" applyAlignment="1">
      <alignment horizontal="center" vertical="center"/>
    </xf>
    <xf numFmtId="0" fontId="6" fillId="0" borderId="44" xfId="4" applyFont="1" applyBorder="1" applyAlignment="1">
      <alignment horizontal="center" vertical="center"/>
    </xf>
    <xf numFmtId="0" fontId="6" fillId="0" borderId="40" xfId="4" applyFont="1" applyBorder="1" applyAlignment="1">
      <alignment horizontal="center" vertical="center"/>
    </xf>
    <xf numFmtId="0" fontId="6" fillId="0" borderId="2" xfId="1" applyFont="1" applyBorder="1" applyAlignment="1">
      <alignment horizontal="center" vertical="center"/>
    </xf>
    <xf numFmtId="0" fontId="6" fillId="0" borderId="3" xfId="1" applyFont="1" applyBorder="1" applyAlignment="1">
      <alignment horizontal="center" vertical="center"/>
    </xf>
    <xf numFmtId="0" fontId="6" fillId="0" borderId="1" xfId="1" applyFont="1" applyFill="1" applyBorder="1" applyAlignment="1"/>
    <xf numFmtId="0" fontId="6" fillId="0" borderId="1" xfId="1" applyFont="1" applyBorder="1" applyAlignment="1">
      <alignment horizontal="center" vertical="center"/>
    </xf>
    <xf numFmtId="180" fontId="6" fillId="0" borderId="1" xfId="3" applyNumberFormat="1" applyFont="1" applyBorder="1" applyAlignment="1">
      <alignment horizontal="center" vertical="center"/>
    </xf>
    <xf numFmtId="0" fontId="6" fillId="0" borderId="2" xfId="1" applyFont="1" applyFill="1" applyBorder="1" applyAlignment="1">
      <alignment horizontal="left" vertical="center"/>
    </xf>
    <xf numFmtId="0" fontId="6" fillId="0" borderId="3" xfId="1" applyFont="1" applyFill="1" applyBorder="1" applyAlignment="1">
      <alignment horizontal="left" vertical="center"/>
    </xf>
    <xf numFmtId="0" fontId="6" fillId="0" borderId="3" xfId="1" applyFont="1" applyFill="1" applyBorder="1" applyAlignment="1"/>
    <xf numFmtId="0" fontId="6" fillId="3" borderId="1" xfId="1" applyFont="1" applyFill="1" applyBorder="1" applyAlignment="1">
      <alignment horizontal="center" vertical="center"/>
    </xf>
    <xf numFmtId="0" fontId="6" fillId="0" borderId="1" xfId="1" applyFont="1" applyBorder="1" applyAlignment="1">
      <alignment horizontal="center" vertical="center" wrapText="1"/>
    </xf>
    <xf numFmtId="0" fontId="6" fillId="0" borderId="1" xfId="1" applyFont="1" applyFill="1" applyBorder="1" applyAlignment="1">
      <alignment horizontal="center" vertical="center"/>
    </xf>
    <xf numFmtId="0" fontId="2" fillId="0" borderId="1" xfId="1" applyFont="1" applyBorder="1" applyAlignment="1">
      <alignment horizontal="center" vertical="center"/>
    </xf>
    <xf numFmtId="0" fontId="2" fillId="0" borderId="1" xfId="1" applyFont="1" applyBorder="1" applyAlignment="1">
      <alignment horizontal="center" vertical="center"/>
    </xf>
    <xf numFmtId="0" fontId="6" fillId="0" borderId="1" xfId="1" applyFont="1" applyBorder="1" applyAlignment="1">
      <alignment horizontal="center" vertical="center"/>
    </xf>
    <xf numFmtId="0" fontId="6" fillId="0" borderId="1" xfId="1" applyFont="1" applyFill="1" applyBorder="1" applyAlignment="1">
      <alignment horizontal="center" vertical="center"/>
    </xf>
    <xf numFmtId="0" fontId="6" fillId="0" borderId="1" xfId="1" applyFont="1" applyBorder="1" applyAlignment="1">
      <alignment horizontal="center" vertical="center" wrapText="1"/>
    </xf>
    <xf numFmtId="0" fontId="6" fillId="3" borderId="1" xfId="1" applyFont="1" applyFill="1" applyBorder="1" applyAlignment="1">
      <alignment horizontal="center" vertical="center"/>
    </xf>
    <xf numFmtId="0" fontId="6" fillId="0" borderId="1" xfId="1" applyFont="1" applyFill="1" applyBorder="1" applyAlignment="1"/>
    <xf numFmtId="180" fontId="6" fillId="0" borderId="1" xfId="3" applyNumberFormat="1" applyFont="1" applyBorder="1" applyAlignment="1">
      <alignment horizontal="center" vertical="center"/>
    </xf>
    <xf numFmtId="0" fontId="6" fillId="0" borderId="2" xfId="1" applyFont="1" applyBorder="1" applyAlignment="1">
      <alignment horizontal="center" vertical="center"/>
    </xf>
    <xf numFmtId="0" fontId="6" fillId="0" borderId="3" xfId="1" applyFont="1" applyBorder="1" applyAlignment="1">
      <alignment horizontal="center" vertical="center"/>
    </xf>
    <xf numFmtId="0" fontId="6" fillId="0" borderId="2" xfId="1" applyFont="1" applyFill="1" applyBorder="1" applyAlignment="1">
      <alignment horizontal="left"/>
    </xf>
    <xf numFmtId="0" fontId="6" fillId="0" borderId="3" xfId="1" applyFont="1" applyFill="1" applyBorder="1" applyAlignment="1">
      <alignment horizontal="left"/>
    </xf>
    <xf numFmtId="0" fontId="6" fillId="0" borderId="2" xfId="1" applyFont="1" applyFill="1" applyBorder="1" applyAlignment="1">
      <alignment horizontal="left" vertical="center"/>
    </xf>
    <xf numFmtId="0" fontId="6" fillId="0" borderId="3" xfId="1" applyFont="1" applyFill="1" applyBorder="1" applyAlignment="1">
      <alignment horizontal="left" vertical="center"/>
    </xf>
    <xf numFmtId="0" fontId="6" fillId="0" borderId="3" xfId="1" applyFont="1" applyFill="1" applyBorder="1" applyAlignment="1"/>
    <xf numFmtId="178" fontId="6" fillId="0" borderId="1" xfId="1" applyNumberFormat="1" applyFont="1" applyFill="1" applyBorder="1" applyAlignment="1">
      <alignment horizontal="center" vertical="center"/>
    </xf>
    <xf numFmtId="179" fontId="6" fillId="0" borderId="1" xfId="1" applyNumberFormat="1" applyFont="1" applyFill="1" applyBorder="1" applyAlignment="1">
      <alignment horizontal="center" vertical="center"/>
    </xf>
    <xf numFmtId="180" fontId="6" fillId="0" borderId="1" xfId="3" applyNumberFormat="1" applyFont="1" applyFill="1" applyBorder="1" applyAlignment="1">
      <alignment horizontal="center" vertical="center"/>
    </xf>
    <xf numFmtId="20" fontId="6" fillId="0" borderId="1" xfId="1" applyNumberFormat="1" applyFont="1" applyFill="1" applyBorder="1" applyAlignment="1">
      <alignment horizontal="center" vertical="center"/>
    </xf>
    <xf numFmtId="0" fontId="2" fillId="0" borderId="1" xfId="1" applyFont="1" applyBorder="1" applyAlignment="1">
      <alignment horizontal="center" vertical="center"/>
    </xf>
    <xf numFmtId="0" fontId="6" fillId="0" borderId="1" xfId="1" applyFont="1" applyBorder="1" applyAlignment="1">
      <alignment horizontal="center" vertical="center"/>
    </xf>
    <xf numFmtId="0" fontId="6" fillId="0" borderId="1" xfId="1" applyFont="1" applyFill="1" applyBorder="1" applyAlignment="1">
      <alignment horizontal="center" vertical="center"/>
    </xf>
    <xf numFmtId="0" fontId="6" fillId="0" borderId="1" xfId="1" applyFont="1" applyBorder="1" applyAlignment="1">
      <alignment horizontal="center" vertical="center" wrapText="1"/>
    </xf>
    <xf numFmtId="0" fontId="6" fillId="3" borderId="1" xfId="1" applyFont="1" applyFill="1" applyBorder="1" applyAlignment="1">
      <alignment horizontal="center" vertical="center"/>
    </xf>
    <xf numFmtId="0" fontId="6" fillId="0" borderId="1" xfId="1" applyFont="1" applyFill="1" applyBorder="1" applyAlignment="1"/>
    <xf numFmtId="180" fontId="6" fillId="0" borderId="1" xfId="3" applyNumberFormat="1" applyFont="1" applyBorder="1" applyAlignment="1">
      <alignment horizontal="center" vertical="center"/>
    </xf>
    <xf numFmtId="0" fontId="6" fillId="0" borderId="2" xfId="1" applyFont="1" applyBorder="1" applyAlignment="1">
      <alignment horizontal="center" vertical="center"/>
    </xf>
    <xf numFmtId="0" fontId="6" fillId="0" borderId="3" xfId="1" applyFont="1" applyBorder="1" applyAlignment="1">
      <alignment horizontal="center" vertical="center"/>
    </xf>
    <xf numFmtId="0" fontId="6" fillId="0" borderId="2" xfId="1" applyFont="1" applyFill="1" applyBorder="1" applyAlignment="1">
      <alignment horizontal="left"/>
    </xf>
    <xf numFmtId="0" fontId="6" fillId="0" borderId="3" xfId="1" applyFont="1" applyFill="1" applyBorder="1" applyAlignment="1">
      <alignment horizontal="left"/>
    </xf>
    <xf numFmtId="0" fontId="6" fillId="0" borderId="2" xfId="1" applyFont="1" applyFill="1" applyBorder="1" applyAlignment="1">
      <alignment horizontal="left" vertical="center"/>
    </xf>
    <xf numFmtId="0" fontId="6" fillId="0" borderId="3" xfId="1" applyFont="1" applyFill="1" applyBorder="1" applyAlignment="1">
      <alignment horizontal="left" vertical="center"/>
    </xf>
    <xf numFmtId="0" fontId="6" fillId="0" borderId="3" xfId="1" applyFont="1" applyFill="1" applyBorder="1" applyAlignment="1"/>
    <xf numFmtId="180" fontId="6" fillId="0" borderId="1" xfId="3" applyNumberFormat="1" applyFont="1" applyBorder="1" applyAlignment="1">
      <alignment horizontal="center" vertical="center"/>
    </xf>
    <xf numFmtId="0" fontId="6" fillId="0" borderId="1" xfId="1" applyFont="1" applyBorder="1" applyAlignment="1">
      <alignment horizontal="center" vertical="center"/>
    </xf>
    <xf numFmtId="0" fontId="6" fillId="0" borderId="2" xfId="1" applyFont="1" applyFill="1" applyBorder="1" applyAlignment="1">
      <alignment horizontal="left" vertical="center"/>
    </xf>
    <xf numFmtId="0" fontId="6" fillId="0" borderId="3" xfId="1" applyFont="1" applyFill="1" applyBorder="1" applyAlignment="1">
      <alignment horizontal="left" vertical="center"/>
    </xf>
    <xf numFmtId="0" fontId="6" fillId="0" borderId="2" xfId="1" applyFont="1" applyBorder="1" applyAlignment="1">
      <alignment horizontal="center" vertical="center"/>
    </xf>
    <xf numFmtId="0" fontId="6" fillId="0" borderId="3" xfId="1" applyFont="1" applyBorder="1" applyAlignment="1">
      <alignment horizontal="center" vertical="center"/>
    </xf>
    <xf numFmtId="0" fontId="6" fillId="0" borderId="1" xfId="1" applyFont="1" applyFill="1" applyBorder="1" applyAlignment="1"/>
    <xf numFmtId="0" fontId="6" fillId="0" borderId="3" xfId="1" applyFont="1" applyFill="1" applyBorder="1" applyAlignment="1"/>
    <xf numFmtId="0" fontId="6" fillId="0" borderId="2" xfId="1" applyFont="1" applyFill="1" applyBorder="1" applyAlignment="1">
      <alignment horizontal="left"/>
    </xf>
    <xf numFmtId="0" fontId="6" fillId="0" borderId="3" xfId="1" applyFont="1" applyFill="1" applyBorder="1" applyAlignment="1">
      <alignment horizontal="left"/>
    </xf>
    <xf numFmtId="0" fontId="6" fillId="3" borderId="1" xfId="1" applyFont="1" applyFill="1" applyBorder="1" applyAlignment="1">
      <alignment horizontal="center" vertical="center"/>
    </xf>
    <xf numFmtId="0" fontId="6" fillId="0" borderId="1" xfId="1" applyFont="1" applyBorder="1" applyAlignment="1">
      <alignment horizontal="center" vertical="center" wrapText="1"/>
    </xf>
    <xf numFmtId="0" fontId="2" fillId="0" borderId="1" xfId="1" applyFont="1" applyBorder="1" applyAlignment="1">
      <alignment horizontal="center" vertical="center"/>
    </xf>
    <xf numFmtId="0" fontId="6" fillId="0" borderId="1" xfId="1" applyFont="1" applyFill="1" applyBorder="1" applyAlignment="1">
      <alignment horizontal="center" vertical="center"/>
    </xf>
    <xf numFmtId="0" fontId="6" fillId="0" borderId="1" xfId="1" applyFont="1" applyFill="1" applyBorder="1" applyAlignment="1"/>
    <xf numFmtId="0" fontId="6" fillId="0" borderId="1" xfId="1" applyFont="1" applyBorder="1" applyAlignment="1">
      <alignment horizontal="center" vertical="center"/>
    </xf>
    <xf numFmtId="180" fontId="6" fillId="0" borderId="1" xfId="3" applyNumberFormat="1" applyFont="1" applyBorder="1" applyAlignment="1">
      <alignment horizontal="center" vertical="center"/>
    </xf>
    <xf numFmtId="0" fontId="6" fillId="0" borderId="2" xfId="1" applyFont="1" applyFill="1" applyBorder="1" applyAlignment="1">
      <alignment horizontal="left" vertical="center"/>
    </xf>
    <xf numFmtId="0" fontId="6" fillId="0" borderId="3" xfId="1" applyFont="1" applyFill="1" applyBorder="1" applyAlignment="1">
      <alignment horizontal="left" vertical="center"/>
    </xf>
    <xf numFmtId="0" fontId="6" fillId="0" borderId="2" xfId="1" applyFont="1" applyBorder="1" applyAlignment="1">
      <alignment horizontal="center" vertical="center"/>
    </xf>
    <xf numFmtId="0" fontId="6" fillId="0" borderId="3" xfId="1" applyFont="1" applyBorder="1" applyAlignment="1">
      <alignment horizontal="center" vertical="center"/>
    </xf>
    <xf numFmtId="0" fontId="6" fillId="0" borderId="3" xfId="1" applyFont="1" applyFill="1" applyBorder="1" applyAlignment="1"/>
    <xf numFmtId="0" fontId="6" fillId="0" borderId="2" xfId="1" applyFont="1" applyFill="1" applyBorder="1" applyAlignment="1">
      <alignment horizontal="left"/>
    </xf>
    <xf numFmtId="0" fontId="6" fillId="0" borderId="3" xfId="1" applyFont="1" applyFill="1" applyBorder="1" applyAlignment="1">
      <alignment horizontal="left"/>
    </xf>
    <xf numFmtId="0" fontId="6" fillId="3" borderId="1" xfId="1" applyFont="1" applyFill="1" applyBorder="1" applyAlignment="1">
      <alignment horizontal="center" vertical="center"/>
    </xf>
    <xf numFmtId="0" fontId="6" fillId="0" borderId="1" xfId="1" applyFont="1" applyBorder="1" applyAlignment="1">
      <alignment horizontal="center" vertical="center" wrapText="1"/>
    </xf>
    <xf numFmtId="0" fontId="6" fillId="0" borderId="1" xfId="1" applyFont="1" applyFill="1" applyBorder="1" applyAlignment="1">
      <alignment horizontal="center" vertical="center"/>
    </xf>
    <xf numFmtId="0" fontId="2" fillId="0" borderId="1" xfId="1" applyFont="1" applyBorder="1" applyAlignment="1">
      <alignment horizontal="center" vertical="center"/>
    </xf>
    <xf numFmtId="0" fontId="6" fillId="0" borderId="1" xfId="1" applyFont="1" applyFill="1" applyBorder="1" applyAlignment="1"/>
    <xf numFmtId="0" fontId="6" fillId="0" borderId="1" xfId="1" applyFont="1" applyBorder="1" applyAlignment="1">
      <alignment horizontal="center" vertical="center"/>
    </xf>
    <xf numFmtId="180" fontId="6" fillId="0" borderId="1" xfId="3" applyNumberFormat="1" applyFont="1" applyBorder="1" applyAlignment="1">
      <alignment horizontal="center" vertical="center"/>
    </xf>
    <xf numFmtId="0" fontId="6" fillId="0" borderId="2" xfId="1" applyFont="1" applyFill="1" applyBorder="1" applyAlignment="1">
      <alignment horizontal="left" vertical="center"/>
    </xf>
    <xf numFmtId="0" fontId="6" fillId="0" borderId="3" xfId="1" applyFont="1" applyFill="1" applyBorder="1" applyAlignment="1">
      <alignment horizontal="left" vertical="center"/>
    </xf>
    <xf numFmtId="0" fontId="6" fillId="0" borderId="2" xfId="1" applyFont="1" applyBorder="1" applyAlignment="1">
      <alignment horizontal="center" vertical="center"/>
    </xf>
    <xf numFmtId="0" fontId="6" fillId="0" borderId="3" xfId="1" applyFont="1" applyBorder="1" applyAlignment="1">
      <alignment horizontal="center" vertical="center"/>
    </xf>
    <xf numFmtId="0" fontId="6" fillId="0" borderId="3" xfId="1" applyFont="1" applyFill="1" applyBorder="1" applyAlignment="1"/>
    <xf numFmtId="0" fontId="6" fillId="3" borderId="1" xfId="1" applyFont="1" applyFill="1" applyBorder="1" applyAlignment="1">
      <alignment horizontal="center" vertical="center"/>
    </xf>
    <xf numFmtId="0" fontId="6" fillId="0" borderId="1" xfId="1" applyFont="1" applyBorder="1" applyAlignment="1">
      <alignment horizontal="center" vertical="center" wrapText="1"/>
    </xf>
    <xf numFmtId="0" fontId="2" fillId="0" borderId="1" xfId="1" applyFont="1" applyBorder="1" applyAlignment="1">
      <alignment horizontal="center" vertical="center"/>
    </xf>
    <xf numFmtId="0" fontId="6" fillId="0" borderId="1" xfId="1" applyFont="1" applyFill="1" applyBorder="1" applyAlignment="1">
      <alignment horizontal="center" vertical="center"/>
    </xf>
    <xf numFmtId="180" fontId="6" fillId="0" borderId="1" xfId="3" applyNumberFormat="1" applyFont="1" applyBorder="1" applyAlignment="1">
      <alignment horizontal="center" vertical="center"/>
    </xf>
    <xf numFmtId="0" fontId="6" fillId="0" borderId="1" xfId="1" applyFont="1" applyBorder="1" applyAlignment="1">
      <alignment horizontal="center" vertical="center"/>
    </xf>
    <xf numFmtId="0" fontId="6" fillId="0" borderId="1" xfId="1" applyFont="1" applyFill="1" applyBorder="1" applyAlignment="1"/>
    <xf numFmtId="0" fontId="6" fillId="0" borderId="2" xfId="1" applyFont="1" applyFill="1" applyBorder="1" applyAlignment="1">
      <alignment horizontal="left" vertical="center"/>
    </xf>
    <xf numFmtId="0" fontId="6" fillId="0" borderId="3" xfId="1" applyFont="1" applyFill="1" applyBorder="1" applyAlignment="1">
      <alignment horizontal="left" vertical="center"/>
    </xf>
    <xf numFmtId="0" fontId="6" fillId="0" borderId="2" xfId="1" applyFont="1" applyBorder="1" applyAlignment="1">
      <alignment horizontal="center" vertical="center"/>
    </xf>
    <xf numFmtId="0" fontId="6" fillId="0" borderId="3" xfId="1" applyFont="1" applyBorder="1" applyAlignment="1">
      <alignment horizontal="center" vertical="center"/>
    </xf>
    <xf numFmtId="0" fontId="6" fillId="0" borderId="3" xfId="1" applyFont="1" applyFill="1" applyBorder="1" applyAlignment="1"/>
    <xf numFmtId="0" fontId="6" fillId="3" borderId="1" xfId="1" applyFont="1" applyFill="1" applyBorder="1" applyAlignment="1">
      <alignment horizontal="center" vertical="center"/>
    </xf>
    <xf numFmtId="0" fontId="6" fillId="0" borderId="1" xfId="1" applyFont="1" applyBorder="1" applyAlignment="1">
      <alignment horizontal="center" vertical="center" wrapText="1"/>
    </xf>
    <xf numFmtId="0" fontId="2" fillId="0" borderId="1" xfId="1" applyFont="1" applyBorder="1" applyAlignment="1">
      <alignment horizontal="center" vertical="center"/>
    </xf>
    <xf numFmtId="0" fontId="6" fillId="0" borderId="1" xfId="1" applyFont="1" applyFill="1" applyBorder="1" applyAlignment="1">
      <alignment horizontal="center" vertical="center"/>
    </xf>
    <xf numFmtId="0" fontId="6" fillId="0" borderId="2" xfId="1" applyFont="1" applyFill="1" applyBorder="1" applyAlignment="1">
      <alignment horizontal="left" vertical="center"/>
    </xf>
    <xf numFmtId="0" fontId="6" fillId="0" borderId="3" xfId="1" applyFont="1" applyFill="1" applyBorder="1" applyAlignment="1">
      <alignment horizontal="left" vertical="center"/>
    </xf>
    <xf numFmtId="0" fontId="6" fillId="0" borderId="2" xfId="1" applyFont="1" applyBorder="1" applyAlignment="1">
      <alignment horizontal="center" vertical="center"/>
    </xf>
    <xf numFmtId="0" fontId="6" fillId="0" borderId="3" xfId="1" applyFont="1" applyBorder="1" applyAlignment="1">
      <alignment horizontal="center" vertical="center"/>
    </xf>
    <xf numFmtId="0" fontId="6" fillId="0" borderId="1" xfId="1" applyFont="1" applyFill="1" applyBorder="1" applyAlignment="1"/>
    <xf numFmtId="0" fontId="6" fillId="0" borderId="1" xfId="1" applyFont="1" applyBorder="1" applyAlignment="1">
      <alignment horizontal="center" vertical="center"/>
    </xf>
    <xf numFmtId="180" fontId="6" fillId="0" borderId="1" xfId="3" applyNumberFormat="1" applyFont="1" applyBorder="1" applyAlignment="1">
      <alignment horizontal="center" vertical="center"/>
    </xf>
    <xf numFmtId="0" fontId="6" fillId="0" borderId="3" xfId="1" applyFont="1" applyFill="1" applyBorder="1" applyAlignment="1"/>
    <xf numFmtId="0" fontId="6" fillId="3" borderId="1" xfId="1" applyFont="1" applyFill="1" applyBorder="1" applyAlignment="1">
      <alignment horizontal="center" vertical="center"/>
    </xf>
    <xf numFmtId="0" fontId="6" fillId="0" borderId="1" xfId="1" applyFont="1" applyBorder="1" applyAlignment="1">
      <alignment horizontal="center" vertical="center" wrapText="1"/>
    </xf>
    <xf numFmtId="0" fontId="2" fillId="0" borderId="1" xfId="1" applyFont="1" applyBorder="1" applyAlignment="1">
      <alignment horizontal="center" vertical="center"/>
    </xf>
    <xf numFmtId="0" fontId="6" fillId="0" borderId="1" xfId="1" applyFont="1" applyFill="1" applyBorder="1" applyAlignment="1">
      <alignment horizontal="center" vertical="center"/>
    </xf>
    <xf numFmtId="0" fontId="6" fillId="0" borderId="2" xfId="1" applyFont="1" applyFill="1" applyBorder="1" applyAlignment="1">
      <alignment horizontal="left" vertical="center"/>
    </xf>
    <xf numFmtId="0" fontId="6" fillId="0" borderId="3" xfId="1" applyFont="1" applyFill="1" applyBorder="1" applyAlignment="1">
      <alignment horizontal="left" vertical="center"/>
    </xf>
    <xf numFmtId="0" fontId="6" fillId="0" borderId="2" xfId="1" applyFont="1" applyBorder="1" applyAlignment="1">
      <alignment horizontal="center" vertical="center"/>
    </xf>
    <xf numFmtId="0" fontId="6" fillId="0" borderId="3" xfId="1" applyFont="1" applyBorder="1" applyAlignment="1">
      <alignment horizontal="center" vertical="center"/>
    </xf>
    <xf numFmtId="0" fontId="6" fillId="0" borderId="1" xfId="1" applyFont="1" applyFill="1" applyBorder="1" applyAlignment="1"/>
    <xf numFmtId="0" fontId="6" fillId="0" borderId="1" xfId="1" applyFont="1" applyBorder="1" applyAlignment="1">
      <alignment horizontal="center" vertical="center"/>
    </xf>
    <xf numFmtId="180" fontId="6" fillId="0" borderId="1" xfId="3" applyNumberFormat="1" applyFont="1" applyBorder="1" applyAlignment="1">
      <alignment horizontal="center" vertical="center"/>
    </xf>
    <xf numFmtId="0" fontId="6" fillId="0" borderId="3" xfId="1" applyFont="1" applyFill="1" applyBorder="1" applyAlignment="1"/>
    <xf numFmtId="0" fontId="6" fillId="3" borderId="1" xfId="1" applyFont="1" applyFill="1" applyBorder="1" applyAlignment="1">
      <alignment horizontal="center" vertical="center"/>
    </xf>
    <xf numFmtId="0" fontId="6" fillId="0" borderId="1" xfId="1" applyFont="1" applyBorder="1" applyAlignment="1">
      <alignment horizontal="center" vertical="center" wrapText="1"/>
    </xf>
    <xf numFmtId="0" fontId="6" fillId="0" borderId="1" xfId="1" applyFont="1" applyFill="1" applyBorder="1" applyAlignment="1">
      <alignment horizontal="center" vertical="center"/>
    </xf>
    <xf numFmtId="0" fontId="2" fillId="0" borderId="1" xfId="1" applyFont="1" applyBorder="1" applyAlignment="1">
      <alignment horizontal="center" vertical="center"/>
    </xf>
    <xf numFmtId="0" fontId="6" fillId="0" borderId="1" xfId="1" applyFont="1" applyFill="1" applyBorder="1" applyAlignment="1"/>
    <xf numFmtId="0" fontId="6" fillId="0" borderId="1" xfId="1" applyFont="1" applyBorder="1" applyAlignment="1">
      <alignment horizontal="center" vertical="center"/>
    </xf>
    <xf numFmtId="0" fontId="6" fillId="0" borderId="2" xfId="1" applyFont="1" applyFill="1" applyBorder="1" applyAlignment="1">
      <alignment horizontal="left" vertical="center"/>
    </xf>
    <xf numFmtId="0" fontId="6" fillId="0" borderId="3" xfId="1" applyFont="1" applyFill="1" applyBorder="1" applyAlignment="1">
      <alignment horizontal="left" vertical="center"/>
    </xf>
    <xf numFmtId="0" fontId="6" fillId="0" borderId="2" xfId="1" applyFont="1" applyBorder="1" applyAlignment="1">
      <alignment horizontal="center" vertical="center"/>
    </xf>
    <xf numFmtId="0" fontId="6" fillId="0" borderId="3" xfId="1" applyFont="1" applyBorder="1" applyAlignment="1">
      <alignment horizontal="center" vertical="center"/>
    </xf>
    <xf numFmtId="180" fontId="6" fillId="0" borderId="1" xfId="3" applyNumberFormat="1" applyFont="1" applyBorder="1" applyAlignment="1">
      <alignment horizontal="center" vertical="center"/>
    </xf>
    <xf numFmtId="0" fontId="6" fillId="0" borderId="3" xfId="1" applyFont="1" applyFill="1" applyBorder="1" applyAlignment="1"/>
    <xf numFmtId="0" fontId="6" fillId="3" borderId="1" xfId="1" applyFont="1" applyFill="1" applyBorder="1" applyAlignment="1">
      <alignment horizontal="center" vertical="center"/>
    </xf>
    <xf numFmtId="0" fontId="6" fillId="0" borderId="1" xfId="1" applyFont="1" applyBorder="1" applyAlignment="1">
      <alignment horizontal="center" vertical="center" wrapText="1"/>
    </xf>
    <xf numFmtId="0" fontId="6" fillId="0" borderId="1" xfId="1" applyFont="1" applyFill="1" applyBorder="1" applyAlignment="1">
      <alignment horizontal="center" vertical="center"/>
    </xf>
    <xf numFmtId="0" fontId="2" fillId="0" borderId="1" xfId="1" applyFont="1" applyBorder="1" applyAlignment="1">
      <alignment horizontal="center" vertical="center"/>
    </xf>
    <xf numFmtId="0" fontId="6" fillId="0" borderId="2" xfId="1" applyFont="1" applyBorder="1" applyAlignment="1">
      <alignment horizontal="center" vertical="center"/>
    </xf>
    <xf numFmtId="0" fontId="6" fillId="0" borderId="3" xfId="1" applyFont="1" applyBorder="1" applyAlignment="1">
      <alignment horizontal="center" vertical="center"/>
    </xf>
    <xf numFmtId="0" fontId="6" fillId="0" borderId="3" xfId="1" applyFont="1" applyFill="1" applyBorder="1" applyAlignment="1"/>
    <xf numFmtId="0" fontId="6" fillId="0" borderId="1" xfId="1" applyFont="1" applyBorder="1" applyAlignment="1">
      <alignment horizontal="center" vertical="center"/>
    </xf>
    <xf numFmtId="180" fontId="6" fillId="0" borderId="1" xfId="3" applyNumberFormat="1" applyFont="1" applyBorder="1" applyAlignment="1">
      <alignment horizontal="center" vertical="center"/>
    </xf>
    <xf numFmtId="0" fontId="6" fillId="0" borderId="1" xfId="1" applyFont="1" applyFill="1" applyBorder="1" applyAlignment="1"/>
    <xf numFmtId="0" fontId="6" fillId="0" borderId="2" xfId="1" applyFont="1" applyFill="1" applyBorder="1" applyAlignment="1">
      <alignment horizontal="left" vertical="center"/>
    </xf>
    <xf numFmtId="0" fontId="6" fillId="0" borderId="3" xfId="1" applyFont="1" applyFill="1" applyBorder="1" applyAlignment="1">
      <alignment horizontal="left" vertical="center"/>
    </xf>
    <xf numFmtId="0" fontId="6" fillId="3" borderId="1" xfId="1" applyFont="1" applyFill="1" applyBorder="1" applyAlignment="1">
      <alignment horizontal="center" vertical="center"/>
    </xf>
    <xf numFmtId="0" fontId="6" fillId="0" borderId="1" xfId="1" applyFont="1" applyBorder="1" applyAlignment="1">
      <alignment horizontal="center" vertical="center" wrapText="1"/>
    </xf>
    <xf numFmtId="0" fontId="6" fillId="0" borderId="1" xfId="1" applyFont="1" applyFill="1" applyBorder="1" applyAlignment="1">
      <alignment horizontal="center" vertical="center"/>
    </xf>
    <xf numFmtId="0" fontId="2" fillId="0" borderId="1" xfId="1" applyFont="1" applyBorder="1" applyAlignment="1">
      <alignment horizontal="center" vertical="center"/>
    </xf>
    <xf numFmtId="0" fontId="6" fillId="0" borderId="2" xfId="1" applyFont="1" applyBorder="1" applyAlignment="1">
      <alignment horizontal="center" vertical="center"/>
    </xf>
    <xf numFmtId="0" fontId="6" fillId="0" borderId="3" xfId="1" applyFont="1" applyBorder="1" applyAlignment="1">
      <alignment horizontal="center" vertical="center"/>
    </xf>
    <xf numFmtId="0" fontId="6" fillId="0" borderId="3" xfId="1" applyFont="1" applyFill="1" applyBorder="1" applyAlignment="1"/>
    <xf numFmtId="0" fontId="6" fillId="0" borderId="1" xfId="1" applyFont="1" applyBorder="1" applyAlignment="1">
      <alignment horizontal="center" vertical="center"/>
    </xf>
    <xf numFmtId="180" fontId="6" fillId="0" borderId="1" xfId="3" applyNumberFormat="1" applyFont="1" applyBorder="1" applyAlignment="1">
      <alignment horizontal="center" vertical="center"/>
    </xf>
    <xf numFmtId="0" fontId="6" fillId="0" borderId="1" xfId="1" applyFont="1" applyFill="1" applyBorder="1" applyAlignment="1"/>
    <xf numFmtId="0" fontId="6" fillId="0" borderId="2" xfId="1" applyFont="1" applyFill="1" applyBorder="1" applyAlignment="1">
      <alignment horizontal="left" vertical="center"/>
    </xf>
    <xf numFmtId="0" fontId="6" fillId="0" borderId="3" xfId="1" applyFont="1" applyFill="1" applyBorder="1" applyAlignment="1">
      <alignment horizontal="left" vertical="center"/>
    </xf>
    <xf numFmtId="0" fontId="6" fillId="3" borderId="1" xfId="1" applyFont="1" applyFill="1" applyBorder="1" applyAlignment="1">
      <alignment horizontal="center" vertical="center"/>
    </xf>
    <xf numFmtId="0" fontId="6" fillId="0" borderId="1" xfId="1" applyFont="1" applyBorder="1" applyAlignment="1">
      <alignment horizontal="center" vertical="center" wrapText="1"/>
    </xf>
    <xf numFmtId="0" fontId="6" fillId="0" borderId="1" xfId="1" applyFont="1" applyFill="1" applyBorder="1" applyAlignment="1">
      <alignment horizontal="center" vertical="center"/>
    </xf>
    <xf numFmtId="0" fontId="2" fillId="0" borderId="1" xfId="1" applyFont="1" applyBorder="1" applyAlignment="1">
      <alignment horizontal="center" vertical="center"/>
    </xf>
    <xf numFmtId="0" fontId="6" fillId="0" borderId="3" xfId="1" applyFont="1" applyFill="1" applyBorder="1" applyAlignment="1"/>
    <xf numFmtId="0" fontId="6" fillId="0" borderId="1" xfId="1" applyFont="1" applyBorder="1" applyAlignment="1">
      <alignment horizontal="center" vertical="center"/>
    </xf>
    <xf numFmtId="0" fontId="6" fillId="0" borderId="2" xfId="1" applyFont="1" applyBorder="1" applyAlignment="1">
      <alignment horizontal="center" vertical="center"/>
    </xf>
    <xf numFmtId="0" fontId="6" fillId="0" borderId="3" xfId="1" applyFont="1" applyBorder="1" applyAlignment="1">
      <alignment horizontal="center" vertical="center"/>
    </xf>
    <xf numFmtId="180" fontId="6" fillId="0" borderId="1" xfId="3" applyNumberFormat="1" applyFont="1" applyBorder="1" applyAlignment="1">
      <alignment horizontal="center" vertical="center"/>
    </xf>
    <xf numFmtId="0" fontId="6" fillId="0" borderId="1" xfId="1" applyFont="1" applyFill="1" applyBorder="1" applyAlignment="1"/>
    <xf numFmtId="0" fontId="6" fillId="0" borderId="2" xfId="1" applyFont="1" applyFill="1" applyBorder="1" applyAlignment="1">
      <alignment horizontal="left" vertical="center"/>
    </xf>
    <xf numFmtId="0" fontId="6" fillId="0" borderId="3" xfId="1" applyFont="1" applyFill="1" applyBorder="1" applyAlignment="1">
      <alignment horizontal="left" vertical="center"/>
    </xf>
    <xf numFmtId="0" fontId="6" fillId="3" borderId="1" xfId="1" applyFont="1" applyFill="1" applyBorder="1" applyAlignment="1">
      <alignment horizontal="center" vertical="center"/>
    </xf>
    <xf numFmtId="0" fontId="6" fillId="0" borderId="1" xfId="1" applyFont="1" applyBorder="1" applyAlignment="1">
      <alignment horizontal="center" vertical="center" wrapText="1"/>
    </xf>
    <xf numFmtId="0" fontId="2" fillId="0" borderId="1" xfId="1" applyFont="1" applyBorder="1" applyAlignment="1">
      <alignment horizontal="center" vertical="center"/>
    </xf>
    <xf numFmtId="0" fontId="6" fillId="0" borderId="1" xfId="1" applyFont="1" applyFill="1" applyBorder="1" applyAlignment="1">
      <alignment horizontal="center" vertical="center"/>
    </xf>
    <xf numFmtId="0" fontId="6" fillId="0" borderId="2" xfId="1" applyFont="1" applyBorder="1" applyAlignment="1">
      <alignment horizontal="center" vertical="center"/>
    </xf>
    <xf numFmtId="0" fontId="6" fillId="0" borderId="3" xfId="1" applyFont="1" applyBorder="1" applyAlignment="1">
      <alignment horizontal="center" vertical="center"/>
    </xf>
    <xf numFmtId="0" fontId="6" fillId="0" borderId="3" xfId="1" applyFont="1" applyFill="1" applyBorder="1" applyAlignment="1"/>
    <xf numFmtId="0" fontId="6" fillId="0" borderId="1" xfId="1" applyFont="1" applyBorder="1" applyAlignment="1">
      <alignment horizontal="center" vertical="center"/>
    </xf>
    <xf numFmtId="180" fontId="6" fillId="0" borderId="1" xfId="3" applyNumberFormat="1" applyFont="1" applyBorder="1" applyAlignment="1">
      <alignment horizontal="center" vertical="center"/>
    </xf>
    <xf numFmtId="0" fontId="6" fillId="0" borderId="1" xfId="1" applyFont="1" applyFill="1" applyBorder="1" applyAlignment="1"/>
    <xf numFmtId="0" fontId="6" fillId="0" borderId="2" xfId="1" applyFont="1" applyFill="1" applyBorder="1" applyAlignment="1">
      <alignment horizontal="left" vertical="center"/>
    </xf>
    <xf numFmtId="0" fontId="6" fillId="0" borderId="3" xfId="1" applyFont="1" applyFill="1" applyBorder="1" applyAlignment="1">
      <alignment horizontal="left" vertical="center"/>
    </xf>
    <xf numFmtId="0" fontId="6" fillId="3" borderId="1" xfId="1" applyFont="1" applyFill="1" applyBorder="1" applyAlignment="1">
      <alignment horizontal="center" vertical="center"/>
    </xf>
    <xf numFmtId="0" fontId="6" fillId="0" borderId="1" xfId="1" applyFont="1" applyBorder="1" applyAlignment="1">
      <alignment horizontal="center" vertical="center" wrapText="1"/>
    </xf>
    <xf numFmtId="0" fontId="6" fillId="0" borderId="1" xfId="1" applyFont="1" applyFill="1" applyBorder="1" applyAlignment="1">
      <alignment horizontal="center" vertical="center"/>
    </xf>
    <xf numFmtId="0" fontId="2" fillId="0" borderId="1" xfId="1" applyFont="1" applyBorder="1" applyAlignment="1">
      <alignment horizontal="center" vertical="center"/>
    </xf>
    <xf numFmtId="0" fontId="6" fillId="0" borderId="2" xfId="1" applyFont="1" applyBorder="1" applyAlignment="1">
      <alignment horizontal="center" vertical="center"/>
    </xf>
    <xf numFmtId="0" fontId="6" fillId="0" borderId="3" xfId="1" applyFont="1" applyBorder="1" applyAlignment="1">
      <alignment horizontal="center" vertical="center"/>
    </xf>
    <xf numFmtId="0" fontId="6" fillId="0" borderId="3" xfId="1" applyFont="1" applyFill="1" applyBorder="1" applyAlignment="1"/>
    <xf numFmtId="0" fontId="6" fillId="0" borderId="1" xfId="1" applyFont="1" applyBorder="1" applyAlignment="1">
      <alignment horizontal="center" vertical="center"/>
    </xf>
    <xf numFmtId="180" fontId="6" fillId="0" borderId="1" xfId="3" applyNumberFormat="1" applyFont="1" applyBorder="1" applyAlignment="1">
      <alignment horizontal="center" vertical="center"/>
    </xf>
    <xf numFmtId="0" fontId="6" fillId="0" borderId="1" xfId="1" applyFont="1" applyFill="1" applyBorder="1" applyAlignment="1"/>
    <xf numFmtId="0" fontId="6" fillId="0" borderId="2" xfId="1" applyFont="1" applyFill="1" applyBorder="1" applyAlignment="1">
      <alignment horizontal="left" vertical="center"/>
    </xf>
    <xf numFmtId="0" fontId="6" fillId="0" borderId="3" xfId="1" applyFont="1" applyFill="1" applyBorder="1" applyAlignment="1">
      <alignment horizontal="left" vertical="center"/>
    </xf>
    <xf numFmtId="0" fontId="6" fillId="3" borderId="1" xfId="1" applyFont="1" applyFill="1" applyBorder="1" applyAlignment="1">
      <alignment horizontal="center" vertical="center"/>
    </xf>
    <xf numFmtId="0" fontId="6" fillId="0" borderId="1" xfId="1" applyFont="1" applyBorder="1" applyAlignment="1">
      <alignment horizontal="center" vertical="center" wrapText="1"/>
    </xf>
    <xf numFmtId="0" fontId="6" fillId="0" borderId="1" xfId="1" applyFont="1" applyFill="1" applyBorder="1" applyAlignment="1">
      <alignment horizontal="center" vertical="center"/>
    </xf>
    <xf numFmtId="0" fontId="2" fillId="0" borderId="1" xfId="1" applyFont="1" applyBorder="1" applyAlignment="1">
      <alignment horizontal="center" vertical="center"/>
    </xf>
    <xf numFmtId="0" fontId="6" fillId="0" borderId="2" xfId="1" applyFont="1" applyBorder="1" applyAlignment="1">
      <alignment horizontal="center" vertical="center"/>
    </xf>
    <xf numFmtId="0" fontId="6" fillId="0" borderId="3" xfId="1" applyFont="1" applyBorder="1" applyAlignment="1">
      <alignment horizontal="center" vertical="center"/>
    </xf>
    <xf numFmtId="0" fontId="6" fillId="0" borderId="3" xfId="1" applyFont="1" applyFill="1" applyBorder="1" applyAlignment="1"/>
    <xf numFmtId="0" fontId="6" fillId="0" borderId="1" xfId="1" applyFont="1" applyBorder="1" applyAlignment="1">
      <alignment horizontal="center" vertical="center"/>
    </xf>
    <xf numFmtId="180" fontId="6" fillId="0" borderId="1" xfId="3" applyNumberFormat="1" applyFont="1" applyBorder="1" applyAlignment="1">
      <alignment horizontal="center" vertical="center"/>
    </xf>
    <xf numFmtId="0" fontId="6" fillId="0" borderId="1" xfId="1" applyFont="1" applyFill="1" applyBorder="1" applyAlignment="1"/>
    <xf numFmtId="0" fontId="6" fillId="0" borderId="2" xfId="1" applyFont="1" applyFill="1" applyBorder="1" applyAlignment="1">
      <alignment horizontal="left" vertical="center"/>
    </xf>
    <xf numFmtId="0" fontId="6" fillId="0" borderId="3" xfId="1" applyFont="1" applyFill="1" applyBorder="1" applyAlignment="1">
      <alignment horizontal="left" vertical="center"/>
    </xf>
    <xf numFmtId="0" fontId="6" fillId="3" borderId="1" xfId="1" applyFont="1" applyFill="1" applyBorder="1" applyAlignment="1">
      <alignment horizontal="center" vertical="center"/>
    </xf>
    <xf numFmtId="0" fontId="6" fillId="0" borderId="1" xfId="1" applyFont="1" applyBorder="1" applyAlignment="1">
      <alignment horizontal="center" vertical="center" wrapText="1"/>
    </xf>
    <xf numFmtId="0" fontId="6" fillId="0" borderId="1" xfId="1" applyFont="1" applyFill="1" applyBorder="1" applyAlignment="1">
      <alignment horizontal="center" vertical="center"/>
    </xf>
    <xf numFmtId="0" fontId="2" fillId="0" borderId="1" xfId="1" applyFont="1" applyBorder="1" applyAlignment="1">
      <alignment horizontal="center" vertical="center"/>
    </xf>
    <xf numFmtId="180" fontId="6" fillId="0" borderId="1" xfId="3" applyNumberFormat="1" applyFont="1" applyBorder="1" applyAlignment="1">
      <alignment horizontal="center" vertical="center"/>
    </xf>
    <xf numFmtId="181" fontId="6" fillId="0" borderId="32" xfId="5" applyNumberFormat="1" applyFont="1" applyFill="1" applyBorder="1" applyAlignment="1">
      <alignment horizontal="center" vertical="center"/>
    </xf>
    <xf numFmtId="181" fontId="6" fillId="0" borderId="1" xfId="5" applyNumberFormat="1" applyFont="1" applyFill="1" applyBorder="1" applyAlignment="1">
      <alignment horizontal="center" vertical="center"/>
    </xf>
    <xf numFmtId="181" fontId="6" fillId="0" borderId="25" xfId="5" applyNumberFormat="1" applyFont="1" applyFill="1" applyBorder="1" applyAlignment="1">
      <alignment horizontal="center" vertical="center"/>
    </xf>
    <xf numFmtId="0" fontId="2" fillId="0" borderId="1" xfId="8" applyFont="1" applyBorder="1">
      <alignment vertical="center"/>
    </xf>
    <xf numFmtId="0" fontId="2" fillId="0" borderId="1" xfId="8" applyFont="1" applyBorder="1" applyAlignment="1">
      <alignment horizontal="left" vertical="center"/>
    </xf>
    <xf numFmtId="0" fontId="5" fillId="2" borderId="1" xfId="8" applyFont="1" applyFill="1" applyBorder="1" applyAlignment="1">
      <alignment horizontal="center" vertical="center"/>
    </xf>
    <xf numFmtId="1" fontId="2" fillId="0" borderId="1" xfId="8" applyNumberFormat="1" applyFont="1" applyBorder="1" applyAlignment="1">
      <alignment horizontal="center" vertical="center"/>
    </xf>
    <xf numFmtId="0" fontId="6" fillId="0" borderId="0" xfId="8" applyFont="1">
      <alignment vertical="center"/>
    </xf>
    <xf numFmtId="176" fontId="2" fillId="0" borderId="2" xfId="8" applyNumberFormat="1" applyFont="1" applyFill="1" applyBorder="1" applyAlignment="1">
      <alignment horizontal="left" vertical="center"/>
    </xf>
    <xf numFmtId="176" fontId="2" fillId="0" borderId="3" xfId="8" applyNumberFormat="1" applyFont="1" applyFill="1" applyBorder="1">
      <alignment vertical="center"/>
    </xf>
    <xf numFmtId="177" fontId="2" fillId="0" borderId="1" xfId="8" applyNumberFormat="1" applyFont="1" applyBorder="1" applyAlignment="1">
      <alignment horizontal="center" vertical="center"/>
    </xf>
    <xf numFmtId="177" fontId="9" fillId="0" borderId="1" xfId="8" applyNumberFormat="1" applyFont="1" applyBorder="1" applyAlignment="1">
      <alignment horizontal="center" vertical="center"/>
    </xf>
    <xf numFmtId="2" fontId="2" fillId="0" borderId="1" xfId="8" applyNumberFormat="1" applyFont="1" applyBorder="1">
      <alignment vertical="center"/>
    </xf>
    <xf numFmtId="0" fontId="2" fillId="0" borderId="1" xfId="8" applyFont="1" applyBorder="1" applyAlignment="1">
      <alignment horizontal="center" vertical="center"/>
    </xf>
    <xf numFmtId="0" fontId="6" fillId="0" borderId="1" xfId="8" applyFont="1" applyBorder="1" applyAlignment="1">
      <alignment horizontal="center" vertical="center"/>
    </xf>
    <xf numFmtId="0" fontId="6" fillId="0" borderId="1" xfId="8" applyFont="1" applyFill="1" applyBorder="1" applyAlignment="1">
      <alignment horizontal="center" vertical="center"/>
    </xf>
    <xf numFmtId="0" fontId="6" fillId="0" borderId="1" xfId="8" applyFont="1" applyFill="1" applyBorder="1" applyAlignment="1">
      <alignment horizontal="center"/>
    </xf>
    <xf numFmtId="0" fontId="6" fillId="0" borderId="1" xfId="8" applyFont="1" applyFill="1" applyBorder="1" applyAlignment="1">
      <alignment horizontal="center" vertical="center" wrapText="1"/>
    </xf>
    <xf numFmtId="0" fontId="6" fillId="3" borderId="1" xfId="8" applyFont="1" applyFill="1" applyBorder="1" applyAlignment="1">
      <alignment horizontal="center" vertical="center"/>
    </xf>
    <xf numFmtId="1" fontId="6" fillId="0" borderId="1" xfId="8" applyNumberFormat="1" applyFont="1" applyFill="1" applyBorder="1" applyAlignment="1">
      <alignment horizontal="center" vertical="center"/>
    </xf>
    <xf numFmtId="177" fontId="6" fillId="0" borderId="1" xfId="8" applyNumberFormat="1" applyFont="1" applyBorder="1" applyAlignment="1">
      <alignment horizontal="center" vertical="center"/>
    </xf>
    <xf numFmtId="1" fontId="6" fillId="0" borderId="1" xfId="8" applyNumberFormat="1" applyFont="1" applyBorder="1" applyAlignment="1">
      <alignment horizontal="center" vertical="center"/>
    </xf>
    <xf numFmtId="178" fontId="6" fillId="0" borderId="1" xfId="8" applyNumberFormat="1" applyFont="1" applyBorder="1" applyAlignment="1">
      <alignment horizontal="center" vertical="center"/>
    </xf>
    <xf numFmtId="179" fontId="6" fillId="0" borderId="1" xfId="8" applyNumberFormat="1" applyFont="1" applyBorder="1" applyAlignment="1">
      <alignment horizontal="center" vertical="center"/>
    </xf>
    <xf numFmtId="181" fontId="6" fillId="0" borderId="1" xfId="8" applyNumberFormat="1" applyFont="1" applyFill="1" applyBorder="1" applyAlignment="1">
      <alignment horizontal="center" vertical="center"/>
    </xf>
    <xf numFmtId="0" fontId="6" fillId="0" borderId="1" xfId="8" applyFont="1" applyBorder="1" applyAlignment="1">
      <alignment horizontal="center" vertical="center" wrapText="1"/>
    </xf>
    <xf numFmtId="20" fontId="6" fillId="0" borderId="1" xfId="8" applyNumberFormat="1" applyFont="1" applyBorder="1" applyAlignment="1">
      <alignment horizontal="center" vertical="center"/>
    </xf>
    <xf numFmtId="0" fontId="6" fillId="0" borderId="1" xfId="8" applyFont="1" applyBorder="1">
      <alignment vertical="center"/>
    </xf>
    <xf numFmtId="0" fontId="6" fillId="0" borderId="1" xfId="8" applyFont="1" applyFill="1" applyBorder="1" applyAlignment="1"/>
    <xf numFmtId="177" fontId="6" fillId="0" borderId="1" xfId="8" applyNumberFormat="1" applyFont="1" applyFill="1" applyBorder="1" applyAlignment="1">
      <alignment horizontal="center" vertical="center"/>
    </xf>
    <xf numFmtId="1" fontId="6" fillId="3" borderId="1" xfId="8" applyNumberFormat="1" applyFont="1" applyFill="1" applyBorder="1" applyAlignment="1">
      <alignment horizontal="center" vertical="center"/>
    </xf>
    <xf numFmtId="181" fontId="6" fillId="0" borderId="1" xfId="8" applyNumberFormat="1" applyFont="1" applyBorder="1" applyAlignment="1">
      <alignment horizontal="center" vertical="center"/>
    </xf>
    <xf numFmtId="0" fontId="6" fillId="0" borderId="3" xfId="8" applyFont="1" applyFill="1" applyBorder="1" applyAlignment="1"/>
    <xf numFmtId="3" fontId="6" fillId="0" borderId="1" xfId="8" applyNumberFormat="1" applyFont="1" applyFill="1" applyBorder="1" applyAlignment="1">
      <alignment horizontal="center" vertical="center"/>
    </xf>
    <xf numFmtId="0" fontId="6" fillId="0" borderId="2" xfId="8" applyFont="1" applyBorder="1" applyAlignment="1">
      <alignment horizontal="center" vertical="center"/>
    </xf>
    <xf numFmtId="0" fontId="6" fillId="0" borderId="3" xfId="8" applyFont="1" applyBorder="1" applyAlignment="1">
      <alignment horizontal="center" vertical="center"/>
    </xf>
    <xf numFmtId="0" fontId="6" fillId="0" borderId="2" xfId="8" applyFont="1" applyFill="1" applyBorder="1" applyAlignment="1">
      <alignment horizontal="left" vertical="center"/>
    </xf>
    <xf numFmtId="0" fontId="6" fillId="0" borderId="3" xfId="8" applyFont="1" applyFill="1" applyBorder="1" applyAlignment="1">
      <alignment horizontal="left" vertical="center"/>
    </xf>
    <xf numFmtId="181" fontId="6" fillId="0" borderId="1" xfId="8" applyNumberFormat="1" applyFont="1" applyFill="1" applyBorder="1" applyAlignment="1">
      <alignment horizontal="left" vertical="center"/>
    </xf>
    <xf numFmtId="0" fontId="9" fillId="0" borderId="0" xfId="8" applyFont="1">
      <alignment vertical="center"/>
    </xf>
    <xf numFmtId="0" fontId="6" fillId="0" borderId="0" xfId="8" applyFont="1" applyFill="1">
      <alignment vertical="center"/>
    </xf>
    <xf numFmtId="0" fontId="6" fillId="0" borderId="0" xfId="8" applyFont="1" applyAlignment="1">
      <alignment vertical="center" wrapText="1"/>
    </xf>
    <xf numFmtId="0" fontId="6" fillId="0" borderId="3" xfId="8" applyFont="1" applyFill="1" applyBorder="1" applyAlignment="1"/>
    <xf numFmtId="0" fontId="6" fillId="0" borderId="1" xfId="8" applyFont="1" applyBorder="1" applyAlignment="1">
      <alignment horizontal="center" vertical="center"/>
    </xf>
    <xf numFmtId="0" fontId="6" fillId="0" borderId="2" xfId="8" applyFont="1" applyBorder="1" applyAlignment="1">
      <alignment horizontal="center" vertical="center"/>
    </xf>
    <xf numFmtId="0" fontId="6" fillId="0" borderId="3" xfId="8" applyFont="1" applyBorder="1" applyAlignment="1">
      <alignment horizontal="center" vertical="center"/>
    </xf>
    <xf numFmtId="180" fontId="6" fillId="0" borderId="1" xfId="3" applyNumberFormat="1" applyFont="1" applyBorder="1" applyAlignment="1">
      <alignment horizontal="center" vertical="center"/>
    </xf>
    <xf numFmtId="0" fontId="6" fillId="0" borderId="1" xfId="8" applyFont="1" applyFill="1" applyBorder="1" applyAlignment="1"/>
    <xf numFmtId="0" fontId="6" fillId="0" borderId="2" xfId="8" applyFont="1" applyFill="1" applyBorder="1" applyAlignment="1">
      <alignment horizontal="left" vertical="center"/>
    </xf>
    <xf numFmtId="0" fontId="6" fillId="0" borderId="3" xfId="8" applyFont="1" applyFill="1" applyBorder="1" applyAlignment="1">
      <alignment horizontal="left" vertical="center"/>
    </xf>
    <xf numFmtId="0" fontId="6" fillId="3" borderId="1" xfId="8" applyFont="1" applyFill="1" applyBorder="1" applyAlignment="1">
      <alignment horizontal="center" vertical="center"/>
    </xf>
    <xf numFmtId="0" fontId="6" fillId="0" borderId="1" xfId="8" applyFont="1" applyBorder="1" applyAlignment="1">
      <alignment horizontal="center" vertical="center" wrapText="1"/>
    </xf>
    <xf numFmtId="0" fontId="6" fillId="0" borderId="1" xfId="8" applyFont="1" applyFill="1" applyBorder="1" applyAlignment="1">
      <alignment horizontal="center" vertical="center"/>
    </xf>
    <xf numFmtId="0" fontId="2" fillId="0" borderId="1" xfId="8" applyFont="1" applyBorder="1" applyAlignment="1">
      <alignment horizontal="center" vertical="center"/>
    </xf>
    <xf numFmtId="0" fontId="2" fillId="0" borderId="1" xfId="8" applyFont="1" applyBorder="1" applyAlignment="1">
      <alignment horizontal="center" vertical="center"/>
    </xf>
    <xf numFmtId="0" fontId="6" fillId="0" borderId="1" xfId="8" applyFont="1" applyBorder="1" applyAlignment="1">
      <alignment horizontal="center" vertical="center"/>
    </xf>
    <xf numFmtId="0" fontId="6" fillId="0" borderId="1" xfId="8" applyFont="1" applyFill="1" applyBorder="1" applyAlignment="1">
      <alignment horizontal="center" vertical="center"/>
    </xf>
    <xf numFmtId="0" fontId="6" fillId="0" borderId="1" xfId="8" applyFont="1" applyBorder="1" applyAlignment="1">
      <alignment horizontal="center" vertical="center" wrapText="1"/>
    </xf>
    <xf numFmtId="0" fontId="6" fillId="3" borderId="1" xfId="8" applyFont="1" applyFill="1" applyBorder="1" applyAlignment="1">
      <alignment horizontal="center" vertical="center"/>
    </xf>
    <xf numFmtId="0" fontId="6" fillId="0" borderId="1" xfId="8" applyFont="1" applyFill="1" applyBorder="1" applyAlignment="1"/>
    <xf numFmtId="180" fontId="6" fillId="0" borderId="1" xfId="3" applyNumberFormat="1" applyFont="1" applyBorder="1" applyAlignment="1">
      <alignment horizontal="center" vertical="center"/>
    </xf>
    <xf numFmtId="0" fontId="6" fillId="0" borderId="2" xfId="8" applyFont="1" applyBorder="1" applyAlignment="1">
      <alignment horizontal="center" vertical="center"/>
    </xf>
    <xf numFmtId="0" fontId="6" fillId="0" borderId="3" xfId="8" applyFont="1" applyBorder="1" applyAlignment="1">
      <alignment horizontal="center" vertical="center"/>
    </xf>
    <xf numFmtId="0" fontId="6" fillId="0" borderId="2" xfId="8" applyFont="1" applyFill="1" applyBorder="1" applyAlignment="1">
      <alignment horizontal="left" vertical="center"/>
    </xf>
    <xf numFmtId="0" fontId="6" fillId="0" borderId="3" xfId="8" applyFont="1" applyFill="1" applyBorder="1" applyAlignment="1">
      <alignment horizontal="left" vertical="center"/>
    </xf>
    <xf numFmtId="0" fontId="6" fillId="0" borderId="3" xfId="8" applyFont="1" applyFill="1" applyBorder="1" applyAlignment="1"/>
    <xf numFmtId="0" fontId="6" fillId="0" borderId="3" xfId="8" applyFont="1" applyFill="1" applyBorder="1" applyAlignment="1"/>
    <xf numFmtId="0" fontId="6" fillId="0" borderId="1" xfId="8" applyFont="1" applyBorder="1" applyAlignment="1">
      <alignment horizontal="center" vertical="center"/>
    </xf>
    <xf numFmtId="0" fontId="6" fillId="0" borderId="2" xfId="8" applyFont="1" applyBorder="1" applyAlignment="1">
      <alignment horizontal="center" vertical="center"/>
    </xf>
    <xf numFmtId="0" fontId="6" fillId="0" borderId="3" xfId="8" applyFont="1" applyBorder="1" applyAlignment="1">
      <alignment horizontal="center" vertical="center"/>
    </xf>
    <xf numFmtId="180" fontId="6" fillId="0" borderId="1" xfId="3" applyNumberFormat="1" applyFont="1" applyBorder="1" applyAlignment="1">
      <alignment horizontal="center" vertical="center"/>
    </xf>
    <xf numFmtId="0" fontId="6" fillId="0" borderId="1" xfId="8" applyFont="1" applyFill="1" applyBorder="1" applyAlignment="1"/>
    <xf numFmtId="0" fontId="6" fillId="0" borderId="2" xfId="8" applyFont="1" applyFill="1" applyBorder="1" applyAlignment="1">
      <alignment horizontal="left" vertical="center"/>
    </xf>
    <xf numFmtId="0" fontId="6" fillId="0" borderId="3" xfId="8" applyFont="1" applyFill="1" applyBorder="1" applyAlignment="1">
      <alignment horizontal="left" vertical="center"/>
    </xf>
    <xf numFmtId="0" fontId="6" fillId="3" borderId="1" xfId="8" applyFont="1" applyFill="1" applyBorder="1" applyAlignment="1">
      <alignment horizontal="center" vertical="center"/>
    </xf>
    <xf numFmtId="0" fontId="6" fillId="0" borderId="1" xfId="8" applyFont="1" applyBorder="1" applyAlignment="1">
      <alignment horizontal="center" vertical="center" wrapText="1"/>
    </xf>
    <xf numFmtId="0" fontId="6" fillId="0" borderId="1" xfId="8" applyFont="1" applyFill="1" applyBorder="1" applyAlignment="1">
      <alignment horizontal="center" vertical="center"/>
    </xf>
    <xf numFmtId="0" fontId="2" fillId="0" borderId="1" xfId="8" applyFont="1" applyBorder="1" applyAlignment="1">
      <alignment horizontal="center" vertical="center"/>
    </xf>
    <xf numFmtId="0" fontId="6" fillId="0" borderId="3" xfId="8" applyFont="1" applyFill="1" applyBorder="1" applyAlignment="1"/>
    <xf numFmtId="0" fontId="6" fillId="0" borderId="1" xfId="8" applyFont="1" applyBorder="1" applyAlignment="1">
      <alignment horizontal="center" vertical="center"/>
    </xf>
    <xf numFmtId="0" fontId="6" fillId="0" borderId="2" xfId="8" applyFont="1" applyBorder="1" applyAlignment="1">
      <alignment horizontal="center" vertical="center"/>
    </xf>
    <xf numFmtId="0" fontId="6" fillId="0" borderId="3" xfId="8" applyFont="1" applyBorder="1" applyAlignment="1">
      <alignment horizontal="center" vertical="center"/>
    </xf>
    <xf numFmtId="180" fontId="6" fillId="0" borderId="1" xfId="3" applyNumberFormat="1" applyFont="1" applyBorder="1" applyAlignment="1">
      <alignment horizontal="center" vertical="center"/>
    </xf>
    <xf numFmtId="0" fontId="6" fillId="0" borderId="1" xfId="8" applyFont="1" applyFill="1" applyBorder="1" applyAlignment="1"/>
    <xf numFmtId="0" fontId="6" fillId="0" borderId="2" xfId="8" applyFont="1" applyFill="1" applyBorder="1" applyAlignment="1">
      <alignment horizontal="left" vertical="center"/>
    </xf>
    <xf numFmtId="0" fontId="6" fillId="0" borderId="3" xfId="8" applyFont="1" applyFill="1" applyBorder="1" applyAlignment="1">
      <alignment horizontal="left" vertical="center"/>
    </xf>
    <xf numFmtId="0" fontId="6" fillId="3" borderId="1" xfId="8" applyFont="1" applyFill="1" applyBorder="1" applyAlignment="1">
      <alignment horizontal="center" vertical="center"/>
    </xf>
    <xf numFmtId="0" fontId="6" fillId="0" borderId="1" xfId="8" applyFont="1" applyBorder="1" applyAlignment="1">
      <alignment horizontal="center" vertical="center" wrapText="1"/>
    </xf>
    <xf numFmtId="0" fontId="6" fillId="0" borderId="1" xfId="8" applyFont="1" applyFill="1" applyBorder="1" applyAlignment="1">
      <alignment horizontal="center" vertical="center"/>
    </xf>
    <xf numFmtId="1" fontId="2" fillId="0" borderId="1" xfId="8" applyNumberFormat="1" applyFont="1" applyFill="1" applyBorder="1" applyAlignment="1">
      <alignment horizontal="center" vertical="center"/>
    </xf>
    <xf numFmtId="0" fontId="2" fillId="0" borderId="1" xfId="8" applyFont="1" applyFill="1" applyBorder="1" applyAlignment="1">
      <alignment horizontal="center" vertical="center"/>
    </xf>
    <xf numFmtId="0" fontId="6" fillId="0" borderId="3" xfId="8" applyFont="1" applyFill="1" applyBorder="1" applyAlignment="1"/>
    <xf numFmtId="0" fontId="6" fillId="0" borderId="1" xfId="8" applyFont="1" applyBorder="1" applyAlignment="1">
      <alignment horizontal="center" vertical="center"/>
    </xf>
    <xf numFmtId="0" fontId="6" fillId="0" borderId="2" xfId="8" applyFont="1" applyBorder="1" applyAlignment="1">
      <alignment horizontal="center" vertical="center"/>
    </xf>
    <xf numFmtId="0" fontId="6" fillId="0" borderId="3" xfId="8" applyFont="1" applyBorder="1" applyAlignment="1">
      <alignment horizontal="center" vertical="center"/>
    </xf>
    <xf numFmtId="180" fontId="6" fillId="0" borderId="1" xfId="3" applyNumberFormat="1" applyFont="1" applyBorder="1" applyAlignment="1">
      <alignment horizontal="center" vertical="center"/>
    </xf>
    <xf numFmtId="0" fontId="6" fillId="0" borderId="1" xfId="8" applyFont="1" applyFill="1" applyBorder="1" applyAlignment="1"/>
    <xf numFmtId="0" fontId="6" fillId="0" borderId="2" xfId="8" applyFont="1" applyFill="1" applyBorder="1" applyAlignment="1">
      <alignment horizontal="left" vertical="center"/>
    </xf>
    <xf numFmtId="0" fontId="6" fillId="0" borderId="3" xfId="8" applyFont="1" applyFill="1" applyBorder="1" applyAlignment="1">
      <alignment horizontal="left" vertical="center"/>
    </xf>
    <xf numFmtId="0" fontId="6" fillId="3" borderId="1" xfId="8" applyFont="1" applyFill="1" applyBorder="1" applyAlignment="1">
      <alignment horizontal="center" vertical="center"/>
    </xf>
    <xf numFmtId="0" fontId="6" fillId="0" borderId="1" xfId="8" applyFont="1" applyBorder="1" applyAlignment="1">
      <alignment horizontal="center" vertical="center" wrapText="1"/>
    </xf>
    <xf numFmtId="0" fontId="6" fillId="0" borderId="1" xfId="8" applyFont="1" applyFill="1" applyBorder="1" applyAlignment="1">
      <alignment horizontal="center" vertical="center"/>
    </xf>
    <xf numFmtId="0" fontId="6" fillId="0" borderId="1" xfId="8" applyFont="1" applyFill="1" applyBorder="1" applyAlignment="1">
      <alignment horizontal="center" vertical="center" wrapText="1"/>
    </xf>
    <xf numFmtId="0" fontId="2" fillId="0" borderId="1" xfId="8" applyFont="1" applyBorder="1" applyAlignment="1">
      <alignment horizontal="center" vertical="center"/>
    </xf>
    <xf numFmtId="0" fontId="2" fillId="0" borderId="1" xfId="8" applyFont="1" applyBorder="1" applyAlignment="1">
      <alignment horizontal="center" vertical="center"/>
    </xf>
    <xf numFmtId="0" fontId="6" fillId="0" borderId="1" xfId="8" applyFont="1" applyBorder="1" applyAlignment="1">
      <alignment horizontal="center" vertical="center"/>
    </xf>
    <xf numFmtId="0" fontId="6" fillId="0" borderId="1" xfId="8" applyFont="1" applyFill="1" applyBorder="1" applyAlignment="1">
      <alignment horizontal="center" vertical="center"/>
    </xf>
    <xf numFmtId="0" fontId="6" fillId="0" borderId="1" xfId="8" applyFont="1" applyFill="1" applyBorder="1" applyAlignment="1">
      <alignment horizontal="center" vertical="center" wrapText="1"/>
    </xf>
    <xf numFmtId="0" fontId="6" fillId="3" borderId="1" xfId="8" applyFont="1" applyFill="1" applyBorder="1" applyAlignment="1">
      <alignment horizontal="center" vertical="center"/>
    </xf>
    <xf numFmtId="0" fontId="6" fillId="0" borderId="1" xfId="8" applyFont="1" applyFill="1" applyBorder="1" applyAlignment="1"/>
    <xf numFmtId="180" fontId="6" fillId="0" borderId="1" xfId="3" applyNumberFormat="1" applyFont="1" applyBorder="1" applyAlignment="1">
      <alignment horizontal="center" vertical="center"/>
    </xf>
    <xf numFmtId="0" fontId="6" fillId="0" borderId="2" xfId="8" applyFont="1" applyBorder="1" applyAlignment="1">
      <alignment horizontal="center" vertical="center"/>
    </xf>
    <xf numFmtId="0" fontId="6" fillId="0" borderId="3" xfId="8" applyFont="1" applyBorder="1" applyAlignment="1">
      <alignment horizontal="center" vertical="center"/>
    </xf>
    <xf numFmtId="0" fontId="6" fillId="0" borderId="1" xfId="8" applyFont="1" applyBorder="1" applyAlignment="1">
      <alignment horizontal="center" vertical="center" wrapText="1"/>
    </xf>
    <xf numFmtId="0" fontId="6" fillId="0" borderId="2" xfId="8" applyFont="1" applyFill="1" applyBorder="1" applyAlignment="1">
      <alignment horizontal="left" vertical="center"/>
    </xf>
    <xf numFmtId="0" fontId="6" fillId="0" borderId="3" xfId="8" applyFont="1" applyFill="1" applyBorder="1" applyAlignment="1">
      <alignment horizontal="left" vertical="center"/>
    </xf>
    <xf numFmtId="0" fontId="6" fillId="0" borderId="3" xfId="8" applyFont="1" applyFill="1" applyBorder="1" applyAlignment="1"/>
    <xf numFmtId="0" fontId="6" fillId="0" borderId="3" xfId="8" applyFont="1" applyFill="1" applyBorder="1" applyAlignment="1"/>
    <xf numFmtId="0" fontId="6" fillId="0" borderId="1" xfId="8" applyFont="1" applyBorder="1" applyAlignment="1">
      <alignment horizontal="center" vertical="center"/>
    </xf>
    <xf numFmtId="0" fontId="6" fillId="0" borderId="2" xfId="8" applyFont="1" applyBorder="1" applyAlignment="1">
      <alignment horizontal="center" vertical="center"/>
    </xf>
    <xf numFmtId="0" fontId="6" fillId="0" borderId="3" xfId="8" applyFont="1" applyBorder="1" applyAlignment="1">
      <alignment horizontal="center" vertical="center"/>
    </xf>
    <xf numFmtId="180" fontId="6" fillId="0" borderId="1" xfId="3" applyNumberFormat="1" applyFont="1" applyBorder="1" applyAlignment="1">
      <alignment horizontal="center" vertical="center"/>
    </xf>
    <xf numFmtId="0" fontId="6" fillId="0" borderId="1" xfId="8" applyFont="1" applyFill="1" applyBorder="1" applyAlignment="1"/>
    <xf numFmtId="0" fontId="6" fillId="0" borderId="2" xfId="8" applyFont="1" applyFill="1" applyBorder="1" applyAlignment="1">
      <alignment horizontal="left" vertical="center"/>
    </xf>
    <xf numFmtId="0" fontId="6" fillId="0" borderId="3" xfId="8" applyFont="1" applyFill="1" applyBorder="1" applyAlignment="1">
      <alignment horizontal="left" vertical="center"/>
    </xf>
    <xf numFmtId="0" fontId="6" fillId="3" borderId="1" xfId="8" applyFont="1" applyFill="1" applyBorder="1" applyAlignment="1">
      <alignment horizontal="center" vertical="center"/>
    </xf>
    <xf numFmtId="0" fontId="6" fillId="0" borderId="1" xfId="8" applyFont="1" applyBorder="1" applyAlignment="1">
      <alignment horizontal="center" vertical="center" wrapText="1"/>
    </xf>
    <xf numFmtId="0" fontId="6" fillId="0" borderId="1" xfId="8" applyFont="1" applyFill="1" applyBorder="1" applyAlignment="1">
      <alignment horizontal="center" vertical="center"/>
    </xf>
    <xf numFmtId="0" fontId="2" fillId="0" borderId="1" xfId="8" applyFont="1" applyBorder="1" applyAlignment="1">
      <alignment horizontal="center" vertical="center"/>
    </xf>
    <xf numFmtId="0" fontId="6" fillId="0" borderId="1" xfId="8" applyFont="1" applyFill="1" applyBorder="1" applyAlignment="1">
      <alignment horizontal="center" vertical="center" wrapText="1"/>
    </xf>
    <xf numFmtId="0" fontId="6" fillId="0" borderId="2" xfId="8" applyFont="1" applyBorder="1" applyAlignment="1">
      <alignment horizontal="center" vertical="center"/>
    </xf>
    <xf numFmtId="0" fontId="6" fillId="0" borderId="3" xfId="8" applyFont="1" applyBorder="1" applyAlignment="1">
      <alignment horizontal="center" vertical="center"/>
    </xf>
    <xf numFmtId="0" fontId="6" fillId="0" borderId="3" xfId="8" applyFont="1" applyFill="1" applyBorder="1" applyAlignment="1"/>
    <xf numFmtId="0" fontId="6" fillId="0" borderId="1" xfId="8" applyFont="1" applyBorder="1" applyAlignment="1">
      <alignment horizontal="center" vertical="center"/>
    </xf>
    <xf numFmtId="180" fontId="6" fillId="0" borderId="1" xfId="3" applyNumberFormat="1" applyFont="1" applyBorder="1" applyAlignment="1">
      <alignment horizontal="center" vertical="center"/>
    </xf>
    <xf numFmtId="0" fontId="6" fillId="0" borderId="1" xfId="8" applyFont="1" applyFill="1" applyBorder="1" applyAlignment="1"/>
    <xf numFmtId="0" fontId="6" fillId="0" borderId="2" xfId="8" applyFont="1" applyFill="1" applyBorder="1" applyAlignment="1">
      <alignment horizontal="left" vertical="center"/>
    </xf>
    <xf numFmtId="0" fontId="6" fillId="0" borderId="3" xfId="8" applyFont="1" applyFill="1" applyBorder="1" applyAlignment="1">
      <alignment horizontal="left" vertical="center"/>
    </xf>
    <xf numFmtId="0" fontId="6" fillId="3" borderId="1" xfId="8" applyFont="1" applyFill="1" applyBorder="1" applyAlignment="1">
      <alignment horizontal="center" vertical="center"/>
    </xf>
    <xf numFmtId="0" fontId="6" fillId="0" borderId="1" xfId="8" applyFont="1" applyBorder="1" applyAlignment="1">
      <alignment horizontal="center" vertical="center" wrapText="1"/>
    </xf>
    <xf numFmtId="0" fontId="2" fillId="0" borderId="1" xfId="8" applyFont="1" applyBorder="1" applyAlignment="1">
      <alignment horizontal="center" vertical="center"/>
    </xf>
    <xf numFmtId="0" fontId="6" fillId="0" borderId="1" xfId="8" applyFont="1" applyFill="1" applyBorder="1" applyAlignment="1">
      <alignment horizontal="center" vertical="center"/>
    </xf>
    <xf numFmtId="0" fontId="6" fillId="0" borderId="1" xfId="8" applyFont="1" applyFill="1" applyBorder="1" applyAlignment="1">
      <alignment horizontal="center" vertical="center" wrapText="1"/>
    </xf>
    <xf numFmtId="0" fontId="2" fillId="0" borderId="1" xfId="8" applyFont="1" applyBorder="1" applyAlignment="1">
      <alignment horizontal="center" vertical="center"/>
    </xf>
    <xf numFmtId="0" fontId="6" fillId="0" borderId="1" xfId="8" applyFont="1" applyBorder="1" applyAlignment="1">
      <alignment horizontal="center" vertical="center"/>
    </xf>
    <xf numFmtId="0" fontId="6" fillId="0" borderId="1" xfId="8" applyFont="1" applyBorder="1" applyAlignment="1">
      <alignment horizontal="center" vertical="center" wrapText="1"/>
    </xf>
    <xf numFmtId="0" fontId="6" fillId="3" borderId="1" xfId="8" applyFont="1" applyFill="1" applyBorder="1" applyAlignment="1">
      <alignment horizontal="center" vertical="center"/>
    </xf>
    <xf numFmtId="0" fontId="6" fillId="0" borderId="1" xfId="8" applyFont="1" applyFill="1" applyBorder="1" applyAlignment="1"/>
    <xf numFmtId="180" fontId="6" fillId="0" borderId="1" xfId="3" applyNumberFormat="1" applyFont="1" applyBorder="1" applyAlignment="1">
      <alignment horizontal="center" vertical="center"/>
    </xf>
    <xf numFmtId="0" fontId="6" fillId="0" borderId="2" xfId="8" applyFont="1" applyBorder="1" applyAlignment="1">
      <alignment horizontal="center" vertical="center"/>
    </xf>
    <xf numFmtId="0" fontId="6" fillId="0" borderId="3" xfId="8" applyFont="1" applyBorder="1" applyAlignment="1">
      <alignment horizontal="center" vertical="center"/>
    </xf>
    <xf numFmtId="0" fontId="6" fillId="0" borderId="2" xfId="8" applyFont="1" applyFill="1" applyBorder="1" applyAlignment="1">
      <alignment horizontal="left" vertical="center"/>
    </xf>
    <xf numFmtId="0" fontId="6" fillId="0" borderId="3" xfId="8" applyFont="1" applyFill="1" applyBorder="1" applyAlignment="1">
      <alignment horizontal="left" vertical="center"/>
    </xf>
    <xf numFmtId="0" fontId="6" fillId="0" borderId="3" xfId="8" applyFont="1" applyFill="1" applyBorder="1" applyAlignment="1"/>
    <xf numFmtId="0" fontId="6" fillId="0" borderId="1" xfId="8" applyFont="1" applyFill="1" applyBorder="1" applyAlignment="1">
      <alignment horizontal="center" vertical="center"/>
    </xf>
    <xf numFmtId="0" fontId="6" fillId="0" borderId="1" xfId="8" applyFont="1" applyFill="1" applyBorder="1" applyAlignment="1">
      <alignment horizontal="center" vertical="center" wrapText="1"/>
    </xf>
    <xf numFmtId="0" fontId="9" fillId="0" borderId="0" xfId="8" applyFont="1" applyFill="1">
      <alignment vertical="center"/>
    </xf>
    <xf numFmtId="0" fontId="6" fillId="0" borderId="3" xfId="8" applyFont="1" applyFill="1" applyBorder="1" applyAlignment="1"/>
    <xf numFmtId="0" fontId="6" fillId="0" borderId="1" xfId="8" applyFont="1" applyBorder="1" applyAlignment="1">
      <alignment horizontal="center" vertical="center"/>
    </xf>
    <xf numFmtId="0" fontId="6" fillId="0" borderId="2" xfId="8" applyFont="1" applyBorder="1" applyAlignment="1">
      <alignment horizontal="center" vertical="center"/>
    </xf>
    <xf numFmtId="0" fontId="6" fillId="0" borderId="3" xfId="8" applyFont="1" applyBorder="1" applyAlignment="1">
      <alignment horizontal="center" vertical="center"/>
    </xf>
    <xf numFmtId="180" fontId="6" fillId="0" borderId="1" xfId="3" applyNumberFormat="1" applyFont="1" applyBorder="1" applyAlignment="1">
      <alignment horizontal="center" vertical="center"/>
    </xf>
    <xf numFmtId="0" fontId="6" fillId="0" borderId="1" xfId="8" applyFont="1" applyFill="1" applyBorder="1" applyAlignment="1"/>
    <xf numFmtId="0" fontId="6" fillId="0" borderId="2" xfId="8" applyFont="1" applyFill="1" applyBorder="1" applyAlignment="1">
      <alignment horizontal="left" vertical="center"/>
    </xf>
    <xf numFmtId="0" fontId="6" fillId="0" borderId="3" xfId="8" applyFont="1" applyFill="1" applyBorder="1" applyAlignment="1">
      <alignment horizontal="left" vertical="center"/>
    </xf>
    <xf numFmtId="0" fontId="6" fillId="0" borderId="2" xfId="8" applyFont="1" applyFill="1" applyBorder="1" applyAlignment="1">
      <alignment horizontal="left"/>
    </xf>
    <xf numFmtId="0" fontId="6" fillId="0" borderId="3" xfId="8" applyFont="1" applyFill="1" applyBorder="1" applyAlignment="1">
      <alignment horizontal="left"/>
    </xf>
    <xf numFmtId="0" fontId="6" fillId="3" borderId="1" xfId="8" applyFont="1" applyFill="1" applyBorder="1" applyAlignment="1">
      <alignment horizontal="center" vertical="center"/>
    </xf>
    <xf numFmtId="0" fontId="6" fillId="0" borderId="1" xfId="8" applyFont="1" applyBorder="1" applyAlignment="1">
      <alignment horizontal="center" vertical="center" wrapText="1"/>
    </xf>
    <xf numFmtId="0" fontId="6" fillId="0" borderId="1" xfId="8" applyFont="1" applyFill="1" applyBorder="1" applyAlignment="1">
      <alignment horizontal="center" vertical="center"/>
    </xf>
    <xf numFmtId="0" fontId="2" fillId="0" borderId="1" xfId="8" applyFont="1" applyBorder="1" applyAlignment="1">
      <alignment horizontal="center" vertical="center"/>
    </xf>
    <xf numFmtId="0" fontId="6" fillId="0" borderId="1" xfId="8" applyFont="1" applyFill="1" applyBorder="1" applyAlignment="1">
      <alignment horizontal="center" vertical="center" wrapText="1"/>
    </xf>
    <xf numFmtId="0" fontId="6" fillId="0" borderId="3" xfId="8" applyFont="1" applyFill="1" applyBorder="1" applyAlignment="1"/>
    <xf numFmtId="0" fontId="6" fillId="0" borderId="1" xfId="8" applyFont="1" applyBorder="1" applyAlignment="1">
      <alignment horizontal="center" vertical="center"/>
    </xf>
    <xf numFmtId="0" fontId="6" fillId="0" borderId="2" xfId="8" applyFont="1" applyBorder="1" applyAlignment="1">
      <alignment horizontal="center" vertical="center"/>
    </xf>
    <xf numFmtId="0" fontId="6" fillId="0" borderId="3" xfId="8" applyFont="1" applyBorder="1" applyAlignment="1">
      <alignment horizontal="center" vertical="center"/>
    </xf>
    <xf numFmtId="180" fontId="6" fillId="0" borderId="1" xfId="3" applyNumberFormat="1" applyFont="1" applyBorder="1" applyAlignment="1">
      <alignment horizontal="center" vertical="center"/>
    </xf>
    <xf numFmtId="0" fontId="6" fillId="0" borderId="1" xfId="8" applyFont="1" applyFill="1" applyBorder="1" applyAlignment="1"/>
    <xf numFmtId="0" fontId="6" fillId="0" borderId="2" xfId="8" applyFont="1" applyFill="1" applyBorder="1" applyAlignment="1">
      <alignment horizontal="left" vertical="center"/>
    </xf>
    <xf numFmtId="0" fontId="6" fillId="0" borderId="3" xfId="8" applyFont="1" applyFill="1" applyBorder="1" applyAlignment="1">
      <alignment horizontal="left" vertical="center"/>
    </xf>
    <xf numFmtId="0" fontId="6" fillId="3" borderId="1" xfId="8" applyFont="1" applyFill="1" applyBorder="1" applyAlignment="1">
      <alignment horizontal="center" vertical="center"/>
    </xf>
    <xf numFmtId="0" fontId="6" fillId="0" borderId="1" xfId="8" applyFont="1" applyBorder="1" applyAlignment="1">
      <alignment horizontal="center" vertical="center" wrapText="1"/>
    </xf>
    <xf numFmtId="0" fontId="6" fillId="0" borderId="1" xfId="8" applyFont="1" applyFill="1" applyBorder="1" applyAlignment="1">
      <alignment horizontal="center" vertical="center"/>
    </xf>
    <xf numFmtId="0" fontId="2" fillId="0" borderId="1" xfId="8" applyFont="1" applyBorder="1" applyAlignment="1">
      <alignment horizontal="center" vertical="center"/>
    </xf>
    <xf numFmtId="0" fontId="6" fillId="0" borderId="1" xfId="8" applyFont="1" applyFill="1" applyBorder="1" applyAlignment="1">
      <alignment horizontal="center" vertical="center" wrapText="1"/>
    </xf>
    <xf numFmtId="0" fontId="6" fillId="0" borderId="3" xfId="8" applyFont="1" applyFill="1" applyBorder="1" applyAlignment="1"/>
    <xf numFmtId="0" fontId="6" fillId="0" borderId="1" xfId="8" applyFont="1" applyBorder="1" applyAlignment="1">
      <alignment horizontal="center" vertical="center"/>
    </xf>
    <xf numFmtId="0" fontId="6" fillId="0" borderId="2" xfId="8" applyFont="1" applyBorder="1" applyAlignment="1">
      <alignment horizontal="center" vertical="center"/>
    </xf>
    <xf numFmtId="0" fontId="6" fillId="0" borderId="3" xfId="8" applyFont="1" applyBorder="1" applyAlignment="1">
      <alignment horizontal="center" vertical="center"/>
    </xf>
    <xf numFmtId="180" fontId="6" fillId="0" borderId="1" xfId="3" applyNumberFormat="1" applyFont="1" applyBorder="1" applyAlignment="1">
      <alignment horizontal="center" vertical="center"/>
    </xf>
    <xf numFmtId="0" fontId="6" fillId="0" borderId="2" xfId="8" applyFont="1" applyFill="1" applyBorder="1" applyAlignment="1">
      <alignment horizontal="left" vertical="center"/>
    </xf>
    <xf numFmtId="0" fontId="6" fillId="0" borderId="3" xfId="8" applyFont="1" applyFill="1" applyBorder="1" applyAlignment="1">
      <alignment horizontal="left" vertical="center"/>
    </xf>
    <xf numFmtId="0" fontId="6" fillId="0" borderId="1" xfId="8" applyFont="1" applyFill="1" applyBorder="1" applyAlignment="1"/>
    <xf numFmtId="0" fontId="6" fillId="3" borderId="1" xfId="8" applyFont="1" applyFill="1" applyBorder="1" applyAlignment="1">
      <alignment horizontal="center" vertical="center"/>
    </xf>
    <xf numFmtId="0" fontId="6" fillId="0" borderId="1" xfId="8" applyFont="1" applyBorder="1" applyAlignment="1">
      <alignment horizontal="center" vertical="center" wrapText="1"/>
    </xf>
    <xf numFmtId="0" fontId="2" fillId="0" borderId="1" xfId="8" applyFont="1" applyBorder="1" applyAlignment="1">
      <alignment horizontal="center" vertical="center"/>
    </xf>
    <xf numFmtId="0" fontId="6" fillId="0" borderId="1" xfId="8" applyFont="1" applyFill="1" applyBorder="1" applyAlignment="1">
      <alignment horizontal="center" vertical="center"/>
    </xf>
    <xf numFmtId="0" fontId="6" fillId="0" borderId="1" xfId="8" applyFont="1" applyFill="1" applyBorder="1" applyAlignment="1">
      <alignment horizontal="center" vertical="center" wrapText="1"/>
    </xf>
    <xf numFmtId="0" fontId="2" fillId="0" borderId="1" xfId="8" applyFont="1" applyBorder="1" applyAlignment="1">
      <alignment horizontal="center" vertical="center"/>
    </xf>
    <xf numFmtId="0" fontId="6" fillId="0" borderId="1" xfId="8" applyFont="1" applyBorder="1" applyAlignment="1">
      <alignment horizontal="center" vertical="center"/>
    </xf>
    <xf numFmtId="0" fontId="6" fillId="0" borderId="1" xfId="8" applyFont="1" applyBorder="1" applyAlignment="1">
      <alignment horizontal="center" vertical="center" wrapText="1"/>
    </xf>
    <xf numFmtId="0" fontId="6" fillId="3" borderId="1" xfId="8" applyFont="1" applyFill="1" applyBorder="1" applyAlignment="1">
      <alignment horizontal="center" vertical="center"/>
    </xf>
    <xf numFmtId="0" fontId="6" fillId="0" borderId="1" xfId="8" applyFont="1" applyFill="1" applyBorder="1" applyAlignment="1"/>
    <xf numFmtId="180" fontId="6" fillId="0" borderId="1" xfId="3" applyNumberFormat="1" applyFont="1" applyBorder="1" applyAlignment="1">
      <alignment horizontal="center" vertical="center"/>
    </xf>
    <xf numFmtId="0" fontId="6" fillId="0" borderId="2" xfId="8" applyFont="1" applyBorder="1" applyAlignment="1">
      <alignment horizontal="center" vertical="center"/>
    </xf>
    <xf numFmtId="0" fontId="6" fillId="0" borderId="3" xfId="8" applyFont="1" applyBorder="1" applyAlignment="1">
      <alignment horizontal="center" vertical="center"/>
    </xf>
    <xf numFmtId="0" fontId="6" fillId="0" borderId="2" xfId="8" applyFont="1" applyFill="1" applyBorder="1" applyAlignment="1">
      <alignment horizontal="left" vertical="center"/>
    </xf>
    <xf numFmtId="0" fontId="6" fillId="0" borderId="3" xfId="8" applyFont="1" applyFill="1" applyBorder="1" applyAlignment="1">
      <alignment horizontal="left" vertical="center"/>
    </xf>
    <xf numFmtId="0" fontId="6" fillId="0" borderId="3" xfId="8" applyFont="1" applyFill="1" applyBorder="1" applyAlignment="1"/>
    <xf numFmtId="0" fontId="6" fillId="0" borderId="1" xfId="8" applyFont="1" applyFill="1" applyBorder="1" applyAlignment="1">
      <alignment horizontal="center" vertical="center"/>
    </xf>
    <xf numFmtId="0" fontId="6" fillId="0" borderId="1" xfId="8" applyFont="1" applyFill="1" applyBorder="1" applyAlignment="1">
      <alignment horizontal="center" vertical="center" wrapText="1"/>
    </xf>
    <xf numFmtId="0" fontId="6" fillId="0" borderId="2" xfId="8" applyFont="1" applyBorder="1" applyAlignment="1">
      <alignment horizontal="center" vertical="center"/>
    </xf>
    <xf numFmtId="0" fontId="6" fillId="0" borderId="3" xfId="8" applyFont="1" applyBorder="1" applyAlignment="1">
      <alignment horizontal="center" vertical="center"/>
    </xf>
    <xf numFmtId="0" fontId="6" fillId="0" borderId="3" xfId="8" applyFont="1" applyFill="1" applyBorder="1" applyAlignment="1"/>
    <xf numFmtId="0" fontId="6" fillId="0" borderId="1" xfId="8" applyFont="1" applyBorder="1" applyAlignment="1">
      <alignment horizontal="center" vertical="center"/>
    </xf>
    <xf numFmtId="180" fontId="6" fillId="0" borderId="1" xfId="3" applyNumberFormat="1" applyFont="1" applyBorder="1" applyAlignment="1">
      <alignment horizontal="center" vertical="center"/>
    </xf>
    <xf numFmtId="0" fontId="6" fillId="0" borderId="1" xfId="8" applyFont="1" applyFill="1" applyBorder="1" applyAlignment="1"/>
    <xf numFmtId="0" fontId="6" fillId="0" borderId="2" xfId="8" applyFont="1" applyFill="1" applyBorder="1" applyAlignment="1">
      <alignment horizontal="left" vertical="center"/>
    </xf>
    <xf numFmtId="0" fontId="6" fillId="0" borderId="3" xfId="8" applyFont="1" applyFill="1" applyBorder="1" applyAlignment="1">
      <alignment horizontal="left" vertical="center"/>
    </xf>
    <xf numFmtId="0" fontId="6" fillId="3" borderId="1" xfId="8" applyFont="1" applyFill="1" applyBorder="1" applyAlignment="1">
      <alignment horizontal="center" vertical="center"/>
    </xf>
    <xf numFmtId="0" fontId="6" fillId="0" borderId="1" xfId="8" applyFont="1" applyBorder="1" applyAlignment="1">
      <alignment horizontal="center" vertical="center" wrapText="1"/>
    </xf>
    <xf numFmtId="0" fontId="6" fillId="0" borderId="1" xfId="8" applyFont="1" applyFill="1" applyBorder="1" applyAlignment="1">
      <alignment horizontal="center" vertical="center"/>
    </xf>
    <xf numFmtId="0" fontId="2" fillId="0" borderId="1" xfId="8" applyFont="1" applyBorder="1" applyAlignment="1">
      <alignment horizontal="center" vertical="center"/>
    </xf>
    <xf numFmtId="0" fontId="6" fillId="0" borderId="1" xfId="8" applyFont="1" applyFill="1" applyBorder="1" applyAlignment="1">
      <alignment horizontal="center" vertical="center" wrapText="1"/>
    </xf>
    <xf numFmtId="0" fontId="2" fillId="0" borderId="1" xfId="8" applyFont="1" applyFill="1" applyBorder="1" applyAlignment="1">
      <alignment horizontal="left" vertical="center"/>
    </xf>
    <xf numFmtId="0" fontId="6" fillId="0" borderId="33" xfId="5" applyFont="1" applyBorder="1" applyAlignment="1">
      <alignment horizontal="center" vertical="center"/>
    </xf>
    <xf numFmtId="0" fontId="6" fillId="0" borderId="34" xfId="5" applyFont="1" applyBorder="1" applyAlignment="1">
      <alignment horizontal="center" vertical="center"/>
    </xf>
    <xf numFmtId="0" fontId="6" fillId="0" borderId="38" xfId="5" applyFont="1" applyBorder="1" applyAlignment="1">
      <alignment horizontal="center" vertical="center"/>
    </xf>
    <xf numFmtId="0" fontId="6" fillId="0" borderId="39" xfId="5" applyFont="1" applyBorder="1" applyAlignment="1">
      <alignment horizontal="center" vertical="center"/>
    </xf>
    <xf numFmtId="0" fontId="6" fillId="0" borderId="42" xfId="4" applyFont="1" applyBorder="1" applyAlignment="1">
      <alignment horizontal="center" vertical="center"/>
    </xf>
    <xf numFmtId="0" fontId="6" fillId="0" borderId="43" xfId="4" applyFont="1" applyBorder="1" applyAlignment="1">
      <alignment horizontal="center" vertical="center"/>
    </xf>
    <xf numFmtId="0" fontId="6" fillId="0" borderId="11" xfId="5" applyFont="1" applyBorder="1" applyAlignment="1">
      <alignment horizontal="center" vertical="center"/>
    </xf>
    <xf numFmtId="0" fontId="6" fillId="0" borderId="12" xfId="5" applyFont="1" applyBorder="1" applyAlignment="1">
      <alignment horizontal="center" vertical="center"/>
    </xf>
    <xf numFmtId="0" fontId="21" fillId="3" borderId="11" xfId="4" applyFont="1" applyFill="1" applyBorder="1" applyAlignment="1">
      <alignment horizontal="center" vertical="center"/>
    </xf>
    <xf numFmtId="0" fontId="21" fillId="3" borderId="13" xfId="4" applyFont="1" applyFill="1" applyBorder="1" applyAlignment="1">
      <alignment horizontal="center" vertical="center"/>
    </xf>
    <xf numFmtId="0" fontId="21" fillId="3" borderId="12" xfId="4" applyFont="1" applyFill="1" applyBorder="1" applyAlignment="1">
      <alignment horizontal="center" vertical="center"/>
    </xf>
    <xf numFmtId="0" fontId="21" fillId="5" borderId="11" xfId="4" applyFont="1" applyFill="1" applyBorder="1" applyAlignment="1">
      <alignment horizontal="center" vertical="center"/>
    </xf>
    <xf numFmtId="0" fontId="21" fillId="5" borderId="13" xfId="4" applyFont="1" applyFill="1" applyBorder="1" applyAlignment="1">
      <alignment horizontal="center" vertical="center"/>
    </xf>
    <xf numFmtId="0" fontId="21" fillId="5" borderId="12" xfId="4" applyFont="1" applyFill="1" applyBorder="1" applyAlignment="1">
      <alignment horizontal="center" vertical="center"/>
    </xf>
    <xf numFmtId="0" fontId="6" fillId="0" borderId="14" xfId="5" applyFont="1" applyBorder="1" applyAlignment="1">
      <alignment horizontal="center" vertical="center"/>
    </xf>
    <xf numFmtId="0" fontId="6" fillId="0" borderId="15" xfId="5" applyFont="1" applyBorder="1" applyAlignment="1">
      <alignment horizontal="center" vertical="center"/>
    </xf>
    <xf numFmtId="0" fontId="6" fillId="0" borderId="19" xfId="5" applyFont="1" applyBorder="1" applyAlignment="1">
      <alignment horizontal="center" vertical="center"/>
    </xf>
    <xf numFmtId="0" fontId="6" fillId="0" borderId="20" xfId="5" applyFont="1" applyBorder="1" applyAlignment="1">
      <alignment horizontal="center" vertical="center"/>
    </xf>
    <xf numFmtId="0" fontId="2" fillId="0" borderId="24" xfId="5" applyFont="1" applyBorder="1" applyAlignment="1">
      <alignment horizontal="center" vertical="center" textRotation="255"/>
    </xf>
    <xf numFmtId="0" fontId="2" fillId="0" borderId="30" xfId="5" applyFont="1" applyBorder="1" applyAlignment="1">
      <alignment horizontal="center" vertical="center" textRotation="255"/>
    </xf>
    <xf numFmtId="0" fontId="2" fillId="0" borderId="31" xfId="5" applyFont="1" applyBorder="1" applyAlignment="1">
      <alignment horizontal="center" vertical="center" textRotation="255"/>
    </xf>
    <xf numFmtId="0" fontId="6" fillId="0" borderId="24" xfId="5" applyFont="1" applyBorder="1" applyAlignment="1">
      <alignment horizontal="center" vertical="center" wrapText="1"/>
    </xf>
    <xf numFmtId="0" fontId="6" fillId="0" borderId="31" xfId="5" applyFont="1" applyBorder="1" applyAlignment="1">
      <alignment horizontal="center" vertical="center" wrapText="1"/>
    </xf>
    <xf numFmtId="0" fontId="18" fillId="0" borderId="2" xfId="5" applyFont="1" applyBorder="1" applyAlignment="1">
      <alignment horizontal="center" vertical="center"/>
    </xf>
    <xf numFmtId="0" fontId="18" fillId="0" borderId="3" xfId="5" applyFont="1" applyBorder="1" applyAlignment="1">
      <alignment horizontal="center" vertical="center"/>
    </xf>
    <xf numFmtId="177" fontId="18" fillId="6" borderId="2" xfId="5" applyNumberFormat="1" applyFont="1" applyFill="1" applyBorder="1" applyAlignment="1">
      <alignment horizontal="center" vertical="center"/>
    </xf>
    <xf numFmtId="177" fontId="18" fillId="6" borderId="3" xfId="5" applyNumberFormat="1" applyFont="1" applyFill="1" applyBorder="1" applyAlignment="1">
      <alignment horizontal="center" vertical="center"/>
    </xf>
    <xf numFmtId="177" fontId="18" fillId="6" borderId="2" xfId="6" applyNumberFormat="1" applyFont="1" applyFill="1" applyBorder="1" applyAlignment="1">
      <alignment horizontal="center" vertical="center"/>
    </xf>
    <xf numFmtId="177" fontId="18" fillId="6" borderId="3" xfId="6" applyNumberFormat="1" applyFont="1" applyFill="1" applyBorder="1" applyAlignment="1">
      <alignment horizontal="center" vertical="center"/>
    </xf>
    <xf numFmtId="180" fontId="18" fillId="0" borderId="2" xfId="5" applyNumberFormat="1" applyFont="1" applyBorder="1" applyAlignment="1">
      <alignment horizontal="center" vertical="center"/>
    </xf>
    <xf numFmtId="180" fontId="18" fillId="0" borderId="3" xfId="5" applyNumberFormat="1" applyFont="1" applyBorder="1" applyAlignment="1">
      <alignment horizontal="center" vertical="center"/>
    </xf>
    <xf numFmtId="180" fontId="18" fillId="0" borderId="2" xfId="3" applyNumberFormat="1" applyFont="1" applyFill="1" applyBorder="1" applyAlignment="1">
      <alignment horizontal="center" vertical="center"/>
    </xf>
    <xf numFmtId="180" fontId="18" fillId="0" borderId="3" xfId="3" applyNumberFormat="1" applyFont="1" applyFill="1" applyBorder="1" applyAlignment="1">
      <alignment horizontal="center" vertical="center"/>
    </xf>
    <xf numFmtId="0" fontId="5" fillId="0" borderId="2" xfId="5" applyFont="1" applyBorder="1" applyAlignment="1">
      <alignment horizontal="center" vertical="center"/>
    </xf>
    <xf numFmtId="0" fontId="5" fillId="0" borderId="3" xfId="5" applyFont="1" applyBorder="1" applyAlignment="1">
      <alignment horizontal="center" vertical="center"/>
    </xf>
    <xf numFmtId="182" fontId="2" fillId="3" borderId="2" xfId="6" applyNumberFormat="1" applyFont="1" applyFill="1" applyBorder="1" applyAlignment="1">
      <alignment horizontal="center" vertical="center"/>
    </xf>
    <xf numFmtId="182" fontId="2" fillId="3" borderId="3" xfId="6" applyNumberFormat="1" applyFont="1" applyFill="1" applyBorder="1" applyAlignment="1">
      <alignment horizontal="center" vertical="center"/>
    </xf>
    <xf numFmtId="182" fontId="2" fillId="5" borderId="2" xfId="6" applyNumberFormat="1" applyFont="1" applyFill="1" applyBorder="1" applyAlignment="1">
      <alignment horizontal="center" vertical="center"/>
    </xf>
    <xf numFmtId="182" fontId="2" fillId="5" borderId="3" xfId="6" applyNumberFormat="1" applyFont="1" applyFill="1" applyBorder="1" applyAlignment="1">
      <alignment horizontal="center" vertical="center"/>
    </xf>
    <xf numFmtId="177" fontId="5" fillId="0" borderId="2" xfId="5" applyNumberFormat="1" applyFont="1" applyBorder="1" applyAlignment="1">
      <alignment horizontal="center" vertical="center"/>
    </xf>
    <xf numFmtId="177" fontId="5" fillId="0" borderId="3" xfId="5" applyNumberFormat="1" applyFont="1" applyBorder="1" applyAlignment="1">
      <alignment horizontal="center" vertical="center"/>
    </xf>
    <xf numFmtId="177" fontId="5" fillId="0" borderId="2" xfId="6" applyNumberFormat="1" applyFont="1" applyBorder="1" applyAlignment="1">
      <alignment horizontal="center" vertical="center"/>
    </xf>
    <xf numFmtId="177" fontId="5" fillId="0" borderId="3" xfId="6" applyNumberFormat="1" applyFont="1" applyBorder="1" applyAlignment="1">
      <alignment horizontal="center" vertical="center"/>
    </xf>
    <xf numFmtId="0" fontId="14" fillId="0" borderId="0" xfId="4" applyFont="1" applyAlignment="1">
      <alignment horizontal="center" vertical="center"/>
    </xf>
    <xf numFmtId="0" fontId="14" fillId="0" borderId="9" xfId="4" applyFont="1" applyBorder="1" applyAlignment="1">
      <alignment horizontal="center" vertical="center"/>
    </xf>
    <xf numFmtId="0" fontId="16" fillId="13" borderId="2" xfId="5" applyFont="1" applyFill="1" applyBorder="1" applyAlignment="1">
      <alignment horizontal="center" vertical="center"/>
    </xf>
    <xf numFmtId="0" fontId="16" fillId="13" borderId="3" xfId="5" applyFont="1" applyFill="1" applyBorder="1" applyAlignment="1">
      <alignment horizontal="center" vertical="center"/>
    </xf>
    <xf numFmtId="182" fontId="5" fillId="0" borderId="2" xfId="6" applyNumberFormat="1" applyFont="1" applyBorder="1" applyAlignment="1">
      <alignment horizontal="center" vertical="center"/>
    </xf>
    <xf numFmtId="182" fontId="5" fillId="0" borderId="3" xfId="6" applyNumberFormat="1" applyFont="1" applyBorder="1" applyAlignment="1">
      <alignment horizontal="center" vertical="center"/>
    </xf>
    <xf numFmtId="183" fontId="5" fillId="0" borderId="2" xfId="6" applyNumberFormat="1" applyFont="1" applyBorder="1" applyAlignment="1">
      <alignment horizontal="center" vertical="center"/>
    </xf>
    <xf numFmtId="183" fontId="5" fillId="0" borderId="3" xfId="6" applyNumberFormat="1" applyFont="1" applyBorder="1" applyAlignment="1">
      <alignment horizontal="center" vertical="center"/>
    </xf>
    <xf numFmtId="0" fontId="5" fillId="0" borderId="4" xfId="5" applyFont="1" applyBorder="1" applyAlignment="1">
      <alignment horizontal="center" vertical="center"/>
    </xf>
    <xf numFmtId="0" fontId="5" fillId="0" borderId="8" xfId="5" applyFont="1" applyBorder="1" applyAlignment="1">
      <alignment horizontal="center" vertical="center"/>
    </xf>
    <xf numFmtId="0" fontId="5" fillId="0" borderId="5" xfId="5" applyFont="1" applyBorder="1" applyAlignment="1">
      <alignment horizontal="center" vertical="center"/>
    </xf>
    <xf numFmtId="0" fontId="17" fillId="0" borderId="2" xfId="5" applyFont="1" applyBorder="1" applyAlignment="1">
      <alignment horizontal="center" vertical="center"/>
    </xf>
    <xf numFmtId="0" fontId="17" fillId="0" borderId="3" xfId="5" applyFont="1" applyBorder="1" applyAlignment="1">
      <alignment horizontal="center" vertical="center"/>
    </xf>
    <xf numFmtId="0" fontId="6" fillId="0" borderId="1" xfId="8" applyFont="1" applyFill="1" applyBorder="1" applyAlignment="1">
      <alignment horizontal="left" vertical="center"/>
    </xf>
    <xf numFmtId="0" fontId="6" fillId="0" borderId="2" xfId="8" applyFont="1" applyBorder="1" applyAlignment="1">
      <alignment horizontal="center" vertical="center"/>
    </xf>
    <xf numFmtId="0" fontId="6" fillId="0" borderId="3" xfId="8" applyFont="1" applyBorder="1" applyAlignment="1">
      <alignment horizontal="center" vertical="center"/>
    </xf>
    <xf numFmtId="0" fontId="6" fillId="0" borderId="2" xfId="8" applyFont="1" applyFill="1" applyBorder="1" applyAlignment="1"/>
    <xf numFmtId="0" fontId="6" fillId="0" borderId="3" xfId="8" applyFont="1" applyFill="1" applyBorder="1" applyAlignment="1"/>
    <xf numFmtId="0" fontId="6" fillId="0" borderId="1" xfId="8" applyFont="1" applyBorder="1" applyAlignment="1">
      <alignment horizontal="center" vertical="center"/>
    </xf>
    <xf numFmtId="180" fontId="6" fillId="0" borderId="1" xfId="3" applyNumberFormat="1" applyFont="1" applyBorder="1" applyAlignment="1">
      <alignment horizontal="center" vertical="center"/>
    </xf>
    <xf numFmtId="0" fontId="6" fillId="0" borderId="1" xfId="8" applyFont="1" applyFill="1" applyBorder="1" applyAlignment="1"/>
    <xf numFmtId="0" fontId="10" fillId="6" borderId="4" xfId="8" applyFont="1" applyFill="1" applyBorder="1" applyAlignment="1">
      <alignment horizontal="center" vertical="center" wrapText="1"/>
    </xf>
    <xf numFmtId="0" fontId="10" fillId="6" borderId="8" xfId="8" applyFont="1" applyFill="1" applyBorder="1" applyAlignment="1">
      <alignment horizontal="center" vertical="center" wrapText="1"/>
    </xf>
    <xf numFmtId="0" fontId="10" fillId="6" borderId="5" xfId="8" applyFont="1" applyFill="1" applyBorder="1" applyAlignment="1">
      <alignment horizontal="center" vertical="center" wrapText="1"/>
    </xf>
    <xf numFmtId="0" fontId="6" fillId="12" borderId="1" xfId="8" applyFont="1" applyFill="1" applyBorder="1" applyAlignment="1">
      <alignment horizontal="center" vertical="center" wrapText="1"/>
    </xf>
    <xf numFmtId="0" fontId="6" fillId="12" borderId="1" xfId="8" applyFont="1" applyFill="1" applyBorder="1" applyAlignment="1">
      <alignment horizontal="center" vertical="center"/>
    </xf>
    <xf numFmtId="0" fontId="6" fillId="7" borderId="1" xfId="8" applyFont="1" applyFill="1" applyBorder="1" applyAlignment="1">
      <alignment horizontal="center" vertical="center" wrapText="1"/>
    </xf>
    <xf numFmtId="0" fontId="6" fillId="7" borderId="1" xfId="8" applyFont="1" applyFill="1" applyBorder="1" applyAlignment="1">
      <alignment horizontal="center" vertical="center"/>
    </xf>
    <xf numFmtId="0" fontId="6" fillId="0" borderId="2" xfId="8" applyFont="1" applyFill="1" applyBorder="1" applyAlignment="1">
      <alignment horizontal="left" vertical="center"/>
    </xf>
    <xf numFmtId="0" fontId="6" fillId="0" borderId="3" xfId="8" applyFont="1" applyFill="1" applyBorder="1" applyAlignment="1">
      <alignment horizontal="left" vertical="center"/>
    </xf>
    <xf numFmtId="180" fontId="6" fillId="0" borderId="4" xfId="3" applyNumberFormat="1" applyFont="1" applyBorder="1" applyAlignment="1">
      <alignment horizontal="center" vertical="center"/>
    </xf>
    <xf numFmtId="180" fontId="6" fillId="0" borderId="8" xfId="3" applyNumberFormat="1" applyFont="1" applyBorder="1" applyAlignment="1">
      <alignment horizontal="center" vertical="center"/>
    </xf>
    <xf numFmtId="180" fontId="6" fillId="0" borderId="5" xfId="3" applyNumberFormat="1" applyFont="1" applyBorder="1" applyAlignment="1">
      <alignment horizontal="center" vertical="center"/>
    </xf>
    <xf numFmtId="0" fontId="6" fillId="5" borderId="4" xfId="8" applyFont="1" applyFill="1" applyBorder="1" applyAlignment="1">
      <alignment horizontal="center" vertical="center" wrapText="1"/>
    </xf>
    <xf numFmtId="0" fontId="6" fillId="5" borderId="8" xfId="8" applyFont="1" applyFill="1" applyBorder="1" applyAlignment="1">
      <alignment horizontal="center" vertical="center" wrapText="1"/>
    </xf>
    <xf numFmtId="0" fontId="6" fillId="5" borderId="5" xfId="8" applyFont="1" applyFill="1" applyBorder="1" applyAlignment="1">
      <alignment horizontal="center" vertical="center" wrapText="1"/>
    </xf>
    <xf numFmtId="0" fontId="6" fillId="11" borderId="1" xfId="8" applyFont="1" applyFill="1" applyBorder="1" applyAlignment="1">
      <alignment horizontal="center" vertical="center" wrapText="1"/>
    </xf>
    <xf numFmtId="0" fontId="6" fillId="11" borderId="1" xfId="8" applyFont="1" applyFill="1" applyBorder="1" applyAlignment="1">
      <alignment horizontal="center" vertical="center"/>
    </xf>
    <xf numFmtId="0" fontId="6" fillId="0" borderId="1" xfId="8" applyFont="1" applyFill="1" applyBorder="1" applyAlignment="1">
      <alignment horizontal="left"/>
    </xf>
    <xf numFmtId="0" fontId="6" fillId="10" borderId="1" xfId="8" applyFont="1" applyFill="1" applyBorder="1" applyAlignment="1">
      <alignment horizontal="center" vertical="center" wrapText="1"/>
    </xf>
    <xf numFmtId="0" fontId="6" fillId="9" borderId="6" xfId="8" applyFont="1" applyFill="1" applyBorder="1" applyAlignment="1">
      <alignment horizontal="center" vertical="center" wrapText="1"/>
    </xf>
    <xf numFmtId="0" fontId="6" fillId="9" borderId="7" xfId="8" applyFont="1" applyFill="1" applyBorder="1" applyAlignment="1">
      <alignment horizontal="center" vertical="center" wrapText="1"/>
    </xf>
    <xf numFmtId="0" fontId="6" fillId="0" borderId="2" xfId="2" applyFont="1" applyFill="1" applyBorder="1" applyAlignment="1">
      <alignment horizontal="left"/>
    </xf>
    <xf numFmtId="0" fontId="6" fillId="0" borderId="3" xfId="2" applyFont="1" applyFill="1" applyBorder="1" applyAlignment="1">
      <alignment horizontal="left"/>
    </xf>
    <xf numFmtId="0" fontId="6" fillId="8" borderId="1" xfId="8" applyFont="1" applyFill="1" applyBorder="1" applyAlignment="1">
      <alignment horizontal="center" vertical="center" wrapText="1"/>
    </xf>
    <xf numFmtId="0" fontId="6" fillId="8" borderId="1" xfId="8" applyFont="1" applyFill="1" applyBorder="1" applyAlignment="1">
      <alignment horizontal="center" vertical="center"/>
    </xf>
    <xf numFmtId="0" fontId="10" fillId="6" borderId="1" xfId="8" applyFont="1" applyFill="1" applyBorder="1" applyAlignment="1">
      <alignment horizontal="center" vertical="center" wrapText="1"/>
    </xf>
    <xf numFmtId="0" fontId="6" fillId="3" borderId="1" xfId="8" applyFont="1" applyFill="1" applyBorder="1" applyAlignment="1">
      <alignment horizontal="center" vertical="center" wrapText="1"/>
    </xf>
    <xf numFmtId="0" fontId="6" fillId="3" borderId="1" xfId="8" applyFont="1" applyFill="1" applyBorder="1" applyAlignment="1">
      <alignment horizontal="center" vertical="center"/>
    </xf>
    <xf numFmtId="0" fontId="6" fillId="0" borderId="1" xfId="2" applyFont="1" applyFill="1" applyBorder="1" applyAlignment="1">
      <alignment horizontal="left"/>
    </xf>
    <xf numFmtId="0" fontId="6" fillId="0" borderId="1" xfId="8" applyFont="1" applyBorder="1" applyAlignment="1">
      <alignment horizontal="center" vertical="center" wrapText="1"/>
    </xf>
    <xf numFmtId="0" fontId="5" fillId="0" borderId="1" xfId="8" applyFont="1" applyBorder="1" applyAlignment="1">
      <alignment horizontal="center" vertical="center" wrapText="1"/>
    </xf>
    <xf numFmtId="0" fontId="5" fillId="0" borderId="1" xfId="8" applyFont="1" applyBorder="1" applyAlignment="1">
      <alignment horizontal="center" vertical="center"/>
    </xf>
    <xf numFmtId="0" fontId="6" fillId="4" borderId="1" xfId="8" applyFont="1" applyFill="1" applyBorder="1" applyAlignment="1">
      <alignment horizontal="center" vertical="center"/>
    </xf>
    <xf numFmtId="0" fontId="6" fillId="6" borderId="1" xfId="8" applyFont="1" applyFill="1" applyBorder="1" applyAlignment="1">
      <alignment horizontal="center" vertical="center"/>
    </xf>
    <xf numFmtId="0" fontId="6" fillId="5" borderId="1" xfId="8" applyFont="1" applyFill="1" applyBorder="1" applyAlignment="1">
      <alignment horizontal="center" vertical="center"/>
    </xf>
    <xf numFmtId="0" fontId="6" fillId="0" borderId="1" xfId="8" applyFont="1" applyFill="1" applyBorder="1" applyAlignment="1">
      <alignment horizontal="center" vertical="center"/>
    </xf>
    <xf numFmtId="0" fontId="6" fillId="0" borderId="4" xfId="8" applyFont="1" applyBorder="1" applyAlignment="1">
      <alignment horizontal="center" vertical="center"/>
    </xf>
    <xf numFmtId="0" fontId="6" fillId="0" borderId="5" xfId="8" applyFont="1" applyBorder="1" applyAlignment="1">
      <alignment horizontal="center" vertical="center"/>
    </xf>
    <xf numFmtId="0" fontId="8" fillId="0" borderId="1" xfId="8" applyFont="1" applyBorder="1" applyAlignment="1">
      <alignment horizontal="center" vertical="center"/>
    </xf>
    <xf numFmtId="0" fontId="2" fillId="0" borderId="1" xfId="8" applyFont="1" applyBorder="1" applyAlignment="1">
      <alignment horizontal="center" vertical="center"/>
    </xf>
    <xf numFmtId="0" fontId="6" fillId="0" borderId="2" xfId="8" applyFont="1" applyFill="1" applyBorder="1" applyAlignment="1">
      <alignment horizontal="left"/>
    </xf>
    <xf numFmtId="0" fontId="6" fillId="0" borderId="3" xfId="8" applyFont="1" applyFill="1" applyBorder="1" applyAlignment="1">
      <alignment horizontal="left"/>
    </xf>
    <xf numFmtId="0" fontId="6" fillId="0" borderId="1" xfId="8" applyFont="1" applyFill="1" applyBorder="1" applyAlignment="1">
      <alignment horizontal="center" vertical="center" wrapText="1"/>
    </xf>
    <xf numFmtId="0" fontId="6" fillId="0" borderId="1" xfId="1" applyFont="1" applyFill="1" applyBorder="1" applyAlignment="1">
      <alignment horizontal="left" vertical="center"/>
    </xf>
    <xf numFmtId="0" fontId="6" fillId="0" borderId="1" xfId="1" applyFont="1" applyBorder="1" applyAlignment="1">
      <alignment horizontal="center" vertical="center"/>
    </xf>
    <xf numFmtId="0" fontId="10" fillId="6" borderId="4" xfId="1" applyFont="1" applyFill="1" applyBorder="1" applyAlignment="1">
      <alignment horizontal="center" vertical="center" wrapText="1"/>
    </xf>
    <xf numFmtId="0" fontId="10" fillId="6" borderId="8" xfId="1" applyFont="1" applyFill="1" applyBorder="1" applyAlignment="1">
      <alignment horizontal="center" vertical="center" wrapText="1"/>
    </xf>
    <xf numFmtId="0" fontId="10" fillId="6" borderId="5" xfId="1" applyFont="1" applyFill="1" applyBorder="1" applyAlignment="1">
      <alignment horizontal="center" vertical="center" wrapText="1"/>
    </xf>
    <xf numFmtId="0" fontId="6" fillId="0" borderId="2" xfId="1" applyFont="1" applyBorder="1" applyAlignment="1">
      <alignment horizontal="center" vertical="center"/>
    </xf>
    <xf numFmtId="0" fontId="6" fillId="0" borderId="3" xfId="1" applyFont="1" applyBorder="1" applyAlignment="1">
      <alignment horizontal="center" vertical="center"/>
    </xf>
    <xf numFmtId="0" fontId="6" fillId="12" borderId="1" xfId="1" applyFont="1" applyFill="1" applyBorder="1" applyAlignment="1">
      <alignment horizontal="center" vertical="center" wrapText="1"/>
    </xf>
    <xf numFmtId="0" fontId="6" fillId="12" borderId="1" xfId="1" applyFont="1" applyFill="1" applyBorder="1" applyAlignment="1">
      <alignment horizontal="center" vertical="center"/>
    </xf>
    <xf numFmtId="0" fontId="6" fillId="0" borderId="2" xfId="1" applyFont="1" applyFill="1" applyBorder="1" applyAlignment="1"/>
    <xf numFmtId="0" fontId="6" fillId="0" borderId="3" xfId="1" applyFont="1" applyFill="1" applyBorder="1" applyAlignment="1"/>
    <xf numFmtId="0" fontId="6" fillId="0" borderId="2" xfId="1" applyFont="1" applyFill="1" applyBorder="1" applyAlignment="1">
      <alignment horizontal="left" vertical="center"/>
    </xf>
    <xf numFmtId="0" fontId="6" fillId="0" borderId="3" xfId="1" applyFont="1" applyFill="1" applyBorder="1" applyAlignment="1">
      <alignment horizontal="left" vertical="center"/>
    </xf>
    <xf numFmtId="0" fontId="6" fillId="0" borderId="1" xfId="1" applyFont="1" applyFill="1" applyBorder="1" applyAlignment="1"/>
    <xf numFmtId="0" fontId="6" fillId="5" borderId="4" xfId="1" applyFont="1" applyFill="1" applyBorder="1" applyAlignment="1">
      <alignment horizontal="center" vertical="center" wrapText="1"/>
    </xf>
    <xf numFmtId="0" fontId="6" fillId="5" borderId="8" xfId="1" applyFont="1" applyFill="1" applyBorder="1" applyAlignment="1">
      <alignment horizontal="center" vertical="center" wrapText="1"/>
    </xf>
    <xf numFmtId="0" fontId="6" fillId="5" borderId="5" xfId="1" applyFont="1" applyFill="1" applyBorder="1" applyAlignment="1">
      <alignment horizontal="center" vertical="center" wrapText="1"/>
    </xf>
    <xf numFmtId="0" fontId="6" fillId="7" borderId="1" xfId="1" applyFont="1" applyFill="1" applyBorder="1" applyAlignment="1">
      <alignment horizontal="center" vertical="center" wrapText="1"/>
    </xf>
    <xf numFmtId="0" fontId="6" fillId="7" borderId="1" xfId="1" applyFont="1" applyFill="1" applyBorder="1" applyAlignment="1">
      <alignment horizontal="center" vertical="center"/>
    </xf>
    <xf numFmtId="0" fontId="6" fillId="10" borderId="1" xfId="1" applyFont="1" applyFill="1" applyBorder="1" applyAlignment="1">
      <alignment horizontal="center" vertical="center" wrapText="1"/>
    </xf>
    <xf numFmtId="0" fontId="6" fillId="0" borderId="1" xfId="1" applyFont="1" applyFill="1" applyBorder="1" applyAlignment="1">
      <alignment horizontal="left"/>
    </xf>
    <xf numFmtId="0" fontId="6" fillId="11" borderId="1" xfId="1" applyFont="1" applyFill="1" applyBorder="1" applyAlignment="1">
      <alignment horizontal="center" vertical="center" wrapText="1"/>
    </xf>
    <xf numFmtId="0" fontId="6" fillId="11" borderId="1" xfId="1" applyFont="1" applyFill="1" applyBorder="1" applyAlignment="1">
      <alignment horizontal="center" vertical="center"/>
    </xf>
    <xf numFmtId="0" fontId="6" fillId="9" borderId="6" xfId="1" applyFont="1" applyFill="1" applyBorder="1" applyAlignment="1">
      <alignment horizontal="center" vertical="center" wrapText="1"/>
    </xf>
    <xf numFmtId="0" fontId="6" fillId="9" borderId="7" xfId="1" applyFont="1" applyFill="1" applyBorder="1" applyAlignment="1">
      <alignment horizontal="center" vertical="center" wrapText="1"/>
    </xf>
    <xf numFmtId="0" fontId="6" fillId="8" borderId="1" xfId="1" applyFont="1" applyFill="1" applyBorder="1" applyAlignment="1">
      <alignment horizontal="center" vertical="center" wrapText="1"/>
    </xf>
    <xf numFmtId="0" fontId="6" fillId="8" borderId="1" xfId="1" applyFont="1" applyFill="1" applyBorder="1" applyAlignment="1">
      <alignment horizontal="center" vertical="center"/>
    </xf>
    <xf numFmtId="0" fontId="10" fillId="6" borderId="1" xfId="1" applyFont="1" applyFill="1" applyBorder="1" applyAlignment="1">
      <alignment horizontal="center" vertical="center" wrapText="1"/>
    </xf>
    <xf numFmtId="0" fontId="6" fillId="3" borderId="1" xfId="1" applyFont="1" applyFill="1" applyBorder="1" applyAlignment="1">
      <alignment horizontal="center" vertical="center" wrapText="1"/>
    </xf>
    <xf numFmtId="0" fontId="6" fillId="3" borderId="1" xfId="1" applyFont="1" applyFill="1" applyBorder="1" applyAlignment="1">
      <alignment horizontal="center" vertical="center"/>
    </xf>
    <xf numFmtId="0" fontId="6" fillId="0" borderId="1" xfId="1" applyFont="1" applyBorder="1" applyAlignment="1">
      <alignment horizontal="center" vertical="center" wrapText="1"/>
    </xf>
    <xf numFmtId="0" fontId="5" fillId="0" borderId="1" xfId="1" applyFont="1" applyBorder="1" applyAlignment="1">
      <alignment horizontal="center" vertical="center" wrapText="1"/>
    </xf>
    <xf numFmtId="0" fontId="5" fillId="0" borderId="1" xfId="1" applyFont="1" applyBorder="1" applyAlignment="1">
      <alignment horizontal="center" vertical="center"/>
    </xf>
    <xf numFmtId="0" fontId="6" fillId="4" borderId="1" xfId="1" applyFont="1" applyFill="1" applyBorder="1" applyAlignment="1">
      <alignment horizontal="center" vertical="center"/>
    </xf>
    <xf numFmtId="0" fontId="6" fillId="6" borderId="1" xfId="1" applyFont="1" applyFill="1" applyBorder="1" applyAlignment="1">
      <alignment horizontal="center" vertical="center"/>
    </xf>
    <xf numFmtId="0" fontId="6" fillId="5" borderId="1" xfId="1" applyFont="1" applyFill="1" applyBorder="1" applyAlignment="1">
      <alignment horizontal="center" vertical="center"/>
    </xf>
    <xf numFmtId="0" fontId="8" fillId="0" borderId="1" xfId="1" applyFont="1" applyBorder="1" applyAlignment="1">
      <alignment horizontal="center" vertical="center"/>
    </xf>
    <xf numFmtId="0" fontId="2" fillId="0" borderId="1" xfId="1" applyFont="1" applyBorder="1" applyAlignment="1">
      <alignment horizontal="center" vertical="center"/>
    </xf>
    <xf numFmtId="0" fontId="6" fillId="0" borderId="4" xfId="1" applyFont="1" applyBorder="1" applyAlignment="1">
      <alignment horizontal="center" vertical="center"/>
    </xf>
    <xf numFmtId="0" fontId="6" fillId="0" borderId="5" xfId="1" applyFont="1" applyBorder="1" applyAlignment="1">
      <alignment horizontal="center" vertical="center"/>
    </xf>
    <xf numFmtId="0" fontId="6" fillId="0" borderId="1" xfId="1" applyFont="1" applyFill="1" applyBorder="1" applyAlignment="1">
      <alignment horizontal="center" vertical="center"/>
    </xf>
    <xf numFmtId="0" fontId="6" fillId="0" borderId="1" xfId="1" applyFont="1" applyFill="1" applyBorder="1" applyAlignment="1">
      <alignment horizontal="center" vertical="center" wrapText="1"/>
    </xf>
    <xf numFmtId="0" fontId="6" fillId="0" borderId="2" xfId="1" applyFont="1" applyFill="1" applyBorder="1" applyAlignment="1">
      <alignment horizontal="left"/>
    </xf>
    <xf numFmtId="0" fontId="6" fillId="0" borderId="3" xfId="1" applyFont="1" applyFill="1" applyBorder="1" applyAlignment="1">
      <alignment horizontal="left"/>
    </xf>
    <xf numFmtId="0" fontId="13" fillId="6" borderId="1" xfId="1" applyFont="1" applyFill="1" applyBorder="1" applyAlignment="1">
      <alignment horizontal="center" vertical="center" wrapText="1"/>
    </xf>
    <xf numFmtId="180" fontId="6" fillId="0" borderId="1" xfId="3" applyNumberFormat="1" applyFont="1" applyFill="1" applyBorder="1" applyAlignment="1">
      <alignment horizontal="center" vertical="center"/>
    </xf>
    <xf numFmtId="0" fontId="6" fillId="0" borderId="2" xfId="1" applyFont="1" applyFill="1" applyBorder="1" applyAlignment="1">
      <alignment horizontal="center" vertical="center"/>
    </xf>
    <xf numFmtId="0" fontId="6" fillId="0" borderId="3" xfId="1" applyFont="1" applyFill="1" applyBorder="1" applyAlignment="1">
      <alignment horizontal="center" vertical="center"/>
    </xf>
  </cellXfs>
  <cellStyles count="9">
    <cellStyle name="一般" xfId="0" builtinId="0"/>
    <cellStyle name="一般 2 2" xfId="1"/>
    <cellStyle name="一般 2 2 2" xfId="5"/>
    <cellStyle name="一般 2 2 29" xfId="7"/>
    <cellStyle name="一般 2 2 7" xfId="8"/>
    <cellStyle name="一般 2 4" xfId="2"/>
    <cellStyle name="一般 3" xfId="4"/>
    <cellStyle name="千分位 2" xfId="6"/>
    <cellStyle name="百分比 2" xfId="3"/>
  </cellStyles>
  <dxfs count="2003"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</dxf>
    <dxf>
      <font>
        <color rgb="FFFF0000"/>
      </font>
      <fill>
        <patternFill>
          <bgColor rgb="FFFFFF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</dxf>
    <dxf>
      <font>
        <color rgb="FF9C0006"/>
      </font>
    </dxf>
    <dxf>
      <font>
        <color rgb="FF9C0006"/>
      </font>
    </dxf>
    <dxf>
      <font>
        <color rgb="FF9C0006"/>
      </font>
    </dxf>
    <dxf>
      <font>
        <color rgb="FF9C0006"/>
      </font>
    </dxf>
    <dxf>
      <font>
        <color rgb="FF9C0006"/>
      </font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</dxf>
    <dxf>
      <font>
        <color rgb="FF9C0006"/>
      </font>
    </dxf>
    <dxf>
      <font>
        <color rgb="FF9C0006"/>
      </font>
    </dxf>
    <dxf>
      <font>
        <color rgb="FF9C0006"/>
      </font>
    </dxf>
    <dxf>
      <font>
        <color rgb="FF9C0006"/>
      </font>
    </dxf>
    <dxf>
      <font>
        <color rgb="FF9C0006"/>
      </font>
    </dxf>
    <dxf>
      <font>
        <color rgb="FF9C0006"/>
      </font>
    </dxf>
    <dxf>
      <font>
        <color rgb="FFFF0000"/>
      </font>
      <fill>
        <patternFill>
          <bgColor rgb="FFFFFF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9C0006"/>
      </font>
    </dxf>
    <dxf>
      <font>
        <color rgb="FF9C0006"/>
      </font>
    </dxf>
    <dxf>
      <font>
        <color rgb="FF9C0006"/>
      </font>
    </dxf>
    <dxf>
      <font>
        <color rgb="FF9C0006"/>
      </font>
    </dxf>
    <dxf>
      <font>
        <color rgb="FF9C0006"/>
      </font>
    </dxf>
    <dxf>
      <font>
        <color rgb="FF9C0006"/>
      </font>
    </dxf>
    <dxf>
      <font>
        <color rgb="FF9C0006"/>
      </font>
    </dxf>
    <dxf>
      <font>
        <color rgb="FF9C0006"/>
      </font>
    </dxf>
    <dxf>
      <font>
        <color rgb="FFFF0000"/>
      </font>
      <fill>
        <patternFill>
          <bgColor rgb="FFFFFF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9C0006"/>
      </font>
    </dxf>
    <dxf>
      <font>
        <color rgb="FF9C0006"/>
      </font>
    </dxf>
    <dxf>
      <font>
        <color rgb="FF9C0006"/>
      </font>
    </dxf>
    <dxf>
      <font>
        <color rgb="FF9C0006"/>
      </font>
    </dxf>
    <dxf>
      <font>
        <color rgb="FF9C0006"/>
      </font>
    </dxf>
    <dxf>
      <font>
        <color rgb="FF9C0006"/>
      </font>
    </dxf>
    <dxf>
      <font>
        <color rgb="FF9C0006"/>
      </font>
    </dxf>
    <dxf>
      <font>
        <color rgb="FF9C0006"/>
      </font>
    </dxf>
    <dxf>
      <font>
        <color rgb="FFFF0000"/>
      </font>
      <fill>
        <patternFill>
          <bgColor rgb="FFFFFF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9C0006"/>
      </font>
    </dxf>
    <dxf>
      <font>
        <color rgb="FF9C0006"/>
      </font>
    </dxf>
    <dxf>
      <font>
        <color rgb="FF9C0006"/>
      </font>
    </dxf>
    <dxf>
      <font>
        <color rgb="FF9C0006"/>
      </font>
    </dxf>
    <dxf>
      <font>
        <color rgb="FF9C0006"/>
      </font>
    </dxf>
    <dxf>
      <font>
        <color rgb="FF9C0006"/>
      </font>
    </dxf>
    <dxf>
      <font>
        <color rgb="FF9C0006"/>
      </font>
    </dxf>
    <dxf>
      <font>
        <color rgb="FF9C0006"/>
      </font>
    </dxf>
    <dxf>
      <font>
        <color rgb="FFFF0000"/>
      </font>
      <fill>
        <patternFill>
          <bgColor rgb="FFFFFF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</dxf>
    <dxf>
      <font>
        <color rgb="FF9C0006"/>
      </font>
    </dxf>
    <dxf>
      <font>
        <color rgb="FF9C0006"/>
      </font>
    </dxf>
    <dxf>
      <font>
        <color rgb="FF9C0006"/>
      </font>
    </dxf>
    <dxf>
      <font>
        <color rgb="FF9C0006"/>
      </font>
    </dxf>
    <dxf>
      <font>
        <color rgb="FF9C0006"/>
      </font>
    </dxf>
    <dxf>
      <font>
        <color rgb="FF9C0006"/>
      </font>
    </dxf>
    <dxf>
      <font>
        <color rgb="FFFF0000"/>
      </font>
      <fill>
        <patternFill>
          <bgColor rgb="FFFFFF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</dxf>
    <dxf>
      <font>
        <color rgb="FF9C0006"/>
      </font>
    </dxf>
    <dxf>
      <font>
        <color rgb="FF9C0006"/>
      </font>
    </dxf>
    <dxf>
      <font>
        <color rgb="FF9C0006"/>
      </font>
    </dxf>
    <dxf>
      <font>
        <color rgb="FF9C0006"/>
      </font>
    </dxf>
    <dxf>
      <font>
        <color rgb="FF9C0006"/>
      </font>
    </dxf>
    <dxf>
      <font>
        <color rgb="FF9C0006"/>
      </font>
    </dxf>
    <dxf>
      <font>
        <color rgb="FFFF0000"/>
      </font>
      <fill>
        <patternFill>
          <bgColor rgb="FFFFFF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</dxf>
    <dxf>
      <font>
        <color rgb="FF9C0006"/>
      </font>
    </dxf>
    <dxf>
      <font>
        <color rgb="FF9C0006"/>
      </font>
    </dxf>
    <dxf>
      <font>
        <color rgb="FF9C0006"/>
      </font>
    </dxf>
    <dxf>
      <font>
        <color rgb="FF9C0006"/>
      </font>
    </dxf>
    <dxf>
      <font>
        <color rgb="FF9C0006"/>
      </font>
    </dxf>
    <dxf>
      <font>
        <color rgb="FF9C0006"/>
      </font>
    </dxf>
    <dxf>
      <font>
        <color rgb="FFFF0000"/>
      </font>
      <fill>
        <patternFill>
          <bgColor rgb="FFFFFF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9C0006"/>
      </font>
    </dxf>
    <dxf>
      <font>
        <color rgb="FF9C0006"/>
      </font>
    </dxf>
    <dxf>
      <font>
        <color rgb="FF9C0006"/>
      </font>
    </dxf>
    <dxf>
      <font>
        <color rgb="FF9C0006"/>
      </font>
    </dxf>
    <dxf>
      <font>
        <color rgb="FF9C0006"/>
      </font>
    </dxf>
    <dxf>
      <font>
        <color rgb="FF9C0006"/>
      </font>
    </dxf>
    <dxf>
      <font>
        <color rgb="FF9C0006"/>
      </font>
    </dxf>
    <dxf>
      <font>
        <color rgb="FF9C0006"/>
      </font>
    </dxf>
    <dxf>
      <font>
        <color rgb="FFFF0000"/>
      </font>
      <fill>
        <patternFill>
          <bgColor rgb="FFFFFF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9C0006"/>
      </font>
    </dxf>
    <dxf>
      <font>
        <color rgb="FF9C0006"/>
      </font>
    </dxf>
    <dxf>
      <font>
        <color rgb="FF9C0006"/>
      </font>
    </dxf>
    <dxf>
      <font>
        <color rgb="FF9C0006"/>
      </font>
    </dxf>
    <dxf>
      <font>
        <color rgb="FF9C0006"/>
      </font>
    </dxf>
    <dxf>
      <font>
        <color rgb="FF9C0006"/>
      </font>
    </dxf>
    <dxf>
      <font>
        <color rgb="FF9C0006"/>
      </font>
    </dxf>
    <dxf>
      <font>
        <color rgb="FF9C0006"/>
      </font>
    </dxf>
    <dxf>
      <font>
        <color rgb="FFFF0000"/>
      </font>
      <fill>
        <patternFill>
          <bgColor rgb="FFFFFF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9C0006"/>
      </font>
    </dxf>
    <dxf>
      <font>
        <color rgb="FF9C0006"/>
      </font>
    </dxf>
    <dxf>
      <font>
        <color rgb="FF9C0006"/>
      </font>
    </dxf>
    <dxf>
      <font>
        <color rgb="FF9C0006"/>
      </font>
    </dxf>
    <dxf>
      <font>
        <color rgb="FF9C0006"/>
      </font>
    </dxf>
    <dxf>
      <font>
        <color rgb="FF9C0006"/>
      </font>
    </dxf>
    <dxf>
      <font>
        <color rgb="FF9C0006"/>
      </font>
    </dxf>
    <dxf>
      <font>
        <color rgb="FF9C0006"/>
      </font>
    </dxf>
    <dxf>
      <font>
        <color rgb="FFFF0000"/>
      </font>
      <fill>
        <patternFill>
          <bgColor rgb="FFFFFF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</dxf>
    <dxf>
      <font>
        <color rgb="FF9C0006"/>
      </font>
    </dxf>
    <dxf>
      <font>
        <color rgb="FF9C0006"/>
      </font>
    </dxf>
    <dxf>
      <font>
        <color rgb="FF9C0006"/>
      </font>
    </dxf>
    <dxf>
      <font>
        <color rgb="FF9C0006"/>
      </font>
    </dxf>
    <dxf>
      <font>
        <color rgb="FF9C0006"/>
      </font>
    </dxf>
    <dxf>
      <font>
        <color rgb="FF9C0006"/>
      </font>
    </dxf>
    <dxf>
      <font>
        <color rgb="FFFF0000"/>
      </font>
      <fill>
        <patternFill>
          <bgColor rgb="FFFFFF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</dxf>
    <dxf>
      <font>
        <color rgb="FF9C0006"/>
      </font>
    </dxf>
    <dxf>
      <font>
        <color rgb="FF9C0006"/>
      </font>
    </dxf>
    <dxf>
      <font>
        <color rgb="FF9C0006"/>
      </font>
    </dxf>
    <dxf>
      <font>
        <color rgb="FF9C0006"/>
      </font>
    </dxf>
    <dxf>
      <font>
        <color rgb="FF9C0006"/>
      </font>
    </dxf>
    <dxf>
      <font>
        <color rgb="FF9C0006"/>
      </font>
    </dxf>
    <dxf>
      <font>
        <color rgb="FFFF0000"/>
      </font>
      <fill>
        <patternFill>
          <bgColor rgb="FFFFFF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</dxf>
    <dxf>
      <font>
        <color rgb="FF9C0006"/>
      </font>
    </dxf>
    <dxf>
      <font>
        <color rgb="FF9C0006"/>
      </font>
    </dxf>
    <dxf>
      <font>
        <color rgb="FF9C0006"/>
      </font>
    </dxf>
    <dxf>
      <font>
        <color rgb="FF9C0006"/>
      </font>
    </dxf>
    <dxf>
      <font>
        <color rgb="FF9C0006"/>
      </font>
    </dxf>
    <dxf>
      <font>
        <color rgb="FF9C0006"/>
      </font>
    </dxf>
    <dxf>
      <font>
        <color rgb="FFFF0000"/>
      </font>
      <fill>
        <patternFill>
          <bgColor rgb="FFFFFF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</dxf>
    <dxf>
      <font>
        <color rgb="FF9C0006"/>
      </font>
    </dxf>
    <dxf>
      <font>
        <color rgb="FF9C0006"/>
      </font>
    </dxf>
    <dxf>
      <font>
        <color rgb="FF9C0006"/>
      </font>
    </dxf>
    <dxf>
      <font>
        <color rgb="FF9C0006"/>
      </font>
    </dxf>
    <dxf>
      <font>
        <color rgb="FF9C0006"/>
      </font>
    </dxf>
    <dxf>
      <font>
        <color rgb="FF9C0006"/>
      </font>
    </dxf>
    <dxf>
      <font>
        <color rgb="FFFF0000"/>
      </font>
      <fill>
        <patternFill>
          <bgColor rgb="FFFFFF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</dxf>
    <dxf>
      <font>
        <color rgb="FF9C0006"/>
      </font>
    </dxf>
    <dxf>
      <font>
        <color rgb="FF9C0006"/>
      </font>
    </dxf>
    <dxf>
      <font>
        <color rgb="FF9C0006"/>
      </font>
    </dxf>
    <dxf>
      <font>
        <color rgb="FF9C0006"/>
      </font>
    </dxf>
    <dxf>
      <font>
        <color rgb="FF9C0006"/>
      </font>
    </dxf>
    <dxf>
      <font>
        <color rgb="FF9C0006"/>
      </font>
    </dxf>
    <dxf>
      <font>
        <color rgb="FFFF0000"/>
      </font>
      <fill>
        <patternFill>
          <bgColor rgb="FFFFFF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9C0006"/>
      </font>
    </dxf>
    <dxf>
      <font>
        <color rgb="FF9C0006"/>
      </font>
    </dxf>
    <dxf>
      <font>
        <color rgb="FF9C0006"/>
      </font>
    </dxf>
    <dxf>
      <font>
        <color rgb="FF9C0006"/>
      </font>
    </dxf>
    <dxf>
      <font>
        <color rgb="FF9C0006"/>
      </font>
    </dxf>
    <dxf>
      <font>
        <color rgb="FF9C0006"/>
      </font>
    </dxf>
    <dxf>
      <font>
        <color rgb="FF9C0006"/>
      </font>
    </dxf>
    <dxf>
      <font>
        <color rgb="FF9C0006"/>
      </font>
    </dxf>
    <dxf>
      <font>
        <color rgb="FFFF0000"/>
      </font>
      <fill>
        <patternFill>
          <bgColor rgb="FFFFFF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9C0006"/>
      </font>
    </dxf>
    <dxf>
      <font>
        <color rgb="FF9C0006"/>
      </font>
    </dxf>
    <dxf>
      <font>
        <color rgb="FF9C0006"/>
      </font>
    </dxf>
    <dxf>
      <font>
        <color rgb="FF9C0006"/>
      </font>
    </dxf>
    <dxf>
      <font>
        <color rgb="FF9C0006"/>
      </font>
    </dxf>
    <dxf>
      <font>
        <color rgb="FF9C0006"/>
      </font>
    </dxf>
    <dxf>
      <font>
        <color rgb="FF9C0006"/>
      </font>
    </dxf>
    <dxf>
      <font>
        <color rgb="FF9C0006"/>
      </font>
    </dxf>
    <dxf>
      <font>
        <color rgb="FFFF0000"/>
      </font>
      <fill>
        <patternFill>
          <bgColor rgb="FFFFFF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</dxf>
    <dxf>
      <font>
        <color rgb="FF9C0006"/>
      </font>
    </dxf>
    <dxf>
      <font>
        <color rgb="FF9C0006"/>
      </font>
    </dxf>
    <dxf>
      <font>
        <color rgb="FF9C0006"/>
      </font>
    </dxf>
    <dxf>
      <font>
        <color rgb="FF9C0006"/>
      </font>
    </dxf>
    <dxf>
      <font>
        <color rgb="FF9C0006"/>
      </font>
    </dxf>
    <dxf>
      <font>
        <color rgb="FF9C0006"/>
      </font>
    </dxf>
    <dxf>
      <font>
        <color rgb="FFFF0000"/>
      </font>
      <fill>
        <patternFill>
          <bgColor rgb="FFFFFF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</dxf>
    <dxf>
      <font>
        <color rgb="FF9C0006"/>
      </font>
    </dxf>
    <dxf>
      <font>
        <color rgb="FF9C0006"/>
      </font>
    </dxf>
    <dxf>
      <font>
        <color rgb="FF9C0006"/>
      </font>
    </dxf>
    <dxf>
      <font>
        <color rgb="FF9C0006"/>
      </font>
    </dxf>
    <dxf>
      <font>
        <color rgb="FF9C0006"/>
      </font>
    </dxf>
    <dxf>
      <font>
        <color rgb="FF9C0006"/>
      </font>
    </dxf>
    <dxf>
      <font>
        <color rgb="FFFF0000"/>
      </font>
      <fill>
        <patternFill>
          <bgColor rgb="FFFFFF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</dxf>
    <dxf>
      <font>
        <color rgb="FF9C0006"/>
      </font>
    </dxf>
    <dxf>
      <font>
        <color rgb="FF9C0006"/>
      </font>
    </dxf>
    <dxf>
      <font>
        <color rgb="FF9C0006"/>
      </font>
    </dxf>
    <dxf>
      <font>
        <color rgb="FF9C0006"/>
      </font>
    </dxf>
    <dxf>
      <font>
        <color rgb="FF9C0006"/>
      </font>
    </dxf>
    <dxf>
      <font>
        <color rgb="FF9C0006"/>
      </font>
    </dxf>
    <dxf>
      <font>
        <color rgb="FFFF0000"/>
      </font>
      <fill>
        <patternFill>
          <bgColor rgb="FFFFFF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</dxf>
    <dxf>
      <font>
        <color rgb="FF9C0006"/>
      </font>
    </dxf>
    <dxf>
      <font>
        <color rgb="FF9C0006"/>
      </font>
    </dxf>
    <dxf>
      <font>
        <color rgb="FF9C0006"/>
      </font>
    </dxf>
    <dxf>
      <font>
        <color rgb="FF9C0006"/>
      </font>
    </dxf>
    <dxf>
      <font>
        <color rgb="FF9C0006"/>
      </font>
    </dxf>
    <dxf>
      <font>
        <color rgb="FF9C0006"/>
      </font>
    </dxf>
    <dxf>
      <font>
        <color rgb="FFFF0000"/>
      </font>
      <fill>
        <patternFill>
          <bgColor rgb="FFFFFF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</dxf>
    <dxf>
      <font>
        <color rgb="FF9C0006"/>
      </font>
    </dxf>
    <dxf>
      <font>
        <color rgb="FF9C0006"/>
      </font>
    </dxf>
    <dxf>
      <font>
        <color rgb="FF9C0006"/>
      </font>
    </dxf>
    <dxf>
      <font>
        <color rgb="FF9C0006"/>
      </font>
    </dxf>
    <dxf>
      <font>
        <color rgb="FF9C0006"/>
      </font>
    </dxf>
    <dxf>
      <font>
        <color rgb="FF9C0006"/>
      </font>
    </dxf>
    <dxf>
      <font>
        <color rgb="FFFF0000"/>
      </font>
      <fill>
        <patternFill>
          <bgColor rgb="FFFFFF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</dxf>
    <dxf>
      <font>
        <color rgb="FF9C0006"/>
      </font>
    </dxf>
    <dxf>
      <font>
        <color rgb="FF9C0006"/>
      </font>
    </dxf>
    <dxf>
      <font>
        <color rgb="FF9C0006"/>
      </font>
    </dxf>
    <dxf>
      <font>
        <color rgb="FF9C0006"/>
      </font>
    </dxf>
    <dxf>
      <font>
        <color rgb="FF9C0006"/>
      </font>
    </dxf>
    <dxf>
      <font>
        <color rgb="FF9C0006"/>
      </font>
    </dxf>
    <dxf>
      <font>
        <color rgb="FFFF0000"/>
      </font>
      <fill>
        <patternFill>
          <bgColor rgb="FFFFFF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</dxf>
    <dxf>
      <font>
        <color rgb="FF9C0006"/>
      </font>
    </dxf>
    <dxf>
      <font>
        <color rgb="FF9C0006"/>
      </font>
    </dxf>
    <dxf>
      <font>
        <color rgb="FF9C0006"/>
      </font>
    </dxf>
    <dxf>
      <font>
        <color rgb="FF9C0006"/>
      </font>
    </dxf>
    <dxf>
      <font>
        <color rgb="FF9C0006"/>
      </font>
    </dxf>
    <dxf>
      <font>
        <color rgb="FF9C0006"/>
      </font>
    </dxf>
    <dxf>
      <font>
        <color rgb="FFFF0000"/>
      </font>
      <fill>
        <patternFill>
          <bgColor rgb="FFFFFF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</dxf>
    <dxf>
      <font>
        <color rgb="FF9C0006"/>
      </font>
    </dxf>
    <dxf>
      <font>
        <color rgb="FF9C0006"/>
      </font>
    </dxf>
    <dxf>
      <font>
        <color rgb="FF9C0006"/>
      </font>
    </dxf>
    <dxf>
      <font>
        <color rgb="FF9C0006"/>
      </font>
    </dxf>
    <dxf>
      <font>
        <color rgb="FF9C0006"/>
      </font>
    </dxf>
    <dxf>
      <font>
        <color rgb="FF9C0006"/>
      </font>
    </dxf>
    <dxf>
      <font>
        <color rgb="FFFF0000"/>
      </font>
      <fill>
        <patternFill>
          <bgColor rgb="FFFFFF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</dxf>
    <dxf>
      <font>
        <color rgb="FF9C0006"/>
      </font>
    </dxf>
    <dxf>
      <font>
        <color rgb="FF9C0006"/>
      </font>
    </dxf>
    <dxf>
      <font>
        <color rgb="FF9C0006"/>
      </font>
    </dxf>
    <dxf>
      <font>
        <color rgb="FF9C0006"/>
      </font>
    </dxf>
    <dxf>
      <font>
        <color rgb="FF9C0006"/>
      </font>
    </dxf>
    <dxf>
      <font>
        <color rgb="FF9C0006"/>
      </font>
    </dxf>
    <dxf>
      <font>
        <color rgb="FFFF0000"/>
      </font>
      <fill>
        <patternFill>
          <bgColor rgb="FFFFFF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</dxf>
    <dxf>
      <font>
        <color rgb="FF9C0006"/>
      </font>
    </dxf>
    <dxf>
      <font>
        <color rgb="FF9C0006"/>
      </font>
    </dxf>
    <dxf>
      <font>
        <color rgb="FF9C0006"/>
      </font>
    </dxf>
    <dxf>
      <font>
        <color rgb="FF9C0006"/>
      </font>
    </dxf>
    <dxf>
      <font>
        <color rgb="FF9C0006"/>
      </font>
    </dxf>
    <dxf>
      <font>
        <color rgb="FF9C0006"/>
      </font>
    </dxf>
    <dxf>
      <font>
        <color rgb="FFFF0000"/>
      </font>
      <fill>
        <patternFill>
          <bgColor rgb="FFFFFF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</dxf>
    <dxf>
      <font>
        <color rgb="FF9C0006"/>
      </font>
    </dxf>
    <dxf>
      <font>
        <color rgb="FF9C0006"/>
      </font>
    </dxf>
    <dxf>
      <font>
        <color rgb="FF9C0006"/>
      </font>
    </dxf>
    <dxf>
      <font>
        <color rgb="FF9C0006"/>
      </font>
    </dxf>
    <dxf>
      <font>
        <color rgb="FF9C0006"/>
      </font>
    </dxf>
    <dxf>
      <font>
        <color rgb="FF9C0006"/>
      </font>
    </dxf>
    <dxf>
      <font>
        <color rgb="FFFF0000"/>
      </font>
      <fill>
        <patternFill>
          <bgColor rgb="FFFFFF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</dxf>
    <dxf>
      <font>
        <color rgb="FF9C0006"/>
      </font>
    </dxf>
    <dxf>
      <font>
        <color rgb="FF9C0006"/>
      </font>
    </dxf>
    <dxf>
      <font>
        <color rgb="FF9C0006"/>
      </font>
    </dxf>
    <dxf>
      <font>
        <color rgb="FF9C0006"/>
      </font>
    </dxf>
    <dxf>
      <font>
        <color rgb="FF9C0006"/>
      </font>
    </dxf>
    <dxf>
      <font>
        <color rgb="FF9C0006"/>
      </font>
    </dxf>
    <dxf>
      <font>
        <color rgb="FFFF0000"/>
      </font>
      <fill>
        <patternFill>
          <bgColor rgb="FFFFFF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9C0006"/>
      </font>
    </dxf>
    <dxf>
      <font>
        <color rgb="FF9C0006"/>
      </font>
    </dxf>
    <dxf>
      <font>
        <color rgb="FF9C0006"/>
      </font>
    </dxf>
    <dxf>
      <font>
        <color rgb="FF9C0006"/>
      </font>
    </dxf>
    <dxf>
      <font>
        <color rgb="FF9C0006"/>
      </font>
    </dxf>
    <dxf>
      <font>
        <color rgb="FF9C0006"/>
      </font>
    </dxf>
    <dxf>
      <font>
        <color rgb="FF9C0006"/>
      </font>
    </dxf>
    <dxf>
      <font>
        <color rgb="FF9C0006"/>
      </font>
    </dxf>
    <dxf>
      <font>
        <color rgb="FFFF0000"/>
      </font>
      <fill>
        <patternFill>
          <bgColor rgb="FFFFFF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FF0000"/>
      </font>
      <fill>
        <patternFill>
          <bgColor rgb="FFFFFF00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26" Type="http://schemas.openxmlformats.org/officeDocument/2006/relationships/worksheet" Target="worksheets/sheet26.xml"/><Relationship Id="rId21" Type="http://schemas.openxmlformats.org/officeDocument/2006/relationships/worksheet" Target="worksheets/sheet21.xml"/><Relationship Id="rId42" Type="http://schemas.openxmlformats.org/officeDocument/2006/relationships/worksheet" Target="worksheets/sheet42.xml"/><Relationship Id="rId47" Type="http://schemas.openxmlformats.org/officeDocument/2006/relationships/worksheet" Target="worksheets/sheet47.xml"/><Relationship Id="rId63" Type="http://schemas.openxmlformats.org/officeDocument/2006/relationships/theme" Target="theme/theme1.xml"/><Relationship Id="rId68" Type="http://schemas.openxmlformats.org/officeDocument/2006/relationships/customXml" Target="../customXml/item2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9" Type="http://schemas.openxmlformats.org/officeDocument/2006/relationships/worksheet" Target="worksheets/sheet29.xml"/><Relationship Id="rId11" Type="http://schemas.openxmlformats.org/officeDocument/2006/relationships/worksheet" Target="worksheets/sheet11.xml"/><Relationship Id="rId24" Type="http://schemas.openxmlformats.org/officeDocument/2006/relationships/worksheet" Target="worksheets/sheet24.xml"/><Relationship Id="rId32" Type="http://schemas.openxmlformats.org/officeDocument/2006/relationships/worksheet" Target="worksheets/sheet32.xml"/><Relationship Id="rId37" Type="http://schemas.openxmlformats.org/officeDocument/2006/relationships/worksheet" Target="worksheets/sheet37.xml"/><Relationship Id="rId40" Type="http://schemas.openxmlformats.org/officeDocument/2006/relationships/worksheet" Target="worksheets/sheet40.xml"/><Relationship Id="rId45" Type="http://schemas.openxmlformats.org/officeDocument/2006/relationships/worksheet" Target="worksheets/sheet45.xml"/><Relationship Id="rId53" Type="http://schemas.openxmlformats.org/officeDocument/2006/relationships/worksheet" Target="worksheets/sheet53.xml"/><Relationship Id="rId58" Type="http://schemas.openxmlformats.org/officeDocument/2006/relationships/worksheet" Target="worksheets/sheet58.xml"/><Relationship Id="rId66" Type="http://schemas.openxmlformats.org/officeDocument/2006/relationships/calcChain" Target="calcChain.xml"/><Relationship Id="rId5" Type="http://schemas.openxmlformats.org/officeDocument/2006/relationships/worksheet" Target="worksheets/sheet5.xml"/><Relationship Id="rId61" Type="http://schemas.openxmlformats.org/officeDocument/2006/relationships/worksheet" Target="worksheets/sheet61.xml"/><Relationship Id="rId19" Type="http://schemas.openxmlformats.org/officeDocument/2006/relationships/worksheet" Target="worksheets/sheet1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Relationship Id="rId27" Type="http://schemas.openxmlformats.org/officeDocument/2006/relationships/worksheet" Target="worksheets/sheet27.xml"/><Relationship Id="rId30" Type="http://schemas.openxmlformats.org/officeDocument/2006/relationships/worksheet" Target="worksheets/sheet30.xml"/><Relationship Id="rId35" Type="http://schemas.openxmlformats.org/officeDocument/2006/relationships/worksheet" Target="worksheets/sheet35.xml"/><Relationship Id="rId43" Type="http://schemas.openxmlformats.org/officeDocument/2006/relationships/worksheet" Target="worksheets/sheet43.xml"/><Relationship Id="rId48" Type="http://schemas.openxmlformats.org/officeDocument/2006/relationships/worksheet" Target="worksheets/sheet48.xml"/><Relationship Id="rId56" Type="http://schemas.openxmlformats.org/officeDocument/2006/relationships/worksheet" Target="worksheets/sheet56.xml"/><Relationship Id="rId64" Type="http://schemas.openxmlformats.org/officeDocument/2006/relationships/styles" Target="styles.xml"/><Relationship Id="rId69" Type="http://schemas.openxmlformats.org/officeDocument/2006/relationships/customXml" Target="../customXml/item3.xml"/><Relationship Id="rId8" Type="http://schemas.openxmlformats.org/officeDocument/2006/relationships/worksheet" Target="worksheets/sheet8.xml"/><Relationship Id="rId51" Type="http://schemas.openxmlformats.org/officeDocument/2006/relationships/worksheet" Target="worksheets/sheet51.xml"/><Relationship Id="rId3" Type="http://schemas.openxmlformats.org/officeDocument/2006/relationships/worksheet" Target="worksheets/sheet3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worksheet" Target="worksheets/sheet25.xml"/><Relationship Id="rId33" Type="http://schemas.openxmlformats.org/officeDocument/2006/relationships/worksheet" Target="worksheets/sheet33.xml"/><Relationship Id="rId38" Type="http://schemas.openxmlformats.org/officeDocument/2006/relationships/worksheet" Target="worksheets/sheet38.xml"/><Relationship Id="rId46" Type="http://schemas.openxmlformats.org/officeDocument/2006/relationships/worksheet" Target="worksheets/sheet46.xml"/><Relationship Id="rId59" Type="http://schemas.openxmlformats.org/officeDocument/2006/relationships/worksheet" Target="worksheets/sheet59.xml"/><Relationship Id="rId67" Type="http://schemas.openxmlformats.org/officeDocument/2006/relationships/customXml" Target="../customXml/item1.xml"/><Relationship Id="rId20" Type="http://schemas.openxmlformats.org/officeDocument/2006/relationships/worksheet" Target="worksheets/sheet20.xml"/><Relationship Id="rId41" Type="http://schemas.openxmlformats.org/officeDocument/2006/relationships/worksheet" Target="worksheets/sheet41.xml"/><Relationship Id="rId54" Type="http://schemas.openxmlformats.org/officeDocument/2006/relationships/worksheet" Target="worksheets/sheet54.xml"/><Relationship Id="rId62" Type="http://schemas.openxmlformats.org/officeDocument/2006/relationships/worksheet" Target="worksheets/sheet6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28" Type="http://schemas.openxmlformats.org/officeDocument/2006/relationships/worksheet" Target="worksheets/sheet28.xml"/><Relationship Id="rId36" Type="http://schemas.openxmlformats.org/officeDocument/2006/relationships/worksheet" Target="worksheets/sheet36.xml"/><Relationship Id="rId49" Type="http://schemas.openxmlformats.org/officeDocument/2006/relationships/worksheet" Target="worksheets/sheet49.xml"/><Relationship Id="rId57" Type="http://schemas.openxmlformats.org/officeDocument/2006/relationships/worksheet" Target="worksheets/sheet57.xml"/><Relationship Id="rId10" Type="http://schemas.openxmlformats.org/officeDocument/2006/relationships/worksheet" Target="worksheets/sheet10.xml"/><Relationship Id="rId31" Type="http://schemas.openxmlformats.org/officeDocument/2006/relationships/worksheet" Target="worksheets/sheet31.xml"/><Relationship Id="rId44" Type="http://schemas.openxmlformats.org/officeDocument/2006/relationships/worksheet" Target="worksheets/sheet44.xml"/><Relationship Id="rId52" Type="http://schemas.openxmlformats.org/officeDocument/2006/relationships/worksheet" Target="worksheets/sheet52.xml"/><Relationship Id="rId60" Type="http://schemas.openxmlformats.org/officeDocument/2006/relationships/worksheet" Target="worksheets/sheet60.xml"/><Relationship Id="rId65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39" Type="http://schemas.openxmlformats.org/officeDocument/2006/relationships/worksheet" Target="worksheets/sheet39.xml"/><Relationship Id="rId34" Type="http://schemas.openxmlformats.org/officeDocument/2006/relationships/worksheet" Target="worksheets/sheet34.xml"/><Relationship Id="rId50" Type="http://schemas.openxmlformats.org/officeDocument/2006/relationships/worksheet" Target="worksheets/sheet50.xml"/><Relationship Id="rId55" Type="http://schemas.openxmlformats.org/officeDocument/2006/relationships/worksheet" Target="worksheets/sheet55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.bin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0.bin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1.bin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2.bin"/></Relationships>
</file>

<file path=xl/worksheets/_rels/sheet1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3.bin"/></Relationships>
</file>

<file path=xl/worksheets/_rels/sheet1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4.bin"/></Relationships>
</file>

<file path=xl/worksheets/_rels/sheet1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5.bin"/></Relationships>
</file>

<file path=xl/worksheets/_rels/sheet1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6.bin"/></Relationships>
</file>

<file path=xl/worksheets/_rels/sheet1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7.bin"/></Relationships>
</file>

<file path=xl/worksheets/_rels/sheet1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8.bin"/></Relationships>
</file>

<file path=xl/worksheets/_rels/sheet1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9.bin"/></Relationships>
</file>

<file path=xl/worksheets/_rels/sheet2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0.bin"/></Relationships>
</file>

<file path=xl/worksheets/_rels/sheet2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1.bin"/></Relationships>
</file>

<file path=xl/worksheets/_rels/sheet2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2.bin"/></Relationships>
</file>

<file path=xl/worksheets/_rels/sheet2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3.bin"/></Relationships>
</file>

<file path=xl/worksheets/_rels/sheet2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4.bin"/></Relationships>
</file>

<file path=xl/worksheets/_rels/sheet2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5.bin"/></Relationships>
</file>

<file path=xl/worksheets/_rels/sheet2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6.bin"/></Relationships>
</file>

<file path=xl/worksheets/_rels/sheet2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7.bin"/></Relationships>
</file>

<file path=xl/worksheets/_rels/sheet2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8.bin"/></Relationships>
</file>

<file path=xl/worksheets/_rels/sheet2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9.bin"/></Relationships>
</file>

<file path=xl/worksheets/_rels/sheet3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0.bin"/></Relationships>
</file>

<file path=xl/worksheets/_rels/sheet3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1.bin"/></Relationships>
</file>

<file path=xl/worksheets/_rels/sheet3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2.bin"/></Relationships>
</file>

<file path=xl/worksheets/_rels/sheet3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3.bin"/></Relationships>
</file>

<file path=xl/worksheets/_rels/sheet3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4.bin"/></Relationships>
</file>

<file path=xl/worksheets/_rels/sheet3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5.bin"/></Relationships>
</file>

<file path=xl/worksheets/_rels/sheet3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6.bin"/></Relationships>
</file>

<file path=xl/worksheets/_rels/sheet3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7.bin"/></Relationships>
</file>

<file path=xl/worksheets/_rels/sheet3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8.bin"/></Relationships>
</file>

<file path=xl/worksheets/_rels/sheet3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9.bin"/></Relationships>
</file>

<file path=xl/worksheets/_rels/sheet4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0.bin"/></Relationships>
</file>

<file path=xl/worksheets/_rels/sheet4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1.bin"/></Relationships>
</file>

<file path=xl/worksheets/_rels/sheet4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2.bin"/></Relationships>
</file>

<file path=xl/worksheets/_rels/sheet4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3.bin"/></Relationships>
</file>

<file path=xl/worksheets/_rels/sheet4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4.bin"/></Relationships>
</file>

<file path=xl/worksheets/_rels/sheet4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5.bin"/></Relationships>
</file>

<file path=xl/worksheets/_rels/sheet4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6.bin"/></Relationships>
</file>

<file path=xl/worksheets/_rels/sheet4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7.bin"/></Relationships>
</file>

<file path=xl/worksheets/_rels/sheet4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8.bin"/></Relationships>
</file>

<file path=xl/worksheets/_rels/sheet4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9.bin"/></Relationships>
</file>

<file path=xl/worksheets/_rels/sheet5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0.bin"/></Relationships>
</file>

<file path=xl/worksheets/_rels/sheet5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1.bin"/></Relationships>
</file>

<file path=xl/worksheets/_rels/sheet5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2.bin"/></Relationships>
</file>

<file path=xl/worksheets/_rels/sheet5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3.bin"/></Relationships>
</file>

<file path=xl/worksheets/_rels/sheet5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4.bin"/></Relationships>
</file>

<file path=xl/worksheets/_rels/sheet5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5.bin"/></Relationships>
</file>

<file path=xl/worksheets/_rels/sheet5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6.bin"/></Relationships>
</file>

<file path=xl/worksheets/_rels/sheet5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7.bin"/></Relationships>
</file>

<file path=xl/worksheets/_rels/sheet5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8.bin"/></Relationships>
</file>

<file path=xl/worksheets/_rels/sheet5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9.bin"/></Relationships>
</file>

<file path=xl/worksheets/_rels/sheet6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0.bin"/></Relationships>
</file>

<file path=xl/worksheets/_rels/sheet6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1.bin"/></Relationships>
</file>

<file path=xl/worksheets/_rels/sheet6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工作表1"/>
  <dimension ref="B1:Q28"/>
  <sheetViews>
    <sheetView zoomScale="85" zoomScaleNormal="85" workbookViewId="0">
      <selection activeCell="I3" sqref="I3:J3"/>
    </sheetView>
  </sheetViews>
  <sheetFormatPr defaultColWidth="8.75" defaultRowHeight="15.75"/>
  <cols>
    <col min="1" max="1" width="8.75" style="30"/>
    <col min="2" max="2" width="17.875" style="30" customWidth="1"/>
    <col min="3" max="3" width="9.25" style="37" customWidth="1"/>
    <col min="4" max="13" width="12.625" style="30" customWidth="1"/>
    <col min="14" max="14" width="11" style="30" bestFit="1" customWidth="1"/>
    <col min="15" max="15" width="17.75" style="30" bestFit="1" customWidth="1"/>
    <col min="16" max="16" width="12.25" style="30" bestFit="1" customWidth="1"/>
    <col min="17" max="22" width="9.25" style="30" customWidth="1"/>
    <col min="23" max="23" width="10.75" style="30" customWidth="1"/>
    <col min="24" max="24" width="11" style="30" customWidth="1"/>
    <col min="25" max="16384" width="8.75" style="30"/>
  </cols>
  <sheetData>
    <row r="1" spans="2:17" ht="27.75" customHeight="1">
      <c r="B1" s="552" t="s">
        <v>2281</v>
      </c>
      <c r="C1" s="552"/>
      <c r="D1" s="552"/>
      <c r="E1" s="552"/>
      <c r="F1" s="552"/>
      <c r="G1" s="552"/>
      <c r="H1" s="552"/>
      <c r="I1" s="552"/>
      <c r="J1" s="552"/>
      <c r="K1" s="29"/>
      <c r="L1" s="29"/>
      <c r="M1" s="29"/>
      <c r="N1" s="29"/>
      <c r="O1" s="29"/>
      <c r="P1" s="29"/>
    </row>
    <row r="2" spans="2:17" ht="27.75" customHeight="1">
      <c r="B2" s="553"/>
      <c r="C2" s="553"/>
      <c r="D2" s="553"/>
      <c r="E2" s="553"/>
      <c r="F2" s="553"/>
      <c r="G2" s="553"/>
      <c r="H2" s="553"/>
      <c r="I2" s="553"/>
      <c r="J2" s="553"/>
      <c r="K2" s="31"/>
      <c r="L2" s="31"/>
      <c r="M2" s="31"/>
      <c r="N2" s="29"/>
      <c r="O2" s="29"/>
      <c r="P2" s="29"/>
    </row>
    <row r="3" spans="2:17" ht="46.5" customHeight="1">
      <c r="B3" s="32" t="s">
        <v>2282</v>
      </c>
      <c r="C3" s="554" t="str">
        <f>TEXT('1031 4度C'!A2,"yyyy.mm.ddaaaa")</f>
        <v>2025.10.31星期五</v>
      </c>
      <c r="D3" s="555"/>
      <c r="E3" s="32" t="s">
        <v>2283</v>
      </c>
      <c r="F3" s="556">
        <f>'1031 4度C'!D1</f>
        <v>145968</v>
      </c>
      <c r="G3" s="557"/>
      <c r="H3" s="32" t="s">
        <v>2284</v>
      </c>
      <c r="I3" s="558">
        <f>'1031 4度C'!F1</f>
        <v>4853449.620000001</v>
      </c>
      <c r="J3" s="559"/>
      <c r="K3" s="33"/>
      <c r="L3" s="34"/>
      <c r="M3" s="35"/>
      <c r="N3" s="35"/>
    </row>
    <row r="4" spans="2:17" ht="28.5" customHeight="1">
      <c r="B4" s="560" t="s">
        <v>2285</v>
      </c>
      <c r="C4" s="542" t="s">
        <v>2286</v>
      </c>
      <c r="D4" s="543"/>
      <c r="E4" s="563" t="s">
        <v>2287</v>
      </c>
      <c r="F4" s="564"/>
      <c r="G4" s="563" t="s">
        <v>2288</v>
      </c>
      <c r="H4" s="564"/>
      <c r="I4" s="563" t="s">
        <v>2289</v>
      </c>
      <c r="J4" s="564"/>
      <c r="L4" s="35"/>
      <c r="M4" s="35"/>
      <c r="N4" s="35"/>
    </row>
    <row r="5" spans="2:17" ht="28.5" customHeight="1">
      <c r="B5" s="561"/>
      <c r="C5" s="542" t="s">
        <v>2290</v>
      </c>
      <c r="D5" s="543"/>
      <c r="E5" s="542" t="s">
        <v>2291</v>
      </c>
      <c r="F5" s="543"/>
      <c r="G5" s="544" t="s">
        <v>2292</v>
      </c>
      <c r="H5" s="545"/>
      <c r="I5" s="546" t="s">
        <v>2293</v>
      </c>
      <c r="J5" s="547"/>
      <c r="K5" s="35"/>
      <c r="L5" s="35"/>
      <c r="M5" s="35"/>
      <c r="N5" s="35"/>
    </row>
    <row r="6" spans="2:17" ht="28.5" customHeight="1">
      <c r="B6" s="561"/>
      <c r="C6" s="542" t="s">
        <v>92</v>
      </c>
      <c r="D6" s="543"/>
      <c r="E6" s="548">
        <f>AVERAGE(D13:M13)</f>
        <v>148.80827149033257</v>
      </c>
      <c r="F6" s="549">
        <f>AVERAGE(D27:O27,D13:J13)</f>
        <v>153.24268208266025</v>
      </c>
      <c r="G6" s="550">
        <f>AVERAGE(D13:J13)</f>
        <v>153.24268208266025</v>
      </c>
      <c r="H6" s="551"/>
      <c r="I6" s="550">
        <f>AVERAGE(K13:M13)</f>
        <v>138.46131344156791</v>
      </c>
      <c r="J6" s="551"/>
      <c r="K6" s="35"/>
      <c r="L6" s="35"/>
      <c r="M6" s="35"/>
      <c r="N6" s="35"/>
    </row>
    <row r="7" spans="2:17" ht="28.5" customHeight="1">
      <c r="B7" s="561"/>
      <c r="C7" s="532" t="s">
        <v>93</v>
      </c>
      <c r="D7" s="533"/>
      <c r="E7" s="534">
        <f>AVERAGE(D14:M14)</f>
        <v>142.87662590400836</v>
      </c>
      <c r="F7" s="535">
        <f>AVERAGE(D28:O28,D14:J14)</f>
        <v>147.27370579316263</v>
      </c>
      <c r="G7" s="536">
        <f>AVERAGE(D14:J14)</f>
        <v>147.27370579316263</v>
      </c>
      <c r="H7" s="537"/>
      <c r="I7" s="536">
        <f>AVERAGE(K14:M14)</f>
        <v>132.61677282931507</v>
      </c>
      <c r="J7" s="537"/>
      <c r="K7" s="35"/>
      <c r="L7" s="35"/>
      <c r="M7" s="35"/>
      <c r="N7" s="35"/>
    </row>
    <row r="8" spans="2:17" ht="28.5" customHeight="1">
      <c r="B8" s="562"/>
      <c r="C8" s="532" t="s">
        <v>94</v>
      </c>
      <c r="D8" s="533"/>
      <c r="E8" s="538">
        <f>AVERAGE(D15:M15)</f>
        <v>0.95971198336826335</v>
      </c>
      <c r="F8" s="539">
        <f>AVERAGE(D15:J15,D29:O29)</f>
        <v>0.96054241226280446</v>
      </c>
      <c r="G8" s="540">
        <f>AVERAGE(D15:J15)</f>
        <v>0.96054241226280446</v>
      </c>
      <c r="H8" s="541"/>
      <c r="I8" s="540">
        <f>AVERAGE(K15:M15)</f>
        <v>0.95777431594766715</v>
      </c>
      <c r="J8" s="541"/>
      <c r="K8" s="36" t="s">
        <v>2294</v>
      </c>
      <c r="L8" s="35"/>
      <c r="M8" s="35"/>
      <c r="N8" s="35"/>
    </row>
    <row r="9" spans="2:17" ht="28.5" customHeight="1" thickBot="1">
      <c r="H9" s="38"/>
      <c r="N9" s="35"/>
      <c r="O9" s="35"/>
      <c r="P9" s="35"/>
      <c r="Q9" s="35"/>
    </row>
    <row r="10" spans="2:17" ht="30" customHeight="1">
      <c r="B10" s="515" t="s">
        <v>2295</v>
      </c>
      <c r="C10" s="516"/>
      <c r="D10" s="517" t="s">
        <v>2296</v>
      </c>
      <c r="E10" s="518"/>
      <c r="F10" s="518"/>
      <c r="G10" s="518"/>
      <c r="H10" s="518"/>
      <c r="I10" s="518"/>
      <c r="J10" s="519"/>
      <c r="K10" s="520" t="s">
        <v>2297</v>
      </c>
      <c r="L10" s="521"/>
      <c r="M10" s="522"/>
      <c r="P10" s="39"/>
      <c r="Q10" s="39"/>
    </row>
    <row r="11" spans="2:17" ht="17.25" customHeight="1">
      <c r="B11" s="523" t="s">
        <v>2298</v>
      </c>
      <c r="C11" s="524"/>
      <c r="D11" s="40">
        <v>1</v>
      </c>
      <c r="E11" s="41">
        <v>2</v>
      </c>
      <c r="F11" s="41">
        <v>3</v>
      </c>
      <c r="G11" s="41">
        <v>4</v>
      </c>
      <c r="H11" s="41">
        <v>5</v>
      </c>
      <c r="I11" s="41">
        <v>6</v>
      </c>
      <c r="J11" s="42">
        <v>7</v>
      </c>
      <c r="K11" s="40">
        <v>1</v>
      </c>
      <c r="L11" s="41">
        <v>2</v>
      </c>
      <c r="M11" s="42">
        <v>3</v>
      </c>
      <c r="P11" s="39"/>
      <c r="Q11" s="39"/>
    </row>
    <row r="12" spans="2:17" ht="34.15" customHeight="1">
      <c r="B12" s="525"/>
      <c r="C12" s="526"/>
      <c r="D12" s="43" t="s">
        <v>96</v>
      </c>
      <c r="E12" s="44" t="s">
        <v>97</v>
      </c>
      <c r="F12" s="44" t="s">
        <v>98</v>
      </c>
      <c r="G12" s="44" t="s">
        <v>99</v>
      </c>
      <c r="H12" s="44" t="s">
        <v>100</v>
      </c>
      <c r="I12" s="44" t="s">
        <v>101</v>
      </c>
      <c r="J12" s="45" t="s">
        <v>102</v>
      </c>
      <c r="K12" s="43" t="s">
        <v>103</v>
      </c>
      <c r="L12" s="44" t="s">
        <v>104</v>
      </c>
      <c r="M12" s="45" t="s">
        <v>105</v>
      </c>
    </row>
    <row r="13" spans="2:17" ht="40.15" customHeight="1">
      <c r="B13" s="527" t="s">
        <v>2299</v>
      </c>
      <c r="C13" s="46" t="s">
        <v>2300</v>
      </c>
      <c r="D13" s="47">
        <f>SUMIFS('1031 4度C'!$K:$K,'1031 4度C'!$A:$A,"新豐6線",'1031 4度C'!$B:$B,"平均")</f>
        <v>125</v>
      </c>
      <c r="E13" s="48">
        <f>SUMIFS('1031 4度C'!$K:$K,'1031 4度C'!$A:$A,"新豐2線",'1031 4度C'!$B:$B,"平均")</f>
        <v>81.081081081081081</v>
      </c>
      <c r="F13" s="49">
        <f>SUMIFS('1031 4度C'!$K:$K,'1031 4度C'!$A:$A,"新豐5線",'1031 4度C'!$B:$B,"平均")</f>
        <v>91.397849462365585</v>
      </c>
      <c r="G13" s="49">
        <f>SUMIFS('1031 4度C'!$K:$K,'1031 4度C'!$A:$A,"新豐7線",'1031 4度C'!$B:$B,"平均")</f>
        <v>121.95121951219514</v>
      </c>
      <c r="H13" s="49">
        <f>SUMIFS('1031 4度C'!$K:$K,'1031 4度C'!$A:$A,"新豐3線",'1031 4度C'!$B:$B,"平均")</f>
        <v>261.90476190476193</v>
      </c>
      <c r="I13" s="49">
        <f>SUMIFS('1031 4度C'!$K:$K,'1031 4度C'!$A:$A,"新豐1線",'1031 4度C'!$B:$B,"平均")</f>
        <v>115.85365853658537</v>
      </c>
      <c r="J13" s="50">
        <f>SUMIFS('1031 4度C'!$K:$K,'1031 4度C'!$A:$A,"新豐10線",'1031 4度C'!$B:$B,"平均")</f>
        <v>275.51020408163265</v>
      </c>
      <c r="K13" s="51">
        <f>SUMIFS('1031 4度C'!$K:$K,'1031 4度C'!$A:$A,"新豐8線",'1031 4度C'!$B:$B,"平均")</f>
        <v>135.84905660377356</v>
      </c>
      <c r="L13" s="52">
        <f>SUMIFS('1031 4度C'!$K:$K,'1031 4度C'!$A:$A,"新豐9線",'1031 4度C'!$B:$B,"平均")</f>
        <v>139.53488372093022</v>
      </c>
      <c r="M13" s="50">
        <f>SUMIFS('1031 4度C'!$K:$K,'1031 4度C'!$A:$A,"新豐4線",'1031 4度C'!$B:$B,"平均")</f>
        <v>140</v>
      </c>
    </row>
    <row r="14" spans="2:17" ht="39.6" customHeight="1">
      <c r="B14" s="528"/>
      <c r="C14" s="53" t="s">
        <v>2301</v>
      </c>
      <c r="D14" s="54">
        <f>SUMIFS('1031 4度C'!$N:$N,'1031 4度C'!$A:$A,"新豐6線",'1031 4度C'!$B:$B,"平均")</f>
        <v>121.02105914136007</v>
      </c>
      <c r="E14" s="55">
        <f>SUMIFS('1031 4度C'!$N:$N,'1031 4度C'!$A:$A,"新豐2線",'1031 4度C'!$B:$B,"平均")</f>
        <v>77.457182877743634</v>
      </c>
      <c r="F14" s="55">
        <f>SUMIFS('1031 4度C'!$N:$N,'1031 4度C'!$A:$A,"新豐5線",'1031 4度C'!$B:$B,"平均")</f>
        <v>87.484988780873053</v>
      </c>
      <c r="G14" s="55">
        <f>SUMIFS('1031 4度C'!$N:$N,'1031 4度C'!$A:$A,"新豐7線",'1031 4度C'!$B:$B,"平均")</f>
        <v>116.84778642998928</v>
      </c>
      <c r="H14" s="55">
        <f>SUMIFS('1031 4度C'!$N:$N,'1031 4度C'!$A:$A,"新豐3線",'1031 4度C'!$B:$B,"平均")</f>
        <v>252.09290356002177</v>
      </c>
      <c r="I14" s="55">
        <f>SUMIFS('1031 4度C'!$N:$N,'1031 4度C'!$A:$A,"新豐1線",'1031 4度C'!$B:$B,"平均")</f>
        <v>111.48887431604004</v>
      </c>
      <c r="J14" s="56">
        <f>SUMIFS('1031 4度C'!$N:$N,'1031 4度C'!$A:$A,"新豐10線",'1031 4度C'!$B:$B,"平均")</f>
        <v>264.5231454461105</v>
      </c>
      <c r="K14" s="57">
        <f>SUMIFS('1031 4度C'!$N:$N,'1031 4度C'!$A:$A,"新豐8線",'1031 4度C'!$B:$B,"平均")</f>
        <v>129.89403478465917</v>
      </c>
      <c r="L14" s="58">
        <f>SUMIFS('1031 4度C'!$N:$N,'1031 4度C'!$A:$A,"新豐9線",'1031 4度C'!$B:$B,"平均")</f>
        <v>133.77294416311341</v>
      </c>
      <c r="M14" s="56">
        <f>SUMIFS('1031 4度C'!$N:$N,'1031 4度C'!$A:$A,"新豐4線",'1031 4度C'!$B:$B,"平均")</f>
        <v>134.18333954017262</v>
      </c>
    </row>
    <row r="15" spans="2:17" ht="40.15" customHeight="1">
      <c r="B15" s="529"/>
      <c r="C15" s="59" t="s">
        <v>2302</v>
      </c>
      <c r="D15" s="60">
        <f t="shared" ref="D15:M15" si="0">D14/D13</f>
        <v>0.9681684731308805</v>
      </c>
      <c r="E15" s="61">
        <f t="shared" si="0"/>
        <v>0.95530525549217149</v>
      </c>
      <c r="F15" s="61">
        <f t="shared" si="0"/>
        <v>0.95718870077896401</v>
      </c>
      <c r="G15" s="61">
        <f t="shared" si="0"/>
        <v>0.95815184872591197</v>
      </c>
      <c r="H15" s="61">
        <f t="shared" si="0"/>
        <v>0.96253654086553753</v>
      </c>
      <c r="I15" s="61">
        <f t="shared" si="0"/>
        <v>0.96232502041213508</v>
      </c>
      <c r="J15" s="62">
        <f t="shared" si="0"/>
        <v>0.96012104643403073</v>
      </c>
      <c r="K15" s="60">
        <f t="shared" si="0"/>
        <v>0.95616442272040791</v>
      </c>
      <c r="L15" s="61">
        <f t="shared" si="0"/>
        <v>0.95870609983564614</v>
      </c>
      <c r="M15" s="62">
        <f t="shared" si="0"/>
        <v>0.9584524252869473</v>
      </c>
    </row>
    <row r="16" spans="2:17" ht="17.25" customHeight="1">
      <c r="B16" s="530" t="s">
        <v>2303</v>
      </c>
      <c r="C16" s="63" t="s">
        <v>2304</v>
      </c>
      <c r="D16" s="284">
        <f>VLOOKUP("新豐6線",'1031 4度C'!$A:$T,19,0)</f>
        <v>0.70833333333333337</v>
      </c>
      <c r="E16" s="285">
        <f>VLOOKUP("新豐2線",'1031 4度C'!$A:$T,19,0)</f>
        <v>0.20833333333333334</v>
      </c>
      <c r="F16" s="285">
        <f>VLOOKUP("新豐5線",'1031 4度C'!$A:$T,19,0)</f>
        <v>0.125</v>
      </c>
      <c r="G16" s="285">
        <f>VLOOKUP("新豐7線",'1031 4度C'!$A:$T,19,0)</f>
        <v>0.20833333333333334</v>
      </c>
      <c r="H16" s="285">
        <f>VLOOKUP("新豐3線",'1031 4度C'!$A:$T,19,0)</f>
        <v>8.3333333333333329E-2</v>
      </c>
      <c r="I16" s="285">
        <f>VLOOKUP("新豐1線",'1031 4度C'!$A:$T,19,0)</f>
        <v>0.20833333333333334</v>
      </c>
      <c r="J16" s="286">
        <f>VLOOKUP("新豐10線",'1031 4度C'!$A:$T,19,0)</f>
        <v>0.20833333333333334</v>
      </c>
      <c r="K16" s="66">
        <f>VLOOKUP("新豐8線",'1031 4度C'!$A:$T,19,0)</f>
        <v>8.3333333333333329E-2</v>
      </c>
      <c r="L16" s="67">
        <f>VLOOKUP("新豐9線",'1031 4度C'!$A:$T,19,0)</f>
        <v>8.3333333333333329E-2</v>
      </c>
      <c r="M16" s="68">
        <f>VLOOKUP("新豐4線",'1031 4度C'!$A:$T,19,0)</f>
        <v>8.3333333333333329E-2</v>
      </c>
    </row>
    <row r="17" spans="2:13" ht="17.25" customHeight="1">
      <c r="B17" s="531"/>
      <c r="C17" s="63" t="s">
        <v>2305</v>
      </c>
      <c r="D17" s="66">
        <f>LOOKUP(2,1/(('1031 4度C'!$A:$A="新豐6線")*('1031 4度C'!$T:$T&lt;&gt;"")),'1031 4度C'!$T:$T)</f>
        <v>0.80555555555555547</v>
      </c>
      <c r="E17" s="285">
        <f>LOOKUP(2,1/(('1031 4度C'!$A:$A="新豐2線")*('1031 4度C'!$T:$T&lt;&gt;"")),'1031 4度C'!$T:$T)</f>
        <v>0.41527777777777775</v>
      </c>
      <c r="F17" s="285">
        <f>LOOKUP(2,1/(('1031 4度C'!$A:$A="新豐5線")*('1031 4度C'!$T:$T&lt;&gt;"")),'1031 4度C'!$T:$T)</f>
        <v>0.81319444444444455</v>
      </c>
      <c r="G17" s="285">
        <f>LOOKUP(2,1/(('1031 4度C'!$A:$A="新豐7線")*('1031 4度C'!$T:$T&lt;&gt;"")),'1031 4度C'!$T:$T)</f>
        <v>0.7895833333333333</v>
      </c>
      <c r="H17" s="285">
        <f>LOOKUP(2,1/(('1031 4度C'!$A:$A="新豐3線")*('1031 4度C'!$T:$T&lt;&gt;"")),'1031 4度C'!$T:$T)</f>
        <v>0.58819444444444424</v>
      </c>
      <c r="I17" s="285">
        <f>LOOKUP(2,1/(('1031 4度C'!$A:$A="新豐1線")*('1031 4度C'!$T:$T&lt;&gt;"")),'1031 4度C'!$T:$T)</f>
        <v>0.84652777777777777</v>
      </c>
      <c r="J17" s="286">
        <f>LOOKUP(2,1/(('1031 4度C'!$A:$A="新豐10線")*('1031 4度C'!$T:$T&lt;&gt;"")),'1031 4度C'!$T:$T)</f>
        <v>0.45694444444444438</v>
      </c>
      <c r="K17" s="284">
        <f>LOOKUP(2,1/(('1031 4度C'!$A:$A="新豐8線")*('1031 4度C'!$T:$T&lt;&gt;"")),'1031 4度C'!$T:$T)</f>
        <v>0.56805555555555554</v>
      </c>
      <c r="L17" s="285">
        <f>LOOKUP(2,1/(('1031 4度C'!$A:$A="新豐9線")*('1031 4度C'!$T:$T&lt;&gt;"")),'1031 4度C'!$T:$T)</f>
        <v>0.5083333333333333</v>
      </c>
      <c r="M17" s="286">
        <f>LOOKUP(2,1/(('1031 4度C'!$A:$A="新豐4線")*('1031 4度C'!$T:$T&lt;&gt;"")),'1031 4度C'!$T:$T)</f>
        <v>0.51527777777777772</v>
      </c>
    </row>
    <row r="18" spans="2:13" ht="17.25" customHeight="1">
      <c r="B18" s="509" t="s">
        <v>2306</v>
      </c>
      <c r="C18" s="510"/>
      <c r="D18" s="69">
        <f>SUMIFS('1031 4度C'!$I:$I,'1031 4度C'!$A:$A,"新豐6線",'1031 4度C'!$B:$B,"平均")</f>
        <v>16</v>
      </c>
      <c r="E18" s="70">
        <f>SUMIFS('1031 4度C'!$I:$I,'1031 4度C'!$A:$A,"新豐2線",'1031 4度C'!$B:$B,"平均")</f>
        <v>18.5</v>
      </c>
      <c r="F18" s="70">
        <f>SUMIFS('1031 4度C'!$I:$I,'1031 4度C'!$A:$A,"新豐5線",'1031 4度C'!$B:$B,"平均")</f>
        <v>18.600000000000001</v>
      </c>
      <c r="G18" s="70">
        <f>SUMIFS('1031 4度C'!$I:$I,'1031 4度C'!$A:$A,"新豐7線",'1031 4度C'!$B:$B,"平均")</f>
        <v>16.399999999999999</v>
      </c>
      <c r="H18" s="70">
        <f>SUMIFS('1031 4度C'!$I:$I,'1031 4度C'!$A:$A,"新豐3線",'1031 4度C'!$B:$B,"平均")</f>
        <v>10.5</v>
      </c>
      <c r="I18" s="70">
        <f>SUMIFS('1031 4度C'!$I:$I,'1031 4度C'!$A:$A,"新豐1線",'1031 4度C'!$B:$B,"平均")</f>
        <v>16.399999999999999</v>
      </c>
      <c r="J18" s="71">
        <f>SUMIFS('1031 4度C'!$I:$I,'1031 4度C'!$A:$A,"新豐10線",'1031 4度C'!$B:$B,"平均")</f>
        <v>9.8000000000000007</v>
      </c>
      <c r="K18" s="69">
        <f>SUMIFS('1031 4度C'!$I:$I,'1031 4度C'!$A:$A,"新豐8線",'1031 4度C'!$B:$B,"平均")</f>
        <v>17.666666666666668</v>
      </c>
      <c r="L18" s="70">
        <f>SUMIFS('1031 4度C'!$I:$I,'1031 4度C'!$A:$A,"新豐9線",'1031 4度C'!$B:$B,"平均")</f>
        <v>17.2</v>
      </c>
      <c r="M18" s="71">
        <f>SUMIFS('1031 4度C'!$I:$I,'1031 4度C'!$A:$A,"新豐4線",'1031 4度C'!$B:$B,"平均")</f>
        <v>17.142857142857142</v>
      </c>
    </row>
    <row r="19" spans="2:13" ht="17.25" customHeight="1">
      <c r="B19" s="509" t="s">
        <v>2307</v>
      </c>
      <c r="C19" s="510"/>
      <c r="D19" s="72" t="s">
        <v>109</v>
      </c>
      <c r="E19" s="73" t="s">
        <v>110</v>
      </c>
      <c r="F19" s="73" t="s">
        <v>2308</v>
      </c>
      <c r="G19" s="73" t="s">
        <v>2308</v>
      </c>
      <c r="H19" s="73" t="s">
        <v>111</v>
      </c>
      <c r="I19" s="73" t="s">
        <v>109</v>
      </c>
      <c r="J19" s="74" t="s">
        <v>111</v>
      </c>
      <c r="K19" s="72" t="s">
        <v>2309</v>
      </c>
      <c r="L19" s="73" t="s">
        <v>2309</v>
      </c>
      <c r="M19" s="74" t="s">
        <v>2309</v>
      </c>
    </row>
    <row r="20" spans="2:13" ht="17.25" customHeight="1">
      <c r="B20" s="509" t="s">
        <v>2310</v>
      </c>
      <c r="C20" s="510"/>
      <c r="D20" s="72"/>
      <c r="E20" s="73"/>
      <c r="F20" s="73" t="s">
        <v>2311</v>
      </c>
      <c r="G20" s="73" t="s">
        <v>109</v>
      </c>
      <c r="H20" s="73"/>
      <c r="I20" s="73"/>
      <c r="J20" s="74"/>
      <c r="K20" s="72"/>
      <c r="L20" s="73"/>
      <c r="M20" s="74"/>
    </row>
    <row r="21" spans="2:13" ht="17.25" customHeight="1" thickBot="1">
      <c r="B21" s="511" t="s">
        <v>2312</v>
      </c>
      <c r="C21" s="512"/>
      <c r="D21" s="75"/>
      <c r="E21" s="76" t="s">
        <v>2313</v>
      </c>
      <c r="F21" s="513" t="s">
        <v>2314</v>
      </c>
      <c r="G21" s="514"/>
      <c r="H21" s="76" t="s">
        <v>2315</v>
      </c>
      <c r="I21" s="76" t="s">
        <v>2316</v>
      </c>
      <c r="J21" s="77" t="s">
        <v>2315</v>
      </c>
      <c r="K21" s="78"/>
      <c r="L21" s="76"/>
      <c r="M21" s="77"/>
    </row>
    <row r="22" spans="2:13" ht="17.25" customHeight="1"/>
    <row r="23" spans="2:13" ht="17.25" customHeight="1"/>
    <row r="24" spans="2:13" ht="17.25" customHeight="1"/>
    <row r="25" spans="2:13" ht="37.5" customHeight="1"/>
    <row r="26" spans="2:13" ht="35.25" customHeight="1"/>
    <row r="27" spans="2:13" ht="35.25" customHeight="1"/>
    <row r="28" spans="2:13" ht="39.75" customHeight="1"/>
  </sheetData>
  <mergeCells count="36">
    <mergeCell ref="B1:J2"/>
    <mergeCell ref="C3:D3"/>
    <mergeCell ref="F3:G3"/>
    <mergeCell ref="I3:J3"/>
    <mergeCell ref="B4:B8"/>
    <mergeCell ref="C4:D4"/>
    <mergeCell ref="E4:F4"/>
    <mergeCell ref="G4:H4"/>
    <mergeCell ref="I4:J4"/>
    <mergeCell ref="C5:D5"/>
    <mergeCell ref="E5:F5"/>
    <mergeCell ref="G5:H5"/>
    <mergeCell ref="I5:J5"/>
    <mergeCell ref="C6:D6"/>
    <mergeCell ref="E6:F6"/>
    <mergeCell ref="G6:H6"/>
    <mergeCell ref="I6:J6"/>
    <mergeCell ref="B16:B17"/>
    <mergeCell ref="C7:D7"/>
    <mergeCell ref="E7:F7"/>
    <mergeCell ref="G7:H7"/>
    <mergeCell ref="I7:J7"/>
    <mergeCell ref="C8:D8"/>
    <mergeCell ref="E8:F8"/>
    <mergeCell ref="G8:H8"/>
    <mergeCell ref="I8:J8"/>
    <mergeCell ref="B10:C10"/>
    <mergeCell ref="D10:J10"/>
    <mergeCell ref="K10:M10"/>
    <mergeCell ref="B11:C12"/>
    <mergeCell ref="B13:B15"/>
    <mergeCell ref="B18:C18"/>
    <mergeCell ref="B19:C19"/>
    <mergeCell ref="B20:C20"/>
    <mergeCell ref="B21:C21"/>
    <mergeCell ref="F21:G21"/>
  </mergeCells>
  <phoneticPr fontId="3" type="noConversion"/>
  <conditionalFormatting sqref="D15:M15">
    <cfRule type="cellIs" dxfId="2002" priority="1" operator="lessThan">
      <formula>0.8</formula>
    </cfRule>
  </conditionalFormatting>
  <pageMargins left="0.7" right="0.7" top="0.75" bottom="0.75" header="0.3" footer="0.3"/>
  <pageSetup paperSize="9" orientation="portrait" horizontalDpi="300" verticalDpi="30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工作表2">
    <pageSetUpPr fitToPage="1"/>
  </sheetPr>
  <dimension ref="A1:AC66"/>
  <sheetViews>
    <sheetView tabSelected="1" zoomScale="80" zoomScaleNormal="80" workbookViewId="0">
      <pane ySplit="4" topLeftCell="A5" activePane="bottomLeft" state="frozen"/>
      <selection activeCell="B6" sqref="B6"/>
      <selection pane="bottomLeft" activeCell="A2" sqref="A2"/>
    </sheetView>
  </sheetViews>
  <sheetFormatPr defaultColWidth="8" defaultRowHeight="15.75"/>
  <cols>
    <col min="1" max="1" width="15.125" style="291" customWidth="1"/>
    <col min="2" max="2" width="19.375" style="291" customWidth="1"/>
    <col min="3" max="3" width="15.25" style="324" customWidth="1"/>
    <col min="4" max="4" width="17.5" style="291" customWidth="1"/>
    <col min="5" max="5" width="7.5" style="291" bestFit="1" customWidth="1"/>
    <col min="6" max="6" width="14.375" style="291" bestFit="1" customWidth="1"/>
    <col min="7" max="7" width="14.375" style="291" customWidth="1"/>
    <col min="8" max="8" width="8" style="324" customWidth="1"/>
    <col min="9" max="9" width="5.875" style="291" customWidth="1"/>
    <col min="10" max="10" width="10.625" style="291" customWidth="1"/>
    <col min="11" max="11" width="14.625" style="291" customWidth="1"/>
    <col min="12" max="12" width="7.25" style="291" bestFit="1" customWidth="1"/>
    <col min="13" max="13" width="8" style="291" customWidth="1"/>
    <col min="14" max="14" width="12" style="291" customWidth="1"/>
    <col min="15" max="15" width="6" style="291" customWidth="1"/>
    <col min="16" max="16" width="9.25" style="291" customWidth="1"/>
    <col min="17" max="17" width="11.5" style="291" customWidth="1"/>
    <col min="18" max="18" width="8.5" style="291" customWidth="1"/>
    <col min="19" max="19" width="10.125" style="324" bestFit="1" customWidth="1"/>
    <col min="20" max="20" width="7.625" style="324" bestFit="1" customWidth="1"/>
    <col min="21" max="21" width="10.25" style="291" bestFit="1" customWidth="1"/>
    <col min="22" max="22" width="8.75" style="325" customWidth="1"/>
    <col min="23" max="23" width="7.375" style="291" customWidth="1"/>
    <col min="24" max="24" width="6.875" style="291" bestFit="1" customWidth="1"/>
    <col min="25" max="25" width="12.75" style="291" customWidth="1"/>
    <col min="26" max="26" width="18.875" style="291" customWidth="1"/>
    <col min="27" max="27" width="13.125" style="291" bestFit="1" customWidth="1"/>
    <col min="28" max="28" width="10.375" style="291" customWidth="1"/>
    <col min="29" max="29" width="9.375" style="291" customWidth="1"/>
    <col min="30" max="30" width="8" style="291"/>
    <col min="31" max="31" width="24.625" style="291" bestFit="1" customWidth="1"/>
    <col min="32" max="16384" width="8" style="291"/>
  </cols>
  <sheetData>
    <row r="1" spans="1:29" ht="26.25" customHeight="1">
      <c r="A1" s="287" t="s">
        <v>2317</v>
      </c>
      <c r="B1" s="287"/>
      <c r="C1" s="508" t="s">
        <v>2318</v>
      </c>
      <c r="D1" s="289">
        <f>SUM(F5:F65)</f>
        <v>145968</v>
      </c>
      <c r="E1" s="498" t="s">
        <v>2319</v>
      </c>
      <c r="F1" s="287">
        <f>SUM(G5:G65)</f>
        <v>4853449.620000001</v>
      </c>
      <c r="G1" s="287" t="s">
        <v>2320</v>
      </c>
      <c r="H1" s="290">
        <f>L8+L11+L45+L51+L17+L57+L30+L36+L23+L65</f>
        <v>158.2095238095238</v>
      </c>
      <c r="I1" s="611" t="s">
        <v>2321</v>
      </c>
      <c r="J1" s="611"/>
      <c r="K1" s="611"/>
      <c r="L1" s="611" t="s">
        <v>2322</v>
      </c>
      <c r="M1" s="611"/>
      <c r="N1" s="611"/>
      <c r="O1" s="611" t="s">
        <v>2323</v>
      </c>
      <c r="P1" s="611"/>
      <c r="Q1" s="611"/>
      <c r="R1" s="611"/>
      <c r="S1" s="611" t="s">
        <v>2324</v>
      </c>
      <c r="T1" s="611"/>
      <c r="U1" s="611"/>
      <c r="V1" s="611"/>
      <c r="W1" s="611"/>
      <c r="X1" s="611"/>
      <c r="Y1" s="611" t="s">
        <v>2325</v>
      </c>
      <c r="Z1" s="611"/>
      <c r="AA1" s="611" t="s">
        <v>2326</v>
      </c>
      <c r="AB1" s="612"/>
      <c r="AC1" s="612"/>
    </row>
    <row r="2" spans="1:29" ht="26.25" customHeight="1">
      <c r="A2" s="292">
        <v>45961</v>
      </c>
      <c r="B2" s="293" t="s">
        <v>315</v>
      </c>
      <c r="C2" s="508" t="s">
        <v>2327</v>
      </c>
      <c r="D2" s="294">
        <f>AVERAGE(N8,N11,N45,N51,N17,N57,N23,N30,N36,N65)</f>
        <v>142.87662590400836</v>
      </c>
      <c r="E2" s="295" t="s">
        <v>2</v>
      </c>
      <c r="F2" s="296">
        <f>F1/D1</f>
        <v>33.250093308122338</v>
      </c>
      <c r="G2" s="287" t="s">
        <v>2328</v>
      </c>
      <c r="H2" s="506">
        <f>COUNT(H5:H65)</f>
        <v>2</v>
      </c>
      <c r="I2" s="611"/>
      <c r="J2" s="611"/>
      <c r="K2" s="611"/>
      <c r="L2" s="611"/>
      <c r="M2" s="611"/>
      <c r="N2" s="611"/>
      <c r="O2" s="611"/>
      <c r="P2" s="611"/>
      <c r="Q2" s="611"/>
      <c r="R2" s="611"/>
      <c r="S2" s="611"/>
      <c r="T2" s="611"/>
      <c r="U2" s="611"/>
      <c r="V2" s="611"/>
      <c r="W2" s="611"/>
      <c r="X2" s="611"/>
      <c r="Y2" s="611"/>
      <c r="Z2" s="611"/>
      <c r="AA2" s="612"/>
      <c r="AB2" s="612"/>
      <c r="AC2" s="612"/>
    </row>
    <row r="3" spans="1:29" ht="23.25" customHeight="1">
      <c r="A3" s="570" t="s">
        <v>2329</v>
      </c>
      <c r="B3" s="570" t="s">
        <v>2330</v>
      </c>
      <c r="C3" s="570" t="s">
        <v>2331</v>
      </c>
      <c r="D3" s="570"/>
      <c r="E3" s="609" t="s">
        <v>2332</v>
      </c>
      <c r="F3" s="570" t="s">
        <v>2333</v>
      </c>
      <c r="G3" s="609" t="s">
        <v>2334</v>
      </c>
      <c r="H3" s="602" t="s">
        <v>2335</v>
      </c>
      <c r="I3" s="600" t="s">
        <v>2336</v>
      </c>
      <c r="J3" s="605" t="s">
        <v>2337</v>
      </c>
      <c r="K3" s="607" t="s">
        <v>2327</v>
      </c>
      <c r="L3" s="600" t="s">
        <v>2336</v>
      </c>
      <c r="M3" s="605" t="s">
        <v>2337</v>
      </c>
      <c r="N3" s="607" t="s">
        <v>2327</v>
      </c>
      <c r="O3" s="600" t="s">
        <v>2336</v>
      </c>
      <c r="P3" s="607" t="s">
        <v>2327</v>
      </c>
      <c r="Q3" s="606" t="s">
        <v>2338</v>
      </c>
      <c r="R3" s="578" t="s">
        <v>2339</v>
      </c>
      <c r="S3" s="608" t="s">
        <v>14</v>
      </c>
      <c r="T3" s="608"/>
      <c r="U3" s="602" t="s">
        <v>15</v>
      </c>
      <c r="V3" s="602" t="s">
        <v>2340</v>
      </c>
      <c r="W3" s="570" t="s">
        <v>2341</v>
      </c>
      <c r="X3" s="570"/>
      <c r="Y3" s="603" t="s">
        <v>2342</v>
      </c>
      <c r="Z3" s="604"/>
      <c r="AA3" s="605" t="s">
        <v>2337</v>
      </c>
      <c r="AB3" s="606" t="s">
        <v>2338</v>
      </c>
      <c r="AC3" s="578" t="s">
        <v>2339</v>
      </c>
    </row>
    <row r="4" spans="1:29">
      <c r="A4" s="570"/>
      <c r="B4" s="570"/>
      <c r="C4" s="570"/>
      <c r="D4" s="570"/>
      <c r="E4" s="610"/>
      <c r="F4" s="570"/>
      <c r="G4" s="610"/>
      <c r="H4" s="602"/>
      <c r="I4" s="600"/>
      <c r="J4" s="605"/>
      <c r="K4" s="607"/>
      <c r="L4" s="600"/>
      <c r="M4" s="605"/>
      <c r="N4" s="607"/>
      <c r="O4" s="600"/>
      <c r="P4" s="607"/>
      <c r="Q4" s="606"/>
      <c r="R4" s="578"/>
      <c r="S4" s="505" t="s">
        <v>18</v>
      </c>
      <c r="T4" s="505" t="s">
        <v>19</v>
      </c>
      <c r="U4" s="602"/>
      <c r="V4" s="602"/>
      <c r="W4" s="498" t="s">
        <v>2343</v>
      </c>
      <c r="X4" s="498" t="s">
        <v>2344</v>
      </c>
      <c r="Y4" s="604"/>
      <c r="Z4" s="604"/>
      <c r="AA4" s="605"/>
      <c r="AB4" s="606"/>
      <c r="AC4" s="578"/>
    </row>
    <row r="5" spans="1:29">
      <c r="A5" s="599" t="s">
        <v>2345</v>
      </c>
      <c r="B5" s="300" t="s">
        <v>36</v>
      </c>
      <c r="C5" s="601" t="s">
        <v>37</v>
      </c>
      <c r="D5" s="601"/>
      <c r="E5" s="300">
        <v>46.93</v>
      </c>
      <c r="F5" s="505">
        <v>716</v>
      </c>
      <c r="G5" s="498">
        <f t="shared" ref="G5:G7" si="0">E5*F5</f>
        <v>33601.879999999997</v>
      </c>
      <c r="H5" s="507" t="s">
        <v>35</v>
      </c>
      <c r="I5" s="503">
        <v>16</v>
      </c>
      <c r="J5" s="303">
        <v>2000</v>
      </c>
      <c r="K5" s="304">
        <f t="shared" ref="K5:K65" si="1">J5/I5</f>
        <v>125</v>
      </c>
      <c r="L5" s="503">
        <v>16</v>
      </c>
      <c r="M5" s="305">
        <f t="shared" ref="M5:M7" si="2">F5/V5*60</f>
        <v>1952.7272727272796</v>
      </c>
      <c r="N5" s="304">
        <f t="shared" ref="N5:N65" si="3">M5/L5</f>
        <v>122.04545454545497</v>
      </c>
      <c r="O5" s="306">
        <f t="shared" ref="O5:O65" si="4">L5-I5</f>
        <v>0</v>
      </c>
      <c r="P5" s="307">
        <f t="shared" ref="P5:P65" si="5">N5-K5</f>
        <v>-2.9545454545450269</v>
      </c>
      <c r="Q5" s="499">
        <f t="shared" ref="Q5:Q65" si="6">N5/K5</f>
        <v>0.97636363636363976</v>
      </c>
      <c r="R5" s="571">
        <f>Q8</f>
        <v>0.9681684731308805</v>
      </c>
      <c r="S5" s="308">
        <v>0.70833333333333337</v>
      </c>
      <c r="T5" s="308">
        <v>0.72361111111111109</v>
      </c>
      <c r="U5" s="498"/>
      <c r="V5" s="504">
        <f t="shared" ref="V5:V7" si="7">(T5-S5)*24*60</f>
        <v>21.999999999999922</v>
      </c>
      <c r="W5" s="310"/>
      <c r="X5" s="311"/>
      <c r="Y5" s="570"/>
      <c r="Z5" s="570"/>
      <c r="AA5" s="306">
        <f t="shared" ref="AA5:AA65" si="8">M5-J5</f>
        <v>-47.272727272720431</v>
      </c>
      <c r="AB5" s="499">
        <f t="shared" ref="AB5:AB65" si="9">M5/J5</f>
        <v>0.97636363636363976</v>
      </c>
      <c r="AC5" s="571">
        <f>AB8</f>
        <v>0.9681684731308805</v>
      </c>
    </row>
    <row r="6" spans="1:29">
      <c r="A6" s="600" t="s">
        <v>2345</v>
      </c>
      <c r="B6" s="300" t="s">
        <v>36</v>
      </c>
      <c r="C6" s="601" t="s">
        <v>38</v>
      </c>
      <c r="D6" s="601"/>
      <c r="E6" s="300">
        <v>50.49</v>
      </c>
      <c r="F6" s="505">
        <v>1829</v>
      </c>
      <c r="G6" s="498">
        <f t="shared" si="0"/>
        <v>92346.21</v>
      </c>
      <c r="H6" s="507" t="s">
        <v>35</v>
      </c>
      <c r="I6" s="503">
        <v>15</v>
      </c>
      <c r="J6" s="303">
        <v>2000</v>
      </c>
      <c r="K6" s="304">
        <f t="shared" si="1"/>
        <v>133.33333333333334</v>
      </c>
      <c r="L6" s="503">
        <v>15</v>
      </c>
      <c r="M6" s="305">
        <f t="shared" si="2"/>
        <v>1925.2631578947382</v>
      </c>
      <c r="N6" s="304">
        <f t="shared" si="3"/>
        <v>128.35087719298255</v>
      </c>
      <c r="O6" s="306">
        <f t="shared" si="4"/>
        <v>0</v>
      </c>
      <c r="P6" s="307">
        <f t="shared" si="5"/>
        <v>-4.9824561403507914</v>
      </c>
      <c r="Q6" s="499">
        <f t="shared" si="6"/>
        <v>0.96263157894736906</v>
      </c>
      <c r="R6" s="571"/>
      <c r="S6" s="308">
        <v>0.7270833333333333</v>
      </c>
      <c r="T6" s="308">
        <v>0.76666666666666661</v>
      </c>
      <c r="U6" s="498">
        <f t="shared" ref="U6:U7" si="10">IF(S6=TIME(17,0,0),"",(S6-T5)*24*60)</f>
        <v>4.9999999999999822</v>
      </c>
      <c r="V6" s="504">
        <f t="shared" si="7"/>
        <v>56.999999999999957</v>
      </c>
      <c r="W6" s="310"/>
      <c r="X6" s="310"/>
      <c r="Y6" s="570"/>
      <c r="Z6" s="570"/>
      <c r="AA6" s="306">
        <f t="shared" si="8"/>
        <v>-74.736842105261758</v>
      </c>
      <c r="AB6" s="499">
        <f t="shared" si="9"/>
        <v>0.96263157894736917</v>
      </c>
      <c r="AC6" s="571"/>
    </row>
    <row r="7" spans="1:29">
      <c r="A7" s="600" t="s">
        <v>2345</v>
      </c>
      <c r="B7" s="300" t="s">
        <v>36</v>
      </c>
      <c r="C7" s="594" t="s">
        <v>39</v>
      </c>
      <c r="D7" s="595"/>
      <c r="E7" s="300">
        <v>50.67</v>
      </c>
      <c r="F7" s="505">
        <v>1577</v>
      </c>
      <c r="G7" s="498">
        <f t="shared" si="0"/>
        <v>79906.59</v>
      </c>
      <c r="H7" s="507" t="s">
        <v>35</v>
      </c>
      <c r="I7" s="503">
        <v>17</v>
      </c>
      <c r="J7" s="303">
        <v>2000</v>
      </c>
      <c r="K7" s="304">
        <f t="shared" si="1"/>
        <v>117.64705882352941</v>
      </c>
      <c r="L7" s="503">
        <v>17</v>
      </c>
      <c r="M7" s="305">
        <f t="shared" si="2"/>
        <v>1931.0204081632658</v>
      </c>
      <c r="N7" s="304">
        <f t="shared" si="3"/>
        <v>113.58943577430975</v>
      </c>
      <c r="O7" s="306">
        <f t="shared" si="4"/>
        <v>0</v>
      </c>
      <c r="P7" s="307">
        <f t="shared" si="5"/>
        <v>-4.0576230492196572</v>
      </c>
      <c r="Q7" s="499">
        <f t="shared" si="6"/>
        <v>0.96551020408163291</v>
      </c>
      <c r="R7" s="571"/>
      <c r="S7" s="308">
        <v>0.7715277777777777</v>
      </c>
      <c r="T7" s="308">
        <v>0.80555555555555547</v>
      </c>
      <c r="U7" s="498">
        <f t="shared" si="10"/>
        <v>6.9999999999999751</v>
      </c>
      <c r="V7" s="504">
        <f t="shared" si="7"/>
        <v>48.999999999999986</v>
      </c>
      <c r="W7" s="310"/>
      <c r="X7" s="310"/>
      <c r="Y7" s="566"/>
      <c r="Z7" s="567"/>
      <c r="AA7" s="306">
        <f t="shared" si="8"/>
        <v>-68.979591836734244</v>
      </c>
      <c r="AB7" s="499">
        <f t="shared" si="9"/>
        <v>0.96551020408163291</v>
      </c>
      <c r="AC7" s="571"/>
    </row>
    <row r="8" spans="1:29">
      <c r="A8" s="600" t="s">
        <v>2346</v>
      </c>
      <c r="B8" s="300" t="s">
        <v>2347</v>
      </c>
      <c r="C8" s="572"/>
      <c r="D8" s="572"/>
      <c r="E8" s="500"/>
      <c r="F8" s="313"/>
      <c r="G8" s="304"/>
      <c r="H8" s="505"/>
      <c r="I8" s="314">
        <v>16</v>
      </c>
      <c r="J8" s="303">
        <v>2000</v>
      </c>
      <c r="K8" s="304">
        <f t="shared" si="1"/>
        <v>125</v>
      </c>
      <c r="L8" s="314">
        <v>16</v>
      </c>
      <c r="M8" s="305">
        <f>AVERAGE(M5:M7)</f>
        <v>1936.3369462617611</v>
      </c>
      <c r="N8" s="304">
        <f t="shared" si="3"/>
        <v>121.02105914136007</v>
      </c>
      <c r="O8" s="306">
        <f t="shared" si="4"/>
        <v>0</v>
      </c>
      <c r="P8" s="307">
        <f t="shared" si="5"/>
        <v>-3.9789408586399304</v>
      </c>
      <c r="Q8" s="499">
        <f t="shared" si="6"/>
        <v>0.9681684731308805</v>
      </c>
      <c r="R8" s="571"/>
      <c r="S8" s="308"/>
      <c r="T8" s="308"/>
      <c r="U8" s="498"/>
      <c r="V8" s="504"/>
      <c r="W8" s="304"/>
      <c r="X8" s="304"/>
      <c r="Y8" s="570"/>
      <c r="Z8" s="570"/>
      <c r="AA8" s="306">
        <f t="shared" si="8"/>
        <v>-63.663053738238887</v>
      </c>
      <c r="AB8" s="499">
        <f t="shared" si="9"/>
        <v>0.9681684731308805</v>
      </c>
      <c r="AC8" s="571"/>
    </row>
    <row r="9" spans="1:29" ht="15.75" customHeight="1">
      <c r="A9" s="598" t="s">
        <v>2348</v>
      </c>
      <c r="B9" s="300" t="s">
        <v>40</v>
      </c>
      <c r="C9" s="594" t="s">
        <v>42</v>
      </c>
      <c r="D9" s="595"/>
      <c r="E9" s="300">
        <v>39.36</v>
      </c>
      <c r="F9" s="505">
        <v>1840</v>
      </c>
      <c r="G9" s="498">
        <f t="shared" ref="G9:G10" si="11">E9*F9</f>
        <v>72422.399999999994</v>
      </c>
      <c r="H9" s="507" t="s">
        <v>35</v>
      </c>
      <c r="I9" s="503">
        <v>20</v>
      </c>
      <c r="J9" s="303">
        <v>1500</v>
      </c>
      <c r="K9" s="304">
        <f t="shared" si="1"/>
        <v>75</v>
      </c>
      <c r="L9" s="503">
        <v>20</v>
      </c>
      <c r="M9" s="305">
        <f t="shared" ref="M9:M10" si="12">F9/V9*60</f>
        <v>1433.7662337662337</v>
      </c>
      <c r="N9" s="304">
        <f t="shared" si="3"/>
        <v>71.688311688311686</v>
      </c>
      <c r="O9" s="306">
        <f t="shared" si="4"/>
        <v>0</v>
      </c>
      <c r="P9" s="307">
        <f t="shared" si="5"/>
        <v>-3.3116883116883145</v>
      </c>
      <c r="Q9" s="499">
        <f t="shared" si="6"/>
        <v>0.95584415584415583</v>
      </c>
      <c r="R9" s="571">
        <f>Q11</f>
        <v>0.95530525549217149</v>
      </c>
      <c r="S9" s="308">
        <v>0.20833333333333334</v>
      </c>
      <c r="T9" s="308">
        <v>0.26180555555555557</v>
      </c>
      <c r="U9" s="498"/>
      <c r="V9" s="504">
        <f t="shared" ref="V9:V10" si="13">(T9-S9)*24*60</f>
        <v>77</v>
      </c>
      <c r="W9" s="310"/>
      <c r="X9" s="310"/>
      <c r="Y9" s="570"/>
      <c r="Z9" s="570"/>
      <c r="AA9" s="306">
        <f t="shared" si="8"/>
        <v>-66.233766233766346</v>
      </c>
      <c r="AB9" s="499">
        <f t="shared" si="9"/>
        <v>0.95584415584415572</v>
      </c>
      <c r="AC9" s="571">
        <f>AB11</f>
        <v>0.95530525549217149</v>
      </c>
    </row>
    <row r="10" spans="1:29" ht="15.75" customHeight="1">
      <c r="A10" s="598" t="s">
        <v>2348</v>
      </c>
      <c r="B10" s="300" t="s">
        <v>40</v>
      </c>
      <c r="C10" s="594" t="s">
        <v>41</v>
      </c>
      <c r="D10" s="595"/>
      <c r="E10" s="300">
        <v>39.799999999999997</v>
      </c>
      <c r="F10" s="505">
        <v>5108</v>
      </c>
      <c r="G10" s="498">
        <f t="shared" si="11"/>
        <v>203298.4</v>
      </c>
      <c r="H10" s="507" t="s">
        <v>35</v>
      </c>
      <c r="I10" s="503">
        <v>17</v>
      </c>
      <c r="J10" s="303">
        <v>1500</v>
      </c>
      <c r="K10" s="304">
        <f t="shared" si="1"/>
        <v>88.235294117647058</v>
      </c>
      <c r="L10" s="503">
        <v>17</v>
      </c>
      <c r="M10" s="305">
        <f t="shared" si="12"/>
        <v>1432.1495327102807</v>
      </c>
      <c r="N10" s="304">
        <f t="shared" si="3"/>
        <v>84.244090159428282</v>
      </c>
      <c r="O10" s="306">
        <f t="shared" si="4"/>
        <v>0</v>
      </c>
      <c r="P10" s="307">
        <f t="shared" si="5"/>
        <v>-3.9912039582187759</v>
      </c>
      <c r="Q10" s="499">
        <f t="shared" si="6"/>
        <v>0.95476635514018715</v>
      </c>
      <c r="R10" s="571"/>
      <c r="S10" s="308">
        <v>0.26666666666666666</v>
      </c>
      <c r="T10" s="308">
        <v>0.41527777777777775</v>
      </c>
      <c r="U10" s="498">
        <f t="shared" ref="U10" si="14">IF(S10=TIME(17,0,0),"",(S10-T9)*24*60)</f>
        <v>6.9999999999999751</v>
      </c>
      <c r="V10" s="504">
        <f t="shared" si="13"/>
        <v>213.99999999999997</v>
      </c>
      <c r="W10" s="310"/>
      <c r="X10" s="310"/>
      <c r="Y10" s="570"/>
      <c r="Z10" s="570"/>
      <c r="AA10" s="306">
        <f t="shared" si="8"/>
        <v>-67.85046728971929</v>
      </c>
      <c r="AB10" s="499">
        <f t="shared" si="9"/>
        <v>0.95476635514018715</v>
      </c>
      <c r="AC10" s="571"/>
    </row>
    <row r="11" spans="1:29" ht="16.5" customHeight="1">
      <c r="A11" s="598" t="s">
        <v>2348</v>
      </c>
      <c r="B11" s="300" t="s">
        <v>2349</v>
      </c>
      <c r="C11" s="572"/>
      <c r="D11" s="572"/>
      <c r="E11" s="500"/>
      <c r="F11" s="303"/>
      <c r="G11" s="305"/>
      <c r="H11" s="505"/>
      <c r="I11" s="314">
        <v>18.5</v>
      </c>
      <c r="J11" s="303">
        <v>1500</v>
      </c>
      <c r="K11" s="304">
        <f t="shared" si="1"/>
        <v>81.081081081081081</v>
      </c>
      <c r="L11" s="314">
        <v>18.5</v>
      </c>
      <c r="M11" s="305">
        <f>AVERAGE(M9:M10)</f>
        <v>1432.9578832382572</v>
      </c>
      <c r="N11" s="304">
        <f t="shared" si="3"/>
        <v>77.457182877743634</v>
      </c>
      <c r="O11" s="306">
        <f t="shared" si="4"/>
        <v>0</v>
      </c>
      <c r="P11" s="307">
        <f t="shared" si="5"/>
        <v>-3.6238982033374469</v>
      </c>
      <c r="Q11" s="499">
        <f t="shared" si="6"/>
        <v>0.95530525549217149</v>
      </c>
      <c r="R11" s="571"/>
      <c r="S11" s="308"/>
      <c r="T11" s="308"/>
      <c r="U11" s="304"/>
      <c r="V11" s="504"/>
      <c r="W11" s="304"/>
      <c r="X11" s="304"/>
      <c r="Y11" s="570"/>
      <c r="Z11" s="570"/>
      <c r="AA11" s="306">
        <f t="shared" si="8"/>
        <v>-67.042116761742818</v>
      </c>
      <c r="AB11" s="499">
        <f t="shared" si="9"/>
        <v>0.95530525549217149</v>
      </c>
      <c r="AC11" s="571"/>
    </row>
    <row r="12" spans="1:29" ht="16.5" customHeight="1">
      <c r="A12" s="596" t="s">
        <v>2350</v>
      </c>
      <c r="B12" s="505" t="s">
        <v>43</v>
      </c>
      <c r="C12" s="590" t="s">
        <v>44</v>
      </c>
      <c r="D12" s="590"/>
      <c r="E12" s="300">
        <v>41</v>
      </c>
      <c r="F12" s="505">
        <v>2087</v>
      </c>
      <c r="G12" s="498">
        <f t="shared" ref="G12:G16" si="15">E12*F12</f>
        <v>85567</v>
      </c>
      <c r="H12" s="507" t="s">
        <v>35</v>
      </c>
      <c r="I12" s="503">
        <v>26</v>
      </c>
      <c r="J12" s="303">
        <v>1500</v>
      </c>
      <c r="K12" s="304">
        <f t="shared" si="1"/>
        <v>57.692307692307693</v>
      </c>
      <c r="L12" s="503">
        <v>26</v>
      </c>
      <c r="M12" s="305">
        <f t="shared" ref="M12:M16" si="16">F12/V12*60</f>
        <v>1439.3103448275858</v>
      </c>
      <c r="N12" s="304">
        <f t="shared" si="3"/>
        <v>55.358090185676375</v>
      </c>
      <c r="O12" s="306">
        <f t="shared" si="4"/>
        <v>0</v>
      </c>
      <c r="P12" s="307">
        <f t="shared" si="5"/>
        <v>-2.3342175066313189</v>
      </c>
      <c r="Q12" s="499">
        <f t="shared" si="6"/>
        <v>0.95954022988505716</v>
      </c>
      <c r="R12" s="571">
        <f>Q17</f>
        <v>0.95718870077896401</v>
      </c>
      <c r="S12" s="308">
        <v>0.125</v>
      </c>
      <c r="T12" s="308">
        <v>0.18541666666666667</v>
      </c>
      <c r="U12" s="498"/>
      <c r="V12" s="504">
        <f t="shared" ref="V12:V16" si="17">(T12-S12)*24*60</f>
        <v>87.000000000000014</v>
      </c>
      <c r="W12" s="310">
        <f>T12</f>
        <v>0.18541666666666667</v>
      </c>
      <c r="X12" s="310">
        <f>S13</f>
        <v>0.2048611111111111</v>
      </c>
      <c r="Y12" s="570"/>
      <c r="Z12" s="570"/>
      <c r="AA12" s="306">
        <f t="shared" si="8"/>
        <v>-60.689655172414177</v>
      </c>
      <c r="AB12" s="499">
        <f t="shared" si="9"/>
        <v>0.95954022988505716</v>
      </c>
      <c r="AC12" s="571">
        <f>AB17</f>
        <v>0.95718870077896412</v>
      </c>
    </row>
    <row r="13" spans="1:29" ht="16.5" customHeight="1">
      <c r="A13" s="597" t="s">
        <v>2350</v>
      </c>
      <c r="B13" s="505" t="s">
        <v>40</v>
      </c>
      <c r="C13" s="590" t="s">
        <v>45</v>
      </c>
      <c r="D13" s="590"/>
      <c r="E13" s="300">
        <v>39.619999999999997</v>
      </c>
      <c r="F13" s="505">
        <v>3528</v>
      </c>
      <c r="G13" s="498">
        <f t="shared" si="15"/>
        <v>139779.35999999999</v>
      </c>
      <c r="H13" s="507" t="s">
        <v>35</v>
      </c>
      <c r="I13" s="503">
        <v>19</v>
      </c>
      <c r="J13" s="303">
        <v>1500</v>
      </c>
      <c r="K13" s="304">
        <f t="shared" si="1"/>
        <v>78.94736842105263</v>
      </c>
      <c r="L13" s="503">
        <v>19</v>
      </c>
      <c r="M13" s="305">
        <f t="shared" si="16"/>
        <v>1430.27027027027</v>
      </c>
      <c r="N13" s="304">
        <f t="shared" si="3"/>
        <v>75.277382645803684</v>
      </c>
      <c r="O13" s="306">
        <f t="shared" si="4"/>
        <v>0</v>
      </c>
      <c r="P13" s="307">
        <f t="shared" si="5"/>
        <v>-3.6699857752489464</v>
      </c>
      <c r="Q13" s="499">
        <f t="shared" si="6"/>
        <v>0.95351351351351332</v>
      </c>
      <c r="R13" s="571"/>
      <c r="S13" s="308">
        <v>0.2048611111111111</v>
      </c>
      <c r="T13" s="308">
        <v>0.30763888888888891</v>
      </c>
      <c r="U13" s="498">
        <f t="shared" ref="U13:U16" si="18">IF(S13=TIME(17,0,0),"",(S13-T12)*24*60)</f>
        <v>27.999999999999979</v>
      </c>
      <c r="V13" s="504">
        <f t="shared" si="17"/>
        <v>148.00000000000003</v>
      </c>
      <c r="W13" s="310"/>
      <c r="X13" s="310"/>
      <c r="Y13" s="570"/>
      <c r="Z13" s="570"/>
      <c r="AA13" s="306">
        <f t="shared" si="8"/>
        <v>-69.729729729730025</v>
      </c>
      <c r="AB13" s="499">
        <f t="shared" si="9"/>
        <v>0.95351351351351332</v>
      </c>
      <c r="AC13" s="571"/>
    </row>
    <row r="14" spans="1:29" ht="16.5" customHeight="1">
      <c r="A14" s="597" t="s">
        <v>2350</v>
      </c>
      <c r="B14" s="505" t="s">
        <v>1182</v>
      </c>
      <c r="C14" s="590" t="s">
        <v>1041</v>
      </c>
      <c r="D14" s="590"/>
      <c r="E14" s="300">
        <v>57.3</v>
      </c>
      <c r="F14" s="505">
        <v>1583</v>
      </c>
      <c r="G14" s="498">
        <f t="shared" si="15"/>
        <v>90705.9</v>
      </c>
      <c r="H14" s="507" t="s">
        <v>35</v>
      </c>
      <c r="I14" s="503">
        <v>17</v>
      </c>
      <c r="J14" s="303">
        <v>1500</v>
      </c>
      <c r="K14" s="304">
        <f t="shared" si="1"/>
        <v>88.235294117647058</v>
      </c>
      <c r="L14" s="503">
        <v>17</v>
      </c>
      <c r="M14" s="305">
        <f t="shared" si="16"/>
        <v>1439.090909090909</v>
      </c>
      <c r="N14" s="304">
        <f t="shared" si="3"/>
        <v>84.652406417112289</v>
      </c>
      <c r="O14" s="306">
        <f t="shared" si="4"/>
        <v>0</v>
      </c>
      <c r="P14" s="307">
        <f t="shared" si="5"/>
        <v>-3.5828877005347692</v>
      </c>
      <c r="Q14" s="499">
        <f t="shared" si="6"/>
        <v>0.95939393939393924</v>
      </c>
      <c r="R14" s="571"/>
      <c r="S14" s="308">
        <v>0.3125</v>
      </c>
      <c r="T14" s="308">
        <v>0.35833333333333334</v>
      </c>
      <c r="U14" s="498">
        <f t="shared" si="18"/>
        <v>6.9999999999999751</v>
      </c>
      <c r="V14" s="504">
        <f t="shared" si="17"/>
        <v>66</v>
      </c>
      <c r="W14" s="310"/>
      <c r="X14" s="310"/>
      <c r="Y14" s="570"/>
      <c r="Z14" s="570"/>
      <c r="AA14" s="306">
        <f t="shared" si="8"/>
        <v>-60.909090909090992</v>
      </c>
      <c r="AB14" s="499">
        <f t="shared" si="9"/>
        <v>0.95939393939393935</v>
      </c>
      <c r="AC14" s="571"/>
    </row>
    <row r="15" spans="1:29" ht="16.5" customHeight="1">
      <c r="A15" s="597" t="s">
        <v>2351</v>
      </c>
      <c r="B15" s="505" t="s">
        <v>36</v>
      </c>
      <c r="C15" s="590" t="s">
        <v>49</v>
      </c>
      <c r="D15" s="590"/>
      <c r="E15" s="300">
        <v>50.98</v>
      </c>
      <c r="F15" s="505">
        <v>2286</v>
      </c>
      <c r="G15" s="498">
        <f t="shared" si="15"/>
        <v>116540.28</v>
      </c>
      <c r="H15" s="507" t="s">
        <v>35</v>
      </c>
      <c r="I15" s="503">
        <v>16</v>
      </c>
      <c r="J15" s="303">
        <v>2000</v>
      </c>
      <c r="K15" s="304">
        <f t="shared" si="1"/>
        <v>125</v>
      </c>
      <c r="L15" s="503">
        <v>16</v>
      </c>
      <c r="M15" s="305">
        <f t="shared" si="16"/>
        <v>1904.9999999999984</v>
      </c>
      <c r="N15" s="304">
        <f t="shared" si="3"/>
        <v>119.0624999999999</v>
      </c>
      <c r="O15" s="306">
        <f t="shared" si="4"/>
        <v>0</v>
      </c>
      <c r="P15" s="307">
        <f t="shared" si="5"/>
        <v>-5.9375000000000995</v>
      </c>
      <c r="Q15" s="499">
        <f t="shared" si="6"/>
        <v>0.95249999999999924</v>
      </c>
      <c r="R15" s="571"/>
      <c r="S15" s="308">
        <v>0.70833333333333337</v>
      </c>
      <c r="T15" s="308">
        <v>0.75833333333333341</v>
      </c>
      <c r="U15" s="498" t="str">
        <f t="shared" si="18"/>
        <v/>
      </c>
      <c r="V15" s="504">
        <f t="shared" si="17"/>
        <v>72.000000000000057</v>
      </c>
      <c r="W15" s="310"/>
      <c r="X15" s="310"/>
      <c r="Y15" s="570"/>
      <c r="Z15" s="570"/>
      <c r="AA15" s="306">
        <f t="shared" si="8"/>
        <v>-95.000000000001592</v>
      </c>
      <c r="AB15" s="499">
        <f t="shared" si="9"/>
        <v>0.95249999999999924</v>
      </c>
      <c r="AC15" s="571"/>
    </row>
    <row r="16" spans="1:29" ht="16.5" customHeight="1">
      <c r="A16" s="597" t="s">
        <v>2350</v>
      </c>
      <c r="B16" s="505" t="s">
        <v>36</v>
      </c>
      <c r="C16" s="590" t="s">
        <v>50</v>
      </c>
      <c r="D16" s="590"/>
      <c r="E16" s="300">
        <v>50.92</v>
      </c>
      <c r="F16" s="505">
        <v>2371</v>
      </c>
      <c r="G16" s="498">
        <f t="shared" si="15"/>
        <v>120731.32</v>
      </c>
      <c r="H16" s="507" t="s">
        <v>35</v>
      </c>
      <c r="I16" s="503">
        <v>15</v>
      </c>
      <c r="J16" s="303">
        <v>2000</v>
      </c>
      <c r="K16" s="304">
        <f t="shared" si="1"/>
        <v>133.33333333333334</v>
      </c>
      <c r="L16" s="503">
        <v>15</v>
      </c>
      <c r="M16" s="305">
        <f t="shared" si="16"/>
        <v>1922.4324324324311</v>
      </c>
      <c r="N16" s="304">
        <f t="shared" si="3"/>
        <v>128.16216216216208</v>
      </c>
      <c r="O16" s="306">
        <f t="shared" si="4"/>
        <v>0</v>
      </c>
      <c r="P16" s="307">
        <f t="shared" si="5"/>
        <v>-5.1711711711712667</v>
      </c>
      <c r="Q16" s="499">
        <f t="shared" si="6"/>
        <v>0.96121621621621556</v>
      </c>
      <c r="R16" s="571"/>
      <c r="S16" s="308">
        <v>0.76180555555555562</v>
      </c>
      <c r="T16" s="308">
        <v>0.81319444444444455</v>
      </c>
      <c r="U16" s="498">
        <f t="shared" si="18"/>
        <v>4.9999999999999822</v>
      </c>
      <c r="V16" s="504">
        <f t="shared" si="17"/>
        <v>74.000000000000057</v>
      </c>
      <c r="W16" s="310"/>
      <c r="X16" s="310"/>
      <c r="Y16" s="570"/>
      <c r="Z16" s="570"/>
      <c r="AA16" s="306">
        <f t="shared" si="8"/>
        <v>-77.567567567568858</v>
      </c>
      <c r="AB16" s="499">
        <f t="shared" si="9"/>
        <v>0.96121621621621556</v>
      </c>
      <c r="AC16" s="571"/>
    </row>
    <row r="17" spans="1:29" ht="16.5" customHeight="1">
      <c r="A17" s="597" t="s">
        <v>2350</v>
      </c>
      <c r="B17" s="300" t="s">
        <v>2349</v>
      </c>
      <c r="C17" s="572"/>
      <c r="D17" s="572"/>
      <c r="E17" s="500"/>
      <c r="F17" s="313"/>
      <c r="G17" s="304"/>
      <c r="H17" s="505"/>
      <c r="I17" s="314">
        <v>18.600000000000001</v>
      </c>
      <c r="J17" s="303">
        <v>1700</v>
      </c>
      <c r="K17" s="304">
        <f t="shared" si="1"/>
        <v>91.397849462365585</v>
      </c>
      <c r="L17" s="314">
        <v>18.600000000000001</v>
      </c>
      <c r="M17" s="305">
        <f>AVERAGE(M12:M16)</f>
        <v>1627.2207913242389</v>
      </c>
      <c r="N17" s="304">
        <f t="shared" si="3"/>
        <v>87.484988780873053</v>
      </c>
      <c r="O17" s="306">
        <f t="shared" si="4"/>
        <v>0</v>
      </c>
      <c r="P17" s="307">
        <f t="shared" si="5"/>
        <v>-3.912860681492532</v>
      </c>
      <c r="Q17" s="499">
        <f t="shared" si="6"/>
        <v>0.95718870077896401</v>
      </c>
      <c r="R17" s="571"/>
      <c r="S17" s="308"/>
      <c r="T17" s="308"/>
      <c r="U17" s="498"/>
      <c r="V17" s="504"/>
      <c r="W17" s="304"/>
      <c r="X17" s="304"/>
      <c r="Y17" s="570"/>
      <c r="Z17" s="570"/>
      <c r="AA17" s="306">
        <f t="shared" si="8"/>
        <v>-72.779208675761083</v>
      </c>
      <c r="AB17" s="499">
        <f t="shared" si="9"/>
        <v>0.95718870077896412</v>
      </c>
      <c r="AC17" s="571"/>
    </row>
    <row r="18" spans="1:29" ht="15.75" customHeight="1">
      <c r="A18" s="592" t="s">
        <v>2352</v>
      </c>
      <c r="B18" s="300" t="s">
        <v>43</v>
      </c>
      <c r="C18" s="590" t="s">
        <v>51</v>
      </c>
      <c r="D18" s="590"/>
      <c r="E18" s="300">
        <v>43.14</v>
      </c>
      <c r="F18" s="505">
        <v>1068</v>
      </c>
      <c r="G18" s="498">
        <f t="shared" ref="G18:G22" si="19">E18*F18</f>
        <v>46073.520000000004</v>
      </c>
      <c r="H18" s="507" t="s">
        <v>35</v>
      </c>
      <c r="I18" s="503">
        <v>17</v>
      </c>
      <c r="J18" s="303">
        <v>2000</v>
      </c>
      <c r="K18" s="304">
        <f t="shared" si="1"/>
        <v>117.64705882352941</v>
      </c>
      <c r="L18" s="503">
        <v>17</v>
      </c>
      <c r="M18" s="305">
        <f t="shared" ref="M18:M22" si="20">F18/V18*60</f>
        <v>1941.818181818182</v>
      </c>
      <c r="N18" s="304">
        <f t="shared" si="3"/>
        <v>114.22459893048129</v>
      </c>
      <c r="O18" s="306">
        <f t="shared" si="4"/>
        <v>0</v>
      </c>
      <c r="P18" s="307">
        <f t="shared" si="5"/>
        <v>-3.4224598930481136</v>
      </c>
      <c r="Q18" s="499">
        <f t="shared" si="6"/>
        <v>0.97090909090909105</v>
      </c>
      <c r="R18" s="571">
        <f>Q23</f>
        <v>0.95815184872591197</v>
      </c>
      <c r="S18" s="308">
        <v>0.20833333333333334</v>
      </c>
      <c r="T18" s="308">
        <v>0.23125000000000001</v>
      </c>
      <c r="U18" s="498"/>
      <c r="V18" s="504">
        <f t="shared" ref="V18:V22" si="21">(T18-S18)*24*60</f>
        <v>33</v>
      </c>
      <c r="W18" s="315"/>
      <c r="X18" s="315"/>
      <c r="Y18" s="570"/>
      <c r="Z18" s="570"/>
      <c r="AA18" s="306">
        <f t="shared" si="8"/>
        <v>-58.181818181818016</v>
      </c>
      <c r="AB18" s="499">
        <f t="shared" si="9"/>
        <v>0.97090909090909094</v>
      </c>
      <c r="AC18" s="571">
        <f>AB23</f>
        <v>0.95815184872591208</v>
      </c>
    </row>
    <row r="19" spans="1:29" ht="15.75" customHeight="1">
      <c r="A19" s="593" t="s">
        <v>2352</v>
      </c>
      <c r="B19" s="300" t="s">
        <v>36</v>
      </c>
      <c r="C19" s="590" t="s">
        <v>53</v>
      </c>
      <c r="D19" s="590"/>
      <c r="E19" s="300">
        <v>53.68</v>
      </c>
      <c r="F19" s="505">
        <v>1525</v>
      </c>
      <c r="G19" s="498">
        <f t="shared" si="19"/>
        <v>81862</v>
      </c>
      <c r="H19" s="507" t="s">
        <v>35</v>
      </c>
      <c r="I19" s="503">
        <v>16</v>
      </c>
      <c r="J19" s="303">
        <v>2000</v>
      </c>
      <c r="K19" s="304">
        <f t="shared" si="1"/>
        <v>125</v>
      </c>
      <c r="L19" s="503">
        <v>16</v>
      </c>
      <c r="M19" s="305">
        <f t="shared" si="20"/>
        <v>1906.2499999999989</v>
      </c>
      <c r="N19" s="304">
        <f t="shared" si="3"/>
        <v>119.14062499999993</v>
      </c>
      <c r="O19" s="306">
        <f t="shared" si="4"/>
        <v>0</v>
      </c>
      <c r="P19" s="307">
        <f t="shared" si="5"/>
        <v>-5.8593750000000711</v>
      </c>
      <c r="Q19" s="499">
        <f t="shared" si="6"/>
        <v>0.95312499999999944</v>
      </c>
      <c r="R19" s="571"/>
      <c r="S19" s="308">
        <v>0.23680555555555557</v>
      </c>
      <c r="T19" s="308">
        <v>0.27013888888888893</v>
      </c>
      <c r="U19" s="498">
        <f t="shared" ref="U19:U22" si="22">IF(S19=TIME(17,0,0),"",(S19-T18)*24*60)</f>
        <v>8.0000000000000107</v>
      </c>
      <c r="V19" s="504">
        <f t="shared" si="21"/>
        <v>48.000000000000028</v>
      </c>
      <c r="W19" s="310"/>
      <c r="X19" s="498"/>
      <c r="Y19" s="570"/>
      <c r="Z19" s="570"/>
      <c r="AA19" s="306">
        <f t="shared" si="8"/>
        <v>-93.750000000001137</v>
      </c>
      <c r="AB19" s="499">
        <f t="shared" si="9"/>
        <v>0.95312499999999944</v>
      </c>
      <c r="AC19" s="571"/>
    </row>
    <row r="20" spans="1:29" ht="15.75" customHeight="1">
      <c r="A20" s="593" t="s">
        <v>2352</v>
      </c>
      <c r="B20" s="300" t="s">
        <v>36</v>
      </c>
      <c r="C20" s="590" t="s">
        <v>52</v>
      </c>
      <c r="D20" s="590"/>
      <c r="E20" s="300">
        <v>57.73</v>
      </c>
      <c r="F20" s="505">
        <v>2578</v>
      </c>
      <c r="G20" s="498">
        <f t="shared" si="19"/>
        <v>148827.94</v>
      </c>
      <c r="H20" s="507" t="s">
        <v>35</v>
      </c>
      <c r="I20" s="503">
        <v>15</v>
      </c>
      <c r="J20" s="303">
        <v>2000</v>
      </c>
      <c r="K20" s="304">
        <f t="shared" si="1"/>
        <v>133.33333333333334</v>
      </c>
      <c r="L20" s="503">
        <v>15</v>
      </c>
      <c r="M20" s="305">
        <f t="shared" si="20"/>
        <v>1909.6296296296291</v>
      </c>
      <c r="N20" s="304">
        <f t="shared" si="3"/>
        <v>127.3086419753086</v>
      </c>
      <c r="O20" s="306">
        <f t="shared" si="4"/>
        <v>0</v>
      </c>
      <c r="P20" s="307">
        <f t="shared" si="5"/>
        <v>-6.0246913580247394</v>
      </c>
      <c r="Q20" s="499">
        <f t="shared" si="6"/>
        <v>0.95481481481481445</v>
      </c>
      <c r="R20" s="571"/>
      <c r="S20" s="308">
        <v>0.27500000000000002</v>
      </c>
      <c r="T20" s="308">
        <v>0.33125000000000004</v>
      </c>
      <c r="U20" s="498">
        <f t="shared" si="22"/>
        <v>6.9999999999999751</v>
      </c>
      <c r="V20" s="504">
        <f t="shared" si="21"/>
        <v>81.000000000000028</v>
      </c>
      <c r="W20" s="310"/>
      <c r="X20" s="498"/>
      <c r="Y20" s="570"/>
      <c r="Z20" s="570"/>
      <c r="AA20" s="306">
        <f t="shared" si="8"/>
        <v>-90.370370370370892</v>
      </c>
      <c r="AB20" s="499">
        <f t="shared" si="9"/>
        <v>0.95481481481481456</v>
      </c>
      <c r="AC20" s="571"/>
    </row>
    <row r="21" spans="1:29" ht="15.75" customHeight="1">
      <c r="A21" s="593" t="s">
        <v>2353</v>
      </c>
      <c r="B21" s="300" t="s">
        <v>36</v>
      </c>
      <c r="C21" s="590" t="s">
        <v>55</v>
      </c>
      <c r="D21" s="590"/>
      <c r="E21" s="300">
        <v>54.09</v>
      </c>
      <c r="F21" s="505">
        <v>1948</v>
      </c>
      <c r="G21" s="498">
        <f t="shared" si="19"/>
        <v>105367.32</v>
      </c>
      <c r="H21" s="507" t="s">
        <v>35</v>
      </c>
      <c r="I21" s="503">
        <v>19</v>
      </c>
      <c r="J21" s="303">
        <v>2000</v>
      </c>
      <c r="K21" s="304">
        <f t="shared" si="1"/>
        <v>105.26315789473684</v>
      </c>
      <c r="L21" s="503">
        <v>19</v>
      </c>
      <c r="M21" s="305">
        <f t="shared" si="20"/>
        <v>1916.0655737704935</v>
      </c>
      <c r="N21" s="304">
        <f t="shared" si="3"/>
        <v>100.84555651423651</v>
      </c>
      <c r="O21" s="306">
        <f t="shared" si="4"/>
        <v>0</v>
      </c>
      <c r="P21" s="307">
        <f t="shared" si="5"/>
        <v>-4.4176013805003294</v>
      </c>
      <c r="Q21" s="499">
        <f t="shared" si="6"/>
        <v>0.95803278688524685</v>
      </c>
      <c r="R21" s="571"/>
      <c r="S21" s="308">
        <v>0.70833333333333337</v>
      </c>
      <c r="T21" s="308">
        <v>0.75069444444444444</v>
      </c>
      <c r="U21" s="498" t="str">
        <f t="shared" si="22"/>
        <v/>
      </c>
      <c r="V21" s="504">
        <f t="shared" si="21"/>
        <v>60.999999999999943</v>
      </c>
      <c r="W21" s="310"/>
      <c r="X21" s="498"/>
      <c r="Y21" s="570"/>
      <c r="Z21" s="570"/>
      <c r="AA21" s="306">
        <f t="shared" si="8"/>
        <v>-83.934426229506471</v>
      </c>
      <c r="AB21" s="499">
        <f t="shared" si="9"/>
        <v>0.95803278688524673</v>
      </c>
      <c r="AC21" s="571"/>
    </row>
    <row r="22" spans="1:29" ht="15.75" customHeight="1">
      <c r="A22" s="593" t="s">
        <v>2352</v>
      </c>
      <c r="B22" s="300" t="s">
        <v>36</v>
      </c>
      <c r="C22" s="590" t="s">
        <v>1976</v>
      </c>
      <c r="D22" s="590"/>
      <c r="E22" s="300">
        <v>50.67</v>
      </c>
      <c r="F22" s="505">
        <v>1558</v>
      </c>
      <c r="G22" s="498">
        <f t="shared" si="19"/>
        <v>78943.86</v>
      </c>
      <c r="H22" s="507" t="s">
        <v>35</v>
      </c>
      <c r="I22" s="503">
        <v>15</v>
      </c>
      <c r="J22" s="303">
        <v>2000</v>
      </c>
      <c r="K22" s="304">
        <f t="shared" si="1"/>
        <v>133.33333333333334</v>
      </c>
      <c r="L22" s="503">
        <v>15</v>
      </c>
      <c r="M22" s="305">
        <f t="shared" si="20"/>
        <v>1907.7551020408171</v>
      </c>
      <c r="N22" s="304">
        <f t="shared" si="3"/>
        <v>127.1836734693878</v>
      </c>
      <c r="O22" s="306">
        <f t="shared" si="4"/>
        <v>0</v>
      </c>
      <c r="P22" s="307">
        <f t="shared" si="5"/>
        <v>-6.1496598639455442</v>
      </c>
      <c r="Q22" s="499">
        <f t="shared" si="6"/>
        <v>0.95387755102040839</v>
      </c>
      <c r="R22" s="571"/>
      <c r="S22" s="308">
        <v>0.75555555555555554</v>
      </c>
      <c r="T22" s="308">
        <v>0.7895833333333333</v>
      </c>
      <c r="U22" s="498">
        <f t="shared" si="22"/>
        <v>6.9999999999999751</v>
      </c>
      <c r="V22" s="504">
        <f t="shared" si="21"/>
        <v>48.999999999999986</v>
      </c>
      <c r="W22" s="310"/>
      <c r="X22" s="498"/>
      <c r="Y22" s="570"/>
      <c r="Z22" s="570"/>
      <c r="AA22" s="306">
        <f t="shared" si="8"/>
        <v>-92.244897959182936</v>
      </c>
      <c r="AB22" s="499">
        <f t="shared" si="9"/>
        <v>0.9538775510204085</v>
      </c>
      <c r="AC22" s="571"/>
    </row>
    <row r="23" spans="1:29" ht="15.75" customHeight="1">
      <c r="A23" s="593" t="s">
        <v>2352</v>
      </c>
      <c r="B23" s="300" t="s">
        <v>2349</v>
      </c>
      <c r="C23" s="572"/>
      <c r="D23" s="572"/>
      <c r="E23" s="500"/>
      <c r="F23" s="505"/>
      <c r="G23" s="498"/>
      <c r="H23" s="505"/>
      <c r="I23" s="314">
        <v>16.399999999999999</v>
      </c>
      <c r="J23" s="303">
        <v>2000</v>
      </c>
      <c r="K23" s="304">
        <f t="shared" si="1"/>
        <v>121.95121951219514</v>
      </c>
      <c r="L23" s="314">
        <v>16.399999999999999</v>
      </c>
      <c r="M23" s="305">
        <f>AVERAGE(M18:M22)</f>
        <v>1916.3036974518241</v>
      </c>
      <c r="N23" s="304">
        <f t="shared" si="3"/>
        <v>116.84778642998928</v>
      </c>
      <c r="O23" s="306">
        <f t="shared" si="4"/>
        <v>0</v>
      </c>
      <c r="P23" s="307">
        <f t="shared" si="5"/>
        <v>-5.1034330822058536</v>
      </c>
      <c r="Q23" s="499">
        <f t="shared" si="6"/>
        <v>0.95815184872591197</v>
      </c>
      <c r="R23" s="571"/>
      <c r="S23" s="308"/>
      <c r="T23" s="308"/>
      <c r="U23" s="304"/>
      <c r="V23" s="504"/>
      <c r="W23" s="304"/>
      <c r="X23" s="304"/>
      <c r="Y23" s="570"/>
      <c r="Z23" s="570"/>
      <c r="AA23" s="306">
        <f t="shared" si="8"/>
        <v>-83.696302548175936</v>
      </c>
      <c r="AB23" s="499">
        <f t="shared" si="9"/>
        <v>0.95815184872591208</v>
      </c>
      <c r="AC23" s="571"/>
    </row>
    <row r="24" spans="1:29" ht="15.75" customHeight="1">
      <c r="A24" s="591" t="s">
        <v>2354</v>
      </c>
      <c r="B24" s="300" t="s">
        <v>46</v>
      </c>
      <c r="C24" s="590" t="s">
        <v>61</v>
      </c>
      <c r="D24" s="590"/>
      <c r="E24" s="300">
        <v>31.29</v>
      </c>
      <c r="F24" s="505">
        <v>6664</v>
      </c>
      <c r="G24" s="498">
        <f t="shared" ref="G24:G29" si="23">E24*F24</f>
        <v>208516.56</v>
      </c>
      <c r="H24" s="507" t="s">
        <v>35</v>
      </c>
      <c r="I24" s="503">
        <v>18</v>
      </c>
      <c r="J24" s="303">
        <v>2400</v>
      </c>
      <c r="K24" s="304">
        <f t="shared" si="1"/>
        <v>133.33333333333334</v>
      </c>
      <c r="L24" s="503">
        <v>18</v>
      </c>
      <c r="M24" s="305">
        <f t="shared" ref="M24:M29" si="24">F24/V24*60</f>
        <v>2284.7999999999997</v>
      </c>
      <c r="N24" s="304">
        <f t="shared" si="3"/>
        <v>126.93333333333332</v>
      </c>
      <c r="O24" s="306">
        <f t="shared" si="4"/>
        <v>0</v>
      </c>
      <c r="P24" s="307">
        <f t="shared" si="5"/>
        <v>-6.4000000000000199</v>
      </c>
      <c r="Q24" s="499">
        <f t="shared" si="6"/>
        <v>0.95199999999999985</v>
      </c>
      <c r="R24" s="571">
        <f>Q30</f>
        <v>0.95616442272040791</v>
      </c>
      <c r="S24" s="308">
        <v>8.3333333333333329E-2</v>
      </c>
      <c r="T24" s="308">
        <v>0.2048611111111111</v>
      </c>
      <c r="U24" s="498"/>
      <c r="V24" s="504">
        <f t="shared" ref="V24:V29" si="25">(T24-S24)*24*60</f>
        <v>175</v>
      </c>
      <c r="W24" s="310">
        <f>T24</f>
        <v>0.2048611111111111</v>
      </c>
      <c r="X24" s="310">
        <f>S25</f>
        <v>0.22500000000000001</v>
      </c>
      <c r="Y24" s="570"/>
      <c r="Z24" s="570"/>
      <c r="AA24" s="306">
        <f t="shared" si="8"/>
        <v>-115.20000000000027</v>
      </c>
      <c r="AB24" s="499">
        <f t="shared" si="9"/>
        <v>0.95199999999999985</v>
      </c>
      <c r="AC24" s="571">
        <f>AB30</f>
        <v>0.9561644227204078</v>
      </c>
    </row>
    <row r="25" spans="1:29" ht="15.75" customHeight="1">
      <c r="A25" s="591" t="s">
        <v>2355</v>
      </c>
      <c r="B25" s="300" t="s">
        <v>46</v>
      </c>
      <c r="C25" s="590" t="s">
        <v>59</v>
      </c>
      <c r="D25" s="590"/>
      <c r="E25" s="300">
        <v>26.18</v>
      </c>
      <c r="F25" s="505">
        <v>2844</v>
      </c>
      <c r="G25" s="498">
        <f t="shared" si="23"/>
        <v>74455.92</v>
      </c>
      <c r="H25" s="507" t="s">
        <v>35</v>
      </c>
      <c r="I25" s="503">
        <v>19</v>
      </c>
      <c r="J25" s="303">
        <v>2400</v>
      </c>
      <c r="K25" s="304">
        <f t="shared" si="1"/>
        <v>126.31578947368421</v>
      </c>
      <c r="L25" s="503">
        <v>19</v>
      </c>
      <c r="M25" s="305">
        <f t="shared" si="24"/>
        <v>2305.9459459459458</v>
      </c>
      <c r="N25" s="304">
        <f t="shared" si="3"/>
        <v>121.3655761024182</v>
      </c>
      <c r="O25" s="306">
        <f t="shared" si="4"/>
        <v>0</v>
      </c>
      <c r="P25" s="307">
        <f t="shared" si="5"/>
        <v>-4.9502133712660026</v>
      </c>
      <c r="Q25" s="499">
        <f t="shared" si="6"/>
        <v>0.96081081081081077</v>
      </c>
      <c r="R25" s="571"/>
      <c r="S25" s="308">
        <v>0.22500000000000001</v>
      </c>
      <c r="T25" s="308">
        <v>0.27638888888888891</v>
      </c>
      <c r="U25" s="498">
        <f t="shared" ref="U25:U29" si="26">(S25-T24)*24*60</f>
        <v>29.000000000000018</v>
      </c>
      <c r="V25" s="504">
        <f t="shared" si="25"/>
        <v>74.000000000000014</v>
      </c>
      <c r="W25" s="310"/>
      <c r="X25" s="310"/>
      <c r="Y25" s="570"/>
      <c r="Z25" s="570"/>
      <c r="AA25" s="306">
        <f t="shared" si="8"/>
        <v>-94.054054054054177</v>
      </c>
      <c r="AB25" s="499">
        <f t="shared" si="9"/>
        <v>0.96081081081081077</v>
      </c>
      <c r="AC25" s="571"/>
    </row>
    <row r="26" spans="1:29" ht="15.75" customHeight="1">
      <c r="A26" s="591" t="s">
        <v>2355</v>
      </c>
      <c r="B26" s="300" t="s">
        <v>46</v>
      </c>
      <c r="C26" s="590" t="s">
        <v>60</v>
      </c>
      <c r="D26" s="590"/>
      <c r="E26" s="300">
        <v>26.2</v>
      </c>
      <c r="F26" s="505">
        <v>3563</v>
      </c>
      <c r="G26" s="498">
        <f t="shared" si="23"/>
        <v>93350.599999999991</v>
      </c>
      <c r="H26" s="507" t="s">
        <v>35</v>
      </c>
      <c r="I26" s="503">
        <v>19</v>
      </c>
      <c r="J26" s="303">
        <v>2400</v>
      </c>
      <c r="K26" s="304">
        <f t="shared" si="1"/>
        <v>126.31578947368421</v>
      </c>
      <c r="L26" s="503">
        <v>19</v>
      </c>
      <c r="M26" s="305">
        <f t="shared" si="24"/>
        <v>2298.7096774193551</v>
      </c>
      <c r="N26" s="304">
        <f t="shared" si="3"/>
        <v>120.98471986417658</v>
      </c>
      <c r="O26" s="306">
        <f t="shared" si="4"/>
        <v>0</v>
      </c>
      <c r="P26" s="307">
        <f t="shared" si="5"/>
        <v>-5.3310696095076224</v>
      </c>
      <c r="Q26" s="499">
        <f t="shared" si="6"/>
        <v>0.95779569892473138</v>
      </c>
      <c r="R26" s="571"/>
      <c r="S26" s="308">
        <v>0.28125</v>
      </c>
      <c r="T26" s="308">
        <v>0.34583333333333333</v>
      </c>
      <c r="U26" s="498">
        <f t="shared" si="26"/>
        <v>6.9999999999999751</v>
      </c>
      <c r="V26" s="504">
        <f t="shared" si="25"/>
        <v>92.999999999999986</v>
      </c>
      <c r="W26" s="310"/>
      <c r="X26" s="310"/>
      <c r="Y26" s="570"/>
      <c r="Z26" s="570"/>
      <c r="AA26" s="306">
        <f t="shared" si="8"/>
        <v>-101.2903225806449</v>
      </c>
      <c r="AB26" s="499">
        <f t="shared" si="9"/>
        <v>0.95779569892473126</v>
      </c>
      <c r="AC26" s="571"/>
    </row>
    <row r="27" spans="1:29" ht="15.75" customHeight="1">
      <c r="A27" s="591" t="s">
        <v>2354</v>
      </c>
      <c r="B27" s="300" t="s">
        <v>46</v>
      </c>
      <c r="C27" s="590" t="s">
        <v>56</v>
      </c>
      <c r="D27" s="590"/>
      <c r="E27" s="300">
        <v>26.2</v>
      </c>
      <c r="F27" s="505">
        <v>3911</v>
      </c>
      <c r="G27" s="498">
        <f t="shared" si="23"/>
        <v>102468.2</v>
      </c>
      <c r="H27" s="507" t="s">
        <v>35</v>
      </c>
      <c r="I27" s="503">
        <v>20</v>
      </c>
      <c r="J27" s="303">
        <v>2400</v>
      </c>
      <c r="K27" s="304">
        <f t="shared" si="1"/>
        <v>120</v>
      </c>
      <c r="L27" s="503">
        <v>20</v>
      </c>
      <c r="M27" s="305">
        <f t="shared" si="24"/>
        <v>2300.5882352941185</v>
      </c>
      <c r="N27" s="304">
        <f t="shared" si="3"/>
        <v>115.02941176470593</v>
      </c>
      <c r="O27" s="306">
        <f t="shared" si="4"/>
        <v>0</v>
      </c>
      <c r="P27" s="307">
        <f t="shared" si="5"/>
        <v>-4.9705882352940733</v>
      </c>
      <c r="Q27" s="499">
        <f t="shared" si="6"/>
        <v>0.95857843137254939</v>
      </c>
      <c r="R27" s="571"/>
      <c r="S27" s="308">
        <v>0.34930555555555554</v>
      </c>
      <c r="T27" s="308">
        <v>0.42013888888888884</v>
      </c>
      <c r="U27" s="498">
        <f t="shared" si="26"/>
        <v>4.9999999999999822</v>
      </c>
      <c r="V27" s="504">
        <f t="shared" si="25"/>
        <v>101.99999999999996</v>
      </c>
      <c r="W27" s="310"/>
      <c r="X27" s="310"/>
      <c r="Y27" s="570"/>
      <c r="Z27" s="570"/>
      <c r="AA27" s="306">
        <f t="shared" si="8"/>
        <v>-99.411764705881524</v>
      </c>
      <c r="AB27" s="499">
        <f t="shared" si="9"/>
        <v>0.95857843137254939</v>
      </c>
      <c r="AC27" s="571"/>
    </row>
    <row r="28" spans="1:29" ht="15.75" customHeight="1">
      <c r="A28" s="591" t="s">
        <v>2355</v>
      </c>
      <c r="B28" s="300" t="s">
        <v>46</v>
      </c>
      <c r="C28" s="590" t="s">
        <v>2114</v>
      </c>
      <c r="D28" s="590"/>
      <c r="E28" s="300">
        <v>25.99</v>
      </c>
      <c r="F28" s="505">
        <v>4500</v>
      </c>
      <c r="G28" s="498">
        <f t="shared" si="23"/>
        <v>116955</v>
      </c>
      <c r="H28" s="507">
        <v>2</v>
      </c>
      <c r="I28" s="503">
        <v>15</v>
      </c>
      <c r="J28" s="303">
        <v>2400</v>
      </c>
      <c r="K28" s="304">
        <f t="shared" si="1"/>
        <v>160</v>
      </c>
      <c r="L28" s="503">
        <v>15</v>
      </c>
      <c r="M28" s="305">
        <f t="shared" si="24"/>
        <v>2288.1355932203378</v>
      </c>
      <c r="N28" s="304">
        <f t="shared" si="3"/>
        <v>152.54237288135585</v>
      </c>
      <c r="O28" s="306">
        <f t="shared" si="4"/>
        <v>0</v>
      </c>
      <c r="P28" s="307">
        <f t="shared" si="5"/>
        <v>-7.4576271186441545</v>
      </c>
      <c r="Q28" s="499">
        <f t="shared" si="6"/>
        <v>0.95338983050847403</v>
      </c>
      <c r="R28" s="571"/>
      <c r="S28" s="308">
        <v>0.42361111111111105</v>
      </c>
      <c r="T28" s="308">
        <v>0.50555555555555554</v>
      </c>
      <c r="U28" s="498">
        <f t="shared" si="26"/>
        <v>4.9999999999999822</v>
      </c>
      <c r="V28" s="504">
        <f t="shared" si="25"/>
        <v>118.00000000000006</v>
      </c>
      <c r="W28" s="310">
        <f>T28</f>
        <v>0.50555555555555554</v>
      </c>
      <c r="X28" s="310">
        <f>S29</f>
        <v>0.5444444444444444</v>
      </c>
      <c r="Y28" s="570"/>
      <c r="Z28" s="570"/>
      <c r="AA28" s="306">
        <f t="shared" si="8"/>
        <v>-111.8644067796622</v>
      </c>
      <c r="AB28" s="499">
        <f t="shared" si="9"/>
        <v>0.95338983050847403</v>
      </c>
      <c r="AC28" s="571"/>
    </row>
    <row r="29" spans="1:29" ht="15.75" customHeight="1">
      <c r="A29" s="591" t="s">
        <v>2355</v>
      </c>
      <c r="B29" s="300" t="s">
        <v>46</v>
      </c>
      <c r="C29" s="590" t="s">
        <v>2114</v>
      </c>
      <c r="D29" s="590"/>
      <c r="E29" s="300">
        <v>25.99</v>
      </c>
      <c r="F29" s="505">
        <v>1298</v>
      </c>
      <c r="G29" s="498">
        <f t="shared" si="23"/>
        <v>33735.019999999997</v>
      </c>
      <c r="H29" s="507" t="s">
        <v>35</v>
      </c>
      <c r="I29" s="503">
        <v>15</v>
      </c>
      <c r="J29" s="303">
        <v>2400</v>
      </c>
      <c r="K29" s="304">
        <f t="shared" si="1"/>
        <v>160</v>
      </c>
      <c r="L29" s="503">
        <v>15</v>
      </c>
      <c r="M29" s="305">
        <f t="shared" si="24"/>
        <v>2290.5882352941148</v>
      </c>
      <c r="N29" s="304">
        <f t="shared" si="3"/>
        <v>152.70588235294099</v>
      </c>
      <c r="O29" s="306">
        <f t="shared" si="4"/>
        <v>0</v>
      </c>
      <c r="P29" s="307">
        <f t="shared" si="5"/>
        <v>-7.2941176470590108</v>
      </c>
      <c r="Q29" s="499">
        <f t="shared" si="6"/>
        <v>0.95441176470588118</v>
      </c>
      <c r="R29" s="571"/>
      <c r="S29" s="308">
        <v>0.5444444444444444</v>
      </c>
      <c r="T29" s="308">
        <v>0.56805555555555554</v>
      </c>
      <c r="U29" s="498">
        <f t="shared" si="26"/>
        <v>55.999999999999957</v>
      </c>
      <c r="V29" s="504">
        <f t="shared" si="25"/>
        <v>34.000000000000043</v>
      </c>
      <c r="W29" s="310"/>
      <c r="X29" s="310"/>
      <c r="Y29" s="570"/>
      <c r="Z29" s="570"/>
      <c r="AA29" s="306">
        <f t="shared" si="8"/>
        <v>-109.41176470588516</v>
      </c>
      <c r="AB29" s="499">
        <f t="shared" si="9"/>
        <v>0.95441176470588118</v>
      </c>
      <c r="AC29" s="571"/>
    </row>
    <row r="30" spans="1:29" ht="15.75" customHeight="1">
      <c r="A30" s="591" t="s">
        <v>2355</v>
      </c>
      <c r="B30" s="300" t="s">
        <v>2349</v>
      </c>
      <c r="C30" s="572"/>
      <c r="D30" s="572"/>
      <c r="E30" s="500"/>
      <c r="F30" s="505"/>
      <c r="G30" s="498"/>
      <c r="H30" s="505"/>
      <c r="I30" s="314">
        <v>17.666666666666668</v>
      </c>
      <c r="J30" s="303">
        <v>2400</v>
      </c>
      <c r="K30" s="304">
        <f t="shared" si="1"/>
        <v>135.84905660377356</v>
      </c>
      <c r="L30" s="314">
        <v>17.666666666666668</v>
      </c>
      <c r="M30" s="305">
        <f>AVERAGE(M24:M29)</f>
        <v>2294.7946145289789</v>
      </c>
      <c r="N30" s="304">
        <f t="shared" si="3"/>
        <v>129.89403478465917</v>
      </c>
      <c r="O30" s="306">
        <f t="shared" si="4"/>
        <v>0</v>
      </c>
      <c r="P30" s="307">
        <f t="shared" si="5"/>
        <v>-5.9550218191143927</v>
      </c>
      <c r="Q30" s="499">
        <f t="shared" si="6"/>
        <v>0.95616442272040791</v>
      </c>
      <c r="R30" s="571"/>
      <c r="S30" s="308"/>
      <c r="T30" s="308"/>
      <c r="U30" s="498"/>
      <c r="V30" s="504"/>
      <c r="W30" s="498"/>
      <c r="X30" s="498"/>
      <c r="Y30" s="570"/>
      <c r="Z30" s="570"/>
      <c r="AA30" s="306">
        <f t="shared" si="8"/>
        <v>-105.20538547102115</v>
      </c>
      <c r="AB30" s="499">
        <f t="shared" si="9"/>
        <v>0.9561644227204078</v>
      </c>
      <c r="AC30" s="571"/>
    </row>
    <row r="31" spans="1:29" ht="15.75" customHeight="1">
      <c r="A31" s="588" t="s">
        <v>2356</v>
      </c>
      <c r="B31" s="300" t="s">
        <v>46</v>
      </c>
      <c r="C31" s="565" t="s">
        <v>63</v>
      </c>
      <c r="D31" s="565"/>
      <c r="E31" s="300">
        <v>26.2</v>
      </c>
      <c r="F31" s="505">
        <v>5089</v>
      </c>
      <c r="G31" s="498">
        <f t="shared" ref="G31:G35" si="27">E31*F31</f>
        <v>133331.79999999999</v>
      </c>
      <c r="H31" s="507" t="s">
        <v>35</v>
      </c>
      <c r="I31" s="503">
        <v>18</v>
      </c>
      <c r="J31" s="303">
        <v>2400</v>
      </c>
      <c r="K31" s="304">
        <f t="shared" si="1"/>
        <v>133.33333333333334</v>
      </c>
      <c r="L31" s="503">
        <v>18</v>
      </c>
      <c r="M31" s="305">
        <f t="shared" ref="M31:M35" si="28">F31/V31*60</f>
        <v>2295.7894736842109</v>
      </c>
      <c r="N31" s="304">
        <f t="shared" si="3"/>
        <v>127.54385964912282</v>
      </c>
      <c r="O31" s="306">
        <f t="shared" si="4"/>
        <v>0</v>
      </c>
      <c r="P31" s="307">
        <f t="shared" si="5"/>
        <v>-5.7894736842105203</v>
      </c>
      <c r="Q31" s="499">
        <f t="shared" si="6"/>
        <v>0.95657894736842108</v>
      </c>
      <c r="R31" s="571">
        <f>Q36</f>
        <v>0.95870609983564614</v>
      </c>
      <c r="S31" s="308">
        <v>8.3333333333333329E-2</v>
      </c>
      <c r="T31" s="308">
        <v>0.17569444444444443</v>
      </c>
      <c r="U31" s="498"/>
      <c r="V31" s="504">
        <f t="shared" ref="V31:V35" si="29">(T31-S31)*24*60</f>
        <v>132.99999999999997</v>
      </c>
      <c r="W31" s="315">
        <f>T31</f>
        <v>0.17569444444444443</v>
      </c>
      <c r="X31" s="315">
        <f>S32</f>
        <v>0.19513888888888886</v>
      </c>
      <c r="Y31" s="570"/>
      <c r="Z31" s="570"/>
      <c r="AA31" s="306">
        <f t="shared" si="8"/>
        <v>-104.21052631578914</v>
      </c>
      <c r="AB31" s="499">
        <f t="shared" si="9"/>
        <v>0.9565789473684212</v>
      </c>
      <c r="AC31" s="571">
        <f>AB36</f>
        <v>0.95870609983564614</v>
      </c>
    </row>
    <row r="32" spans="1:29" ht="15.75" customHeight="1">
      <c r="A32" s="588" t="s">
        <v>2356</v>
      </c>
      <c r="B32" s="300" t="s">
        <v>46</v>
      </c>
      <c r="C32" s="565" t="s">
        <v>64</v>
      </c>
      <c r="D32" s="565"/>
      <c r="E32" s="300">
        <v>26.39</v>
      </c>
      <c r="F32" s="505">
        <v>4806</v>
      </c>
      <c r="G32" s="498">
        <f t="shared" si="27"/>
        <v>126830.34</v>
      </c>
      <c r="H32" s="507" t="s">
        <v>35</v>
      </c>
      <c r="I32" s="503">
        <v>19</v>
      </c>
      <c r="J32" s="303">
        <v>2400</v>
      </c>
      <c r="K32" s="304">
        <f t="shared" si="1"/>
        <v>126.31578947368421</v>
      </c>
      <c r="L32" s="503">
        <v>19</v>
      </c>
      <c r="M32" s="305">
        <f t="shared" si="28"/>
        <v>2288.571428571428</v>
      </c>
      <c r="N32" s="304">
        <f t="shared" si="3"/>
        <v>120.45112781954884</v>
      </c>
      <c r="O32" s="306">
        <f t="shared" si="4"/>
        <v>0</v>
      </c>
      <c r="P32" s="307">
        <f t="shared" si="5"/>
        <v>-5.8646616541353609</v>
      </c>
      <c r="Q32" s="499">
        <f t="shared" si="6"/>
        <v>0.9535714285714284</v>
      </c>
      <c r="R32" s="571"/>
      <c r="S32" s="308">
        <v>0.19513888888888886</v>
      </c>
      <c r="T32" s="308">
        <v>0.28263888888888888</v>
      </c>
      <c r="U32" s="498">
        <f t="shared" ref="U32:U35" si="30">(S32-T31)*24*60</f>
        <v>27.999999999999979</v>
      </c>
      <c r="V32" s="504">
        <f t="shared" si="29"/>
        <v>126.00000000000003</v>
      </c>
      <c r="W32" s="498"/>
      <c r="X32" s="498"/>
      <c r="Y32" s="570"/>
      <c r="Z32" s="570"/>
      <c r="AA32" s="306">
        <f t="shared" si="8"/>
        <v>-111.42857142857201</v>
      </c>
      <c r="AB32" s="499">
        <f t="shared" si="9"/>
        <v>0.95357142857142829</v>
      </c>
      <c r="AC32" s="571"/>
    </row>
    <row r="33" spans="1:29">
      <c r="A33" s="589" t="s">
        <v>2356</v>
      </c>
      <c r="B33" s="300" t="s">
        <v>46</v>
      </c>
      <c r="C33" s="565" t="s">
        <v>87</v>
      </c>
      <c r="D33" s="565"/>
      <c r="E33" s="300">
        <v>20.52</v>
      </c>
      <c r="F33" s="505">
        <v>3605</v>
      </c>
      <c r="G33" s="498">
        <f t="shared" si="27"/>
        <v>73974.599999999991</v>
      </c>
      <c r="H33" s="507" t="s">
        <v>35</v>
      </c>
      <c r="I33" s="503">
        <v>18</v>
      </c>
      <c r="J33" s="303">
        <v>2400</v>
      </c>
      <c r="K33" s="304">
        <f t="shared" si="1"/>
        <v>133.33333333333334</v>
      </c>
      <c r="L33" s="503">
        <v>18</v>
      </c>
      <c r="M33" s="305">
        <f t="shared" si="28"/>
        <v>2301.0638297872347</v>
      </c>
      <c r="N33" s="304">
        <f t="shared" si="3"/>
        <v>127.83687943262414</v>
      </c>
      <c r="O33" s="306">
        <f t="shared" si="4"/>
        <v>0</v>
      </c>
      <c r="P33" s="307">
        <f t="shared" si="5"/>
        <v>-5.4964539007091986</v>
      </c>
      <c r="Q33" s="499">
        <f t="shared" si="6"/>
        <v>0.95877659574468099</v>
      </c>
      <c r="R33" s="571"/>
      <c r="S33" s="308">
        <v>0.28680555555555554</v>
      </c>
      <c r="T33" s="308">
        <v>0.3520833333333333</v>
      </c>
      <c r="U33" s="498">
        <f t="shared" si="30"/>
        <v>5.9999999999999787</v>
      </c>
      <c r="V33" s="504">
        <f t="shared" si="29"/>
        <v>93.999999999999986</v>
      </c>
      <c r="W33" s="498"/>
      <c r="X33" s="498"/>
      <c r="Y33" s="570"/>
      <c r="Z33" s="570"/>
      <c r="AA33" s="306">
        <f t="shared" si="8"/>
        <v>-98.936170212765319</v>
      </c>
      <c r="AB33" s="499">
        <f t="shared" si="9"/>
        <v>0.9587765957446811</v>
      </c>
      <c r="AC33" s="571"/>
    </row>
    <row r="34" spans="1:29">
      <c r="A34" s="589" t="s">
        <v>2357</v>
      </c>
      <c r="B34" s="300" t="s">
        <v>46</v>
      </c>
      <c r="C34" s="565" t="s">
        <v>48</v>
      </c>
      <c r="D34" s="565"/>
      <c r="E34" s="300">
        <v>22.35</v>
      </c>
      <c r="F34" s="505">
        <v>1517</v>
      </c>
      <c r="G34" s="498">
        <f t="shared" si="27"/>
        <v>33904.950000000004</v>
      </c>
      <c r="H34" s="507" t="s">
        <v>35</v>
      </c>
      <c r="I34" s="503">
        <v>16</v>
      </c>
      <c r="J34" s="303">
        <v>2400</v>
      </c>
      <c r="K34" s="304">
        <f t="shared" si="1"/>
        <v>150</v>
      </c>
      <c r="L34" s="503">
        <v>16</v>
      </c>
      <c r="M34" s="305">
        <f t="shared" si="28"/>
        <v>2333.8461538461524</v>
      </c>
      <c r="N34" s="304">
        <f t="shared" si="3"/>
        <v>145.86538461538453</v>
      </c>
      <c r="O34" s="306">
        <f t="shared" si="4"/>
        <v>0</v>
      </c>
      <c r="P34" s="307">
        <f t="shared" si="5"/>
        <v>-4.1346153846154721</v>
      </c>
      <c r="Q34" s="499">
        <f t="shared" si="6"/>
        <v>0.97243589743589687</v>
      </c>
      <c r="R34" s="571"/>
      <c r="S34" s="308">
        <v>0.35624999999999996</v>
      </c>
      <c r="T34" s="308">
        <v>0.3833333333333333</v>
      </c>
      <c r="U34" s="498">
        <f t="shared" si="30"/>
        <v>5.9999999999999787</v>
      </c>
      <c r="V34" s="504">
        <f t="shared" si="29"/>
        <v>39.000000000000021</v>
      </c>
      <c r="W34" s="310"/>
      <c r="X34" s="310"/>
      <c r="Y34" s="570"/>
      <c r="Z34" s="570"/>
      <c r="AA34" s="306">
        <f t="shared" si="8"/>
        <v>-66.153846153847553</v>
      </c>
      <c r="AB34" s="499">
        <f t="shared" si="9"/>
        <v>0.97243589743589687</v>
      </c>
      <c r="AC34" s="571"/>
    </row>
    <row r="35" spans="1:29">
      <c r="A35" s="589" t="s">
        <v>2357</v>
      </c>
      <c r="B35" s="300" t="s">
        <v>46</v>
      </c>
      <c r="C35" s="565" t="s">
        <v>65</v>
      </c>
      <c r="D35" s="565"/>
      <c r="E35" s="300">
        <v>24.43</v>
      </c>
      <c r="F35" s="505">
        <v>6589</v>
      </c>
      <c r="G35" s="498">
        <f t="shared" si="27"/>
        <v>160969.26999999999</v>
      </c>
      <c r="H35" s="507" t="s">
        <v>35</v>
      </c>
      <c r="I35" s="503">
        <v>15</v>
      </c>
      <c r="J35" s="303">
        <v>2400</v>
      </c>
      <c r="K35" s="304">
        <f t="shared" si="1"/>
        <v>160</v>
      </c>
      <c r="L35" s="503">
        <v>15</v>
      </c>
      <c r="M35" s="305">
        <f t="shared" si="28"/>
        <v>2285.2023121387278</v>
      </c>
      <c r="N35" s="304">
        <f t="shared" si="3"/>
        <v>152.34682080924853</v>
      </c>
      <c r="O35" s="306">
        <f t="shared" si="4"/>
        <v>0</v>
      </c>
      <c r="P35" s="307">
        <f t="shared" si="5"/>
        <v>-7.653179190751473</v>
      </c>
      <c r="Q35" s="499">
        <f t="shared" si="6"/>
        <v>0.95216763005780325</v>
      </c>
      <c r="R35" s="571"/>
      <c r="S35" s="308">
        <v>0.3881944444444444</v>
      </c>
      <c r="T35" s="308">
        <v>0.5083333333333333</v>
      </c>
      <c r="U35" s="498">
        <f t="shared" si="30"/>
        <v>6.9999999999999751</v>
      </c>
      <c r="V35" s="504">
        <f t="shared" si="29"/>
        <v>173.00000000000003</v>
      </c>
      <c r="W35" s="310"/>
      <c r="X35" s="310"/>
      <c r="Y35" s="570"/>
      <c r="Z35" s="570"/>
      <c r="AA35" s="306">
        <f t="shared" si="8"/>
        <v>-114.79768786127215</v>
      </c>
      <c r="AB35" s="499">
        <f t="shared" si="9"/>
        <v>0.95216763005780325</v>
      </c>
      <c r="AC35" s="571"/>
    </row>
    <row r="36" spans="1:29">
      <c r="A36" s="589" t="s">
        <v>2356</v>
      </c>
      <c r="B36" s="313" t="s">
        <v>2347</v>
      </c>
      <c r="C36" s="572"/>
      <c r="D36" s="572"/>
      <c r="E36" s="500"/>
      <c r="F36" s="313"/>
      <c r="G36" s="304"/>
      <c r="H36" s="505"/>
      <c r="I36" s="314">
        <v>17.2</v>
      </c>
      <c r="J36" s="303">
        <v>2400</v>
      </c>
      <c r="K36" s="304">
        <f t="shared" si="1"/>
        <v>139.53488372093022</v>
      </c>
      <c r="L36" s="314">
        <v>17.2</v>
      </c>
      <c r="M36" s="305">
        <f>AVERAGE(M31:M35)</f>
        <v>2300.8946396055508</v>
      </c>
      <c r="N36" s="304">
        <f t="shared" si="3"/>
        <v>133.77294416311341</v>
      </c>
      <c r="O36" s="306">
        <f t="shared" si="4"/>
        <v>0</v>
      </c>
      <c r="P36" s="307">
        <f t="shared" si="5"/>
        <v>-5.7619395578168167</v>
      </c>
      <c r="Q36" s="499">
        <f t="shared" si="6"/>
        <v>0.95870609983564614</v>
      </c>
      <c r="R36" s="571"/>
      <c r="S36" s="308"/>
      <c r="T36" s="308"/>
      <c r="U36" s="304"/>
      <c r="V36" s="504"/>
      <c r="W36" s="304"/>
      <c r="X36" s="304"/>
      <c r="Y36" s="570"/>
      <c r="Z36" s="570"/>
      <c r="AA36" s="306">
        <f t="shared" si="8"/>
        <v>-99.105360394449235</v>
      </c>
      <c r="AB36" s="499">
        <f t="shared" si="9"/>
        <v>0.95870609983564614</v>
      </c>
      <c r="AC36" s="571"/>
    </row>
    <row r="37" spans="1:29" ht="15.75" customHeight="1">
      <c r="A37" s="585" t="s">
        <v>2358</v>
      </c>
      <c r="B37" s="300" t="s">
        <v>67</v>
      </c>
      <c r="C37" s="580" t="s">
        <v>68</v>
      </c>
      <c r="D37" s="581"/>
      <c r="E37" s="300">
        <v>21.13</v>
      </c>
      <c r="F37" s="505">
        <v>3960</v>
      </c>
      <c r="G37" s="498">
        <f t="shared" ref="G37:G44" si="31">E37*F37</f>
        <v>83674.8</v>
      </c>
      <c r="H37" s="507" t="s">
        <v>35</v>
      </c>
      <c r="I37" s="503">
        <v>10</v>
      </c>
      <c r="J37" s="303">
        <v>3000</v>
      </c>
      <c r="K37" s="304">
        <f t="shared" si="1"/>
        <v>300</v>
      </c>
      <c r="L37" s="503">
        <v>10</v>
      </c>
      <c r="M37" s="305">
        <f t="shared" ref="M37:M44" si="32">F37/V37*60</f>
        <v>2862.6506024096389</v>
      </c>
      <c r="N37" s="305">
        <f t="shared" si="3"/>
        <v>286.26506024096386</v>
      </c>
      <c r="O37" s="306">
        <f t="shared" si="4"/>
        <v>0</v>
      </c>
      <c r="P37" s="307">
        <f t="shared" si="5"/>
        <v>-13.734939759036138</v>
      </c>
      <c r="Q37" s="499">
        <f t="shared" si="6"/>
        <v>0.95421686746987955</v>
      </c>
      <c r="R37" s="582">
        <f>Q45</f>
        <v>0.96253654086553753</v>
      </c>
      <c r="S37" s="308">
        <v>8.3333333333333329E-2</v>
      </c>
      <c r="T37" s="308">
        <v>0.14097222222222222</v>
      </c>
      <c r="U37" s="315"/>
      <c r="V37" s="504">
        <f t="shared" ref="V37:V44" si="33">(T37-S37)*24*60</f>
        <v>83</v>
      </c>
      <c r="W37" s="310">
        <f>T37</f>
        <v>0.14097222222222222</v>
      </c>
      <c r="X37" s="310">
        <f>S38</f>
        <v>0.15972222222222224</v>
      </c>
      <c r="Y37" s="566"/>
      <c r="Z37" s="567"/>
      <c r="AA37" s="306">
        <f t="shared" si="8"/>
        <v>-137.34939759036115</v>
      </c>
      <c r="AB37" s="499">
        <f t="shared" si="9"/>
        <v>0.95421686746987966</v>
      </c>
      <c r="AC37" s="582">
        <f>AB45</f>
        <v>0.96253654086553764</v>
      </c>
    </row>
    <row r="38" spans="1:29" ht="15.75" customHeight="1">
      <c r="A38" s="586" t="s">
        <v>2359</v>
      </c>
      <c r="B38" s="300" t="s">
        <v>67</v>
      </c>
      <c r="C38" s="580" t="s">
        <v>69</v>
      </c>
      <c r="D38" s="581"/>
      <c r="E38" s="300">
        <v>27.17</v>
      </c>
      <c r="F38" s="505">
        <v>4940</v>
      </c>
      <c r="G38" s="498">
        <f t="shared" si="31"/>
        <v>134219.80000000002</v>
      </c>
      <c r="H38" s="507" t="s">
        <v>35</v>
      </c>
      <c r="I38" s="503">
        <v>10</v>
      </c>
      <c r="J38" s="303">
        <v>3000</v>
      </c>
      <c r="K38" s="304">
        <f t="shared" si="1"/>
        <v>300</v>
      </c>
      <c r="L38" s="503">
        <v>10</v>
      </c>
      <c r="M38" s="305">
        <f t="shared" si="32"/>
        <v>2877.6699029126216</v>
      </c>
      <c r="N38" s="305">
        <f t="shared" si="3"/>
        <v>287.76699029126218</v>
      </c>
      <c r="O38" s="306">
        <f t="shared" si="4"/>
        <v>0</v>
      </c>
      <c r="P38" s="307">
        <f t="shared" si="5"/>
        <v>-12.233009708737825</v>
      </c>
      <c r="Q38" s="499">
        <f t="shared" si="6"/>
        <v>0.95922330097087394</v>
      </c>
      <c r="R38" s="583"/>
      <c r="S38" s="308">
        <v>0.15972222222222224</v>
      </c>
      <c r="T38" s="308">
        <v>0.23125000000000001</v>
      </c>
      <c r="U38" s="498">
        <f t="shared" ref="U38:U44" si="34">(S38-T37)*24*60</f>
        <v>27.000000000000025</v>
      </c>
      <c r="V38" s="504">
        <f t="shared" si="33"/>
        <v>103</v>
      </c>
      <c r="W38" s="310"/>
      <c r="X38" s="310"/>
      <c r="Y38" s="566"/>
      <c r="Z38" s="567"/>
      <c r="AA38" s="306">
        <f t="shared" si="8"/>
        <v>-122.33009708737836</v>
      </c>
      <c r="AB38" s="499">
        <f t="shared" si="9"/>
        <v>0.95922330097087383</v>
      </c>
      <c r="AC38" s="583"/>
    </row>
    <row r="39" spans="1:29" ht="15.75" customHeight="1">
      <c r="A39" s="586" t="s">
        <v>2359</v>
      </c>
      <c r="B39" s="300" t="s">
        <v>67</v>
      </c>
      <c r="C39" s="580" t="s">
        <v>70</v>
      </c>
      <c r="D39" s="581"/>
      <c r="E39" s="300">
        <v>35.119999999999997</v>
      </c>
      <c r="F39" s="505">
        <v>3535</v>
      </c>
      <c r="G39" s="498">
        <f t="shared" si="31"/>
        <v>124149.2</v>
      </c>
      <c r="H39" s="507" t="s">
        <v>35</v>
      </c>
      <c r="I39" s="503">
        <v>10</v>
      </c>
      <c r="J39" s="303">
        <v>3000</v>
      </c>
      <c r="K39" s="304">
        <f t="shared" si="1"/>
        <v>300</v>
      </c>
      <c r="L39" s="503">
        <v>10</v>
      </c>
      <c r="M39" s="305">
        <f t="shared" si="32"/>
        <v>2866.2162162162172</v>
      </c>
      <c r="N39" s="305">
        <f t="shared" si="3"/>
        <v>286.62162162162173</v>
      </c>
      <c r="O39" s="306">
        <f t="shared" si="4"/>
        <v>0</v>
      </c>
      <c r="P39" s="307">
        <f t="shared" si="5"/>
        <v>-13.378378378378272</v>
      </c>
      <c r="Q39" s="499">
        <f t="shared" si="6"/>
        <v>0.95540540540540575</v>
      </c>
      <c r="R39" s="583"/>
      <c r="S39" s="308">
        <v>0.23472222222222222</v>
      </c>
      <c r="T39" s="308">
        <v>0.28611111111111109</v>
      </c>
      <c r="U39" s="498">
        <f t="shared" si="34"/>
        <v>4.9999999999999822</v>
      </c>
      <c r="V39" s="504">
        <f t="shared" si="33"/>
        <v>73.999999999999972</v>
      </c>
      <c r="W39" s="310"/>
      <c r="X39" s="310"/>
      <c r="Y39" s="566"/>
      <c r="Z39" s="567"/>
      <c r="AA39" s="306">
        <f t="shared" si="8"/>
        <v>-133.78378378378284</v>
      </c>
      <c r="AB39" s="499">
        <f t="shared" si="9"/>
        <v>0.95540540540540575</v>
      </c>
      <c r="AC39" s="583"/>
    </row>
    <row r="40" spans="1:29" ht="15.75" customHeight="1">
      <c r="A40" s="586" t="s">
        <v>2359</v>
      </c>
      <c r="B40" s="300" t="s">
        <v>67</v>
      </c>
      <c r="C40" s="580" t="s">
        <v>71</v>
      </c>
      <c r="D40" s="581"/>
      <c r="E40" s="300">
        <v>35.869999999999997</v>
      </c>
      <c r="F40" s="505">
        <v>2318</v>
      </c>
      <c r="G40" s="498">
        <f t="shared" si="31"/>
        <v>83146.659999999989</v>
      </c>
      <c r="H40" s="507" t="s">
        <v>35</v>
      </c>
      <c r="I40" s="503">
        <v>10</v>
      </c>
      <c r="J40" s="303">
        <v>3000</v>
      </c>
      <c r="K40" s="304">
        <f t="shared" si="1"/>
        <v>300</v>
      </c>
      <c r="L40" s="503">
        <v>10</v>
      </c>
      <c r="M40" s="305">
        <f t="shared" si="32"/>
        <v>2897.5000000000009</v>
      </c>
      <c r="N40" s="305">
        <f t="shared" si="3"/>
        <v>289.75000000000011</v>
      </c>
      <c r="O40" s="306">
        <f t="shared" si="4"/>
        <v>0</v>
      </c>
      <c r="P40" s="307">
        <f t="shared" si="5"/>
        <v>-10.249999999999886</v>
      </c>
      <c r="Q40" s="499">
        <f t="shared" si="6"/>
        <v>0.96583333333333377</v>
      </c>
      <c r="R40" s="583"/>
      <c r="S40" s="308">
        <v>0.2895833333333333</v>
      </c>
      <c r="T40" s="308">
        <v>0.32291666666666663</v>
      </c>
      <c r="U40" s="498">
        <f t="shared" si="34"/>
        <v>4.9999999999999822</v>
      </c>
      <c r="V40" s="504">
        <f t="shared" si="33"/>
        <v>47.999999999999986</v>
      </c>
      <c r="W40" s="310"/>
      <c r="X40" s="310"/>
      <c r="Y40" s="566"/>
      <c r="Z40" s="567"/>
      <c r="AA40" s="306">
        <f t="shared" si="8"/>
        <v>-102.49999999999909</v>
      </c>
      <c r="AB40" s="499">
        <f t="shared" si="9"/>
        <v>0.96583333333333365</v>
      </c>
      <c r="AC40" s="583"/>
    </row>
    <row r="41" spans="1:29" ht="15.75" customHeight="1">
      <c r="A41" s="586" t="s">
        <v>2359</v>
      </c>
      <c r="B41" s="300" t="s">
        <v>67</v>
      </c>
      <c r="C41" s="580" t="s">
        <v>72</v>
      </c>
      <c r="D41" s="581"/>
      <c r="E41" s="300">
        <v>36.14</v>
      </c>
      <c r="F41" s="505">
        <v>1277</v>
      </c>
      <c r="G41" s="498">
        <f t="shared" si="31"/>
        <v>46150.78</v>
      </c>
      <c r="H41" s="507" t="s">
        <v>35</v>
      </c>
      <c r="I41" s="503">
        <v>8</v>
      </c>
      <c r="J41" s="303">
        <v>3000</v>
      </c>
      <c r="K41" s="304">
        <f t="shared" si="1"/>
        <v>375</v>
      </c>
      <c r="L41" s="503">
        <v>8</v>
      </c>
      <c r="M41" s="305">
        <f t="shared" si="32"/>
        <v>2946.9230769230785</v>
      </c>
      <c r="N41" s="305">
        <f t="shared" si="3"/>
        <v>368.36538461538481</v>
      </c>
      <c r="O41" s="306">
        <f t="shared" si="4"/>
        <v>0</v>
      </c>
      <c r="P41" s="307">
        <f t="shared" si="5"/>
        <v>-6.6346153846151878</v>
      </c>
      <c r="Q41" s="499">
        <f t="shared" si="6"/>
        <v>0.98230769230769288</v>
      </c>
      <c r="R41" s="583"/>
      <c r="S41" s="308">
        <v>0.32777777777777772</v>
      </c>
      <c r="T41" s="308">
        <v>0.34583333333333327</v>
      </c>
      <c r="U41" s="498">
        <f t="shared" si="34"/>
        <v>6.9999999999999751</v>
      </c>
      <c r="V41" s="504">
        <f t="shared" si="33"/>
        <v>25.999999999999986</v>
      </c>
      <c r="W41" s="310"/>
      <c r="X41" s="310"/>
      <c r="Y41" s="566"/>
      <c r="Z41" s="567"/>
      <c r="AA41" s="306">
        <f t="shared" si="8"/>
        <v>-53.076923076921503</v>
      </c>
      <c r="AB41" s="499">
        <f t="shared" si="9"/>
        <v>0.98230769230769288</v>
      </c>
      <c r="AC41" s="583"/>
    </row>
    <row r="42" spans="1:29" ht="15.75" customHeight="1">
      <c r="A42" s="586" t="s">
        <v>2359</v>
      </c>
      <c r="B42" s="300" t="s">
        <v>67</v>
      </c>
      <c r="C42" s="580" t="s">
        <v>664</v>
      </c>
      <c r="D42" s="581"/>
      <c r="E42" s="300">
        <v>34.36</v>
      </c>
      <c r="F42" s="505">
        <v>2411</v>
      </c>
      <c r="G42" s="498">
        <f t="shared" si="31"/>
        <v>82841.959999999992</v>
      </c>
      <c r="H42" s="507" t="s">
        <v>35</v>
      </c>
      <c r="I42" s="503">
        <v>10</v>
      </c>
      <c r="J42" s="303">
        <v>3000</v>
      </c>
      <c r="K42" s="304">
        <f t="shared" si="1"/>
        <v>300</v>
      </c>
      <c r="L42" s="503">
        <v>10</v>
      </c>
      <c r="M42" s="305">
        <f t="shared" si="32"/>
        <v>2893.2000000000007</v>
      </c>
      <c r="N42" s="305">
        <f t="shared" si="3"/>
        <v>289.32000000000005</v>
      </c>
      <c r="O42" s="306">
        <f t="shared" si="4"/>
        <v>0</v>
      </c>
      <c r="P42" s="307">
        <f t="shared" si="5"/>
        <v>-10.67999999999995</v>
      </c>
      <c r="Q42" s="499">
        <f t="shared" si="6"/>
        <v>0.96440000000000015</v>
      </c>
      <c r="R42" s="583"/>
      <c r="S42" s="308">
        <v>0.34999999999999992</v>
      </c>
      <c r="T42" s="308">
        <v>0.38472222222222213</v>
      </c>
      <c r="U42" s="498">
        <f t="shared" si="34"/>
        <v>5.9999999999999787</v>
      </c>
      <c r="V42" s="504">
        <f t="shared" si="33"/>
        <v>49.999999999999986</v>
      </c>
      <c r="W42" s="310"/>
      <c r="X42" s="310"/>
      <c r="Y42" s="566"/>
      <c r="Z42" s="567"/>
      <c r="AA42" s="306">
        <f t="shared" si="8"/>
        <v>-106.79999999999927</v>
      </c>
      <c r="AB42" s="499">
        <f t="shared" si="9"/>
        <v>0.96440000000000026</v>
      </c>
      <c r="AC42" s="583"/>
    </row>
    <row r="43" spans="1:29" ht="15.75" customHeight="1">
      <c r="A43" s="586" t="s">
        <v>2359</v>
      </c>
      <c r="B43" s="300" t="s">
        <v>67</v>
      </c>
      <c r="C43" s="580" t="s">
        <v>2117</v>
      </c>
      <c r="D43" s="581"/>
      <c r="E43" s="300">
        <v>31</v>
      </c>
      <c r="F43" s="505">
        <v>4200</v>
      </c>
      <c r="G43" s="498">
        <f t="shared" si="31"/>
        <v>130200</v>
      </c>
      <c r="H43" s="507">
        <v>2</v>
      </c>
      <c r="I43" s="503">
        <v>13</v>
      </c>
      <c r="J43" s="303">
        <v>2000</v>
      </c>
      <c r="K43" s="304">
        <f t="shared" si="1"/>
        <v>153.84615384615384</v>
      </c>
      <c r="L43" s="503">
        <v>13</v>
      </c>
      <c r="M43" s="305">
        <f t="shared" si="32"/>
        <v>1909.090909090909</v>
      </c>
      <c r="N43" s="305">
        <f t="shared" si="3"/>
        <v>146.85314685314685</v>
      </c>
      <c r="O43" s="306">
        <f t="shared" si="4"/>
        <v>0</v>
      </c>
      <c r="P43" s="307">
        <f t="shared" si="5"/>
        <v>-6.9930069930069862</v>
      </c>
      <c r="Q43" s="499">
        <f t="shared" si="6"/>
        <v>0.95454545454545459</v>
      </c>
      <c r="R43" s="583"/>
      <c r="S43" s="308">
        <v>0.38888888888888878</v>
      </c>
      <c r="T43" s="308">
        <v>0.48055555555555546</v>
      </c>
      <c r="U43" s="498">
        <f t="shared" si="34"/>
        <v>5.9999999999999787</v>
      </c>
      <c r="V43" s="504">
        <f t="shared" si="33"/>
        <v>132</v>
      </c>
      <c r="W43" s="310">
        <f>T43</f>
        <v>0.48055555555555546</v>
      </c>
      <c r="X43" s="310">
        <f>S44</f>
        <v>0.52291666666666647</v>
      </c>
      <c r="Y43" s="566"/>
      <c r="Z43" s="567"/>
      <c r="AA43" s="306">
        <f t="shared" si="8"/>
        <v>-90.909090909090992</v>
      </c>
      <c r="AB43" s="499">
        <f t="shared" si="9"/>
        <v>0.95454545454545447</v>
      </c>
      <c r="AC43" s="583"/>
    </row>
    <row r="44" spans="1:29" ht="15.75" customHeight="1">
      <c r="A44" s="586" t="s">
        <v>2359</v>
      </c>
      <c r="B44" s="300" t="s">
        <v>67</v>
      </c>
      <c r="C44" s="580" t="s">
        <v>2117</v>
      </c>
      <c r="D44" s="581"/>
      <c r="E44" s="300">
        <v>31</v>
      </c>
      <c r="F44" s="505">
        <v>3012</v>
      </c>
      <c r="G44" s="498">
        <f t="shared" si="31"/>
        <v>93372</v>
      </c>
      <c r="H44" s="507" t="s">
        <v>35</v>
      </c>
      <c r="I44" s="503">
        <v>13</v>
      </c>
      <c r="J44" s="303">
        <v>2000</v>
      </c>
      <c r="K44" s="304">
        <f t="shared" si="1"/>
        <v>153.84615384615384</v>
      </c>
      <c r="L44" s="503">
        <v>13</v>
      </c>
      <c r="M44" s="305">
        <f t="shared" si="32"/>
        <v>1922.553191489362</v>
      </c>
      <c r="N44" s="305">
        <f t="shared" si="3"/>
        <v>147.88870703764323</v>
      </c>
      <c r="O44" s="306">
        <f t="shared" si="4"/>
        <v>0</v>
      </c>
      <c r="P44" s="307">
        <f t="shared" si="5"/>
        <v>-5.9574468085106105</v>
      </c>
      <c r="Q44" s="499">
        <f t="shared" si="6"/>
        <v>0.96127659574468105</v>
      </c>
      <c r="R44" s="583"/>
      <c r="S44" s="308">
        <v>0.52291666666666647</v>
      </c>
      <c r="T44" s="308">
        <v>0.58819444444444424</v>
      </c>
      <c r="U44" s="498">
        <f t="shared" si="34"/>
        <v>60.999999999999865</v>
      </c>
      <c r="V44" s="504">
        <f t="shared" si="33"/>
        <v>93.999999999999986</v>
      </c>
      <c r="W44" s="310"/>
      <c r="X44" s="310"/>
      <c r="Y44" s="566"/>
      <c r="Z44" s="567"/>
      <c r="AA44" s="306">
        <f t="shared" si="8"/>
        <v>-77.446808510637993</v>
      </c>
      <c r="AB44" s="499">
        <f t="shared" si="9"/>
        <v>0.96127659574468105</v>
      </c>
      <c r="AC44" s="583"/>
    </row>
    <row r="45" spans="1:29" ht="15.75" customHeight="1">
      <c r="A45" s="587" t="s">
        <v>2359</v>
      </c>
      <c r="B45" s="300" t="s">
        <v>2349</v>
      </c>
      <c r="C45" s="568"/>
      <c r="D45" s="569"/>
      <c r="E45" s="497"/>
      <c r="F45" s="505"/>
      <c r="G45" s="498"/>
      <c r="H45" s="505"/>
      <c r="I45" s="314">
        <v>10.5</v>
      </c>
      <c r="J45" s="303">
        <v>2750</v>
      </c>
      <c r="K45" s="304">
        <f t="shared" si="1"/>
        <v>261.90476190476193</v>
      </c>
      <c r="L45" s="314">
        <v>10.5</v>
      </c>
      <c r="M45" s="305">
        <f>AVERAGE(M37:M44)</f>
        <v>2646.9754873802285</v>
      </c>
      <c r="N45" s="304">
        <f t="shared" si="3"/>
        <v>252.09290356002177</v>
      </c>
      <c r="O45" s="306">
        <f t="shared" si="4"/>
        <v>0</v>
      </c>
      <c r="P45" s="307">
        <f t="shared" si="5"/>
        <v>-9.8118583447401591</v>
      </c>
      <c r="Q45" s="499">
        <f t="shared" si="6"/>
        <v>0.96253654086553753</v>
      </c>
      <c r="R45" s="584"/>
      <c r="S45" s="308"/>
      <c r="T45" s="308"/>
      <c r="U45" s="498"/>
      <c r="V45" s="504"/>
      <c r="W45" s="310"/>
      <c r="X45" s="310"/>
      <c r="Y45" s="566"/>
      <c r="Z45" s="567"/>
      <c r="AA45" s="306">
        <f t="shared" si="8"/>
        <v>-103.02451261977149</v>
      </c>
      <c r="AB45" s="499">
        <f t="shared" si="9"/>
        <v>0.96253654086553764</v>
      </c>
      <c r="AC45" s="584"/>
    </row>
    <row r="46" spans="1:29" ht="15.75" customHeight="1">
      <c r="A46" s="578" t="s">
        <v>2360</v>
      </c>
      <c r="B46" s="300" t="s">
        <v>40</v>
      </c>
      <c r="C46" s="565" t="s">
        <v>73</v>
      </c>
      <c r="D46" s="565"/>
      <c r="E46" s="300">
        <v>46</v>
      </c>
      <c r="F46" s="317">
        <v>2072</v>
      </c>
      <c r="G46" s="498">
        <f t="shared" ref="G46:G50" si="35">E46*F46</f>
        <v>95312</v>
      </c>
      <c r="H46" s="507" t="s">
        <v>35</v>
      </c>
      <c r="I46" s="503">
        <v>17</v>
      </c>
      <c r="J46" s="303">
        <v>2000</v>
      </c>
      <c r="K46" s="304">
        <f t="shared" si="1"/>
        <v>117.64705882352941</v>
      </c>
      <c r="L46" s="503">
        <v>17</v>
      </c>
      <c r="M46" s="305">
        <f t="shared" ref="M46:M50" si="36">F46/V46*60</f>
        <v>1912.6153846153854</v>
      </c>
      <c r="N46" s="305">
        <f t="shared" si="3"/>
        <v>112.5067873303168</v>
      </c>
      <c r="O46" s="306">
        <f t="shared" si="4"/>
        <v>0</v>
      </c>
      <c r="P46" s="307">
        <f t="shared" si="5"/>
        <v>-5.1402714932126088</v>
      </c>
      <c r="Q46" s="499">
        <f t="shared" si="6"/>
        <v>0.95630769230769286</v>
      </c>
      <c r="R46" s="571">
        <f>Q51</f>
        <v>0.96232502041213508</v>
      </c>
      <c r="S46" s="308">
        <v>0.20833333333333334</v>
      </c>
      <c r="T46" s="308">
        <v>0.25347222222222221</v>
      </c>
      <c r="U46" s="315"/>
      <c r="V46" s="504">
        <f t="shared" ref="V46:V50" si="37">(T46-S46)*24*60</f>
        <v>64.999999999999972</v>
      </c>
      <c r="W46" s="315"/>
      <c r="X46" s="315"/>
      <c r="Y46" s="570"/>
      <c r="Z46" s="570"/>
      <c r="AA46" s="306">
        <f t="shared" si="8"/>
        <v>-87.384615384614563</v>
      </c>
      <c r="AB46" s="499">
        <f t="shared" si="9"/>
        <v>0.95630769230769275</v>
      </c>
      <c r="AC46" s="571">
        <f>AB51</f>
        <v>0.96232502041213497</v>
      </c>
    </row>
    <row r="47" spans="1:29" ht="15.75" customHeight="1">
      <c r="A47" s="578" t="s">
        <v>2360</v>
      </c>
      <c r="B47" s="300" t="s">
        <v>40</v>
      </c>
      <c r="C47" s="565" t="s">
        <v>74</v>
      </c>
      <c r="D47" s="565"/>
      <c r="E47" s="300">
        <v>46</v>
      </c>
      <c r="F47" s="317">
        <v>2300</v>
      </c>
      <c r="G47" s="498">
        <f t="shared" si="35"/>
        <v>105800</v>
      </c>
      <c r="H47" s="507" t="s">
        <v>35</v>
      </c>
      <c r="I47" s="503">
        <v>17</v>
      </c>
      <c r="J47" s="303">
        <v>2000</v>
      </c>
      <c r="K47" s="304">
        <f t="shared" si="1"/>
        <v>117.64705882352941</v>
      </c>
      <c r="L47" s="503">
        <v>17</v>
      </c>
      <c r="M47" s="305">
        <f t="shared" si="36"/>
        <v>1916.666666666667</v>
      </c>
      <c r="N47" s="305">
        <f t="shared" si="3"/>
        <v>112.7450980392157</v>
      </c>
      <c r="O47" s="306">
        <f t="shared" si="4"/>
        <v>0</v>
      </c>
      <c r="P47" s="307">
        <f t="shared" si="5"/>
        <v>-4.901960784313701</v>
      </c>
      <c r="Q47" s="499">
        <f t="shared" si="6"/>
        <v>0.95833333333333359</v>
      </c>
      <c r="R47" s="571"/>
      <c r="S47" s="308">
        <v>0.25902777777777775</v>
      </c>
      <c r="T47" s="308">
        <v>0.30902777777777773</v>
      </c>
      <c r="U47" s="498">
        <f t="shared" ref="U47:U50" si="38">IF(S47=TIME(17,0,0),"",(S47-T46)*24*60)</f>
        <v>7.9999999999999716</v>
      </c>
      <c r="V47" s="504">
        <f t="shared" si="37"/>
        <v>71.999999999999986</v>
      </c>
      <c r="W47" s="310"/>
      <c r="X47" s="310"/>
      <c r="Y47" s="570"/>
      <c r="Z47" s="570"/>
      <c r="AA47" s="306">
        <f t="shared" si="8"/>
        <v>-83.33333333333303</v>
      </c>
      <c r="AB47" s="499">
        <f t="shared" si="9"/>
        <v>0.95833333333333348</v>
      </c>
      <c r="AC47" s="571"/>
    </row>
    <row r="48" spans="1:29" ht="15.75" customHeight="1">
      <c r="A48" s="578" t="s">
        <v>2360</v>
      </c>
      <c r="B48" s="300" t="s">
        <v>36</v>
      </c>
      <c r="C48" s="580" t="s">
        <v>76</v>
      </c>
      <c r="D48" s="581"/>
      <c r="E48" s="300">
        <v>55.56</v>
      </c>
      <c r="F48" s="317">
        <v>1868</v>
      </c>
      <c r="G48" s="498">
        <f t="shared" si="35"/>
        <v>103786.08</v>
      </c>
      <c r="H48" s="507" t="s">
        <v>35</v>
      </c>
      <c r="I48" s="503">
        <v>17</v>
      </c>
      <c r="J48" s="303">
        <v>2000</v>
      </c>
      <c r="K48" s="304">
        <f t="shared" si="1"/>
        <v>117.64705882352941</v>
      </c>
      <c r="L48" s="503">
        <v>17</v>
      </c>
      <c r="M48" s="305">
        <f t="shared" si="36"/>
        <v>1932.4137931034497</v>
      </c>
      <c r="N48" s="305">
        <f t="shared" si="3"/>
        <v>113.67139959432058</v>
      </c>
      <c r="O48" s="306">
        <f t="shared" si="4"/>
        <v>0</v>
      </c>
      <c r="P48" s="307">
        <f t="shared" si="5"/>
        <v>-3.97565922920883</v>
      </c>
      <c r="Q48" s="499">
        <f t="shared" si="6"/>
        <v>0.96620689655172498</v>
      </c>
      <c r="R48" s="571"/>
      <c r="S48" s="308">
        <v>0.70833333333333337</v>
      </c>
      <c r="T48" s="308">
        <v>0.74861111111111112</v>
      </c>
      <c r="U48" s="498" t="str">
        <f t="shared" si="38"/>
        <v/>
      </c>
      <c r="V48" s="504">
        <f t="shared" si="37"/>
        <v>57.999999999999957</v>
      </c>
      <c r="W48" s="310"/>
      <c r="X48" s="310"/>
      <c r="Y48" s="495"/>
      <c r="Z48" s="496"/>
      <c r="AA48" s="306">
        <f t="shared" si="8"/>
        <v>-67.586206896550266</v>
      </c>
      <c r="AB48" s="499">
        <f t="shared" si="9"/>
        <v>0.96620689655172487</v>
      </c>
      <c r="AC48" s="571"/>
    </row>
    <row r="49" spans="1:29" ht="15.75" customHeight="1">
      <c r="A49" s="578" t="s">
        <v>2360</v>
      </c>
      <c r="B49" s="300" t="s">
        <v>36</v>
      </c>
      <c r="C49" s="501" t="s">
        <v>77</v>
      </c>
      <c r="D49" s="502"/>
      <c r="E49" s="300">
        <v>55.32</v>
      </c>
      <c r="F49" s="317">
        <v>1427</v>
      </c>
      <c r="G49" s="498">
        <f t="shared" si="35"/>
        <v>78941.64</v>
      </c>
      <c r="H49" s="507" t="s">
        <v>35</v>
      </c>
      <c r="I49" s="503">
        <v>15</v>
      </c>
      <c r="J49" s="303">
        <v>2000</v>
      </c>
      <c r="K49" s="304">
        <f t="shared" si="1"/>
        <v>133.33333333333334</v>
      </c>
      <c r="L49" s="503">
        <v>15</v>
      </c>
      <c r="M49" s="305">
        <f t="shared" si="36"/>
        <v>1945.9090909090908</v>
      </c>
      <c r="N49" s="305">
        <f t="shared" si="3"/>
        <v>129.72727272727272</v>
      </c>
      <c r="O49" s="306">
        <f t="shared" si="4"/>
        <v>0</v>
      </c>
      <c r="P49" s="307">
        <f t="shared" si="5"/>
        <v>-3.6060606060606233</v>
      </c>
      <c r="Q49" s="499">
        <f t="shared" si="6"/>
        <v>0.97295454545454529</v>
      </c>
      <c r="R49" s="571"/>
      <c r="S49" s="308">
        <v>0.75208333333333333</v>
      </c>
      <c r="T49" s="308">
        <v>0.78263888888888888</v>
      </c>
      <c r="U49" s="498">
        <f t="shared" si="38"/>
        <v>4.9999999999999822</v>
      </c>
      <c r="V49" s="504">
        <f t="shared" si="37"/>
        <v>44</v>
      </c>
      <c r="W49" s="310"/>
      <c r="X49" s="310"/>
      <c r="Y49" s="495"/>
      <c r="Z49" s="496"/>
      <c r="AA49" s="306">
        <f t="shared" si="8"/>
        <v>-54.090909090909236</v>
      </c>
      <c r="AB49" s="499">
        <f t="shared" si="9"/>
        <v>0.97295454545454541</v>
      </c>
      <c r="AC49" s="571"/>
    </row>
    <row r="50" spans="1:29" ht="15.75" customHeight="1">
      <c r="A50" s="578" t="s">
        <v>2360</v>
      </c>
      <c r="B50" s="300" t="s">
        <v>36</v>
      </c>
      <c r="C50" s="501" t="s">
        <v>1977</v>
      </c>
      <c r="D50" s="502"/>
      <c r="E50" s="300">
        <v>57.73</v>
      </c>
      <c r="F50" s="317">
        <v>2080</v>
      </c>
      <c r="G50" s="498">
        <f t="shared" si="35"/>
        <v>120078.39999999999</v>
      </c>
      <c r="H50" s="507" t="s">
        <v>35</v>
      </c>
      <c r="I50" s="503">
        <v>16</v>
      </c>
      <c r="J50" s="303">
        <v>1500</v>
      </c>
      <c r="K50" s="304">
        <f t="shared" si="1"/>
        <v>93.75</v>
      </c>
      <c r="L50" s="503">
        <v>16</v>
      </c>
      <c r="M50" s="305">
        <f t="shared" si="36"/>
        <v>1434.4827586206893</v>
      </c>
      <c r="N50" s="305">
        <f t="shared" si="3"/>
        <v>89.655172413793082</v>
      </c>
      <c r="O50" s="306">
        <f t="shared" si="4"/>
        <v>0</v>
      </c>
      <c r="P50" s="307">
        <f t="shared" si="5"/>
        <v>-4.0948275862069181</v>
      </c>
      <c r="Q50" s="499">
        <f t="shared" si="6"/>
        <v>0.95632183908045953</v>
      </c>
      <c r="R50" s="571"/>
      <c r="S50" s="308">
        <v>0.78611111111111109</v>
      </c>
      <c r="T50" s="308">
        <v>0.84652777777777777</v>
      </c>
      <c r="U50" s="498">
        <f t="shared" si="38"/>
        <v>4.9999999999999822</v>
      </c>
      <c r="V50" s="504">
        <f t="shared" si="37"/>
        <v>87.000000000000014</v>
      </c>
      <c r="W50" s="310"/>
      <c r="X50" s="310"/>
      <c r="Y50" s="495"/>
      <c r="Z50" s="496"/>
      <c r="AA50" s="306">
        <f t="shared" si="8"/>
        <v>-65.51724137931069</v>
      </c>
      <c r="AB50" s="499">
        <f t="shared" si="9"/>
        <v>0.95632183908045953</v>
      </c>
      <c r="AC50" s="571"/>
    </row>
    <row r="51" spans="1:29">
      <c r="A51" s="579" t="s">
        <v>2360</v>
      </c>
      <c r="B51" s="300" t="s">
        <v>2349</v>
      </c>
      <c r="C51" s="572"/>
      <c r="D51" s="572"/>
      <c r="E51" s="500"/>
      <c r="F51" s="313"/>
      <c r="G51" s="304"/>
      <c r="H51" s="505"/>
      <c r="I51" s="314">
        <v>16.399999999999999</v>
      </c>
      <c r="J51" s="303">
        <v>1900</v>
      </c>
      <c r="K51" s="304">
        <f t="shared" si="1"/>
        <v>115.85365853658537</v>
      </c>
      <c r="L51" s="314">
        <v>16.399999999999999</v>
      </c>
      <c r="M51" s="305">
        <f>AVERAGE(M46:M50)</f>
        <v>1828.4175387830564</v>
      </c>
      <c r="N51" s="304">
        <f t="shared" si="3"/>
        <v>111.48887431604004</v>
      </c>
      <c r="O51" s="306">
        <f t="shared" si="4"/>
        <v>0</v>
      </c>
      <c r="P51" s="307">
        <f t="shared" si="5"/>
        <v>-4.3647842205453316</v>
      </c>
      <c r="Q51" s="499">
        <f t="shared" si="6"/>
        <v>0.96232502041213508</v>
      </c>
      <c r="R51" s="571"/>
      <c r="S51" s="322"/>
      <c r="T51" s="308"/>
      <c r="U51" s="304"/>
      <c r="V51" s="504"/>
      <c r="W51" s="304"/>
      <c r="X51" s="304"/>
      <c r="Y51" s="570"/>
      <c r="Z51" s="570"/>
      <c r="AA51" s="306">
        <f t="shared" si="8"/>
        <v>-71.582461216943557</v>
      </c>
      <c r="AB51" s="499">
        <f t="shared" si="9"/>
        <v>0.96232502041213497</v>
      </c>
      <c r="AC51" s="571"/>
    </row>
    <row r="52" spans="1:29" ht="15.75" customHeight="1">
      <c r="A52" s="576" t="s">
        <v>2361</v>
      </c>
      <c r="B52" s="505" t="s">
        <v>40</v>
      </c>
      <c r="C52" s="565" t="s">
        <v>82</v>
      </c>
      <c r="D52" s="565"/>
      <c r="E52" s="300">
        <v>26.97</v>
      </c>
      <c r="F52" s="317">
        <v>2646</v>
      </c>
      <c r="G52" s="498">
        <f t="shared" ref="G52:G56" si="39">E52*F52</f>
        <v>71362.62</v>
      </c>
      <c r="H52" s="507" t="s">
        <v>35</v>
      </c>
      <c r="I52" s="503">
        <v>8</v>
      </c>
      <c r="J52" s="303">
        <v>1500</v>
      </c>
      <c r="K52" s="304">
        <f t="shared" si="1"/>
        <v>187.5</v>
      </c>
      <c r="L52" s="503">
        <v>8</v>
      </c>
      <c r="M52" s="305">
        <f t="shared" ref="M52:M56" si="40">F52/V52*60</f>
        <v>1430.2702702702707</v>
      </c>
      <c r="N52" s="304">
        <f t="shared" si="3"/>
        <v>178.78378378378383</v>
      </c>
      <c r="O52" s="306">
        <f t="shared" si="4"/>
        <v>0</v>
      </c>
      <c r="P52" s="307">
        <f t="shared" si="5"/>
        <v>-8.7162162162161678</v>
      </c>
      <c r="Q52" s="499">
        <f t="shared" si="6"/>
        <v>0.95351351351351377</v>
      </c>
      <c r="R52" s="571">
        <f>Q57</f>
        <v>0.96012104643403073</v>
      </c>
      <c r="S52" s="308">
        <v>0.20833333333333334</v>
      </c>
      <c r="T52" s="308">
        <v>0.28541666666666665</v>
      </c>
      <c r="U52" s="498"/>
      <c r="V52" s="504">
        <f t="shared" ref="V52:V56" si="41">(T52-S52)*24*60</f>
        <v>110.99999999999997</v>
      </c>
      <c r="W52" s="315"/>
      <c r="X52" s="315"/>
      <c r="Y52" s="570"/>
      <c r="Z52" s="570"/>
      <c r="AA52" s="306">
        <f t="shared" si="8"/>
        <v>-69.729729729729343</v>
      </c>
      <c r="AB52" s="499">
        <f t="shared" si="9"/>
        <v>0.95351351351351377</v>
      </c>
      <c r="AC52" s="571">
        <f>AB57</f>
        <v>0.96012104643403084</v>
      </c>
    </row>
    <row r="53" spans="1:29" ht="15.75" customHeight="1">
      <c r="A53" s="576" t="s">
        <v>2361</v>
      </c>
      <c r="B53" s="505" t="s">
        <v>67</v>
      </c>
      <c r="C53" s="565" t="s">
        <v>79</v>
      </c>
      <c r="D53" s="565"/>
      <c r="E53" s="300">
        <v>26.78</v>
      </c>
      <c r="F53" s="317">
        <v>2155</v>
      </c>
      <c r="G53" s="498">
        <f t="shared" si="39"/>
        <v>57710.9</v>
      </c>
      <c r="H53" s="507" t="s">
        <v>35</v>
      </c>
      <c r="I53" s="503">
        <v>10</v>
      </c>
      <c r="J53" s="303">
        <v>3000</v>
      </c>
      <c r="K53" s="304">
        <f t="shared" si="1"/>
        <v>300</v>
      </c>
      <c r="L53" s="503">
        <v>10</v>
      </c>
      <c r="M53" s="305">
        <f t="shared" si="40"/>
        <v>2873.333333333333</v>
      </c>
      <c r="N53" s="304">
        <f t="shared" si="3"/>
        <v>287.33333333333331</v>
      </c>
      <c r="O53" s="306">
        <f t="shared" si="4"/>
        <v>0</v>
      </c>
      <c r="P53" s="307">
        <f t="shared" si="5"/>
        <v>-12.666666666666686</v>
      </c>
      <c r="Q53" s="499">
        <f t="shared" si="6"/>
        <v>0.95777777777777773</v>
      </c>
      <c r="R53" s="571"/>
      <c r="S53" s="308">
        <v>0.2895833333333333</v>
      </c>
      <c r="T53" s="308">
        <v>0.3208333333333333</v>
      </c>
      <c r="U53" s="498">
        <f t="shared" ref="U53:U56" si="42">(S53-T52)*24*60</f>
        <v>5.9999999999999787</v>
      </c>
      <c r="V53" s="504">
        <f t="shared" si="41"/>
        <v>45</v>
      </c>
      <c r="W53" s="498"/>
      <c r="X53" s="498"/>
      <c r="Y53" s="570"/>
      <c r="Z53" s="570"/>
      <c r="AA53" s="306">
        <f t="shared" si="8"/>
        <v>-126.66666666666697</v>
      </c>
      <c r="AB53" s="499">
        <f t="shared" si="9"/>
        <v>0.95777777777777773</v>
      </c>
      <c r="AC53" s="571"/>
    </row>
    <row r="54" spans="1:29" ht="15.75" customHeight="1">
      <c r="A54" s="576" t="s">
        <v>2361</v>
      </c>
      <c r="B54" s="505" t="s">
        <v>67</v>
      </c>
      <c r="C54" s="565" t="s">
        <v>83</v>
      </c>
      <c r="D54" s="565"/>
      <c r="E54" s="300">
        <v>35.369999999999997</v>
      </c>
      <c r="F54" s="317">
        <v>1152</v>
      </c>
      <c r="G54" s="498">
        <f t="shared" si="39"/>
        <v>40746.239999999998</v>
      </c>
      <c r="H54" s="507" t="s">
        <v>35</v>
      </c>
      <c r="I54" s="503">
        <v>10</v>
      </c>
      <c r="J54" s="303">
        <v>3000</v>
      </c>
      <c r="K54" s="304">
        <f t="shared" si="1"/>
        <v>300</v>
      </c>
      <c r="L54" s="503">
        <v>10</v>
      </c>
      <c r="M54" s="305">
        <f t="shared" si="40"/>
        <v>2880.0000000000009</v>
      </c>
      <c r="N54" s="304">
        <f t="shared" si="3"/>
        <v>288.00000000000011</v>
      </c>
      <c r="O54" s="306">
        <f t="shared" si="4"/>
        <v>0</v>
      </c>
      <c r="P54" s="307">
        <f t="shared" si="5"/>
        <v>-11.999999999999886</v>
      </c>
      <c r="Q54" s="499">
        <f t="shared" si="6"/>
        <v>0.96000000000000041</v>
      </c>
      <c r="R54" s="571"/>
      <c r="S54" s="308">
        <v>0.32638888888888884</v>
      </c>
      <c r="T54" s="308">
        <v>0.3430555555555555</v>
      </c>
      <c r="U54" s="498">
        <f t="shared" si="42"/>
        <v>7.9999999999999716</v>
      </c>
      <c r="V54" s="504">
        <f t="shared" si="41"/>
        <v>23.999999999999993</v>
      </c>
      <c r="W54" s="498"/>
      <c r="X54" s="498"/>
      <c r="Y54" s="570"/>
      <c r="Z54" s="570"/>
      <c r="AA54" s="306">
        <f t="shared" si="8"/>
        <v>-119.99999999999909</v>
      </c>
      <c r="AB54" s="499">
        <f t="shared" si="9"/>
        <v>0.9600000000000003</v>
      </c>
      <c r="AC54" s="571"/>
    </row>
    <row r="55" spans="1:29" ht="15.75" customHeight="1">
      <c r="A55" s="576" t="s">
        <v>2361</v>
      </c>
      <c r="B55" s="505" t="s">
        <v>67</v>
      </c>
      <c r="C55" s="565" t="s">
        <v>666</v>
      </c>
      <c r="D55" s="565"/>
      <c r="E55" s="300">
        <v>37.880000000000003</v>
      </c>
      <c r="F55" s="317">
        <v>3089</v>
      </c>
      <c r="G55" s="498">
        <f t="shared" si="39"/>
        <v>117011.32</v>
      </c>
      <c r="H55" s="507" t="s">
        <v>35</v>
      </c>
      <c r="I55" s="503">
        <v>11</v>
      </c>
      <c r="J55" s="303">
        <v>3000</v>
      </c>
      <c r="K55" s="304">
        <f t="shared" si="1"/>
        <v>272.72727272727275</v>
      </c>
      <c r="L55" s="503">
        <v>11</v>
      </c>
      <c r="M55" s="305">
        <f t="shared" si="40"/>
        <v>2895.9374999999991</v>
      </c>
      <c r="N55" s="304">
        <f t="shared" si="3"/>
        <v>263.26704545454538</v>
      </c>
      <c r="O55" s="306">
        <f t="shared" si="4"/>
        <v>0</v>
      </c>
      <c r="P55" s="307">
        <f t="shared" si="5"/>
        <v>-9.4602272727273657</v>
      </c>
      <c r="Q55" s="499">
        <f t="shared" si="6"/>
        <v>0.96531249999999968</v>
      </c>
      <c r="R55" s="571"/>
      <c r="S55" s="308">
        <v>0.3479166666666666</v>
      </c>
      <c r="T55" s="308">
        <v>0.39236111111111105</v>
      </c>
      <c r="U55" s="498">
        <f t="shared" si="42"/>
        <v>6.9999999999999751</v>
      </c>
      <c r="V55" s="504">
        <f t="shared" si="41"/>
        <v>64.000000000000014</v>
      </c>
      <c r="W55" s="498"/>
      <c r="X55" s="498"/>
      <c r="Y55" s="570"/>
      <c r="Z55" s="570"/>
      <c r="AA55" s="306">
        <f t="shared" si="8"/>
        <v>-104.06250000000091</v>
      </c>
      <c r="AB55" s="499">
        <f t="shared" si="9"/>
        <v>0.96531249999999968</v>
      </c>
      <c r="AC55" s="571"/>
    </row>
    <row r="56" spans="1:29">
      <c r="A56" s="577" t="s">
        <v>2361</v>
      </c>
      <c r="B56" s="505" t="s">
        <v>67</v>
      </c>
      <c r="C56" s="565" t="s">
        <v>2121</v>
      </c>
      <c r="D56" s="565"/>
      <c r="E56" s="300">
        <v>40.51</v>
      </c>
      <c r="F56" s="317">
        <v>4131</v>
      </c>
      <c r="G56" s="498">
        <f t="shared" si="39"/>
        <v>167346.81</v>
      </c>
      <c r="H56" s="507" t="s">
        <v>35</v>
      </c>
      <c r="I56" s="503">
        <v>10</v>
      </c>
      <c r="J56" s="303">
        <v>3000</v>
      </c>
      <c r="K56" s="304">
        <f t="shared" si="1"/>
        <v>300</v>
      </c>
      <c r="L56" s="503">
        <v>10</v>
      </c>
      <c r="M56" s="305">
        <f t="shared" si="40"/>
        <v>2882.0930232558135</v>
      </c>
      <c r="N56" s="304">
        <f t="shared" si="3"/>
        <v>288.20930232558135</v>
      </c>
      <c r="O56" s="306">
        <f t="shared" si="4"/>
        <v>0</v>
      </c>
      <c r="P56" s="307">
        <f t="shared" si="5"/>
        <v>-11.790697674418652</v>
      </c>
      <c r="Q56" s="499">
        <f t="shared" si="6"/>
        <v>0.96069767441860454</v>
      </c>
      <c r="R56" s="571"/>
      <c r="S56" s="308">
        <v>0.39722222222222214</v>
      </c>
      <c r="T56" s="308">
        <v>0.45694444444444438</v>
      </c>
      <c r="U56" s="498">
        <f t="shared" si="42"/>
        <v>6.9999999999999751</v>
      </c>
      <c r="V56" s="504">
        <f t="shared" si="41"/>
        <v>86.000000000000014</v>
      </c>
      <c r="W56" s="310"/>
      <c r="X56" s="310"/>
      <c r="Y56" s="570"/>
      <c r="Z56" s="570"/>
      <c r="AA56" s="306">
        <f t="shared" si="8"/>
        <v>-117.90697674418652</v>
      </c>
      <c r="AB56" s="499">
        <f t="shared" si="9"/>
        <v>0.96069767441860454</v>
      </c>
      <c r="AC56" s="571"/>
    </row>
    <row r="57" spans="1:29">
      <c r="A57" s="577" t="s">
        <v>2361</v>
      </c>
      <c r="B57" s="300" t="s">
        <v>2349</v>
      </c>
      <c r="C57" s="572"/>
      <c r="D57" s="572"/>
      <c r="E57" s="500"/>
      <c r="F57" s="313"/>
      <c r="G57" s="304"/>
      <c r="H57" s="505"/>
      <c r="I57" s="314">
        <v>9.8000000000000007</v>
      </c>
      <c r="J57" s="303">
        <v>2700</v>
      </c>
      <c r="K57" s="304">
        <f t="shared" si="1"/>
        <v>275.51020408163265</v>
      </c>
      <c r="L57" s="314">
        <v>9.8000000000000007</v>
      </c>
      <c r="M57" s="305">
        <f>AVERAGE(M52:M56)</f>
        <v>2592.3268253718834</v>
      </c>
      <c r="N57" s="304">
        <f t="shared" si="3"/>
        <v>264.5231454461105</v>
      </c>
      <c r="O57" s="306">
        <f t="shared" si="4"/>
        <v>0</v>
      </c>
      <c r="P57" s="307">
        <f t="shared" si="5"/>
        <v>-10.987058635522146</v>
      </c>
      <c r="Q57" s="499">
        <f t="shared" si="6"/>
        <v>0.96012104643403073</v>
      </c>
      <c r="R57" s="571"/>
      <c r="S57" s="308"/>
      <c r="T57" s="308"/>
      <c r="U57" s="304"/>
      <c r="V57" s="504"/>
      <c r="W57" s="304"/>
      <c r="X57" s="304"/>
      <c r="Y57" s="570"/>
      <c r="Z57" s="570"/>
      <c r="AA57" s="306">
        <f t="shared" si="8"/>
        <v>-107.67317462811661</v>
      </c>
      <c r="AB57" s="499">
        <f t="shared" si="9"/>
        <v>0.96012104643403084</v>
      </c>
      <c r="AC57" s="571"/>
    </row>
    <row r="58" spans="1:29" ht="15.75" customHeight="1">
      <c r="A58" s="573" t="s">
        <v>2362</v>
      </c>
      <c r="B58" s="505" t="s">
        <v>46</v>
      </c>
      <c r="C58" s="565" t="s">
        <v>84</v>
      </c>
      <c r="D58" s="565"/>
      <c r="E58" s="300">
        <v>20.2</v>
      </c>
      <c r="F58" s="505">
        <v>1857</v>
      </c>
      <c r="G58" s="498">
        <f t="shared" ref="G58:G64" si="43">E58*F58</f>
        <v>37511.4</v>
      </c>
      <c r="H58" s="507" t="s">
        <v>35</v>
      </c>
      <c r="I58" s="503">
        <v>19</v>
      </c>
      <c r="J58" s="303">
        <v>2400</v>
      </c>
      <c r="K58" s="304">
        <f t="shared" si="1"/>
        <v>126.31578947368421</v>
      </c>
      <c r="L58" s="503">
        <v>19</v>
      </c>
      <c r="M58" s="305">
        <f t="shared" ref="M58:M64" si="44">F58/V58*60</f>
        <v>2321.2499999999995</v>
      </c>
      <c r="N58" s="304">
        <f t="shared" si="3"/>
        <v>122.17105263157892</v>
      </c>
      <c r="O58" s="306">
        <f t="shared" si="4"/>
        <v>0</v>
      </c>
      <c r="P58" s="307">
        <f t="shared" si="5"/>
        <v>-4.1447368421052886</v>
      </c>
      <c r="Q58" s="499">
        <f t="shared" si="6"/>
        <v>0.96718749999999976</v>
      </c>
      <c r="R58" s="571">
        <f>Q65</f>
        <v>0.9584524252869473</v>
      </c>
      <c r="S58" s="308">
        <v>8.3333333333333329E-2</v>
      </c>
      <c r="T58" s="308">
        <v>0.11666666666666667</v>
      </c>
      <c r="U58" s="315"/>
      <c r="V58" s="504">
        <f t="shared" ref="V58:V64" si="45">(T58-S58)*24*60</f>
        <v>48.000000000000007</v>
      </c>
      <c r="W58" s="310">
        <f>T58</f>
        <v>0.11666666666666667</v>
      </c>
      <c r="X58" s="310">
        <f>S59</f>
        <v>0.13611111111111113</v>
      </c>
      <c r="Y58" s="570"/>
      <c r="Z58" s="570"/>
      <c r="AA58" s="306">
        <f t="shared" si="8"/>
        <v>-78.750000000000455</v>
      </c>
      <c r="AB58" s="499">
        <f t="shared" si="9"/>
        <v>0.96718749999999976</v>
      </c>
      <c r="AC58" s="571">
        <f>AB65</f>
        <v>0.9584524252869473</v>
      </c>
    </row>
    <row r="59" spans="1:29" ht="15.75" customHeight="1">
      <c r="A59" s="574" t="s">
        <v>2362</v>
      </c>
      <c r="B59" s="505" t="s">
        <v>46</v>
      </c>
      <c r="C59" s="565" t="s">
        <v>58</v>
      </c>
      <c r="D59" s="565"/>
      <c r="E59" s="300">
        <v>25.98</v>
      </c>
      <c r="F59" s="505">
        <v>1030</v>
      </c>
      <c r="G59" s="498">
        <f t="shared" si="43"/>
        <v>26759.4</v>
      </c>
      <c r="H59" s="507" t="s">
        <v>35</v>
      </c>
      <c r="I59" s="503">
        <v>17</v>
      </c>
      <c r="J59" s="303">
        <v>2400</v>
      </c>
      <c r="K59" s="304">
        <f t="shared" si="1"/>
        <v>141.1764705882353</v>
      </c>
      <c r="L59" s="503">
        <v>17</v>
      </c>
      <c r="M59" s="305">
        <f t="shared" si="44"/>
        <v>2288.8888888888901</v>
      </c>
      <c r="N59" s="304">
        <f t="shared" si="3"/>
        <v>134.64052287581706</v>
      </c>
      <c r="O59" s="306">
        <f t="shared" si="4"/>
        <v>0</v>
      </c>
      <c r="P59" s="307">
        <f t="shared" si="5"/>
        <v>-6.535947712418249</v>
      </c>
      <c r="Q59" s="499">
        <f t="shared" si="6"/>
        <v>0.95370370370370405</v>
      </c>
      <c r="R59" s="571"/>
      <c r="S59" s="308">
        <v>0.13611111111111113</v>
      </c>
      <c r="T59" s="308">
        <v>0.15486111111111112</v>
      </c>
      <c r="U59" s="498">
        <f t="shared" ref="U59:U64" si="46">(S59-T58)*24*60</f>
        <v>28.000000000000021</v>
      </c>
      <c r="V59" s="504">
        <f t="shared" si="45"/>
        <v>26.999999999999986</v>
      </c>
      <c r="W59" s="310"/>
      <c r="X59" s="310"/>
      <c r="Y59" s="570"/>
      <c r="Z59" s="570"/>
      <c r="AA59" s="306">
        <f t="shared" si="8"/>
        <v>-111.11111111110995</v>
      </c>
      <c r="AB59" s="499">
        <f t="shared" si="9"/>
        <v>0.95370370370370416</v>
      </c>
      <c r="AC59" s="571"/>
    </row>
    <row r="60" spans="1:29" ht="15.75" customHeight="1">
      <c r="A60" s="574" t="s">
        <v>2362</v>
      </c>
      <c r="B60" s="505" t="s">
        <v>46</v>
      </c>
      <c r="C60" s="565" t="s">
        <v>88</v>
      </c>
      <c r="D60" s="565"/>
      <c r="E60" s="300">
        <v>24.25</v>
      </c>
      <c r="F60" s="505">
        <v>2498</v>
      </c>
      <c r="G60" s="498">
        <f t="shared" si="43"/>
        <v>60576.5</v>
      </c>
      <c r="H60" s="507" t="s">
        <v>35</v>
      </c>
      <c r="I60" s="503">
        <v>17</v>
      </c>
      <c r="J60" s="303">
        <v>2400</v>
      </c>
      <c r="K60" s="304">
        <f t="shared" si="1"/>
        <v>141.1764705882353</v>
      </c>
      <c r="L60" s="503">
        <v>17</v>
      </c>
      <c r="M60" s="305">
        <f t="shared" si="44"/>
        <v>2305.8461538461534</v>
      </c>
      <c r="N60" s="304">
        <f t="shared" si="3"/>
        <v>135.63800904977373</v>
      </c>
      <c r="O60" s="306">
        <f t="shared" si="4"/>
        <v>0</v>
      </c>
      <c r="P60" s="307">
        <f t="shared" si="5"/>
        <v>-5.5384615384615756</v>
      </c>
      <c r="Q60" s="499">
        <f t="shared" si="6"/>
        <v>0.96076923076923049</v>
      </c>
      <c r="R60" s="571"/>
      <c r="S60" s="308">
        <v>0.16041666666666668</v>
      </c>
      <c r="T60" s="308">
        <v>0.20555555555555557</v>
      </c>
      <c r="U60" s="498">
        <f t="shared" si="46"/>
        <v>8.0000000000000107</v>
      </c>
      <c r="V60" s="504">
        <f t="shared" si="45"/>
        <v>65.000000000000014</v>
      </c>
      <c r="W60" s="310"/>
      <c r="X60" s="310"/>
      <c r="Y60" s="570"/>
      <c r="Z60" s="570"/>
      <c r="AA60" s="306">
        <f t="shared" si="8"/>
        <v>-94.153846153846644</v>
      </c>
      <c r="AB60" s="499">
        <f t="shared" si="9"/>
        <v>0.9607692307692306</v>
      </c>
      <c r="AC60" s="571"/>
    </row>
    <row r="61" spans="1:29" ht="15.75" customHeight="1">
      <c r="A61" s="574" t="s">
        <v>2362</v>
      </c>
      <c r="B61" s="505" t="s">
        <v>46</v>
      </c>
      <c r="C61" s="565" t="s">
        <v>47</v>
      </c>
      <c r="D61" s="565"/>
      <c r="E61" s="300">
        <v>24.45</v>
      </c>
      <c r="F61" s="505">
        <v>1836</v>
      </c>
      <c r="G61" s="498">
        <f t="shared" si="43"/>
        <v>44890.2</v>
      </c>
      <c r="H61" s="507" t="s">
        <v>35</v>
      </c>
      <c r="I61" s="503">
        <v>20</v>
      </c>
      <c r="J61" s="303">
        <v>2400</v>
      </c>
      <c r="K61" s="304">
        <f t="shared" si="1"/>
        <v>120</v>
      </c>
      <c r="L61" s="503">
        <v>20</v>
      </c>
      <c r="M61" s="305">
        <f t="shared" si="44"/>
        <v>2295.0000000000009</v>
      </c>
      <c r="N61" s="304">
        <f t="shared" si="3"/>
        <v>114.75000000000004</v>
      </c>
      <c r="O61" s="306">
        <f t="shared" si="4"/>
        <v>0</v>
      </c>
      <c r="P61" s="307">
        <f t="shared" si="5"/>
        <v>-5.2499999999999574</v>
      </c>
      <c r="Q61" s="499">
        <f t="shared" si="6"/>
        <v>0.95625000000000038</v>
      </c>
      <c r="R61" s="571"/>
      <c r="S61" s="308">
        <v>0.2104166666666667</v>
      </c>
      <c r="T61" s="308">
        <v>0.24375000000000002</v>
      </c>
      <c r="U61" s="498">
        <f t="shared" si="46"/>
        <v>7.0000000000000151</v>
      </c>
      <c r="V61" s="504">
        <f t="shared" si="45"/>
        <v>47.999999999999986</v>
      </c>
      <c r="W61" s="310"/>
      <c r="X61" s="310"/>
      <c r="Y61" s="570"/>
      <c r="Z61" s="570"/>
      <c r="AA61" s="306">
        <f t="shared" si="8"/>
        <v>-104.99999999999909</v>
      </c>
      <c r="AB61" s="499">
        <f t="shared" si="9"/>
        <v>0.95625000000000038</v>
      </c>
      <c r="AC61" s="571"/>
    </row>
    <row r="62" spans="1:29" ht="15.75" customHeight="1">
      <c r="A62" s="574" t="s">
        <v>2362</v>
      </c>
      <c r="B62" s="505" t="s">
        <v>46</v>
      </c>
      <c r="C62" s="565" t="s">
        <v>66</v>
      </c>
      <c r="D62" s="565"/>
      <c r="E62" s="300">
        <v>24.25</v>
      </c>
      <c r="F62" s="505">
        <v>3715</v>
      </c>
      <c r="G62" s="498">
        <f t="shared" si="43"/>
        <v>90088.75</v>
      </c>
      <c r="H62" s="507" t="s">
        <v>35</v>
      </c>
      <c r="I62" s="503">
        <v>14</v>
      </c>
      <c r="J62" s="303">
        <v>2400</v>
      </c>
      <c r="K62" s="304">
        <f t="shared" si="1"/>
        <v>171.42857142857142</v>
      </c>
      <c r="L62" s="503">
        <v>14</v>
      </c>
      <c r="M62" s="305">
        <f t="shared" si="44"/>
        <v>2297.9381443298967</v>
      </c>
      <c r="N62" s="304">
        <f t="shared" si="3"/>
        <v>164.1384388807069</v>
      </c>
      <c r="O62" s="306">
        <f t="shared" si="4"/>
        <v>0</v>
      </c>
      <c r="P62" s="307">
        <f t="shared" si="5"/>
        <v>-7.2901325478645163</v>
      </c>
      <c r="Q62" s="499">
        <f t="shared" si="6"/>
        <v>0.95747422680412364</v>
      </c>
      <c r="R62" s="571"/>
      <c r="S62" s="308">
        <v>0.24930555555555559</v>
      </c>
      <c r="T62" s="308">
        <v>0.31666666666666671</v>
      </c>
      <c r="U62" s="498">
        <f t="shared" si="46"/>
        <v>8.0000000000000107</v>
      </c>
      <c r="V62" s="504">
        <f t="shared" si="45"/>
        <v>97.000000000000014</v>
      </c>
      <c r="W62" s="310"/>
      <c r="X62" s="310"/>
      <c r="Y62" s="570"/>
      <c r="Z62" s="570"/>
      <c r="AA62" s="306">
        <f t="shared" si="8"/>
        <v>-102.06185567010334</v>
      </c>
      <c r="AB62" s="499">
        <f t="shared" si="9"/>
        <v>0.95747422680412364</v>
      </c>
      <c r="AC62" s="571"/>
    </row>
    <row r="63" spans="1:29" ht="15.75" customHeight="1">
      <c r="A63" s="574" t="s">
        <v>2362</v>
      </c>
      <c r="B63" s="505" t="s">
        <v>46</v>
      </c>
      <c r="C63" s="565" t="s">
        <v>57</v>
      </c>
      <c r="D63" s="565"/>
      <c r="E63" s="300">
        <v>20.52</v>
      </c>
      <c r="F63" s="505">
        <v>2765</v>
      </c>
      <c r="G63" s="498">
        <f t="shared" si="43"/>
        <v>56737.799999999996</v>
      </c>
      <c r="H63" s="507" t="s">
        <v>35</v>
      </c>
      <c r="I63" s="503">
        <v>18</v>
      </c>
      <c r="J63" s="303">
        <v>2400</v>
      </c>
      <c r="K63" s="304">
        <f t="shared" si="1"/>
        <v>133.33333333333334</v>
      </c>
      <c r="L63" s="503">
        <v>18</v>
      </c>
      <c r="M63" s="305">
        <f t="shared" si="44"/>
        <v>2304.166666666667</v>
      </c>
      <c r="N63" s="304">
        <f t="shared" si="3"/>
        <v>128.00925925925927</v>
      </c>
      <c r="O63" s="306">
        <f t="shared" si="4"/>
        <v>0</v>
      </c>
      <c r="P63" s="307">
        <f t="shared" si="5"/>
        <v>-5.3240740740740762</v>
      </c>
      <c r="Q63" s="499">
        <f t="shared" si="6"/>
        <v>0.96006944444444442</v>
      </c>
      <c r="R63" s="571"/>
      <c r="S63" s="308">
        <v>0.32013888888888892</v>
      </c>
      <c r="T63" s="308">
        <v>0.37013888888888891</v>
      </c>
      <c r="U63" s="498">
        <f t="shared" si="46"/>
        <v>4.9999999999999822</v>
      </c>
      <c r="V63" s="504">
        <f t="shared" si="45"/>
        <v>71.999999999999986</v>
      </c>
      <c r="W63" s="310"/>
      <c r="X63" s="310"/>
      <c r="Y63" s="570"/>
      <c r="Z63" s="570"/>
      <c r="AA63" s="306">
        <f t="shared" si="8"/>
        <v>-95.83333333333303</v>
      </c>
      <c r="AB63" s="499">
        <f t="shared" si="9"/>
        <v>0.96006944444444453</v>
      </c>
      <c r="AC63" s="571"/>
    </row>
    <row r="64" spans="1:29" ht="15.75" customHeight="1">
      <c r="A64" s="574" t="s">
        <v>2362</v>
      </c>
      <c r="B64" s="505" t="s">
        <v>46</v>
      </c>
      <c r="C64" s="565" t="s">
        <v>85</v>
      </c>
      <c r="D64" s="565"/>
      <c r="E64" s="300">
        <v>19.02</v>
      </c>
      <c r="F64" s="505">
        <v>7706</v>
      </c>
      <c r="G64" s="498">
        <f t="shared" si="43"/>
        <v>146568.12</v>
      </c>
      <c r="H64" s="507" t="s">
        <v>35</v>
      </c>
      <c r="I64" s="503">
        <v>15</v>
      </c>
      <c r="J64" s="303">
        <v>2400</v>
      </c>
      <c r="K64" s="304">
        <f t="shared" si="1"/>
        <v>160</v>
      </c>
      <c r="L64" s="503">
        <v>15</v>
      </c>
      <c r="M64" s="305">
        <f t="shared" si="44"/>
        <v>2288.91089108911</v>
      </c>
      <c r="N64" s="304">
        <f t="shared" si="3"/>
        <v>152.59405940594067</v>
      </c>
      <c r="O64" s="306">
        <f t="shared" si="4"/>
        <v>0</v>
      </c>
      <c r="P64" s="307">
        <f t="shared" si="5"/>
        <v>-7.4059405940593308</v>
      </c>
      <c r="Q64" s="499">
        <f t="shared" si="6"/>
        <v>0.95371287128712923</v>
      </c>
      <c r="R64" s="571"/>
      <c r="S64" s="308">
        <v>0.375</v>
      </c>
      <c r="T64" s="308">
        <v>0.51527777777777772</v>
      </c>
      <c r="U64" s="498">
        <f t="shared" si="46"/>
        <v>6.9999999999999751</v>
      </c>
      <c r="V64" s="504">
        <f t="shared" si="45"/>
        <v>201.99999999999991</v>
      </c>
      <c r="W64" s="310"/>
      <c r="X64" s="310"/>
      <c r="Y64" s="566"/>
      <c r="Z64" s="567"/>
      <c r="AA64" s="306">
        <f t="shared" si="8"/>
        <v>-111.08910891088999</v>
      </c>
      <c r="AB64" s="499">
        <f t="shared" si="9"/>
        <v>0.95371287128712912</v>
      </c>
      <c r="AC64" s="571"/>
    </row>
    <row r="65" spans="1:29" ht="16.5" customHeight="1">
      <c r="A65" s="575" t="s">
        <v>2362</v>
      </c>
      <c r="B65" s="300" t="s">
        <v>2349</v>
      </c>
      <c r="C65" s="568"/>
      <c r="D65" s="569"/>
      <c r="E65" s="500"/>
      <c r="F65" s="313"/>
      <c r="G65" s="304"/>
      <c r="H65" s="505"/>
      <c r="I65" s="314">
        <v>17.142857142857142</v>
      </c>
      <c r="J65" s="303">
        <v>2400</v>
      </c>
      <c r="K65" s="304">
        <f t="shared" si="1"/>
        <v>140</v>
      </c>
      <c r="L65" s="314">
        <v>17.142857142857142</v>
      </c>
      <c r="M65" s="305">
        <f>AVERAGE(M58:M64)</f>
        <v>2300.2858206886735</v>
      </c>
      <c r="N65" s="304">
        <f t="shared" si="3"/>
        <v>134.18333954017262</v>
      </c>
      <c r="O65" s="306">
        <f t="shared" si="4"/>
        <v>0</v>
      </c>
      <c r="P65" s="307">
        <f t="shared" si="5"/>
        <v>-5.816660459827375</v>
      </c>
      <c r="Q65" s="499">
        <f t="shared" si="6"/>
        <v>0.9584524252869473</v>
      </c>
      <c r="R65" s="571"/>
      <c r="S65" s="308"/>
      <c r="T65" s="308"/>
      <c r="U65" s="304"/>
      <c r="V65" s="504"/>
      <c r="W65" s="304"/>
      <c r="X65" s="304"/>
      <c r="Y65" s="570"/>
      <c r="Z65" s="570"/>
      <c r="AA65" s="306">
        <f t="shared" si="8"/>
        <v>-99.714179311326461</v>
      </c>
      <c r="AB65" s="499">
        <f t="shared" si="9"/>
        <v>0.9584524252869473</v>
      </c>
      <c r="AC65" s="571"/>
    </row>
    <row r="66" spans="1:29">
      <c r="D66" s="323"/>
      <c r="E66" s="323"/>
    </row>
  </sheetData>
  <mergeCells count="178">
    <mergeCell ref="S1:X2"/>
    <mergeCell ref="Y1:Z2"/>
    <mergeCell ref="AA1:AC2"/>
    <mergeCell ref="A3:A4"/>
    <mergeCell ref="B3:B4"/>
    <mergeCell ref="C3:D4"/>
    <mergeCell ref="E3:E4"/>
    <mergeCell ref="F3:F4"/>
    <mergeCell ref="G3:G4"/>
    <mergeCell ref="I1:K2"/>
    <mergeCell ref="L1:N2"/>
    <mergeCell ref="O1:R2"/>
    <mergeCell ref="P3:P4"/>
    <mergeCell ref="Q3:Q4"/>
    <mergeCell ref="R3:R4"/>
    <mergeCell ref="S3:T3"/>
    <mergeCell ref="H3:H4"/>
    <mergeCell ref="I3:I4"/>
    <mergeCell ref="J3:J4"/>
    <mergeCell ref="K3:K4"/>
    <mergeCell ref="L3:L4"/>
    <mergeCell ref="M3:M4"/>
    <mergeCell ref="C8:D8"/>
    <mergeCell ref="Y8:Z8"/>
    <mergeCell ref="A9:A11"/>
    <mergeCell ref="C9:D9"/>
    <mergeCell ref="R9:R11"/>
    <mergeCell ref="Y9:Z9"/>
    <mergeCell ref="AC3:AC4"/>
    <mergeCell ref="A5:A8"/>
    <mergeCell ref="C5:D5"/>
    <mergeCell ref="R5:R8"/>
    <mergeCell ref="Y5:Z5"/>
    <mergeCell ref="AC5:AC8"/>
    <mergeCell ref="C6:D6"/>
    <mergeCell ref="Y6:Z6"/>
    <mergeCell ref="C7:D7"/>
    <mergeCell ref="Y7:Z7"/>
    <mergeCell ref="U3:U4"/>
    <mergeCell ref="V3:V4"/>
    <mergeCell ref="W3:X3"/>
    <mergeCell ref="Y3:Z4"/>
    <mergeCell ref="AA3:AA4"/>
    <mergeCell ref="AB3:AB4"/>
    <mergeCell ref="N3:N4"/>
    <mergeCell ref="O3:O4"/>
    <mergeCell ref="C13:D13"/>
    <mergeCell ref="Y13:Z13"/>
    <mergeCell ref="C14:D14"/>
    <mergeCell ref="Y14:Z14"/>
    <mergeCell ref="C15:D15"/>
    <mergeCell ref="Y15:Z15"/>
    <mergeCell ref="AC9:AC11"/>
    <mergeCell ref="C10:D10"/>
    <mergeCell ref="Y10:Z10"/>
    <mergeCell ref="C11:D11"/>
    <mergeCell ref="Y11:Z11"/>
    <mergeCell ref="C12:D12"/>
    <mergeCell ref="R12:R17"/>
    <mergeCell ref="Y12:Z12"/>
    <mergeCell ref="AC12:AC17"/>
    <mergeCell ref="C16:D16"/>
    <mergeCell ref="Y16:Z16"/>
    <mergeCell ref="C17:D17"/>
    <mergeCell ref="Y17:Z17"/>
    <mergeCell ref="A18:A23"/>
    <mergeCell ref="C18:D18"/>
    <mergeCell ref="R18:R23"/>
    <mergeCell ref="Y18:Z18"/>
    <mergeCell ref="Y23:Z23"/>
    <mergeCell ref="A12:A17"/>
    <mergeCell ref="AC18:AC23"/>
    <mergeCell ref="C19:D19"/>
    <mergeCell ref="Y19:Z19"/>
    <mergeCell ref="C20:D20"/>
    <mergeCell ref="Y20:Z20"/>
    <mergeCell ref="C21:D21"/>
    <mergeCell ref="Y21:Z21"/>
    <mergeCell ref="C22:D22"/>
    <mergeCell ref="Y22:Z22"/>
    <mergeCell ref="C23:D23"/>
    <mergeCell ref="A24:A30"/>
    <mergeCell ref="C24:D24"/>
    <mergeCell ref="R24:R30"/>
    <mergeCell ref="Y24:Z24"/>
    <mergeCell ref="AC24:AC30"/>
    <mergeCell ref="C25:D25"/>
    <mergeCell ref="Y25:Z25"/>
    <mergeCell ref="C26:D26"/>
    <mergeCell ref="Y26:Z26"/>
    <mergeCell ref="C27:D27"/>
    <mergeCell ref="AC31:AC36"/>
    <mergeCell ref="C32:D32"/>
    <mergeCell ref="Y32:Z32"/>
    <mergeCell ref="C33:D33"/>
    <mergeCell ref="Y33:Z33"/>
    <mergeCell ref="C34:D34"/>
    <mergeCell ref="Y27:Z27"/>
    <mergeCell ref="C28:D28"/>
    <mergeCell ref="Y28:Z28"/>
    <mergeCell ref="C29:D29"/>
    <mergeCell ref="Y29:Z29"/>
    <mergeCell ref="C30:D30"/>
    <mergeCell ref="Y30:Z30"/>
    <mergeCell ref="Y34:Z34"/>
    <mergeCell ref="C35:D35"/>
    <mergeCell ref="Y35:Z35"/>
    <mergeCell ref="C36:D36"/>
    <mergeCell ref="Y36:Z36"/>
    <mergeCell ref="A37:A45"/>
    <mergeCell ref="C37:D37"/>
    <mergeCell ref="R37:R45"/>
    <mergeCell ref="Y37:Z37"/>
    <mergeCell ref="Y42:Z42"/>
    <mergeCell ref="A31:A36"/>
    <mergeCell ref="C31:D31"/>
    <mergeCell ref="R31:R36"/>
    <mergeCell ref="Y31:Z31"/>
    <mergeCell ref="C43:D43"/>
    <mergeCell ref="Y43:Z43"/>
    <mergeCell ref="C44:D44"/>
    <mergeCell ref="Y44:Z44"/>
    <mergeCell ref="C45:D45"/>
    <mergeCell ref="Y45:Z45"/>
    <mergeCell ref="AC37:AC45"/>
    <mergeCell ref="C38:D38"/>
    <mergeCell ref="Y38:Z38"/>
    <mergeCell ref="C39:D39"/>
    <mergeCell ref="Y39:Z39"/>
    <mergeCell ref="C40:D40"/>
    <mergeCell ref="Y40:Z40"/>
    <mergeCell ref="C41:D41"/>
    <mergeCell ref="Y41:Z41"/>
    <mergeCell ref="C42:D42"/>
    <mergeCell ref="AC52:AC57"/>
    <mergeCell ref="C53:D53"/>
    <mergeCell ref="Y53:Z53"/>
    <mergeCell ref="C54:D54"/>
    <mergeCell ref="Y54:Z54"/>
    <mergeCell ref="C55:D55"/>
    <mergeCell ref="A46:A51"/>
    <mergeCell ref="C46:D46"/>
    <mergeCell ref="R46:R51"/>
    <mergeCell ref="Y46:Z46"/>
    <mergeCell ref="AC46:AC51"/>
    <mergeCell ref="C47:D47"/>
    <mergeCell ref="Y47:Z47"/>
    <mergeCell ref="C48:D48"/>
    <mergeCell ref="C51:D51"/>
    <mergeCell ref="Y51:Z51"/>
    <mergeCell ref="Y55:Z55"/>
    <mergeCell ref="C56:D56"/>
    <mergeCell ref="Y56:Z56"/>
    <mergeCell ref="C57:D57"/>
    <mergeCell ref="Y57:Z57"/>
    <mergeCell ref="A58:A65"/>
    <mergeCell ref="C58:D58"/>
    <mergeCell ref="R58:R65"/>
    <mergeCell ref="Y58:Z58"/>
    <mergeCell ref="Y63:Z63"/>
    <mergeCell ref="A52:A57"/>
    <mergeCell ref="C52:D52"/>
    <mergeCell ref="R52:R57"/>
    <mergeCell ref="Y52:Z52"/>
    <mergeCell ref="C64:D64"/>
    <mergeCell ref="Y64:Z64"/>
    <mergeCell ref="C65:D65"/>
    <mergeCell ref="Y65:Z65"/>
    <mergeCell ref="AC58:AC65"/>
    <mergeCell ref="C59:D59"/>
    <mergeCell ref="Y59:Z59"/>
    <mergeCell ref="C60:D60"/>
    <mergeCell ref="Y60:Z60"/>
    <mergeCell ref="C61:D61"/>
    <mergeCell ref="Y61:Z61"/>
    <mergeCell ref="C62:D62"/>
    <mergeCell ref="Y62:Z62"/>
    <mergeCell ref="C63:D63"/>
  </mergeCells>
  <phoneticPr fontId="3" type="noConversion"/>
  <conditionalFormatting sqref="O55:O63 O65 O5:O9 O11:O13 O45:O52 O17:O42">
    <cfRule type="cellIs" dxfId="2001" priority="53" operator="greaterThan">
      <formula>0</formula>
    </cfRule>
  </conditionalFormatting>
  <conditionalFormatting sqref="P5:P7 P55:P56 AA55:AA56 P58:P63 P24:P29 P52 P9 P11:P13 P18:P22 P46:P50 P31:P42 AA5:AA52 AA58:AA65">
    <cfRule type="cellIs" dxfId="2000" priority="57" operator="lessThan">
      <formula>0</formula>
    </cfRule>
  </conditionalFormatting>
  <conditionalFormatting sqref="AB55:AB56 Q55:Q63 Q65 Q5:Q9 Q11:Q13 Q45:Q52 Q17:Q42 AB5:AB52 AB58:AB65">
    <cfRule type="cellIs" dxfId="1999" priority="54" operator="greaterThan">
      <formula>1</formula>
    </cfRule>
    <cfRule type="cellIs" dxfId="1998" priority="55" operator="lessThan">
      <formula>0.8</formula>
    </cfRule>
  </conditionalFormatting>
  <conditionalFormatting sqref="AC12:AC13 R12:R13 AC55 R55:R63 R65 AC5:AC9 R5:R9 R17:R42 AC17:AC42 AC45:AC52 R45:R52">
    <cfRule type="cellIs" dxfId="1997" priority="59" operator="lessThan">
      <formula>0.8</formula>
    </cfRule>
  </conditionalFormatting>
  <conditionalFormatting sqref="AC37">
    <cfRule type="cellIs" dxfId="1996" priority="61" operator="lessThan">
      <formula>0.8</formula>
    </cfRule>
  </conditionalFormatting>
  <conditionalFormatting sqref="AC18:AC22">
    <cfRule type="cellIs" dxfId="1995" priority="58" operator="lessThan">
      <formula>0.8</formula>
    </cfRule>
  </conditionalFormatting>
  <conditionalFormatting sqref="AC24">
    <cfRule type="cellIs" dxfId="1994" priority="60" operator="lessThan">
      <formula>0.8</formula>
    </cfRule>
  </conditionalFormatting>
  <conditionalFormatting sqref="AC31:AC35">
    <cfRule type="cellIs" dxfId="1993" priority="56" operator="lessThan">
      <formula>0.8</formula>
    </cfRule>
  </conditionalFormatting>
  <conditionalFormatting sqref="AA57">
    <cfRule type="cellIs" dxfId="1992" priority="52" operator="lessThan">
      <formula>0</formula>
    </cfRule>
  </conditionalFormatting>
  <conditionalFormatting sqref="AB57">
    <cfRule type="cellIs" dxfId="1991" priority="50" operator="greaterThan">
      <formula>1</formula>
    </cfRule>
    <cfRule type="cellIs" dxfId="1990" priority="51" operator="lessThan">
      <formula>0.8</formula>
    </cfRule>
  </conditionalFormatting>
  <conditionalFormatting sqref="O14:O15">
    <cfRule type="cellIs" dxfId="1989" priority="45" operator="greaterThan">
      <formula>0</formula>
    </cfRule>
  </conditionalFormatting>
  <conditionalFormatting sqref="P14:P15">
    <cfRule type="cellIs" dxfId="1988" priority="48" operator="lessThan">
      <formula>0</formula>
    </cfRule>
  </conditionalFormatting>
  <conditionalFormatting sqref="Q14:Q15">
    <cfRule type="cellIs" dxfId="1987" priority="46" operator="greaterThan">
      <formula>1</formula>
    </cfRule>
    <cfRule type="cellIs" dxfId="1986" priority="47" operator="lessThan">
      <formula>0.8</formula>
    </cfRule>
  </conditionalFormatting>
  <conditionalFormatting sqref="R14:R15 AC14:AC15">
    <cfRule type="cellIs" dxfId="1985" priority="49" operator="lessThan">
      <formula>0.8</formula>
    </cfRule>
  </conditionalFormatting>
  <conditionalFormatting sqref="O10">
    <cfRule type="cellIs" dxfId="1984" priority="41" operator="greaterThan">
      <formula>0</formula>
    </cfRule>
  </conditionalFormatting>
  <conditionalFormatting sqref="P10">
    <cfRule type="cellIs" dxfId="1983" priority="44" operator="lessThan">
      <formula>0</formula>
    </cfRule>
  </conditionalFormatting>
  <conditionalFormatting sqref="Q10">
    <cfRule type="cellIs" dxfId="1982" priority="42" operator="greaterThan">
      <formula>1</formula>
    </cfRule>
    <cfRule type="cellIs" dxfId="1981" priority="43" operator="lessThan">
      <formula>0.8</formula>
    </cfRule>
  </conditionalFormatting>
  <conditionalFormatting sqref="O54">
    <cfRule type="cellIs" dxfId="1980" priority="36" operator="greaterThan">
      <formula>0</formula>
    </cfRule>
  </conditionalFormatting>
  <conditionalFormatting sqref="P54 AA54">
    <cfRule type="cellIs" dxfId="1979" priority="39" operator="lessThan">
      <formula>0</formula>
    </cfRule>
  </conditionalFormatting>
  <conditionalFormatting sqref="Q54 AB54">
    <cfRule type="cellIs" dxfId="1978" priority="37" operator="greaterThan">
      <formula>1</formula>
    </cfRule>
    <cfRule type="cellIs" dxfId="1977" priority="38" operator="lessThan">
      <formula>0.8</formula>
    </cfRule>
  </conditionalFormatting>
  <conditionalFormatting sqref="R54 AC54">
    <cfRule type="cellIs" dxfId="1976" priority="40" operator="lessThan">
      <formula>0.8</formula>
    </cfRule>
  </conditionalFormatting>
  <conditionalFormatting sqref="O64">
    <cfRule type="cellIs" dxfId="1975" priority="31" operator="greaterThan">
      <formula>0</formula>
    </cfRule>
  </conditionalFormatting>
  <conditionalFormatting sqref="P64">
    <cfRule type="cellIs" dxfId="1974" priority="34" operator="lessThan">
      <formula>0</formula>
    </cfRule>
  </conditionalFormatting>
  <conditionalFormatting sqref="Q64">
    <cfRule type="cellIs" dxfId="1973" priority="32" operator="greaterThan">
      <formula>1</formula>
    </cfRule>
    <cfRule type="cellIs" dxfId="1972" priority="33" operator="lessThan">
      <formula>0.8</formula>
    </cfRule>
  </conditionalFormatting>
  <conditionalFormatting sqref="R64">
    <cfRule type="cellIs" dxfId="1971" priority="35" operator="lessThan">
      <formula>0.8</formula>
    </cfRule>
  </conditionalFormatting>
  <conditionalFormatting sqref="O16">
    <cfRule type="cellIs" dxfId="1970" priority="26" operator="greaterThan">
      <formula>0</formula>
    </cfRule>
  </conditionalFormatting>
  <conditionalFormatting sqref="P16">
    <cfRule type="cellIs" dxfId="1969" priority="29" operator="lessThan">
      <formula>0</formula>
    </cfRule>
  </conditionalFormatting>
  <conditionalFormatting sqref="Q16">
    <cfRule type="cellIs" dxfId="1968" priority="27" operator="greaterThan">
      <formula>1</formula>
    </cfRule>
    <cfRule type="cellIs" dxfId="1967" priority="28" operator="lessThan">
      <formula>0.8</formula>
    </cfRule>
  </conditionalFormatting>
  <conditionalFormatting sqref="R16 AC16">
    <cfRule type="cellIs" dxfId="1966" priority="30" operator="lessThan">
      <formula>0.8</formula>
    </cfRule>
  </conditionalFormatting>
  <conditionalFormatting sqref="O43">
    <cfRule type="cellIs" dxfId="1965" priority="20" operator="greaterThan">
      <formula>0</formula>
    </cfRule>
  </conditionalFormatting>
  <conditionalFormatting sqref="P43">
    <cfRule type="cellIs" dxfId="1964" priority="24" operator="lessThan">
      <formula>0</formula>
    </cfRule>
  </conditionalFormatting>
  <conditionalFormatting sqref="Q43">
    <cfRule type="cellIs" dxfId="1963" priority="21" operator="greaterThan">
      <formula>1</formula>
    </cfRule>
    <cfRule type="cellIs" dxfId="1962" priority="22" operator="lessThan">
      <formula>0.8</formula>
    </cfRule>
  </conditionalFormatting>
  <conditionalFormatting sqref="R43 AC43">
    <cfRule type="cellIs" dxfId="1961" priority="25" operator="lessThan">
      <formula>0.8</formula>
    </cfRule>
  </conditionalFormatting>
  <conditionalFormatting sqref="AC43">
    <cfRule type="cellIs" dxfId="1960" priority="23" operator="lessThan">
      <formula>0.8</formula>
    </cfRule>
  </conditionalFormatting>
  <conditionalFormatting sqref="O44">
    <cfRule type="cellIs" dxfId="1959" priority="14" operator="greaterThan">
      <formula>0</formula>
    </cfRule>
  </conditionalFormatting>
  <conditionalFormatting sqref="P44">
    <cfRule type="cellIs" dxfId="1958" priority="18" operator="lessThan">
      <formula>0</formula>
    </cfRule>
  </conditionalFormatting>
  <conditionalFormatting sqref="Q44">
    <cfRule type="cellIs" dxfId="1957" priority="15" operator="greaterThan">
      <formula>1</formula>
    </cfRule>
    <cfRule type="cellIs" dxfId="1956" priority="16" operator="lessThan">
      <formula>0.8</formula>
    </cfRule>
  </conditionalFormatting>
  <conditionalFormatting sqref="R44 AC44">
    <cfRule type="cellIs" dxfId="1955" priority="19" operator="lessThan">
      <formula>0.8</formula>
    </cfRule>
  </conditionalFormatting>
  <conditionalFormatting sqref="AC44">
    <cfRule type="cellIs" dxfId="1954" priority="17" operator="lessThan">
      <formula>0.8</formula>
    </cfRule>
  </conditionalFormatting>
  <conditionalFormatting sqref="O53">
    <cfRule type="cellIs" dxfId="1953" priority="9" operator="greaterThan">
      <formula>0</formula>
    </cfRule>
  </conditionalFormatting>
  <conditionalFormatting sqref="P53 AA53">
    <cfRule type="cellIs" dxfId="1952" priority="12" operator="lessThan">
      <formula>0</formula>
    </cfRule>
  </conditionalFormatting>
  <conditionalFormatting sqref="Q53 AB53">
    <cfRule type="cellIs" dxfId="1951" priority="10" operator="greaterThan">
      <formula>1</formula>
    </cfRule>
    <cfRule type="cellIs" dxfId="1950" priority="11" operator="lessThan">
      <formula>0.8</formula>
    </cfRule>
  </conditionalFormatting>
  <conditionalFormatting sqref="R53 AC53">
    <cfRule type="cellIs" dxfId="1949" priority="13" operator="lessThan">
      <formula>0.8</formula>
    </cfRule>
  </conditionalFormatting>
  <conditionalFormatting sqref="P8">
    <cfRule type="cellIs" dxfId="1948" priority="8" operator="lessThan">
      <formula>0</formula>
    </cfRule>
  </conditionalFormatting>
  <conditionalFormatting sqref="P17">
    <cfRule type="cellIs" dxfId="1947" priority="7" operator="lessThan">
      <formula>0</formula>
    </cfRule>
  </conditionalFormatting>
  <conditionalFormatting sqref="P23">
    <cfRule type="cellIs" dxfId="1946" priority="6" operator="lessThan">
      <formula>0</formula>
    </cfRule>
  </conditionalFormatting>
  <conditionalFormatting sqref="P30">
    <cfRule type="cellIs" dxfId="1945" priority="5" operator="lessThan">
      <formula>0</formula>
    </cfRule>
  </conditionalFormatting>
  <conditionalFormatting sqref="P45">
    <cfRule type="cellIs" dxfId="1944" priority="4" operator="lessThan">
      <formula>0</formula>
    </cfRule>
  </conditionalFormatting>
  <conditionalFormatting sqref="P51">
    <cfRule type="cellIs" dxfId="1943" priority="3" operator="lessThan">
      <formula>0</formula>
    </cfRule>
  </conditionalFormatting>
  <conditionalFormatting sqref="P57">
    <cfRule type="cellIs" dxfId="1942" priority="2" operator="lessThan">
      <formula>0</formula>
    </cfRule>
  </conditionalFormatting>
  <conditionalFormatting sqref="P65">
    <cfRule type="cellIs" dxfId="1941" priority="1" operator="lessThan">
      <formula>0</formula>
    </cfRule>
  </conditionalFormatting>
  <dataValidations count="1">
    <dataValidation type="list" allowBlank="1" showInputMessage="1" showErrorMessage="1" sqref="Z8 Z56 Y5:Z7 Y8:Y56 Z10:Z52 Y57:Z65">
      <formula1>#REF!</formula1>
    </dataValidation>
  </dataValidations>
  <pageMargins left="0" right="0" top="0" bottom="0" header="0" footer="0"/>
  <pageSetup paperSize="9" scale="11" orientation="landscape" horizontalDpi="300" verticalDpi="300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工作表3"/>
  <dimension ref="B1:Q28"/>
  <sheetViews>
    <sheetView zoomScale="85" zoomScaleNormal="85" workbookViewId="0">
      <selection activeCell="X71" sqref="X71"/>
    </sheetView>
  </sheetViews>
  <sheetFormatPr defaultColWidth="8.75" defaultRowHeight="15.75"/>
  <cols>
    <col min="1" max="1" width="8.75" style="30"/>
    <col min="2" max="2" width="17.875" style="30" customWidth="1"/>
    <col min="3" max="3" width="9.25" style="37" customWidth="1"/>
    <col min="4" max="13" width="12.625" style="30" customWidth="1"/>
    <col min="14" max="14" width="11" style="30" bestFit="1" customWidth="1"/>
    <col min="15" max="15" width="17.75" style="30" bestFit="1" customWidth="1"/>
    <col min="16" max="16" width="12.25" style="30" bestFit="1" customWidth="1"/>
    <col min="17" max="22" width="9.25" style="30" customWidth="1"/>
    <col min="23" max="23" width="10.75" style="30" customWidth="1"/>
    <col min="24" max="24" width="11" style="30" customWidth="1"/>
    <col min="25" max="16384" width="8.75" style="30"/>
  </cols>
  <sheetData>
    <row r="1" spans="2:17" ht="27.75" customHeight="1">
      <c r="B1" s="552" t="s">
        <v>2205</v>
      </c>
      <c r="C1" s="552"/>
      <c r="D1" s="552"/>
      <c r="E1" s="552"/>
      <c r="F1" s="552"/>
      <c r="G1" s="552"/>
      <c r="H1" s="552"/>
      <c r="I1" s="552"/>
      <c r="J1" s="552"/>
      <c r="K1" s="29"/>
      <c r="L1" s="29"/>
      <c r="M1" s="29"/>
      <c r="N1" s="29"/>
      <c r="O1" s="29"/>
      <c r="P1" s="29"/>
    </row>
    <row r="2" spans="2:17" ht="27.75" customHeight="1">
      <c r="B2" s="553"/>
      <c r="C2" s="553"/>
      <c r="D2" s="553"/>
      <c r="E2" s="553"/>
      <c r="F2" s="553"/>
      <c r="G2" s="553"/>
      <c r="H2" s="553"/>
      <c r="I2" s="553"/>
      <c r="J2" s="553"/>
      <c r="K2" s="31"/>
      <c r="L2" s="31"/>
      <c r="M2" s="31"/>
      <c r="N2" s="29"/>
      <c r="O2" s="29"/>
      <c r="P2" s="29"/>
    </row>
    <row r="3" spans="2:17" ht="46.5" customHeight="1">
      <c r="B3" s="32" t="s">
        <v>2206</v>
      </c>
      <c r="C3" s="554" t="str">
        <f>TEXT('1030 4度C'!A2,"yyyy.mm.ddaaaa")</f>
        <v>2025.10.30星期四</v>
      </c>
      <c r="D3" s="555"/>
      <c r="E3" s="32" t="s">
        <v>2207</v>
      </c>
      <c r="F3" s="556">
        <f>'1030 4度C'!D1</f>
        <v>184956</v>
      </c>
      <c r="G3" s="557"/>
      <c r="H3" s="32" t="s">
        <v>2208</v>
      </c>
      <c r="I3" s="558">
        <f>'1030 4度C'!F1</f>
        <v>6088234.839999998</v>
      </c>
      <c r="J3" s="559"/>
      <c r="K3" s="33"/>
      <c r="L3" s="34"/>
      <c r="M3" s="35"/>
      <c r="N3" s="35"/>
    </row>
    <row r="4" spans="2:17" ht="28.5" customHeight="1">
      <c r="B4" s="560" t="s">
        <v>2209</v>
      </c>
      <c r="C4" s="542" t="s">
        <v>2210</v>
      </c>
      <c r="D4" s="543"/>
      <c r="E4" s="563" t="s">
        <v>2211</v>
      </c>
      <c r="F4" s="564"/>
      <c r="G4" s="563" t="s">
        <v>2212</v>
      </c>
      <c r="H4" s="564"/>
      <c r="I4" s="563" t="s">
        <v>207</v>
      </c>
      <c r="J4" s="564"/>
      <c r="L4" s="35"/>
      <c r="M4" s="35"/>
      <c r="N4" s="35"/>
    </row>
    <row r="5" spans="2:17" ht="28.5" customHeight="1">
      <c r="B5" s="561"/>
      <c r="C5" s="542" t="s">
        <v>2213</v>
      </c>
      <c r="D5" s="543"/>
      <c r="E5" s="542" t="s">
        <v>2214</v>
      </c>
      <c r="F5" s="543"/>
      <c r="G5" s="544" t="s">
        <v>2215</v>
      </c>
      <c r="H5" s="545"/>
      <c r="I5" s="546" t="s">
        <v>2216</v>
      </c>
      <c r="J5" s="547"/>
      <c r="K5" s="35"/>
      <c r="L5" s="35"/>
      <c r="M5" s="35"/>
      <c r="N5" s="35"/>
    </row>
    <row r="6" spans="2:17" ht="28.5" customHeight="1">
      <c r="B6" s="561"/>
      <c r="C6" s="542" t="s">
        <v>92</v>
      </c>
      <c r="D6" s="543"/>
      <c r="E6" s="548">
        <f>AVERAGE(D13:M13)</f>
        <v>149.11020116653913</v>
      </c>
      <c r="F6" s="549">
        <f>AVERAGE(D27:O27,D13:J13)</f>
        <v>153.77371733246102</v>
      </c>
      <c r="G6" s="550">
        <f>AVERAGE(D13:J13)</f>
        <v>153.77371733246102</v>
      </c>
      <c r="H6" s="551"/>
      <c r="I6" s="550">
        <f>AVERAGE(K13:M13)</f>
        <v>138.22866344605475</v>
      </c>
      <c r="J6" s="551"/>
      <c r="K6" s="35"/>
      <c r="L6" s="35"/>
      <c r="M6" s="35"/>
      <c r="N6" s="35"/>
    </row>
    <row r="7" spans="2:17" ht="28.5" customHeight="1">
      <c r="B7" s="561"/>
      <c r="C7" s="532" t="s">
        <v>93</v>
      </c>
      <c r="D7" s="533"/>
      <c r="E7" s="534">
        <f>AVERAGE(D14:M14)</f>
        <v>142.89566941378274</v>
      </c>
      <c r="F7" s="535">
        <f>AVERAGE(D28:O28,D14:J14)</f>
        <v>147.44439023954297</v>
      </c>
      <c r="G7" s="536">
        <f>AVERAGE(D14:J14)</f>
        <v>147.44439023954297</v>
      </c>
      <c r="H7" s="537"/>
      <c r="I7" s="536">
        <f>AVERAGE(K14:M14)</f>
        <v>132.28198748700879</v>
      </c>
      <c r="J7" s="537"/>
      <c r="K7" s="35"/>
      <c r="L7" s="35"/>
      <c r="M7" s="35"/>
      <c r="N7" s="35"/>
    </row>
    <row r="8" spans="2:17" ht="28.5" customHeight="1">
      <c r="B8" s="562"/>
      <c r="C8" s="532" t="s">
        <v>94</v>
      </c>
      <c r="D8" s="533"/>
      <c r="E8" s="538">
        <f>AVERAGE(D15:M15)</f>
        <v>0.95795516997807995</v>
      </c>
      <c r="F8" s="539">
        <f>AVERAGE(D15:J15,D29:O29)</f>
        <v>0.95838204920827974</v>
      </c>
      <c r="G8" s="540">
        <f>AVERAGE(D15:J15)</f>
        <v>0.95838204920827974</v>
      </c>
      <c r="H8" s="541"/>
      <c r="I8" s="540">
        <f>AVERAGE(K15:M15)</f>
        <v>0.95695911844094717</v>
      </c>
      <c r="J8" s="541"/>
      <c r="K8" s="36" t="s">
        <v>2217</v>
      </c>
      <c r="L8" s="35"/>
      <c r="M8" s="35"/>
      <c r="N8" s="35"/>
    </row>
    <row r="9" spans="2:17" ht="28.5" customHeight="1" thickBot="1">
      <c r="H9" s="38"/>
      <c r="N9" s="35"/>
      <c r="O9" s="35"/>
      <c r="P9" s="35"/>
      <c r="Q9" s="35"/>
    </row>
    <row r="10" spans="2:17" ht="30" customHeight="1">
      <c r="B10" s="515" t="s">
        <v>2218</v>
      </c>
      <c r="C10" s="516"/>
      <c r="D10" s="517" t="s">
        <v>2219</v>
      </c>
      <c r="E10" s="518"/>
      <c r="F10" s="518"/>
      <c r="G10" s="518"/>
      <c r="H10" s="518"/>
      <c r="I10" s="518"/>
      <c r="J10" s="519"/>
      <c r="K10" s="520" t="s">
        <v>2220</v>
      </c>
      <c r="L10" s="521"/>
      <c r="M10" s="522"/>
      <c r="P10" s="39"/>
      <c r="Q10" s="39"/>
    </row>
    <row r="11" spans="2:17" ht="17.25" customHeight="1">
      <c r="B11" s="523" t="s">
        <v>2221</v>
      </c>
      <c r="C11" s="524"/>
      <c r="D11" s="40">
        <v>1</v>
      </c>
      <c r="E11" s="41">
        <v>2</v>
      </c>
      <c r="F11" s="41">
        <v>3</v>
      </c>
      <c r="G11" s="41">
        <v>4</v>
      </c>
      <c r="H11" s="41">
        <v>5</v>
      </c>
      <c r="I11" s="41">
        <v>6</v>
      </c>
      <c r="J11" s="42">
        <v>7</v>
      </c>
      <c r="K11" s="40">
        <v>1</v>
      </c>
      <c r="L11" s="41">
        <v>2</v>
      </c>
      <c r="M11" s="42">
        <v>3</v>
      </c>
      <c r="P11" s="39"/>
      <c r="Q11" s="39"/>
    </row>
    <row r="12" spans="2:17" ht="34.15" customHeight="1">
      <c r="B12" s="525"/>
      <c r="C12" s="526"/>
      <c r="D12" s="43" t="s">
        <v>96</v>
      </c>
      <c r="E12" s="44" t="s">
        <v>97</v>
      </c>
      <c r="F12" s="44" t="s">
        <v>98</v>
      </c>
      <c r="G12" s="44" t="s">
        <v>99</v>
      </c>
      <c r="H12" s="44" t="s">
        <v>100</v>
      </c>
      <c r="I12" s="44" t="s">
        <v>101</v>
      </c>
      <c r="J12" s="45" t="s">
        <v>102</v>
      </c>
      <c r="K12" s="43" t="s">
        <v>103</v>
      </c>
      <c r="L12" s="44" t="s">
        <v>104</v>
      </c>
      <c r="M12" s="45" t="s">
        <v>105</v>
      </c>
    </row>
    <row r="13" spans="2:17" ht="40.15" customHeight="1">
      <c r="B13" s="527" t="s">
        <v>2222</v>
      </c>
      <c r="C13" s="46" t="s">
        <v>2223</v>
      </c>
      <c r="D13" s="47">
        <f>SUMIFS('1030 4度C'!$K:$K,'1030 4度C'!$A:$A,"新豐6線",'1030 4度C'!$B:$B,"平均")</f>
        <v>125</v>
      </c>
      <c r="E13" s="48">
        <f>SUMIFS('1030 4度C'!$K:$K,'1030 4度C'!$A:$A,"新豐2線",'1030 4度C'!$B:$B,"平均")</f>
        <v>81.081081081081081</v>
      </c>
      <c r="F13" s="49">
        <f>SUMIFS('1030 4度C'!$K:$K,'1030 4度C'!$A:$A,"新豐5線",'1030 4度C'!$B:$B,"平均")</f>
        <v>91.397849462365585</v>
      </c>
      <c r="G13" s="49">
        <f>SUMIFS('1030 4度C'!$K:$K,'1030 4度C'!$A:$A,"新豐7線",'1030 4度C'!$B:$B,"平均")</f>
        <v>121.95121951219514</v>
      </c>
      <c r="H13" s="49">
        <f>SUMIFS('1030 4度C'!$K:$K,'1030 4度C'!$A:$A,"新豐3線",'1030 4度C'!$B:$B,"平均")</f>
        <v>269.23076923076923</v>
      </c>
      <c r="I13" s="49">
        <f>SUMIFS('1030 4度C'!$K:$K,'1030 4度C'!$A:$A,"新豐1線",'1030 4度C'!$B:$B,"平均")</f>
        <v>112.24489795918367</v>
      </c>
      <c r="J13" s="50">
        <f>SUMIFS('1030 4度C'!$K:$K,'1030 4度C'!$A:$A,"新豐10線",'1030 4度C'!$B:$B,"平均")</f>
        <v>275.51020408163265</v>
      </c>
      <c r="K13" s="51">
        <f>SUMIFS('1030 4度C'!$K:$K,'1030 4度C'!$A:$A,"新豐8線",'1030 4度C'!$B:$B,"平均")</f>
        <v>133.33333333333334</v>
      </c>
      <c r="L13" s="52">
        <f>SUMIFS('1030 4度C'!$K:$K,'1030 4度C'!$A:$A,"新豐9線",'1030 4度C'!$B:$B,"平均")</f>
        <v>139.13043478260869</v>
      </c>
      <c r="M13" s="50">
        <f>SUMIFS('1030 4度C'!$K:$K,'1030 4度C'!$A:$A,"新豐4線",'1030 4度C'!$B:$B,"平均")</f>
        <v>142.22222222222223</v>
      </c>
    </row>
    <row r="14" spans="2:17" ht="39.6" customHeight="1">
      <c r="B14" s="528"/>
      <c r="C14" s="53" t="s">
        <v>2224</v>
      </c>
      <c r="D14" s="54">
        <f>SUMIFS('1030 4度C'!$N:$N,'1030 4度C'!$A:$A,"新豐6線",'1030 4度C'!$B:$B,"平均")</f>
        <v>120.30862282878407</v>
      </c>
      <c r="E14" s="55">
        <f>SUMIFS('1030 4度C'!$N:$N,'1030 4度C'!$A:$A,"新豐2線",'1030 4度C'!$B:$B,"平均")</f>
        <v>77.598849288038494</v>
      </c>
      <c r="F14" s="55">
        <f>SUMIFS('1030 4度C'!$N:$N,'1030 4度C'!$A:$A,"新豐5線",'1030 4度C'!$B:$B,"平均")</f>
        <v>87.417693557512848</v>
      </c>
      <c r="G14" s="55">
        <f>SUMIFS('1030 4度C'!$N:$N,'1030 4度C'!$A:$A,"新豐7線",'1030 4度C'!$B:$B,"平均")</f>
        <v>116.56581307406758</v>
      </c>
      <c r="H14" s="55">
        <f>SUMIFS('1030 4度C'!$N:$N,'1030 4度C'!$A:$A,"新豐3線",'1030 4度C'!$B:$B,"平均")</f>
        <v>257.98936170679764</v>
      </c>
      <c r="I14" s="55">
        <f>SUMIFS('1030 4度C'!$N:$N,'1030 4度C'!$A:$A,"新豐1線",'1030 4度C'!$B:$B,"平均")</f>
        <v>107.50266372053439</v>
      </c>
      <c r="J14" s="56">
        <f>SUMIFS('1030 4度C'!$N:$N,'1030 4度C'!$A:$A,"新豐10線",'1030 4度C'!$B:$B,"平均")</f>
        <v>264.72772750106566</v>
      </c>
      <c r="K14" s="57">
        <f>SUMIFS('1030 4度C'!$N:$N,'1030 4度C'!$A:$A,"新豐8線",'1030 4度C'!$B:$B,"平均")</f>
        <v>127.42695081708345</v>
      </c>
      <c r="L14" s="58">
        <f>SUMIFS('1030 4度C'!$N:$N,'1030 4度C'!$A:$A,"新豐9線",'1030 4度C'!$B:$B,"平均")</f>
        <v>133.2659108687491</v>
      </c>
      <c r="M14" s="56">
        <f>SUMIFS('1030 4度C'!$N:$N,'1030 4度C'!$A:$A,"新豐4線",'1030 4度C'!$B:$B,"平均")</f>
        <v>136.15310077519385</v>
      </c>
    </row>
    <row r="15" spans="2:17" ht="40.15" customHeight="1">
      <c r="B15" s="529"/>
      <c r="C15" s="59" t="s">
        <v>2225</v>
      </c>
      <c r="D15" s="60">
        <f t="shared" ref="D15:M15" si="0">D14/D13</f>
        <v>0.96246898263027258</v>
      </c>
      <c r="E15" s="61">
        <f t="shared" si="0"/>
        <v>0.95705247455247477</v>
      </c>
      <c r="F15" s="61">
        <f t="shared" si="0"/>
        <v>0.95645241186455243</v>
      </c>
      <c r="G15" s="61">
        <f t="shared" si="0"/>
        <v>0.95583966720735403</v>
      </c>
      <c r="H15" s="61">
        <f t="shared" si="0"/>
        <v>0.95824620062524835</v>
      </c>
      <c r="I15" s="61">
        <f t="shared" si="0"/>
        <v>0.95775100405566993</v>
      </c>
      <c r="J15" s="62">
        <f t="shared" si="0"/>
        <v>0.96086360352238642</v>
      </c>
      <c r="K15" s="60">
        <f t="shared" si="0"/>
        <v>0.95570213112812585</v>
      </c>
      <c r="L15" s="61">
        <f t="shared" si="0"/>
        <v>0.9578487343691342</v>
      </c>
      <c r="M15" s="62">
        <f t="shared" si="0"/>
        <v>0.95732648982558166</v>
      </c>
    </row>
    <row r="16" spans="2:17" ht="17.25" customHeight="1">
      <c r="B16" s="530" t="s">
        <v>2226</v>
      </c>
      <c r="C16" s="63" t="s">
        <v>2227</v>
      </c>
      <c r="D16" s="284">
        <f>VLOOKUP("新豐6線",'1030 4度C'!$A:$T,19,0)</f>
        <v>0.70833333333333337</v>
      </c>
      <c r="E16" s="285">
        <f>VLOOKUP("新豐2線",'1030 4度C'!$A:$T,19,0)</f>
        <v>0.20833333333333334</v>
      </c>
      <c r="F16" s="285">
        <f>VLOOKUP("新豐5線",'1030 4度C'!$A:$T,19,0)</f>
        <v>0.125</v>
      </c>
      <c r="G16" s="285">
        <f>VLOOKUP("新豐7線",'1030 4度C'!$A:$T,19,0)</f>
        <v>0.20833333333333334</v>
      </c>
      <c r="H16" s="285">
        <f>VLOOKUP("新豐3線",'1030 4度C'!$A:$T,19,0)</f>
        <v>8.3333333333333329E-2</v>
      </c>
      <c r="I16" s="285">
        <f>VLOOKUP("新豐1線",'1030 4度C'!$A:$T,19,0)</f>
        <v>0.20833333333333334</v>
      </c>
      <c r="J16" s="286">
        <f>VLOOKUP("新豐10線",'1030 4度C'!$A:$T,19,0)</f>
        <v>0.20833333333333334</v>
      </c>
      <c r="K16" s="66">
        <f>VLOOKUP("新豐8線",'1030 4度C'!$A:$T,19,0)</f>
        <v>8.3333333333333329E-2</v>
      </c>
      <c r="L16" s="67">
        <f>VLOOKUP("新豐9線",'1030 4度C'!$A:$T,19,0)</f>
        <v>8.3333333333333329E-2</v>
      </c>
      <c r="M16" s="68">
        <f>VLOOKUP("新豐4線",'1030 4度C'!$A:$T,19,0)</f>
        <v>8.3333333333333329E-2</v>
      </c>
    </row>
    <row r="17" spans="2:13" ht="17.25" customHeight="1">
      <c r="B17" s="531"/>
      <c r="C17" s="63" t="s">
        <v>2228</v>
      </c>
      <c r="D17" s="66">
        <f>LOOKUP(2,1/(('1030 4度C'!$A:$A="新豐6線")*('1030 4度C'!$T:$T&lt;&gt;"")),'1030 4度C'!$T:$T)</f>
        <v>0.8125</v>
      </c>
      <c r="E17" s="285">
        <f>LOOKUP(2,1/(('1030 4度C'!$A:$A="新豐2線")*('1030 4度C'!$T:$T&lt;&gt;"")),'1030 4度C'!$T:$T)</f>
        <v>0.45486111111111105</v>
      </c>
      <c r="F17" s="285">
        <f>LOOKUP(2,1/(('1030 4度C'!$A:$A="新豐5線")*('1030 4度C'!$T:$T&lt;&gt;"")),'1030 4度C'!$T:$T)</f>
        <v>0.82847222222222228</v>
      </c>
      <c r="G17" s="285">
        <f>LOOKUP(2,1/(('1030 4度C'!$A:$A="新豐7線")*('1030 4度C'!$T:$T&lt;&gt;"")),'1030 4度C'!$T:$T)</f>
        <v>0.83958333333333335</v>
      </c>
      <c r="H17" s="285">
        <f>LOOKUP(2,1/(('1030 4度C'!$A:$A="新豐3線")*('1030 4度C'!$T:$T&lt;&gt;"")),'1030 4度C'!$T:$T)</f>
        <v>0.65555555555555534</v>
      </c>
      <c r="I17" s="285">
        <f>LOOKUP(2,1/(('1030 4度C'!$A:$A="新豐1線")*('1030 4度C'!$T:$T&lt;&gt;"")),'1030 4度C'!$T:$T)</f>
        <v>0.92986111111111103</v>
      </c>
      <c r="J17" s="286">
        <f>LOOKUP(2,1/(('1030 4度C'!$A:$A="新豐10線")*('1030 4度C'!$T:$T&lt;&gt;"")),'1030 4度C'!$T:$T)</f>
        <v>0.51527777777777772</v>
      </c>
      <c r="K17" s="284">
        <f>LOOKUP(2,1/(('1030 4度C'!$A:$A="新豐8線")*('1030 4度C'!$T:$T&lt;&gt;"")),'1030 4度C'!$T:$T)</f>
        <v>0.70833333333333326</v>
      </c>
      <c r="L17" s="285">
        <f>LOOKUP(2,1/(('1030 4度C'!$A:$A="新豐9線")*('1030 4度C'!$T:$T&lt;&gt;"")),'1030 4度C'!$T:$T)</f>
        <v>0.69027777777777766</v>
      </c>
      <c r="M17" s="286">
        <f>LOOKUP(2,1/(('1030 4度C'!$A:$A="新豐4線")*('1030 4度C'!$T:$T&lt;&gt;"")),'1030 4度C'!$T:$T)</f>
        <v>0.67361111111111105</v>
      </c>
    </row>
    <row r="18" spans="2:13" ht="17.25" customHeight="1">
      <c r="B18" s="509" t="s">
        <v>2229</v>
      </c>
      <c r="C18" s="510"/>
      <c r="D18" s="69">
        <f>SUMIFS('1030 4度C'!$I:$I,'1030 4度C'!$A:$A,"新豐6線",'1030 4度C'!$B:$B,"平均")</f>
        <v>16</v>
      </c>
      <c r="E18" s="70">
        <f>SUMIFS('1030 4度C'!$I:$I,'1030 4度C'!$A:$A,"新豐2線",'1030 4度C'!$B:$B,"平均")</f>
        <v>18.5</v>
      </c>
      <c r="F18" s="70">
        <f>SUMIFS('1030 4度C'!$I:$I,'1030 4度C'!$A:$A,"新豐5線",'1030 4度C'!$B:$B,"平均")</f>
        <v>18.600000000000001</v>
      </c>
      <c r="G18" s="70">
        <f>SUMIFS('1030 4度C'!$I:$I,'1030 4度C'!$A:$A,"新豐7線",'1030 4度C'!$B:$B,"平均")</f>
        <v>16.399999999999999</v>
      </c>
      <c r="H18" s="70">
        <f>SUMIFS('1030 4度C'!$I:$I,'1030 4度C'!$A:$A,"新豐3線",'1030 4度C'!$B:$B,"平均")</f>
        <v>10.4</v>
      </c>
      <c r="I18" s="70">
        <f>SUMIFS('1030 4度C'!$I:$I,'1030 4度C'!$A:$A,"新豐1線",'1030 4度C'!$B:$B,"平均")</f>
        <v>16.333333333333332</v>
      </c>
      <c r="J18" s="71">
        <f>SUMIFS('1030 4度C'!$I:$I,'1030 4度C'!$A:$A,"新豐10線",'1030 4度C'!$B:$B,"平均")</f>
        <v>9.8000000000000007</v>
      </c>
      <c r="K18" s="69">
        <f>SUMIFS('1030 4度C'!$I:$I,'1030 4度C'!$A:$A,"新豐8線",'1030 4度C'!$B:$B,"平均")</f>
        <v>18</v>
      </c>
      <c r="L18" s="70">
        <f>SUMIFS('1030 4度C'!$I:$I,'1030 4度C'!$A:$A,"新豐9線",'1030 4度C'!$B:$B,"平均")</f>
        <v>17.25</v>
      </c>
      <c r="M18" s="71">
        <f>SUMIFS('1030 4度C'!$I:$I,'1030 4度C'!$A:$A,"新豐4線",'1030 4度C'!$B:$B,"平均")</f>
        <v>16.875</v>
      </c>
    </row>
    <row r="19" spans="2:13" ht="17.25" customHeight="1">
      <c r="B19" s="509" t="s">
        <v>2230</v>
      </c>
      <c r="C19" s="510"/>
      <c r="D19" s="72" t="s">
        <v>109</v>
      </c>
      <c r="E19" s="73" t="s">
        <v>110</v>
      </c>
      <c r="F19" s="73" t="s">
        <v>2231</v>
      </c>
      <c r="G19" s="73" t="s">
        <v>2231</v>
      </c>
      <c r="H19" s="73" t="s">
        <v>111</v>
      </c>
      <c r="I19" s="73" t="s">
        <v>109</v>
      </c>
      <c r="J19" s="74" t="s">
        <v>111</v>
      </c>
      <c r="K19" s="72" t="s">
        <v>2232</v>
      </c>
      <c r="L19" s="73" t="s">
        <v>2232</v>
      </c>
      <c r="M19" s="74" t="s">
        <v>2232</v>
      </c>
    </row>
    <row r="20" spans="2:13" ht="17.25" customHeight="1">
      <c r="B20" s="509" t="s">
        <v>2233</v>
      </c>
      <c r="C20" s="510"/>
      <c r="D20" s="72"/>
      <c r="E20" s="73"/>
      <c r="F20" s="73" t="s">
        <v>2234</v>
      </c>
      <c r="G20" s="73" t="s">
        <v>109</v>
      </c>
      <c r="H20" s="73"/>
      <c r="I20" s="73"/>
      <c r="J20" s="74"/>
      <c r="K20" s="72"/>
      <c r="L20" s="73"/>
      <c r="M20" s="74"/>
    </row>
    <row r="21" spans="2:13" ht="17.25" customHeight="1" thickBot="1">
      <c r="B21" s="511" t="s">
        <v>141</v>
      </c>
      <c r="C21" s="512"/>
      <c r="D21" s="75"/>
      <c r="E21" s="76" t="s">
        <v>142</v>
      </c>
      <c r="F21" s="513" t="s">
        <v>2235</v>
      </c>
      <c r="G21" s="514"/>
      <c r="H21" s="76" t="s">
        <v>2236</v>
      </c>
      <c r="I21" s="76" t="s">
        <v>2237</v>
      </c>
      <c r="J21" s="77" t="s">
        <v>2236</v>
      </c>
      <c r="K21" s="78"/>
      <c r="L21" s="76"/>
      <c r="M21" s="77"/>
    </row>
    <row r="22" spans="2:13" ht="17.25" customHeight="1"/>
    <row r="23" spans="2:13" ht="17.25" customHeight="1"/>
    <row r="24" spans="2:13" ht="17.25" customHeight="1"/>
    <row r="25" spans="2:13" ht="37.5" customHeight="1"/>
    <row r="26" spans="2:13" ht="35.25" customHeight="1"/>
    <row r="27" spans="2:13" ht="35.25" customHeight="1"/>
    <row r="28" spans="2:13" ht="39.75" customHeight="1"/>
  </sheetData>
  <mergeCells count="36">
    <mergeCell ref="B1:J2"/>
    <mergeCell ref="C3:D3"/>
    <mergeCell ref="F3:G3"/>
    <mergeCell ref="I3:J3"/>
    <mergeCell ref="B4:B8"/>
    <mergeCell ref="C4:D4"/>
    <mergeCell ref="E4:F4"/>
    <mergeCell ref="G4:H4"/>
    <mergeCell ref="I4:J4"/>
    <mergeCell ref="C5:D5"/>
    <mergeCell ref="E5:F5"/>
    <mergeCell ref="G5:H5"/>
    <mergeCell ref="I5:J5"/>
    <mergeCell ref="C6:D6"/>
    <mergeCell ref="E6:F6"/>
    <mergeCell ref="G6:H6"/>
    <mergeCell ref="I6:J6"/>
    <mergeCell ref="B16:B17"/>
    <mergeCell ref="C7:D7"/>
    <mergeCell ref="E7:F7"/>
    <mergeCell ref="G7:H7"/>
    <mergeCell ref="I7:J7"/>
    <mergeCell ref="C8:D8"/>
    <mergeCell ref="E8:F8"/>
    <mergeCell ref="G8:H8"/>
    <mergeCell ref="I8:J8"/>
    <mergeCell ref="B10:C10"/>
    <mergeCell ref="D10:J10"/>
    <mergeCell ref="B20:C20"/>
    <mergeCell ref="B21:C21"/>
    <mergeCell ref="F21:G21"/>
    <mergeCell ref="K10:M10"/>
    <mergeCell ref="B11:C12"/>
    <mergeCell ref="B13:B15"/>
    <mergeCell ref="B18:C18"/>
    <mergeCell ref="B19:C19"/>
  </mergeCells>
  <phoneticPr fontId="3" type="noConversion"/>
  <conditionalFormatting sqref="D15:M15">
    <cfRule type="cellIs" dxfId="1940" priority="1" operator="lessThan">
      <formula>0.8</formula>
    </cfRule>
  </conditionalFormatting>
  <pageMargins left="0.7" right="0.7" top="0.75" bottom="0.75" header="0.3" footer="0.3"/>
  <pageSetup paperSize="9" orientation="portrait" horizontalDpi="300" verticalDpi="300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工作表4">
    <pageSetUpPr fitToPage="1"/>
  </sheetPr>
  <dimension ref="A1:AC75"/>
  <sheetViews>
    <sheetView zoomScale="80" zoomScaleNormal="80" workbookViewId="0">
      <pane ySplit="4" topLeftCell="A5" activePane="bottomLeft" state="frozen"/>
      <selection activeCell="B6" sqref="B6"/>
      <selection pane="bottomLeft" activeCell="A3" sqref="A3:A4"/>
    </sheetView>
  </sheetViews>
  <sheetFormatPr defaultColWidth="8" defaultRowHeight="15.75"/>
  <cols>
    <col min="1" max="1" width="15.125" style="291" customWidth="1"/>
    <col min="2" max="2" width="19.375" style="291" customWidth="1"/>
    <col min="3" max="3" width="15.25" style="291" customWidth="1"/>
    <col min="4" max="4" width="17.5" style="291" customWidth="1"/>
    <col min="5" max="5" width="7.5" style="291" bestFit="1" customWidth="1"/>
    <col min="6" max="6" width="14.375" style="291" bestFit="1" customWidth="1"/>
    <col min="7" max="7" width="14.375" style="291" customWidth="1"/>
    <col min="8" max="8" width="8" style="291" customWidth="1"/>
    <col min="9" max="9" width="5.875" style="291" customWidth="1"/>
    <col min="10" max="10" width="10.625" style="291" customWidth="1"/>
    <col min="11" max="11" width="14.625" style="291" customWidth="1"/>
    <col min="12" max="12" width="7.25" style="291" bestFit="1" customWidth="1"/>
    <col min="13" max="13" width="8" style="291" customWidth="1"/>
    <col min="14" max="14" width="12" style="291" customWidth="1"/>
    <col min="15" max="15" width="6" style="291" customWidth="1"/>
    <col min="16" max="16" width="9.25" style="291" customWidth="1"/>
    <col min="17" max="17" width="11.5" style="291" customWidth="1"/>
    <col min="18" max="18" width="8.5" style="291" customWidth="1"/>
    <col min="19" max="19" width="10.125" style="324" bestFit="1" customWidth="1"/>
    <col min="20" max="20" width="7.625" style="324" bestFit="1" customWidth="1"/>
    <col min="21" max="21" width="10.25" style="291" bestFit="1" customWidth="1"/>
    <col min="22" max="22" width="8.75" style="325" customWidth="1"/>
    <col min="23" max="23" width="7.375" style="291" customWidth="1"/>
    <col min="24" max="24" width="6.875" style="291" bestFit="1" customWidth="1"/>
    <col min="25" max="25" width="12.75" style="291" customWidth="1"/>
    <col min="26" max="26" width="18.875" style="291" customWidth="1"/>
    <col min="27" max="27" width="13.125" style="291" bestFit="1" customWidth="1"/>
    <col min="28" max="28" width="10.375" style="291" customWidth="1"/>
    <col min="29" max="29" width="9.375" style="291" customWidth="1"/>
    <col min="30" max="30" width="8" style="291"/>
    <col min="31" max="31" width="24.625" style="291" bestFit="1" customWidth="1"/>
    <col min="32" max="16384" width="8" style="291"/>
  </cols>
  <sheetData>
    <row r="1" spans="1:29" ht="26.25" customHeight="1">
      <c r="A1" s="287" t="s">
        <v>2238</v>
      </c>
      <c r="B1" s="287"/>
      <c r="C1" s="288" t="s">
        <v>2239</v>
      </c>
      <c r="D1" s="289">
        <f>SUM(F5:F74)</f>
        <v>184956</v>
      </c>
      <c r="E1" s="483" t="s">
        <v>2240</v>
      </c>
      <c r="F1" s="287">
        <f>SUM(G5:G74)</f>
        <v>6088234.839999998</v>
      </c>
      <c r="G1" s="287" t="s">
        <v>2241</v>
      </c>
      <c r="H1" s="290">
        <f>L8+L11+L52+L59+L17+L65+L32+L41+L23+L74</f>
        <v>158.15833333333333</v>
      </c>
      <c r="I1" s="611" t="s">
        <v>2242</v>
      </c>
      <c r="J1" s="611"/>
      <c r="K1" s="611"/>
      <c r="L1" s="611" t="s">
        <v>2243</v>
      </c>
      <c r="M1" s="611"/>
      <c r="N1" s="611"/>
      <c r="O1" s="611" t="s">
        <v>2244</v>
      </c>
      <c r="P1" s="611"/>
      <c r="Q1" s="611"/>
      <c r="R1" s="611"/>
      <c r="S1" s="611" t="s">
        <v>2245</v>
      </c>
      <c r="T1" s="611"/>
      <c r="U1" s="611"/>
      <c r="V1" s="611"/>
      <c r="W1" s="611"/>
      <c r="X1" s="611"/>
      <c r="Y1" s="611" t="s">
        <v>2246</v>
      </c>
      <c r="Z1" s="611"/>
      <c r="AA1" s="611" t="s">
        <v>2247</v>
      </c>
      <c r="AB1" s="612"/>
      <c r="AC1" s="612"/>
    </row>
    <row r="2" spans="1:29" ht="26.25" customHeight="1">
      <c r="A2" s="292">
        <v>45960</v>
      </c>
      <c r="B2" s="293" t="s">
        <v>155</v>
      </c>
      <c r="C2" s="288" t="s">
        <v>2248</v>
      </c>
      <c r="D2" s="294">
        <f>AVERAGE(N8,N11,N52,N59,N17,N65,N23,N32,N41,N74)</f>
        <v>142.89566941378274</v>
      </c>
      <c r="E2" s="295" t="s">
        <v>2</v>
      </c>
      <c r="F2" s="296">
        <f>F1/D1</f>
        <v>32.917206470728161</v>
      </c>
      <c r="G2" s="287" t="s">
        <v>2249</v>
      </c>
      <c r="H2" s="482">
        <f>COUNT(H5:H74)</f>
        <v>11</v>
      </c>
      <c r="I2" s="611"/>
      <c r="J2" s="611"/>
      <c r="K2" s="611"/>
      <c r="L2" s="611"/>
      <c r="M2" s="611"/>
      <c r="N2" s="611"/>
      <c r="O2" s="611"/>
      <c r="P2" s="611"/>
      <c r="Q2" s="611"/>
      <c r="R2" s="611"/>
      <c r="S2" s="611"/>
      <c r="T2" s="611"/>
      <c r="U2" s="611"/>
      <c r="V2" s="611"/>
      <c r="W2" s="611"/>
      <c r="X2" s="611"/>
      <c r="Y2" s="611"/>
      <c r="Z2" s="611"/>
      <c r="AA2" s="612"/>
      <c r="AB2" s="612"/>
      <c r="AC2" s="612"/>
    </row>
    <row r="3" spans="1:29" ht="23.25" customHeight="1">
      <c r="A3" s="570" t="s">
        <v>1534</v>
      </c>
      <c r="B3" s="570" t="s">
        <v>2250</v>
      </c>
      <c r="C3" s="570" t="s">
        <v>2251</v>
      </c>
      <c r="D3" s="570"/>
      <c r="E3" s="609" t="s">
        <v>2252</v>
      </c>
      <c r="F3" s="570" t="s">
        <v>2253</v>
      </c>
      <c r="G3" s="609" t="s">
        <v>2254</v>
      </c>
      <c r="H3" s="602" t="s">
        <v>2255</v>
      </c>
      <c r="I3" s="600" t="s">
        <v>2256</v>
      </c>
      <c r="J3" s="605" t="s">
        <v>2257</v>
      </c>
      <c r="K3" s="607" t="s">
        <v>2248</v>
      </c>
      <c r="L3" s="600" t="s">
        <v>2256</v>
      </c>
      <c r="M3" s="605" t="s">
        <v>2257</v>
      </c>
      <c r="N3" s="607" t="s">
        <v>2248</v>
      </c>
      <c r="O3" s="600" t="s">
        <v>2256</v>
      </c>
      <c r="P3" s="607" t="s">
        <v>2248</v>
      </c>
      <c r="Q3" s="606" t="s">
        <v>2258</v>
      </c>
      <c r="R3" s="578" t="s">
        <v>2259</v>
      </c>
      <c r="S3" s="608" t="s">
        <v>14</v>
      </c>
      <c r="T3" s="608"/>
      <c r="U3" s="602" t="s">
        <v>15</v>
      </c>
      <c r="V3" s="602" t="s">
        <v>2260</v>
      </c>
      <c r="W3" s="570" t="s">
        <v>2261</v>
      </c>
      <c r="X3" s="570"/>
      <c r="Y3" s="603" t="s">
        <v>2262</v>
      </c>
      <c r="Z3" s="604"/>
      <c r="AA3" s="605" t="s">
        <v>2257</v>
      </c>
      <c r="AB3" s="606" t="s">
        <v>2258</v>
      </c>
      <c r="AC3" s="578" t="s">
        <v>2263</v>
      </c>
    </row>
    <row r="4" spans="1:29">
      <c r="A4" s="570"/>
      <c r="B4" s="570"/>
      <c r="C4" s="570"/>
      <c r="D4" s="570"/>
      <c r="E4" s="610"/>
      <c r="F4" s="570"/>
      <c r="G4" s="610"/>
      <c r="H4" s="602"/>
      <c r="I4" s="600"/>
      <c r="J4" s="605"/>
      <c r="K4" s="607"/>
      <c r="L4" s="600"/>
      <c r="M4" s="605"/>
      <c r="N4" s="607"/>
      <c r="O4" s="600"/>
      <c r="P4" s="607"/>
      <c r="Q4" s="606"/>
      <c r="R4" s="578"/>
      <c r="S4" s="493" t="s">
        <v>18</v>
      </c>
      <c r="T4" s="493" t="s">
        <v>19</v>
      </c>
      <c r="U4" s="602"/>
      <c r="V4" s="602"/>
      <c r="W4" s="483" t="s">
        <v>2264</v>
      </c>
      <c r="X4" s="483" t="s">
        <v>2265</v>
      </c>
      <c r="Y4" s="604"/>
      <c r="Z4" s="604"/>
      <c r="AA4" s="605"/>
      <c r="AB4" s="606"/>
      <c r="AC4" s="578"/>
    </row>
    <row r="5" spans="1:29">
      <c r="A5" s="599" t="s">
        <v>2266</v>
      </c>
      <c r="B5" s="300" t="s">
        <v>36</v>
      </c>
      <c r="C5" s="601" t="s">
        <v>37</v>
      </c>
      <c r="D5" s="601"/>
      <c r="E5" s="300">
        <v>46.93</v>
      </c>
      <c r="F5" s="493">
        <v>838</v>
      </c>
      <c r="G5" s="483">
        <f t="shared" ref="G5:G7" si="0">E5*F5</f>
        <v>39327.339999999997</v>
      </c>
      <c r="H5" s="494" t="s">
        <v>35</v>
      </c>
      <c r="I5" s="485">
        <v>16</v>
      </c>
      <c r="J5" s="303">
        <v>2000</v>
      </c>
      <c r="K5" s="304">
        <f t="shared" ref="K5:K68" si="1">J5/I5</f>
        <v>125</v>
      </c>
      <c r="L5" s="485">
        <v>16</v>
      </c>
      <c r="M5" s="305">
        <f t="shared" ref="M5:M7" si="2">F5/V5*60</f>
        <v>1933.8461538461488</v>
      </c>
      <c r="N5" s="304">
        <f t="shared" ref="N5:N68" si="3">M5/L5</f>
        <v>120.8653846153843</v>
      </c>
      <c r="O5" s="306">
        <f t="shared" ref="O5:O68" si="4">L5-I5</f>
        <v>0</v>
      </c>
      <c r="P5" s="307">
        <f t="shared" ref="P5:P68" si="5">N5-K5</f>
        <v>-4.1346153846156994</v>
      </c>
      <c r="Q5" s="487">
        <f t="shared" ref="Q5:Q68" si="6">N5/K5</f>
        <v>0.96692307692307444</v>
      </c>
      <c r="R5" s="571">
        <f>Q8</f>
        <v>0.96246898263027258</v>
      </c>
      <c r="S5" s="308">
        <v>0.70833333333333337</v>
      </c>
      <c r="T5" s="308">
        <v>0.72638888888888897</v>
      </c>
      <c r="U5" s="483"/>
      <c r="V5" s="484">
        <f t="shared" ref="V5:V7" si="7">(T5-S5)*24*60</f>
        <v>26.000000000000068</v>
      </c>
      <c r="W5" s="310"/>
      <c r="X5" s="311"/>
      <c r="Y5" s="570"/>
      <c r="Z5" s="570"/>
      <c r="AA5" s="306">
        <f t="shared" ref="AA5:AA68" si="8">M5-J5</f>
        <v>-66.153846153851191</v>
      </c>
      <c r="AB5" s="487">
        <f t="shared" ref="AB5:AB68" si="9">M5/J5</f>
        <v>0.96692307692307444</v>
      </c>
      <c r="AC5" s="571">
        <f>AB8</f>
        <v>0.96246898263027258</v>
      </c>
    </row>
    <row r="6" spans="1:29">
      <c r="A6" s="600" t="s">
        <v>2266</v>
      </c>
      <c r="B6" s="300" t="s">
        <v>36</v>
      </c>
      <c r="C6" s="601" t="s">
        <v>38</v>
      </c>
      <c r="D6" s="601"/>
      <c r="E6" s="300">
        <v>50.49</v>
      </c>
      <c r="F6" s="493">
        <v>1985</v>
      </c>
      <c r="G6" s="483">
        <f t="shared" si="0"/>
        <v>100222.65000000001</v>
      </c>
      <c r="H6" s="494" t="s">
        <v>35</v>
      </c>
      <c r="I6" s="485">
        <v>15</v>
      </c>
      <c r="J6" s="303">
        <v>2000</v>
      </c>
      <c r="K6" s="304">
        <f t="shared" si="1"/>
        <v>133.33333333333334</v>
      </c>
      <c r="L6" s="485">
        <v>15</v>
      </c>
      <c r="M6" s="305">
        <f t="shared" si="2"/>
        <v>1920.9677419354855</v>
      </c>
      <c r="N6" s="304">
        <f t="shared" si="3"/>
        <v>128.06451612903237</v>
      </c>
      <c r="O6" s="306">
        <f t="shared" si="4"/>
        <v>0</v>
      </c>
      <c r="P6" s="307">
        <f t="shared" si="5"/>
        <v>-5.2688172043009729</v>
      </c>
      <c r="Q6" s="487">
        <f t="shared" si="6"/>
        <v>0.96048387096774268</v>
      </c>
      <c r="R6" s="571"/>
      <c r="S6" s="308">
        <v>0.72986111111111118</v>
      </c>
      <c r="T6" s="308">
        <v>0.7729166666666667</v>
      </c>
      <c r="U6" s="483">
        <f t="shared" ref="U6:U7" si="10">IF(S6=TIME(17,0,0),"",(S6-T5)*24*60)</f>
        <v>4.9999999999999822</v>
      </c>
      <c r="V6" s="484">
        <f t="shared" si="7"/>
        <v>61.999999999999943</v>
      </c>
      <c r="W6" s="310"/>
      <c r="X6" s="310"/>
      <c r="Y6" s="570"/>
      <c r="Z6" s="570"/>
      <c r="AA6" s="306">
        <f t="shared" si="8"/>
        <v>-79.032258064514508</v>
      </c>
      <c r="AB6" s="487">
        <f t="shared" si="9"/>
        <v>0.96048387096774279</v>
      </c>
      <c r="AC6" s="571"/>
    </row>
    <row r="7" spans="1:29">
      <c r="A7" s="600" t="s">
        <v>2266</v>
      </c>
      <c r="B7" s="300" t="s">
        <v>36</v>
      </c>
      <c r="C7" s="594" t="s">
        <v>39</v>
      </c>
      <c r="D7" s="595"/>
      <c r="E7" s="300">
        <v>50.67</v>
      </c>
      <c r="F7" s="493">
        <v>1664</v>
      </c>
      <c r="G7" s="483">
        <f t="shared" si="0"/>
        <v>84314.880000000005</v>
      </c>
      <c r="H7" s="494" t="s">
        <v>35</v>
      </c>
      <c r="I7" s="485">
        <v>17</v>
      </c>
      <c r="J7" s="303">
        <v>2000</v>
      </c>
      <c r="K7" s="304">
        <f t="shared" si="1"/>
        <v>117.64705882352941</v>
      </c>
      <c r="L7" s="485">
        <v>17</v>
      </c>
      <c r="M7" s="305">
        <f t="shared" si="2"/>
        <v>1920.0000000000009</v>
      </c>
      <c r="N7" s="304">
        <f t="shared" si="3"/>
        <v>112.94117647058829</v>
      </c>
      <c r="O7" s="306">
        <f t="shared" si="4"/>
        <v>0</v>
      </c>
      <c r="P7" s="307">
        <f t="shared" si="5"/>
        <v>-4.7058823529411171</v>
      </c>
      <c r="Q7" s="487">
        <f t="shared" si="6"/>
        <v>0.96000000000000052</v>
      </c>
      <c r="R7" s="571"/>
      <c r="S7" s="308">
        <v>0.77638888888888891</v>
      </c>
      <c r="T7" s="308">
        <v>0.8125</v>
      </c>
      <c r="U7" s="483">
        <f t="shared" si="10"/>
        <v>4.9999999999999822</v>
      </c>
      <c r="V7" s="484">
        <f t="shared" si="7"/>
        <v>51.999999999999972</v>
      </c>
      <c r="W7" s="310"/>
      <c r="X7" s="310"/>
      <c r="Y7" s="566"/>
      <c r="Z7" s="567"/>
      <c r="AA7" s="306">
        <f t="shared" si="8"/>
        <v>-79.999999999999091</v>
      </c>
      <c r="AB7" s="487">
        <f t="shared" si="9"/>
        <v>0.96000000000000041</v>
      </c>
      <c r="AC7" s="571"/>
    </row>
    <row r="8" spans="1:29">
      <c r="A8" s="600" t="s">
        <v>2267</v>
      </c>
      <c r="B8" s="300" t="s">
        <v>2268</v>
      </c>
      <c r="C8" s="572"/>
      <c r="D8" s="572"/>
      <c r="E8" s="486"/>
      <c r="F8" s="313"/>
      <c r="G8" s="304"/>
      <c r="H8" s="493"/>
      <c r="I8" s="314">
        <v>16</v>
      </c>
      <c r="J8" s="303">
        <v>2000</v>
      </c>
      <c r="K8" s="304">
        <f t="shared" si="1"/>
        <v>125</v>
      </c>
      <c r="L8" s="314">
        <v>16</v>
      </c>
      <c r="M8" s="305">
        <f>AVERAGE(M5:M7)</f>
        <v>1924.9379652605451</v>
      </c>
      <c r="N8" s="304">
        <f t="shared" si="3"/>
        <v>120.30862282878407</v>
      </c>
      <c r="O8" s="306">
        <f t="shared" si="4"/>
        <v>0</v>
      </c>
      <c r="P8" s="307">
        <f t="shared" si="5"/>
        <v>-4.6913771712159331</v>
      </c>
      <c r="Q8" s="487">
        <f t="shared" si="6"/>
        <v>0.96246898263027258</v>
      </c>
      <c r="R8" s="571"/>
      <c r="S8" s="308"/>
      <c r="T8" s="308"/>
      <c r="U8" s="483"/>
      <c r="V8" s="484"/>
      <c r="W8" s="304"/>
      <c r="X8" s="304"/>
      <c r="Y8" s="570"/>
      <c r="Z8" s="570"/>
      <c r="AA8" s="306">
        <f t="shared" si="8"/>
        <v>-75.06203473945493</v>
      </c>
      <c r="AB8" s="487">
        <f t="shared" si="9"/>
        <v>0.96246898263027258</v>
      </c>
      <c r="AC8" s="571"/>
    </row>
    <row r="9" spans="1:29" ht="15.75" customHeight="1">
      <c r="A9" s="598" t="s">
        <v>2269</v>
      </c>
      <c r="B9" s="300" t="s">
        <v>40</v>
      </c>
      <c r="C9" s="594" t="s">
        <v>42</v>
      </c>
      <c r="D9" s="595"/>
      <c r="E9" s="300">
        <v>39.36</v>
      </c>
      <c r="F9" s="493">
        <v>2115</v>
      </c>
      <c r="G9" s="483">
        <f t="shared" ref="G9:G10" si="11">E9*F9</f>
        <v>83246.399999999994</v>
      </c>
      <c r="H9" s="494" t="s">
        <v>35</v>
      </c>
      <c r="I9" s="485">
        <v>20</v>
      </c>
      <c r="J9" s="303">
        <v>1500</v>
      </c>
      <c r="K9" s="304">
        <f t="shared" si="1"/>
        <v>75</v>
      </c>
      <c r="L9" s="485">
        <v>20</v>
      </c>
      <c r="M9" s="305">
        <f t="shared" ref="M9:M10" si="12">F9/V9*60</f>
        <v>1442.045454545455</v>
      </c>
      <c r="N9" s="304">
        <f t="shared" si="3"/>
        <v>72.102272727272748</v>
      </c>
      <c r="O9" s="306">
        <f t="shared" si="4"/>
        <v>0</v>
      </c>
      <c r="P9" s="307">
        <f t="shared" si="5"/>
        <v>-2.8977272727272521</v>
      </c>
      <c r="Q9" s="487">
        <f t="shared" si="6"/>
        <v>0.96136363636363664</v>
      </c>
      <c r="R9" s="571">
        <f>Q11</f>
        <v>0.95705247455247477</v>
      </c>
      <c r="S9" s="308">
        <v>0.20833333333333334</v>
      </c>
      <c r="T9" s="308">
        <v>0.26944444444444443</v>
      </c>
      <c r="U9" s="483"/>
      <c r="V9" s="484">
        <f t="shared" ref="V9:V10" si="13">(T9-S9)*24*60</f>
        <v>87.999999999999972</v>
      </c>
      <c r="W9" s="310"/>
      <c r="X9" s="310"/>
      <c r="Y9" s="570"/>
      <c r="Z9" s="570"/>
      <c r="AA9" s="306">
        <f t="shared" si="8"/>
        <v>-57.954545454545041</v>
      </c>
      <c r="AB9" s="487">
        <f t="shared" si="9"/>
        <v>0.96136363636363664</v>
      </c>
      <c r="AC9" s="571">
        <f>AB11</f>
        <v>0.95705247455247477</v>
      </c>
    </row>
    <row r="10" spans="1:29" ht="15.75" customHeight="1">
      <c r="A10" s="598" t="s">
        <v>2269</v>
      </c>
      <c r="B10" s="300" t="s">
        <v>40</v>
      </c>
      <c r="C10" s="594" t="s">
        <v>41</v>
      </c>
      <c r="D10" s="595"/>
      <c r="E10" s="300">
        <v>39.799999999999997</v>
      </c>
      <c r="F10" s="493">
        <v>6169</v>
      </c>
      <c r="G10" s="483">
        <f t="shared" si="11"/>
        <v>245526.19999999998</v>
      </c>
      <c r="H10" s="494" t="s">
        <v>35</v>
      </c>
      <c r="I10" s="485">
        <v>17</v>
      </c>
      <c r="J10" s="303">
        <v>1500</v>
      </c>
      <c r="K10" s="304">
        <f t="shared" si="1"/>
        <v>88.235294117647058</v>
      </c>
      <c r="L10" s="485">
        <v>17</v>
      </c>
      <c r="M10" s="305">
        <f t="shared" si="12"/>
        <v>1429.1119691119691</v>
      </c>
      <c r="N10" s="304">
        <f t="shared" si="3"/>
        <v>84.065409947762888</v>
      </c>
      <c r="O10" s="306">
        <f t="shared" si="4"/>
        <v>0</v>
      </c>
      <c r="P10" s="307">
        <f t="shared" si="5"/>
        <v>-4.1698841698841704</v>
      </c>
      <c r="Q10" s="487">
        <f t="shared" si="6"/>
        <v>0.95274131274131268</v>
      </c>
      <c r="R10" s="571"/>
      <c r="S10" s="308">
        <v>0.27499999999999997</v>
      </c>
      <c r="T10" s="308">
        <v>0.45486111111111105</v>
      </c>
      <c r="U10" s="483">
        <f t="shared" ref="U10" si="14">IF(S10=TIME(17,0,0),"",(S10-T9)*24*60)</f>
        <v>7.9999999999999716</v>
      </c>
      <c r="V10" s="484">
        <f t="shared" si="13"/>
        <v>259</v>
      </c>
      <c r="W10" s="310"/>
      <c r="X10" s="310"/>
      <c r="Y10" s="570"/>
      <c r="Z10" s="570"/>
      <c r="AA10" s="306">
        <f t="shared" si="8"/>
        <v>-70.888030888030926</v>
      </c>
      <c r="AB10" s="487">
        <f t="shared" si="9"/>
        <v>0.95274131274131268</v>
      </c>
      <c r="AC10" s="571"/>
    </row>
    <row r="11" spans="1:29" ht="16.5" customHeight="1">
      <c r="A11" s="598" t="s">
        <v>2270</v>
      </c>
      <c r="B11" s="300" t="s">
        <v>2271</v>
      </c>
      <c r="C11" s="572"/>
      <c r="D11" s="572"/>
      <c r="E11" s="486"/>
      <c r="F11" s="303"/>
      <c r="G11" s="305"/>
      <c r="H11" s="493"/>
      <c r="I11" s="314">
        <v>18.5</v>
      </c>
      <c r="J11" s="303">
        <v>1500</v>
      </c>
      <c r="K11" s="304">
        <f t="shared" si="1"/>
        <v>81.081081081081081</v>
      </c>
      <c r="L11" s="314">
        <v>18.5</v>
      </c>
      <c r="M11" s="305">
        <f>AVERAGE(M9:M10)</f>
        <v>1435.5787118287121</v>
      </c>
      <c r="N11" s="304">
        <f t="shared" si="3"/>
        <v>77.598849288038494</v>
      </c>
      <c r="O11" s="306">
        <f t="shared" si="4"/>
        <v>0</v>
      </c>
      <c r="P11" s="307">
        <f t="shared" si="5"/>
        <v>-3.4822317930425868</v>
      </c>
      <c r="Q11" s="487">
        <f t="shared" si="6"/>
        <v>0.95705247455247477</v>
      </c>
      <c r="R11" s="571"/>
      <c r="S11" s="308"/>
      <c r="T11" s="308"/>
      <c r="U11" s="304"/>
      <c r="V11" s="484"/>
      <c r="W11" s="304"/>
      <c r="X11" s="304"/>
      <c r="Y11" s="570"/>
      <c r="Z11" s="570"/>
      <c r="AA11" s="306">
        <f t="shared" si="8"/>
        <v>-64.42128817128787</v>
      </c>
      <c r="AB11" s="487">
        <f t="shared" si="9"/>
        <v>0.95705247455247477</v>
      </c>
      <c r="AC11" s="571"/>
    </row>
    <row r="12" spans="1:29" ht="16.5" customHeight="1">
      <c r="A12" s="596" t="s">
        <v>2272</v>
      </c>
      <c r="B12" s="493" t="s">
        <v>43</v>
      </c>
      <c r="C12" s="590" t="s">
        <v>44</v>
      </c>
      <c r="D12" s="590"/>
      <c r="E12" s="300">
        <v>41</v>
      </c>
      <c r="F12" s="493">
        <v>2578</v>
      </c>
      <c r="G12" s="483">
        <f t="shared" ref="G12:G16" si="15">E12*F12</f>
        <v>105698</v>
      </c>
      <c r="H12" s="494" t="s">
        <v>35</v>
      </c>
      <c r="I12" s="485">
        <v>26</v>
      </c>
      <c r="J12" s="303">
        <v>1500</v>
      </c>
      <c r="K12" s="304">
        <f t="shared" si="1"/>
        <v>57.692307692307693</v>
      </c>
      <c r="L12" s="485">
        <v>26</v>
      </c>
      <c r="M12" s="305">
        <f t="shared" ref="M12:M16" si="16">F12/V12*60</f>
        <v>1432.2222222222219</v>
      </c>
      <c r="N12" s="304">
        <f t="shared" si="3"/>
        <v>55.085470085470078</v>
      </c>
      <c r="O12" s="306">
        <f t="shared" si="4"/>
        <v>0</v>
      </c>
      <c r="P12" s="307">
        <f t="shared" si="5"/>
        <v>-2.6068376068376153</v>
      </c>
      <c r="Q12" s="487">
        <f t="shared" si="6"/>
        <v>0.95481481481481467</v>
      </c>
      <c r="R12" s="571">
        <f>Q17</f>
        <v>0.95645241186455243</v>
      </c>
      <c r="S12" s="308">
        <v>0.125</v>
      </c>
      <c r="T12" s="308">
        <v>0.2</v>
      </c>
      <c r="U12" s="483"/>
      <c r="V12" s="484">
        <f t="shared" ref="V12:V16" si="17">(T12-S12)*24*60</f>
        <v>108.00000000000001</v>
      </c>
      <c r="W12" s="310">
        <f>T12</f>
        <v>0.2</v>
      </c>
      <c r="X12" s="310">
        <f>S13</f>
        <v>0.21944444444444444</v>
      </c>
      <c r="Y12" s="570"/>
      <c r="Z12" s="570"/>
      <c r="AA12" s="306">
        <f t="shared" si="8"/>
        <v>-67.777777777778056</v>
      </c>
      <c r="AB12" s="487">
        <f t="shared" si="9"/>
        <v>0.95481481481481467</v>
      </c>
      <c r="AC12" s="571">
        <f>AB17</f>
        <v>0.95645241186455232</v>
      </c>
    </row>
    <row r="13" spans="1:29" ht="16.5" customHeight="1">
      <c r="A13" s="597" t="s">
        <v>2272</v>
      </c>
      <c r="B13" s="493" t="s">
        <v>40</v>
      </c>
      <c r="C13" s="590" t="s">
        <v>45</v>
      </c>
      <c r="D13" s="590"/>
      <c r="E13" s="300">
        <v>39.619999999999997</v>
      </c>
      <c r="F13" s="493">
        <v>4226</v>
      </c>
      <c r="G13" s="483">
        <f t="shared" si="15"/>
        <v>167434.12</v>
      </c>
      <c r="H13" s="494" t="s">
        <v>35</v>
      </c>
      <c r="I13" s="485">
        <v>19</v>
      </c>
      <c r="J13" s="303">
        <v>1500</v>
      </c>
      <c r="K13" s="304">
        <f t="shared" si="1"/>
        <v>78.94736842105263</v>
      </c>
      <c r="L13" s="485">
        <v>19</v>
      </c>
      <c r="M13" s="305">
        <f t="shared" si="16"/>
        <v>1432.542372881356</v>
      </c>
      <c r="N13" s="304">
        <f t="shared" si="3"/>
        <v>75.396966993755584</v>
      </c>
      <c r="O13" s="306">
        <f t="shared" si="4"/>
        <v>0</v>
      </c>
      <c r="P13" s="307">
        <f t="shared" si="5"/>
        <v>-3.5504014272970466</v>
      </c>
      <c r="Q13" s="487">
        <f t="shared" si="6"/>
        <v>0.95502824858757074</v>
      </c>
      <c r="R13" s="571"/>
      <c r="S13" s="308">
        <v>0.21944444444444444</v>
      </c>
      <c r="T13" s="308">
        <v>0.34236111111111112</v>
      </c>
      <c r="U13" s="483">
        <f t="shared" ref="U13:U16" si="18">IF(S13=TIME(17,0,0),"",(S13-T12)*24*60)</f>
        <v>27.999999999999979</v>
      </c>
      <c r="V13" s="484">
        <f t="shared" si="17"/>
        <v>177</v>
      </c>
      <c r="W13" s="310"/>
      <c r="X13" s="310"/>
      <c r="Y13" s="570"/>
      <c r="Z13" s="570"/>
      <c r="AA13" s="306">
        <f t="shared" si="8"/>
        <v>-67.457627118644041</v>
      </c>
      <c r="AB13" s="487">
        <f t="shared" si="9"/>
        <v>0.95502824858757063</v>
      </c>
      <c r="AC13" s="571"/>
    </row>
    <row r="14" spans="1:29" ht="16.5" customHeight="1">
      <c r="A14" s="597" t="s">
        <v>2272</v>
      </c>
      <c r="B14" s="493" t="s">
        <v>1182</v>
      </c>
      <c r="C14" s="590" t="s">
        <v>1041</v>
      </c>
      <c r="D14" s="590"/>
      <c r="E14" s="300">
        <v>57.3</v>
      </c>
      <c r="F14" s="493">
        <v>1649</v>
      </c>
      <c r="G14" s="483">
        <f t="shared" si="15"/>
        <v>94487.7</v>
      </c>
      <c r="H14" s="494" t="s">
        <v>35</v>
      </c>
      <c r="I14" s="485">
        <v>17</v>
      </c>
      <c r="J14" s="303">
        <v>1500</v>
      </c>
      <c r="K14" s="304">
        <f t="shared" si="1"/>
        <v>88.235294117647058</v>
      </c>
      <c r="L14" s="485">
        <v>17</v>
      </c>
      <c r="M14" s="305">
        <f t="shared" si="16"/>
        <v>1433.9130434782608</v>
      </c>
      <c r="N14" s="304">
        <f t="shared" si="3"/>
        <v>84.347826086956516</v>
      </c>
      <c r="O14" s="306">
        <f t="shared" si="4"/>
        <v>0</v>
      </c>
      <c r="P14" s="307">
        <f t="shared" si="5"/>
        <v>-3.8874680306905418</v>
      </c>
      <c r="Q14" s="487">
        <f t="shared" si="6"/>
        <v>0.95594202898550718</v>
      </c>
      <c r="R14" s="571"/>
      <c r="S14" s="308">
        <v>0.34791666666666665</v>
      </c>
      <c r="T14" s="308">
        <v>0.39583333333333331</v>
      </c>
      <c r="U14" s="483">
        <f t="shared" si="18"/>
        <v>7.9999999999999716</v>
      </c>
      <c r="V14" s="484">
        <f t="shared" si="17"/>
        <v>69</v>
      </c>
      <c r="W14" s="310"/>
      <c r="X14" s="310"/>
      <c r="Y14" s="570"/>
      <c r="Z14" s="570"/>
      <c r="AA14" s="306">
        <f t="shared" si="8"/>
        <v>-66.086956521739239</v>
      </c>
      <c r="AB14" s="487">
        <f t="shared" si="9"/>
        <v>0.95594202898550718</v>
      </c>
      <c r="AC14" s="571"/>
    </row>
    <row r="15" spans="1:29" ht="16.5" customHeight="1">
      <c r="A15" s="597" t="s">
        <v>2272</v>
      </c>
      <c r="B15" s="493" t="s">
        <v>36</v>
      </c>
      <c r="C15" s="590" t="s">
        <v>49</v>
      </c>
      <c r="D15" s="590"/>
      <c r="E15" s="300">
        <v>50.98</v>
      </c>
      <c r="F15" s="493">
        <v>2610</v>
      </c>
      <c r="G15" s="483">
        <f t="shared" si="15"/>
        <v>133057.79999999999</v>
      </c>
      <c r="H15" s="494" t="s">
        <v>35</v>
      </c>
      <c r="I15" s="485">
        <v>16</v>
      </c>
      <c r="J15" s="303">
        <v>2000</v>
      </c>
      <c r="K15" s="304">
        <f t="shared" si="1"/>
        <v>125</v>
      </c>
      <c r="L15" s="485">
        <v>16</v>
      </c>
      <c r="M15" s="305">
        <f t="shared" si="16"/>
        <v>1909.7560975609749</v>
      </c>
      <c r="N15" s="304">
        <f t="shared" si="3"/>
        <v>119.35975609756093</v>
      </c>
      <c r="O15" s="306">
        <f t="shared" si="4"/>
        <v>0</v>
      </c>
      <c r="P15" s="307">
        <f t="shared" si="5"/>
        <v>-5.6402439024390674</v>
      </c>
      <c r="Q15" s="487">
        <f t="shared" si="6"/>
        <v>0.95487804878048743</v>
      </c>
      <c r="R15" s="571"/>
      <c r="S15" s="308">
        <v>0.70833333333333337</v>
      </c>
      <c r="T15" s="308">
        <v>0.76527777777777783</v>
      </c>
      <c r="U15" s="483" t="str">
        <f t="shared" si="18"/>
        <v/>
      </c>
      <c r="V15" s="484">
        <f t="shared" si="17"/>
        <v>82.000000000000028</v>
      </c>
      <c r="W15" s="310"/>
      <c r="X15" s="310"/>
      <c r="Y15" s="570"/>
      <c r="Z15" s="570"/>
      <c r="AA15" s="306">
        <f t="shared" si="8"/>
        <v>-90.243902439025078</v>
      </c>
      <c r="AB15" s="487">
        <f t="shared" si="9"/>
        <v>0.95487804878048743</v>
      </c>
      <c r="AC15" s="571"/>
    </row>
    <row r="16" spans="1:29" ht="16.5" customHeight="1">
      <c r="A16" s="597" t="s">
        <v>2272</v>
      </c>
      <c r="B16" s="493" t="s">
        <v>36</v>
      </c>
      <c r="C16" s="590" t="s">
        <v>50</v>
      </c>
      <c r="D16" s="590"/>
      <c r="E16" s="300">
        <v>50.92</v>
      </c>
      <c r="F16" s="493">
        <v>2722</v>
      </c>
      <c r="G16" s="483">
        <f t="shared" si="15"/>
        <v>138604.24</v>
      </c>
      <c r="H16" s="494" t="s">
        <v>35</v>
      </c>
      <c r="I16" s="485">
        <v>15</v>
      </c>
      <c r="J16" s="303">
        <v>2000</v>
      </c>
      <c r="K16" s="304">
        <f t="shared" si="1"/>
        <v>133.33333333333334</v>
      </c>
      <c r="L16" s="485">
        <v>15</v>
      </c>
      <c r="M16" s="305">
        <f t="shared" si="16"/>
        <v>1921.411764705882</v>
      </c>
      <c r="N16" s="304">
        <f t="shared" si="3"/>
        <v>128.09411764705879</v>
      </c>
      <c r="O16" s="306">
        <f t="shared" si="4"/>
        <v>0</v>
      </c>
      <c r="P16" s="307">
        <f t="shared" si="5"/>
        <v>-5.239215686274548</v>
      </c>
      <c r="Q16" s="487">
        <f t="shared" si="6"/>
        <v>0.96070588235294085</v>
      </c>
      <c r="R16" s="571"/>
      <c r="S16" s="308">
        <v>0.76944444444444449</v>
      </c>
      <c r="T16" s="308">
        <v>0.82847222222222228</v>
      </c>
      <c r="U16" s="483">
        <f t="shared" si="18"/>
        <v>5.9999999999999787</v>
      </c>
      <c r="V16" s="484">
        <f t="shared" si="17"/>
        <v>85.000000000000014</v>
      </c>
      <c r="W16" s="310"/>
      <c r="X16" s="310"/>
      <c r="Y16" s="570"/>
      <c r="Z16" s="570"/>
      <c r="AA16" s="306">
        <f t="shared" si="8"/>
        <v>-78.588235294118022</v>
      </c>
      <c r="AB16" s="487">
        <f t="shared" si="9"/>
        <v>0.96070588235294097</v>
      </c>
      <c r="AC16" s="571"/>
    </row>
    <row r="17" spans="1:29" ht="16.5" customHeight="1">
      <c r="A17" s="597" t="s">
        <v>2272</v>
      </c>
      <c r="B17" s="300" t="s">
        <v>2271</v>
      </c>
      <c r="C17" s="572"/>
      <c r="D17" s="572"/>
      <c r="E17" s="486"/>
      <c r="F17" s="313"/>
      <c r="G17" s="304"/>
      <c r="H17" s="493"/>
      <c r="I17" s="314">
        <v>18.600000000000001</v>
      </c>
      <c r="J17" s="303">
        <v>1700</v>
      </c>
      <c r="K17" s="304">
        <f t="shared" si="1"/>
        <v>91.397849462365585</v>
      </c>
      <c r="L17" s="314">
        <v>18.600000000000001</v>
      </c>
      <c r="M17" s="305">
        <f>AVERAGE(M12:M16)</f>
        <v>1625.969100169739</v>
      </c>
      <c r="N17" s="304">
        <f t="shared" si="3"/>
        <v>87.417693557512848</v>
      </c>
      <c r="O17" s="306">
        <f t="shared" si="4"/>
        <v>0</v>
      </c>
      <c r="P17" s="307">
        <f t="shared" si="5"/>
        <v>-3.9801559048527366</v>
      </c>
      <c r="Q17" s="487">
        <f t="shared" si="6"/>
        <v>0.95645241186455243</v>
      </c>
      <c r="R17" s="571"/>
      <c r="S17" s="308"/>
      <c r="T17" s="308"/>
      <c r="U17" s="483"/>
      <c r="V17" s="484"/>
      <c r="W17" s="304"/>
      <c r="X17" s="304"/>
      <c r="Y17" s="570"/>
      <c r="Z17" s="570"/>
      <c r="AA17" s="306">
        <f t="shared" si="8"/>
        <v>-74.030899830260978</v>
      </c>
      <c r="AB17" s="487">
        <f t="shared" si="9"/>
        <v>0.95645241186455232</v>
      </c>
      <c r="AC17" s="571"/>
    </row>
    <row r="18" spans="1:29" ht="15.75" customHeight="1">
      <c r="A18" s="592" t="s">
        <v>2273</v>
      </c>
      <c r="B18" s="300" t="s">
        <v>43</v>
      </c>
      <c r="C18" s="590" t="s">
        <v>51</v>
      </c>
      <c r="D18" s="590"/>
      <c r="E18" s="300">
        <v>43.14</v>
      </c>
      <c r="F18" s="493">
        <v>1494</v>
      </c>
      <c r="G18" s="483">
        <f t="shared" ref="G18:G22" si="19">E18*F18</f>
        <v>64451.16</v>
      </c>
      <c r="H18" s="494" t="s">
        <v>35</v>
      </c>
      <c r="I18" s="485">
        <v>17</v>
      </c>
      <c r="J18" s="303">
        <v>2000</v>
      </c>
      <c r="K18" s="304">
        <f t="shared" si="1"/>
        <v>117.64705882352941</v>
      </c>
      <c r="L18" s="485">
        <v>17</v>
      </c>
      <c r="M18" s="305">
        <f t="shared" ref="M18:M22" si="20">F18/V18*60</f>
        <v>1907.2340425531918</v>
      </c>
      <c r="N18" s="304">
        <f t="shared" si="3"/>
        <v>112.19023779724658</v>
      </c>
      <c r="O18" s="306">
        <f t="shared" si="4"/>
        <v>0</v>
      </c>
      <c r="P18" s="307">
        <f t="shared" si="5"/>
        <v>-5.4568210262828245</v>
      </c>
      <c r="Q18" s="487">
        <f t="shared" si="6"/>
        <v>0.95361702127659598</v>
      </c>
      <c r="R18" s="571">
        <f>Q23</f>
        <v>0.95583966720735403</v>
      </c>
      <c r="S18" s="308">
        <v>0.20833333333333334</v>
      </c>
      <c r="T18" s="308">
        <v>0.24097222222222223</v>
      </c>
      <c r="U18" s="483"/>
      <c r="V18" s="484">
        <f t="shared" ref="V18:V22" si="21">(T18-S18)*24*60</f>
        <v>46.999999999999993</v>
      </c>
      <c r="W18" s="315"/>
      <c r="X18" s="315"/>
      <c r="Y18" s="570"/>
      <c r="Z18" s="570"/>
      <c r="AA18" s="306">
        <f t="shared" si="8"/>
        <v>-92.765957446808216</v>
      </c>
      <c r="AB18" s="487">
        <f t="shared" si="9"/>
        <v>0.95361702127659587</v>
      </c>
      <c r="AC18" s="571">
        <f>AB23</f>
        <v>0.95583966720735403</v>
      </c>
    </row>
    <row r="19" spans="1:29" ht="15.75" customHeight="1">
      <c r="A19" s="593" t="s">
        <v>2274</v>
      </c>
      <c r="B19" s="300" t="s">
        <v>36</v>
      </c>
      <c r="C19" s="590" t="s">
        <v>53</v>
      </c>
      <c r="D19" s="590"/>
      <c r="E19" s="300">
        <v>53.68</v>
      </c>
      <c r="F19" s="493">
        <v>1826</v>
      </c>
      <c r="G19" s="483">
        <f t="shared" si="19"/>
        <v>98019.68</v>
      </c>
      <c r="H19" s="494" t="s">
        <v>35</v>
      </c>
      <c r="I19" s="485">
        <v>16</v>
      </c>
      <c r="J19" s="303">
        <v>2000</v>
      </c>
      <c r="K19" s="304">
        <f t="shared" si="1"/>
        <v>125</v>
      </c>
      <c r="L19" s="485">
        <v>16</v>
      </c>
      <c r="M19" s="305">
        <f t="shared" si="20"/>
        <v>1922.1052631578962</v>
      </c>
      <c r="N19" s="304">
        <f t="shared" si="3"/>
        <v>120.13157894736851</v>
      </c>
      <c r="O19" s="306">
        <f t="shared" si="4"/>
        <v>0</v>
      </c>
      <c r="P19" s="307">
        <f t="shared" si="5"/>
        <v>-4.8684210526314899</v>
      </c>
      <c r="Q19" s="487">
        <f t="shared" si="6"/>
        <v>0.96105263157894805</v>
      </c>
      <c r="R19" s="571"/>
      <c r="S19" s="308">
        <v>0.24652777777777779</v>
      </c>
      <c r="T19" s="308">
        <v>0.28611111111111109</v>
      </c>
      <c r="U19" s="483">
        <f t="shared" ref="U19:U22" si="22">IF(S19=TIME(17,0,0),"",(S19-T18)*24*60)</f>
        <v>8.0000000000000107</v>
      </c>
      <c r="V19" s="484">
        <f t="shared" si="21"/>
        <v>56.999999999999957</v>
      </c>
      <c r="W19" s="310"/>
      <c r="X19" s="483"/>
      <c r="Y19" s="570"/>
      <c r="Z19" s="570"/>
      <c r="AA19" s="306">
        <f t="shared" si="8"/>
        <v>-77.894736842103839</v>
      </c>
      <c r="AB19" s="487">
        <f t="shared" si="9"/>
        <v>0.96105263157894805</v>
      </c>
      <c r="AC19" s="571"/>
    </row>
    <row r="20" spans="1:29" ht="15.75" customHeight="1">
      <c r="A20" s="593" t="s">
        <v>2273</v>
      </c>
      <c r="B20" s="300" t="s">
        <v>36</v>
      </c>
      <c r="C20" s="590" t="s">
        <v>52</v>
      </c>
      <c r="D20" s="590"/>
      <c r="E20" s="300">
        <v>57.73</v>
      </c>
      <c r="F20" s="493">
        <v>3185</v>
      </c>
      <c r="G20" s="483">
        <f t="shared" si="19"/>
        <v>183870.05</v>
      </c>
      <c r="H20" s="494" t="s">
        <v>35</v>
      </c>
      <c r="I20" s="485">
        <v>15</v>
      </c>
      <c r="J20" s="303">
        <v>2000</v>
      </c>
      <c r="K20" s="304">
        <f t="shared" si="1"/>
        <v>133.33333333333334</v>
      </c>
      <c r="L20" s="485">
        <v>15</v>
      </c>
      <c r="M20" s="305">
        <f t="shared" si="20"/>
        <v>1911.0000000000005</v>
      </c>
      <c r="N20" s="304">
        <f t="shared" si="3"/>
        <v>127.40000000000003</v>
      </c>
      <c r="O20" s="306">
        <f t="shared" si="4"/>
        <v>0</v>
      </c>
      <c r="P20" s="307">
        <f t="shared" si="5"/>
        <v>-5.9333333333333087</v>
      </c>
      <c r="Q20" s="487">
        <f t="shared" si="6"/>
        <v>0.95550000000000024</v>
      </c>
      <c r="R20" s="571"/>
      <c r="S20" s="308">
        <v>0.29097222222222219</v>
      </c>
      <c r="T20" s="308">
        <v>0.36041666666666661</v>
      </c>
      <c r="U20" s="483">
        <f t="shared" si="22"/>
        <v>6.9999999999999751</v>
      </c>
      <c r="V20" s="484">
        <f t="shared" si="21"/>
        <v>99.999999999999972</v>
      </c>
      <c r="W20" s="310"/>
      <c r="X20" s="483"/>
      <c r="Y20" s="570"/>
      <c r="Z20" s="570"/>
      <c r="AA20" s="306">
        <f t="shared" si="8"/>
        <v>-88.999999999999545</v>
      </c>
      <c r="AB20" s="487">
        <f t="shared" si="9"/>
        <v>0.95550000000000024</v>
      </c>
      <c r="AC20" s="571"/>
    </row>
    <row r="21" spans="1:29" ht="15.75" customHeight="1">
      <c r="A21" s="593" t="s">
        <v>2273</v>
      </c>
      <c r="B21" s="300" t="s">
        <v>36</v>
      </c>
      <c r="C21" s="590" t="s">
        <v>55</v>
      </c>
      <c r="D21" s="590"/>
      <c r="E21" s="300">
        <v>54.09</v>
      </c>
      <c r="F21" s="493">
        <v>2070</v>
      </c>
      <c r="G21" s="483">
        <f t="shared" si="19"/>
        <v>111966.3</v>
      </c>
      <c r="H21" s="494" t="s">
        <v>35</v>
      </c>
      <c r="I21" s="485">
        <v>19</v>
      </c>
      <c r="J21" s="303">
        <v>2000</v>
      </c>
      <c r="K21" s="304">
        <f t="shared" si="1"/>
        <v>105.26315789473684</v>
      </c>
      <c r="L21" s="485">
        <v>19</v>
      </c>
      <c r="M21" s="305">
        <f t="shared" si="20"/>
        <v>1910.769230769233</v>
      </c>
      <c r="N21" s="304">
        <f t="shared" si="3"/>
        <v>100.56680161943332</v>
      </c>
      <c r="O21" s="306">
        <f t="shared" si="4"/>
        <v>0</v>
      </c>
      <c r="P21" s="307">
        <f t="shared" si="5"/>
        <v>-4.6963562753035148</v>
      </c>
      <c r="Q21" s="487">
        <f t="shared" si="6"/>
        <v>0.95538461538461661</v>
      </c>
      <c r="R21" s="571"/>
      <c r="S21" s="308">
        <v>0.70833333333333337</v>
      </c>
      <c r="T21" s="308">
        <v>0.75347222222222221</v>
      </c>
      <c r="U21" s="483" t="str">
        <f t="shared" si="22"/>
        <v/>
      </c>
      <c r="V21" s="484">
        <f t="shared" si="21"/>
        <v>64.999999999999929</v>
      </c>
      <c r="W21" s="310"/>
      <c r="X21" s="483"/>
      <c r="Y21" s="570"/>
      <c r="Z21" s="570"/>
      <c r="AA21" s="306">
        <f t="shared" si="8"/>
        <v>-89.23076923076701</v>
      </c>
      <c r="AB21" s="487">
        <f t="shared" si="9"/>
        <v>0.9553846153846165</v>
      </c>
      <c r="AC21" s="571"/>
    </row>
    <row r="22" spans="1:29" ht="15.75" customHeight="1">
      <c r="A22" s="593" t="s">
        <v>2273</v>
      </c>
      <c r="B22" s="300" t="s">
        <v>36</v>
      </c>
      <c r="C22" s="590" t="s">
        <v>1976</v>
      </c>
      <c r="D22" s="590"/>
      <c r="E22" s="300">
        <v>50.67</v>
      </c>
      <c r="F22" s="493">
        <v>3751</v>
      </c>
      <c r="G22" s="483">
        <f t="shared" si="19"/>
        <v>190063.17</v>
      </c>
      <c r="H22" s="494" t="s">
        <v>35</v>
      </c>
      <c r="I22" s="485">
        <v>15</v>
      </c>
      <c r="J22" s="303">
        <v>2000</v>
      </c>
      <c r="K22" s="304">
        <f t="shared" si="1"/>
        <v>133.33333333333334</v>
      </c>
      <c r="L22" s="485">
        <v>15</v>
      </c>
      <c r="M22" s="305">
        <f t="shared" si="20"/>
        <v>1907.2881355932195</v>
      </c>
      <c r="N22" s="304">
        <f t="shared" si="3"/>
        <v>127.1525423728813</v>
      </c>
      <c r="O22" s="306">
        <f t="shared" si="4"/>
        <v>0</v>
      </c>
      <c r="P22" s="307">
        <f t="shared" si="5"/>
        <v>-6.1807909604520432</v>
      </c>
      <c r="Q22" s="487">
        <f t="shared" si="6"/>
        <v>0.95364406779660971</v>
      </c>
      <c r="R22" s="571"/>
      <c r="S22" s="308">
        <v>0.75763888888888886</v>
      </c>
      <c r="T22" s="308">
        <v>0.83958333333333335</v>
      </c>
      <c r="U22" s="483">
        <f t="shared" si="22"/>
        <v>5.9999999999999787</v>
      </c>
      <c r="V22" s="484">
        <f t="shared" si="21"/>
        <v>118.00000000000006</v>
      </c>
      <c r="W22" s="310"/>
      <c r="X22" s="483"/>
      <c r="Y22" s="570"/>
      <c r="Z22" s="570"/>
      <c r="AA22" s="306">
        <f t="shared" si="8"/>
        <v>-92.711864406780478</v>
      </c>
      <c r="AB22" s="487">
        <f t="shared" si="9"/>
        <v>0.95364406779660971</v>
      </c>
      <c r="AC22" s="571"/>
    </row>
    <row r="23" spans="1:29" ht="15.75" customHeight="1">
      <c r="A23" s="593" t="s">
        <v>2273</v>
      </c>
      <c r="B23" s="300" t="s">
        <v>2268</v>
      </c>
      <c r="C23" s="572"/>
      <c r="D23" s="572"/>
      <c r="E23" s="486"/>
      <c r="F23" s="493"/>
      <c r="G23" s="483"/>
      <c r="H23" s="493"/>
      <c r="I23" s="314">
        <v>16.399999999999999</v>
      </c>
      <c r="J23" s="303">
        <v>2000</v>
      </c>
      <c r="K23" s="304">
        <f t="shared" si="1"/>
        <v>121.95121951219514</v>
      </c>
      <c r="L23" s="314">
        <v>16.399999999999999</v>
      </c>
      <c r="M23" s="305">
        <f>AVERAGE(M18:M22)</f>
        <v>1911.6793344147081</v>
      </c>
      <c r="N23" s="304">
        <f t="shared" si="3"/>
        <v>116.56581307406758</v>
      </c>
      <c r="O23" s="306">
        <f t="shared" si="4"/>
        <v>0</v>
      </c>
      <c r="P23" s="307">
        <f t="shared" si="5"/>
        <v>-5.3854064381275606</v>
      </c>
      <c r="Q23" s="487">
        <f t="shared" si="6"/>
        <v>0.95583966720735403</v>
      </c>
      <c r="R23" s="571"/>
      <c r="S23" s="308"/>
      <c r="T23" s="308"/>
      <c r="U23" s="304"/>
      <c r="V23" s="484"/>
      <c r="W23" s="304"/>
      <c r="X23" s="304"/>
      <c r="Y23" s="570"/>
      <c r="Z23" s="570"/>
      <c r="AA23" s="306">
        <f t="shared" si="8"/>
        <v>-88.320665585291863</v>
      </c>
      <c r="AB23" s="487">
        <f t="shared" si="9"/>
        <v>0.95583966720735403</v>
      </c>
      <c r="AC23" s="571"/>
    </row>
    <row r="24" spans="1:29" ht="15.75" customHeight="1">
      <c r="A24" s="591" t="s">
        <v>2275</v>
      </c>
      <c r="B24" s="300" t="s">
        <v>46</v>
      </c>
      <c r="C24" s="590" t="s">
        <v>61</v>
      </c>
      <c r="D24" s="590"/>
      <c r="E24" s="300">
        <v>31.29</v>
      </c>
      <c r="F24" s="493">
        <v>6200</v>
      </c>
      <c r="G24" s="483">
        <f t="shared" ref="G24:G31" si="23">E24*F24</f>
        <v>193998</v>
      </c>
      <c r="H24" s="494">
        <v>2</v>
      </c>
      <c r="I24" s="485">
        <v>18</v>
      </c>
      <c r="J24" s="303">
        <v>2400</v>
      </c>
      <c r="K24" s="304">
        <f t="shared" si="1"/>
        <v>133.33333333333334</v>
      </c>
      <c r="L24" s="485">
        <v>18</v>
      </c>
      <c r="M24" s="305">
        <f t="shared" ref="M24:M31" si="24">F24/V24*60</f>
        <v>2282.2085889570549</v>
      </c>
      <c r="N24" s="304">
        <f t="shared" si="3"/>
        <v>126.78936605316972</v>
      </c>
      <c r="O24" s="306">
        <f t="shared" si="4"/>
        <v>0</v>
      </c>
      <c r="P24" s="307">
        <f t="shared" si="5"/>
        <v>-6.5439672801636277</v>
      </c>
      <c r="Q24" s="487">
        <f t="shared" si="6"/>
        <v>0.95092024539877285</v>
      </c>
      <c r="R24" s="571">
        <f>Q32</f>
        <v>0.95570213112812585</v>
      </c>
      <c r="S24" s="308">
        <v>8.3333333333333329E-2</v>
      </c>
      <c r="T24" s="308">
        <v>0.19652777777777777</v>
      </c>
      <c r="U24" s="483"/>
      <c r="V24" s="484">
        <f t="shared" ref="V24:V31" si="25">(T24-S24)*24*60</f>
        <v>163</v>
      </c>
      <c r="W24" s="310">
        <f>T24</f>
        <v>0.19652777777777777</v>
      </c>
      <c r="X24" s="310">
        <f>S25</f>
        <v>0.21388888888888885</v>
      </c>
      <c r="Y24" s="570"/>
      <c r="Z24" s="570"/>
      <c r="AA24" s="306">
        <f t="shared" si="8"/>
        <v>-117.79141104294513</v>
      </c>
      <c r="AB24" s="487">
        <f t="shared" si="9"/>
        <v>0.95092024539877285</v>
      </c>
      <c r="AC24" s="571">
        <f>AB32</f>
        <v>0.95570213112812585</v>
      </c>
    </row>
    <row r="25" spans="1:29" ht="15.75" customHeight="1">
      <c r="A25" s="591" t="s">
        <v>2275</v>
      </c>
      <c r="B25" s="300" t="s">
        <v>46</v>
      </c>
      <c r="C25" s="590" t="s">
        <v>59</v>
      </c>
      <c r="D25" s="590"/>
      <c r="E25" s="300">
        <v>26.18</v>
      </c>
      <c r="F25" s="493">
        <v>3593</v>
      </c>
      <c r="G25" s="483">
        <f t="shared" si="23"/>
        <v>94064.74</v>
      </c>
      <c r="H25" s="494" t="s">
        <v>35</v>
      </c>
      <c r="I25" s="485">
        <v>19</v>
      </c>
      <c r="J25" s="303">
        <v>2400</v>
      </c>
      <c r="K25" s="304">
        <f t="shared" si="1"/>
        <v>126.31578947368421</v>
      </c>
      <c r="L25" s="485">
        <v>19</v>
      </c>
      <c r="M25" s="305">
        <f t="shared" si="24"/>
        <v>2293.4042553191493</v>
      </c>
      <c r="N25" s="304">
        <f t="shared" si="3"/>
        <v>120.70548712206049</v>
      </c>
      <c r="O25" s="306">
        <f t="shared" si="4"/>
        <v>0</v>
      </c>
      <c r="P25" s="307">
        <f t="shared" si="5"/>
        <v>-5.6103023516237158</v>
      </c>
      <c r="Q25" s="487">
        <f t="shared" si="6"/>
        <v>0.95558510638297889</v>
      </c>
      <c r="R25" s="571"/>
      <c r="S25" s="308">
        <v>0.21388888888888885</v>
      </c>
      <c r="T25" s="308">
        <v>0.27916666666666662</v>
      </c>
      <c r="U25" s="483">
        <f t="shared" ref="U25:U31" si="26">(S25-T24)*24*60</f>
        <v>24.99999999999995</v>
      </c>
      <c r="V25" s="484">
        <f t="shared" si="25"/>
        <v>93.999999999999986</v>
      </c>
      <c r="W25" s="310"/>
      <c r="X25" s="310"/>
      <c r="Y25" s="570"/>
      <c r="Z25" s="570"/>
      <c r="AA25" s="306">
        <f t="shared" si="8"/>
        <v>-106.59574468085066</v>
      </c>
      <c r="AB25" s="487">
        <f t="shared" si="9"/>
        <v>0.95558510638297889</v>
      </c>
      <c r="AC25" s="571"/>
    </row>
    <row r="26" spans="1:29" ht="15.75" customHeight="1">
      <c r="A26" s="591" t="s">
        <v>2275</v>
      </c>
      <c r="B26" s="300" t="s">
        <v>46</v>
      </c>
      <c r="C26" s="590" t="s">
        <v>60</v>
      </c>
      <c r="D26" s="590"/>
      <c r="E26" s="300">
        <v>26.2</v>
      </c>
      <c r="F26" s="493">
        <v>4561</v>
      </c>
      <c r="G26" s="483">
        <f t="shared" si="23"/>
        <v>119498.2</v>
      </c>
      <c r="H26" s="494" t="s">
        <v>35</v>
      </c>
      <c r="I26" s="485">
        <v>19</v>
      </c>
      <c r="J26" s="303">
        <v>2400</v>
      </c>
      <c r="K26" s="304">
        <f t="shared" si="1"/>
        <v>126.31578947368421</v>
      </c>
      <c r="L26" s="485">
        <v>19</v>
      </c>
      <c r="M26" s="305">
        <f t="shared" si="24"/>
        <v>2299.6638655462189</v>
      </c>
      <c r="N26" s="304">
        <f t="shared" si="3"/>
        <v>121.03494029190625</v>
      </c>
      <c r="O26" s="306">
        <f t="shared" si="4"/>
        <v>0</v>
      </c>
      <c r="P26" s="307">
        <f t="shared" si="5"/>
        <v>-5.2808491817779526</v>
      </c>
      <c r="Q26" s="487">
        <f t="shared" si="6"/>
        <v>0.95819327731092452</v>
      </c>
      <c r="R26" s="571"/>
      <c r="S26" s="308">
        <v>0.28263888888888883</v>
      </c>
      <c r="T26" s="308">
        <v>0.3652777777777777</v>
      </c>
      <c r="U26" s="483">
        <f t="shared" si="26"/>
        <v>4.9999999999999822</v>
      </c>
      <c r="V26" s="484">
        <f t="shared" si="25"/>
        <v>118.99999999999997</v>
      </c>
      <c r="W26" s="310"/>
      <c r="X26" s="310"/>
      <c r="Y26" s="570"/>
      <c r="Z26" s="570"/>
      <c r="AA26" s="306">
        <f t="shared" si="8"/>
        <v>-100.33613445378114</v>
      </c>
      <c r="AB26" s="487">
        <f t="shared" si="9"/>
        <v>0.95819327731092452</v>
      </c>
      <c r="AC26" s="571"/>
    </row>
    <row r="27" spans="1:29" ht="15.75" customHeight="1">
      <c r="A27" s="591" t="s">
        <v>2275</v>
      </c>
      <c r="B27" s="300" t="s">
        <v>46</v>
      </c>
      <c r="C27" s="590" t="s">
        <v>56</v>
      </c>
      <c r="D27" s="590"/>
      <c r="E27" s="300">
        <v>26.2</v>
      </c>
      <c r="F27" s="493">
        <v>3300</v>
      </c>
      <c r="G27" s="483">
        <f t="shared" si="23"/>
        <v>86460</v>
      </c>
      <c r="H27" s="494">
        <v>2</v>
      </c>
      <c r="I27" s="485">
        <v>20</v>
      </c>
      <c r="J27" s="303">
        <v>2400</v>
      </c>
      <c r="K27" s="304">
        <f t="shared" si="1"/>
        <v>120</v>
      </c>
      <c r="L27" s="485">
        <v>20</v>
      </c>
      <c r="M27" s="305">
        <f t="shared" si="24"/>
        <v>2302.3255813953483</v>
      </c>
      <c r="N27" s="304">
        <f t="shared" si="3"/>
        <v>115.11627906976742</v>
      </c>
      <c r="O27" s="306">
        <f t="shared" si="4"/>
        <v>0</v>
      </c>
      <c r="P27" s="307">
        <f t="shared" si="5"/>
        <v>-4.8837209302325846</v>
      </c>
      <c r="Q27" s="487">
        <f t="shared" si="6"/>
        <v>0.95930232558139517</v>
      </c>
      <c r="R27" s="571"/>
      <c r="S27" s="308">
        <v>0.36944444444444435</v>
      </c>
      <c r="T27" s="308">
        <v>0.42916666666666659</v>
      </c>
      <c r="U27" s="483">
        <f t="shared" si="26"/>
        <v>5.9999999999999787</v>
      </c>
      <c r="V27" s="484">
        <f t="shared" si="25"/>
        <v>86.000000000000014</v>
      </c>
      <c r="W27" s="310"/>
      <c r="X27" s="310"/>
      <c r="Y27" s="570"/>
      <c r="Z27" s="570"/>
      <c r="AA27" s="306">
        <f t="shared" si="8"/>
        <v>-97.674418604651692</v>
      </c>
      <c r="AB27" s="487">
        <f t="shared" si="9"/>
        <v>0.95930232558139517</v>
      </c>
      <c r="AC27" s="571"/>
    </row>
    <row r="28" spans="1:29" ht="15.75" customHeight="1">
      <c r="A28" s="591" t="s">
        <v>2275</v>
      </c>
      <c r="B28" s="300" t="s">
        <v>46</v>
      </c>
      <c r="C28" s="590" t="s">
        <v>2114</v>
      </c>
      <c r="D28" s="590"/>
      <c r="E28" s="300">
        <v>24.83</v>
      </c>
      <c r="F28" s="493">
        <v>4500</v>
      </c>
      <c r="G28" s="483">
        <f t="shared" si="23"/>
        <v>111734.99999999999</v>
      </c>
      <c r="H28" s="494">
        <v>2</v>
      </c>
      <c r="I28" s="485">
        <v>15</v>
      </c>
      <c r="J28" s="303">
        <v>2400</v>
      </c>
      <c r="K28" s="304">
        <f t="shared" si="1"/>
        <v>160</v>
      </c>
      <c r="L28" s="485">
        <v>15</v>
      </c>
      <c r="M28" s="305">
        <f t="shared" si="24"/>
        <v>2288.1355932203378</v>
      </c>
      <c r="N28" s="304">
        <f t="shared" si="3"/>
        <v>152.54237288135585</v>
      </c>
      <c r="O28" s="306">
        <f t="shared" si="4"/>
        <v>0</v>
      </c>
      <c r="P28" s="307">
        <f t="shared" si="5"/>
        <v>-7.4576271186441545</v>
      </c>
      <c r="Q28" s="487">
        <f t="shared" si="6"/>
        <v>0.95338983050847403</v>
      </c>
      <c r="R28" s="571"/>
      <c r="S28" s="308">
        <v>0.43472222222222212</v>
      </c>
      <c r="T28" s="308">
        <v>0.51666666666666661</v>
      </c>
      <c r="U28" s="483">
        <f t="shared" si="26"/>
        <v>7.9999999999999716</v>
      </c>
      <c r="V28" s="484">
        <f t="shared" si="25"/>
        <v>118.00000000000006</v>
      </c>
      <c r="W28" s="310">
        <f>T28</f>
        <v>0.51666666666666661</v>
      </c>
      <c r="X28" s="310">
        <f>S29</f>
        <v>0.55486111111111103</v>
      </c>
      <c r="Y28" s="570"/>
      <c r="Z28" s="570"/>
      <c r="AA28" s="306">
        <f t="shared" si="8"/>
        <v>-111.8644067796622</v>
      </c>
      <c r="AB28" s="487">
        <f t="shared" si="9"/>
        <v>0.95338983050847403</v>
      </c>
      <c r="AC28" s="571"/>
    </row>
    <row r="29" spans="1:29" ht="15.75" customHeight="1">
      <c r="A29" s="591" t="s">
        <v>2275</v>
      </c>
      <c r="B29" s="300" t="s">
        <v>46</v>
      </c>
      <c r="C29" s="590" t="s">
        <v>2114</v>
      </c>
      <c r="D29" s="590"/>
      <c r="E29" s="300">
        <v>24.83</v>
      </c>
      <c r="F29" s="493">
        <v>3249</v>
      </c>
      <c r="G29" s="483">
        <f t="shared" si="23"/>
        <v>80672.67</v>
      </c>
      <c r="H29" s="494" t="s">
        <v>35</v>
      </c>
      <c r="I29" s="485">
        <v>15</v>
      </c>
      <c r="J29" s="303">
        <v>2400</v>
      </c>
      <c r="K29" s="304">
        <f t="shared" si="1"/>
        <v>160</v>
      </c>
      <c r="L29" s="485">
        <v>15</v>
      </c>
      <c r="M29" s="305">
        <f t="shared" si="24"/>
        <v>2293.411764705882</v>
      </c>
      <c r="N29" s="304">
        <f t="shared" si="3"/>
        <v>152.89411764705881</v>
      </c>
      <c r="O29" s="306">
        <f t="shared" si="4"/>
        <v>0</v>
      </c>
      <c r="P29" s="307">
        <f t="shared" si="5"/>
        <v>-7.1058823529411939</v>
      </c>
      <c r="Q29" s="487">
        <f t="shared" si="6"/>
        <v>0.95558823529411752</v>
      </c>
      <c r="R29" s="571"/>
      <c r="S29" s="308">
        <v>0.55486111111111103</v>
      </c>
      <c r="T29" s="308">
        <v>0.61388888888888882</v>
      </c>
      <c r="U29" s="483">
        <f t="shared" si="26"/>
        <v>54.999999999999964</v>
      </c>
      <c r="V29" s="484">
        <f t="shared" si="25"/>
        <v>85.000000000000014</v>
      </c>
      <c r="W29" s="310"/>
      <c r="X29" s="310"/>
      <c r="Y29" s="570"/>
      <c r="Z29" s="570"/>
      <c r="AA29" s="306">
        <f t="shared" si="8"/>
        <v>-106.58823529411802</v>
      </c>
      <c r="AB29" s="487">
        <f t="shared" si="9"/>
        <v>0.95558823529411752</v>
      </c>
      <c r="AC29" s="571"/>
    </row>
    <row r="30" spans="1:29" ht="15.75" customHeight="1">
      <c r="A30" s="591" t="s">
        <v>2275</v>
      </c>
      <c r="B30" s="300" t="s">
        <v>46</v>
      </c>
      <c r="C30" s="590" t="s">
        <v>61</v>
      </c>
      <c r="D30" s="590"/>
      <c r="E30" s="300">
        <v>31.29</v>
      </c>
      <c r="F30" s="493">
        <v>3010</v>
      </c>
      <c r="G30" s="483">
        <f t="shared" si="23"/>
        <v>94182.9</v>
      </c>
      <c r="H30" s="494" t="s">
        <v>35</v>
      </c>
      <c r="I30" s="485">
        <v>18</v>
      </c>
      <c r="J30" s="303">
        <v>2400</v>
      </c>
      <c r="K30" s="304">
        <f t="shared" si="1"/>
        <v>133.33333333333334</v>
      </c>
      <c r="L30" s="485">
        <v>18</v>
      </c>
      <c r="M30" s="305">
        <f t="shared" si="24"/>
        <v>2286.0759493670876</v>
      </c>
      <c r="N30" s="304">
        <f t="shared" si="3"/>
        <v>127.00421940928264</v>
      </c>
      <c r="O30" s="306">
        <f t="shared" si="4"/>
        <v>0</v>
      </c>
      <c r="P30" s="307">
        <f t="shared" si="5"/>
        <v>-6.3291139240507022</v>
      </c>
      <c r="Q30" s="487">
        <f t="shared" si="6"/>
        <v>0.95253164556961978</v>
      </c>
      <c r="R30" s="571"/>
      <c r="S30" s="308">
        <v>0.61736111111111103</v>
      </c>
      <c r="T30" s="308">
        <v>0.67222222222222217</v>
      </c>
      <c r="U30" s="483">
        <f t="shared" si="26"/>
        <v>4.9999999999999822</v>
      </c>
      <c r="V30" s="484">
        <f t="shared" si="25"/>
        <v>79.000000000000043</v>
      </c>
      <c r="W30" s="310"/>
      <c r="X30" s="310"/>
      <c r="Y30" s="570"/>
      <c r="Z30" s="570"/>
      <c r="AA30" s="306">
        <f t="shared" si="8"/>
        <v>-113.92405063291244</v>
      </c>
      <c r="AB30" s="487">
        <f t="shared" si="9"/>
        <v>0.95253164556961978</v>
      </c>
      <c r="AC30" s="571"/>
    </row>
    <row r="31" spans="1:29" ht="15.75" customHeight="1">
      <c r="A31" s="591" t="s">
        <v>2275</v>
      </c>
      <c r="B31" s="300" t="s">
        <v>46</v>
      </c>
      <c r="C31" s="590" t="s">
        <v>56</v>
      </c>
      <c r="D31" s="590"/>
      <c r="E31" s="300">
        <v>26.2</v>
      </c>
      <c r="F31" s="493">
        <v>1805</v>
      </c>
      <c r="G31" s="483">
        <f t="shared" si="23"/>
        <v>47291</v>
      </c>
      <c r="H31" s="494" t="s">
        <v>35</v>
      </c>
      <c r="I31" s="485">
        <v>20</v>
      </c>
      <c r="J31" s="303">
        <v>2400</v>
      </c>
      <c r="K31" s="304">
        <f t="shared" si="1"/>
        <v>120</v>
      </c>
      <c r="L31" s="485">
        <v>20</v>
      </c>
      <c r="M31" s="305">
        <f t="shared" si="24"/>
        <v>2304.2553191489369</v>
      </c>
      <c r="N31" s="304">
        <f t="shared" si="3"/>
        <v>115.21276595744685</v>
      </c>
      <c r="O31" s="306">
        <f t="shared" si="4"/>
        <v>0</v>
      </c>
      <c r="P31" s="307">
        <f t="shared" si="5"/>
        <v>-4.7872340425531519</v>
      </c>
      <c r="Q31" s="487">
        <f t="shared" si="6"/>
        <v>0.96010638297872375</v>
      </c>
      <c r="R31" s="571"/>
      <c r="S31" s="308">
        <v>0.67569444444444438</v>
      </c>
      <c r="T31" s="308">
        <v>0.70833333333333326</v>
      </c>
      <c r="U31" s="483">
        <f t="shared" si="26"/>
        <v>4.9999999999999822</v>
      </c>
      <c r="V31" s="484">
        <f t="shared" si="25"/>
        <v>46.999999999999993</v>
      </c>
      <c r="W31" s="310"/>
      <c r="X31" s="310"/>
      <c r="Y31" s="570"/>
      <c r="Z31" s="570"/>
      <c r="AA31" s="306">
        <f t="shared" si="8"/>
        <v>-95.744680851063094</v>
      </c>
      <c r="AB31" s="487">
        <f t="shared" si="9"/>
        <v>0.96010638297872375</v>
      </c>
      <c r="AC31" s="571"/>
    </row>
    <row r="32" spans="1:29" ht="15.75" customHeight="1">
      <c r="A32" s="591" t="s">
        <v>2275</v>
      </c>
      <c r="B32" s="300" t="s">
        <v>2268</v>
      </c>
      <c r="C32" s="572"/>
      <c r="D32" s="572"/>
      <c r="E32" s="486"/>
      <c r="F32" s="493"/>
      <c r="G32" s="483"/>
      <c r="H32" s="493"/>
      <c r="I32" s="314">
        <v>18</v>
      </c>
      <c r="J32" s="303">
        <v>2400</v>
      </c>
      <c r="K32" s="304">
        <f t="shared" si="1"/>
        <v>133.33333333333334</v>
      </c>
      <c r="L32" s="314">
        <v>18</v>
      </c>
      <c r="M32" s="305">
        <f>AVERAGE(M24:M31)</f>
        <v>2293.6851147075022</v>
      </c>
      <c r="N32" s="304">
        <f t="shared" si="3"/>
        <v>127.42695081708345</v>
      </c>
      <c r="O32" s="306">
        <f t="shared" si="4"/>
        <v>0</v>
      </c>
      <c r="P32" s="307">
        <f t="shared" si="5"/>
        <v>-5.9063825162498915</v>
      </c>
      <c r="Q32" s="487">
        <f t="shared" si="6"/>
        <v>0.95570213112812585</v>
      </c>
      <c r="R32" s="571"/>
      <c r="S32" s="308"/>
      <c r="T32" s="308"/>
      <c r="U32" s="483"/>
      <c r="V32" s="484"/>
      <c r="W32" s="483"/>
      <c r="X32" s="483"/>
      <c r="Y32" s="570"/>
      <c r="Z32" s="570"/>
      <c r="AA32" s="306">
        <f t="shared" si="8"/>
        <v>-106.31488529249782</v>
      </c>
      <c r="AB32" s="487">
        <f t="shared" si="9"/>
        <v>0.95570213112812585</v>
      </c>
      <c r="AC32" s="571"/>
    </row>
    <row r="33" spans="1:29" ht="15.75" customHeight="1">
      <c r="A33" s="588" t="s">
        <v>2276</v>
      </c>
      <c r="B33" s="300" t="s">
        <v>46</v>
      </c>
      <c r="C33" s="565" t="s">
        <v>63</v>
      </c>
      <c r="D33" s="565"/>
      <c r="E33" s="300">
        <v>26.2</v>
      </c>
      <c r="F33" s="493">
        <v>5000</v>
      </c>
      <c r="G33" s="483">
        <f t="shared" ref="G33:G40" si="27">E33*F33</f>
        <v>131000</v>
      </c>
      <c r="H33" s="494">
        <v>2</v>
      </c>
      <c r="I33" s="485">
        <v>18</v>
      </c>
      <c r="J33" s="303">
        <v>2400</v>
      </c>
      <c r="K33" s="304">
        <f t="shared" si="1"/>
        <v>133.33333333333334</v>
      </c>
      <c r="L33" s="485">
        <v>18</v>
      </c>
      <c r="M33" s="305">
        <f t="shared" ref="M33:M40" si="28">F33/V33*60</f>
        <v>2290.0763358778627</v>
      </c>
      <c r="N33" s="304">
        <f t="shared" si="3"/>
        <v>127.2264631043257</v>
      </c>
      <c r="O33" s="306">
        <f t="shared" si="4"/>
        <v>0</v>
      </c>
      <c r="P33" s="307">
        <f t="shared" si="5"/>
        <v>-6.1068702290076402</v>
      </c>
      <c r="Q33" s="487">
        <f t="shared" si="6"/>
        <v>0.95419847328244267</v>
      </c>
      <c r="R33" s="571">
        <f>Q41</f>
        <v>0.9578487343691342</v>
      </c>
      <c r="S33" s="308">
        <v>8.3333333333333329E-2</v>
      </c>
      <c r="T33" s="308">
        <v>0.17430555555555555</v>
      </c>
      <c r="U33" s="483"/>
      <c r="V33" s="484">
        <f t="shared" ref="V33:V40" si="29">(T33-S33)*24*60</f>
        <v>131</v>
      </c>
      <c r="W33" s="315">
        <f>T33</f>
        <v>0.17430555555555555</v>
      </c>
      <c r="X33" s="315">
        <f>S34</f>
        <v>0.19305555555555554</v>
      </c>
      <c r="Y33" s="570"/>
      <c r="Z33" s="570"/>
      <c r="AA33" s="306">
        <f t="shared" si="8"/>
        <v>-109.92366412213732</v>
      </c>
      <c r="AB33" s="487">
        <f t="shared" si="9"/>
        <v>0.95419847328244278</v>
      </c>
      <c r="AC33" s="571">
        <f>AB41</f>
        <v>0.9578487343691342</v>
      </c>
    </row>
    <row r="34" spans="1:29" ht="15.75" customHeight="1">
      <c r="A34" s="588" t="s">
        <v>2276</v>
      </c>
      <c r="B34" s="300" t="s">
        <v>46</v>
      </c>
      <c r="C34" s="565" t="s">
        <v>64</v>
      </c>
      <c r="D34" s="565"/>
      <c r="E34" s="300">
        <v>26.39</v>
      </c>
      <c r="F34" s="493">
        <v>4500</v>
      </c>
      <c r="G34" s="483">
        <f t="shared" si="27"/>
        <v>118755</v>
      </c>
      <c r="H34" s="494">
        <v>2</v>
      </c>
      <c r="I34" s="485">
        <v>19</v>
      </c>
      <c r="J34" s="303">
        <v>2400</v>
      </c>
      <c r="K34" s="304">
        <f t="shared" si="1"/>
        <v>126.31578947368421</v>
      </c>
      <c r="L34" s="485">
        <v>19</v>
      </c>
      <c r="M34" s="305">
        <f t="shared" si="28"/>
        <v>2288.1355932203396</v>
      </c>
      <c r="N34" s="304">
        <f t="shared" si="3"/>
        <v>120.42818911685998</v>
      </c>
      <c r="O34" s="306">
        <f t="shared" si="4"/>
        <v>0</v>
      </c>
      <c r="P34" s="307">
        <f t="shared" si="5"/>
        <v>-5.8876003568242226</v>
      </c>
      <c r="Q34" s="487">
        <f t="shared" si="6"/>
        <v>0.95338983050847492</v>
      </c>
      <c r="R34" s="571"/>
      <c r="S34" s="308">
        <v>0.19305555555555554</v>
      </c>
      <c r="T34" s="308">
        <v>0.27499999999999997</v>
      </c>
      <c r="U34" s="483">
        <f t="shared" ref="U34:U40" si="30">(S34-T33)*24*60</f>
        <v>26.999999999999986</v>
      </c>
      <c r="V34" s="484">
        <f t="shared" si="29"/>
        <v>117.99999999999999</v>
      </c>
      <c r="W34" s="483"/>
      <c r="X34" s="483"/>
      <c r="Y34" s="570"/>
      <c r="Z34" s="570"/>
      <c r="AA34" s="306">
        <f t="shared" si="8"/>
        <v>-111.86440677966038</v>
      </c>
      <c r="AB34" s="487">
        <f t="shared" si="9"/>
        <v>0.95338983050847481</v>
      </c>
      <c r="AC34" s="571"/>
    </row>
    <row r="35" spans="1:29">
      <c r="A35" s="589" t="s">
        <v>2276</v>
      </c>
      <c r="B35" s="300" t="s">
        <v>46</v>
      </c>
      <c r="C35" s="565" t="s">
        <v>87</v>
      </c>
      <c r="D35" s="565"/>
      <c r="E35" s="300">
        <v>20.52</v>
      </c>
      <c r="F35" s="493">
        <v>4930</v>
      </c>
      <c r="G35" s="483">
        <f t="shared" si="27"/>
        <v>101163.59999999999</v>
      </c>
      <c r="H35" s="494" t="s">
        <v>35</v>
      </c>
      <c r="I35" s="485">
        <v>18</v>
      </c>
      <c r="J35" s="303">
        <v>2400</v>
      </c>
      <c r="K35" s="304">
        <f t="shared" si="1"/>
        <v>133.33333333333334</v>
      </c>
      <c r="L35" s="485">
        <v>18</v>
      </c>
      <c r="M35" s="305">
        <f t="shared" si="28"/>
        <v>2293.0232558139533</v>
      </c>
      <c r="N35" s="304">
        <f t="shared" si="3"/>
        <v>127.39018087855295</v>
      </c>
      <c r="O35" s="306">
        <f t="shared" si="4"/>
        <v>0</v>
      </c>
      <c r="P35" s="307">
        <f t="shared" si="5"/>
        <v>-5.9431524547803889</v>
      </c>
      <c r="Q35" s="487">
        <f t="shared" si="6"/>
        <v>0.9554263565891471</v>
      </c>
      <c r="R35" s="571"/>
      <c r="S35" s="308">
        <v>0.27986111111111106</v>
      </c>
      <c r="T35" s="308">
        <v>0.36944444444444441</v>
      </c>
      <c r="U35" s="483">
        <f t="shared" si="30"/>
        <v>6.9999999999999751</v>
      </c>
      <c r="V35" s="484">
        <f t="shared" si="29"/>
        <v>129.00000000000003</v>
      </c>
      <c r="W35" s="483"/>
      <c r="X35" s="483"/>
      <c r="Y35" s="570"/>
      <c r="Z35" s="570"/>
      <c r="AA35" s="306">
        <f t="shared" si="8"/>
        <v>-106.97674418604674</v>
      </c>
      <c r="AB35" s="487">
        <f t="shared" si="9"/>
        <v>0.95542635658914721</v>
      </c>
      <c r="AC35" s="571"/>
    </row>
    <row r="36" spans="1:29">
      <c r="A36" s="589" t="s">
        <v>2276</v>
      </c>
      <c r="B36" s="300" t="s">
        <v>46</v>
      </c>
      <c r="C36" s="565" t="s">
        <v>48</v>
      </c>
      <c r="D36" s="565"/>
      <c r="E36" s="300">
        <v>22.35</v>
      </c>
      <c r="F36" s="493">
        <v>2003</v>
      </c>
      <c r="G36" s="483">
        <f t="shared" si="27"/>
        <v>44767.05</v>
      </c>
      <c r="H36" s="494" t="s">
        <v>35</v>
      </c>
      <c r="I36" s="485">
        <v>16</v>
      </c>
      <c r="J36" s="303">
        <v>2400</v>
      </c>
      <c r="K36" s="304">
        <f t="shared" si="1"/>
        <v>150</v>
      </c>
      <c r="L36" s="485">
        <v>16</v>
      </c>
      <c r="M36" s="305">
        <f t="shared" si="28"/>
        <v>2311.1538461538471</v>
      </c>
      <c r="N36" s="304">
        <f t="shared" si="3"/>
        <v>144.44711538461544</v>
      </c>
      <c r="O36" s="306">
        <f t="shared" si="4"/>
        <v>0</v>
      </c>
      <c r="P36" s="307">
        <f t="shared" si="5"/>
        <v>-5.5528846153845564</v>
      </c>
      <c r="Q36" s="487">
        <f t="shared" si="6"/>
        <v>0.96298076923076958</v>
      </c>
      <c r="R36" s="571"/>
      <c r="S36" s="308">
        <v>0.37499999999999994</v>
      </c>
      <c r="T36" s="308">
        <v>0.41111111111111104</v>
      </c>
      <c r="U36" s="483">
        <f t="shared" si="30"/>
        <v>7.9999999999999716</v>
      </c>
      <c r="V36" s="484">
        <f t="shared" si="29"/>
        <v>51.999999999999972</v>
      </c>
      <c r="W36" s="310"/>
      <c r="X36" s="310"/>
      <c r="Y36" s="570"/>
      <c r="Z36" s="570"/>
      <c r="AA36" s="306">
        <f t="shared" si="8"/>
        <v>-88.846153846152902</v>
      </c>
      <c r="AB36" s="487">
        <f t="shared" si="9"/>
        <v>0.96298076923076958</v>
      </c>
      <c r="AC36" s="571"/>
    </row>
    <row r="37" spans="1:29">
      <c r="A37" s="589" t="s">
        <v>2276</v>
      </c>
      <c r="B37" s="300" t="s">
        <v>46</v>
      </c>
      <c r="C37" s="565" t="s">
        <v>65</v>
      </c>
      <c r="D37" s="565"/>
      <c r="E37" s="300">
        <v>24.43</v>
      </c>
      <c r="F37" s="493">
        <v>4000</v>
      </c>
      <c r="G37" s="483">
        <f t="shared" si="27"/>
        <v>97720</v>
      </c>
      <c r="H37" s="494">
        <v>2</v>
      </c>
      <c r="I37" s="485">
        <v>15</v>
      </c>
      <c r="J37" s="303">
        <v>2400</v>
      </c>
      <c r="K37" s="304">
        <f t="shared" si="1"/>
        <v>160</v>
      </c>
      <c r="L37" s="485">
        <v>15</v>
      </c>
      <c r="M37" s="305">
        <f t="shared" si="28"/>
        <v>2285.7142857142853</v>
      </c>
      <c r="N37" s="304">
        <f t="shared" si="3"/>
        <v>152.38095238095235</v>
      </c>
      <c r="O37" s="306">
        <f t="shared" si="4"/>
        <v>0</v>
      </c>
      <c r="P37" s="307">
        <f t="shared" si="5"/>
        <v>-7.6190476190476488</v>
      </c>
      <c r="Q37" s="487">
        <f t="shared" si="6"/>
        <v>0.95238095238095222</v>
      </c>
      <c r="R37" s="571"/>
      <c r="S37" s="308">
        <v>0.41666666666666657</v>
      </c>
      <c r="T37" s="308">
        <v>0.48958333333333326</v>
      </c>
      <c r="U37" s="483">
        <f t="shared" si="30"/>
        <v>7.9999999999999716</v>
      </c>
      <c r="V37" s="484">
        <f t="shared" si="29"/>
        <v>105.00000000000003</v>
      </c>
      <c r="W37" s="310">
        <f>T37</f>
        <v>0.48958333333333326</v>
      </c>
      <c r="X37" s="310">
        <f>S38</f>
        <v>0.53055555555555545</v>
      </c>
      <c r="Y37" s="570"/>
      <c r="Z37" s="570"/>
      <c r="AA37" s="306">
        <f t="shared" si="8"/>
        <v>-114.28571428571468</v>
      </c>
      <c r="AB37" s="487">
        <f t="shared" si="9"/>
        <v>0.95238095238095222</v>
      </c>
      <c r="AC37" s="571"/>
    </row>
    <row r="38" spans="1:29">
      <c r="A38" s="589" t="s">
        <v>2276</v>
      </c>
      <c r="B38" s="300" t="s">
        <v>46</v>
      </c>
      <c r="C38" s="565" t="s">
        <v>65</v>
      </c>
      <c r="D38" s="565"/>
      <c r="E38" s="300">
        <v>24.43</v>
      </c>
      <c r="F38" s="493">
        <v>4475</v>
      </c>
      <c r="G38" s="483">
        <f t="shared" si="27"/>
        <v>109324.25</v>
      </c>
      <c r="H38" s="494" t="s">
        <v>35</v>
      </c>
      <c r="I38" s="485">
        <v>15</v>
      </c>
      <c r="J38" s="303">
        <v>2400</v>
      </c>
      <c r="K38" s="304">
        <f t="shared" si="1"/>
        <v>160</v>
      </c>
      <c r="L38" s="485">
        <v>15</v>
      </c>
      <c r="M38" s="305">
        <f t="shared" si="28"/>
        <v>2294.8717948717936</v>
      </c>
      <c r="N38" s="304">
        <f t="shared" si="3"/>
        <v>152.99145299145292</v>
      </c>
      <c r="O38" s="306">
        <f t="shared" si="4"/>
        <v>0</v>
      </c>
      <c r="P38" s="307">
        <f t="shared" si="5"/>
        <v>-7.0085470085470831</v>
      </c>
      <c r="Q38" s="487">
        <f t="shared" si="6"/>
        <v>0.95619658119658069</v>
      </c>
      <c r="R38" s="571"/>
      <c r="S38" s="308">
        <v>0.53055555555555545</v>
      </c>
      <c r="T38" s="308">
        <v>0.61180555555555549</v>
      </c>
      <c r="U38" s="483">
        <f t="shared" si="30"/>
        <v>58.99999999999995</v>
      </c>
      <c r="V38" s="484">
        <f t="shared" si="29"/>
        <v>117.00000000000006</v>
      </c>
      <c r="W38" s="310"/>
      <c r="X38" s="310"/>
      <c r="Y38" s="570"/>
      <c r="Z38" s="570"/>
      <c r="AA38" s="306">
        <f t="shared" si="8"/>
        <v>-105.12820512820645</v>
      </c>
      <c r="AB38" s="487">
        <f t="shared" si="9"/>
        <v>0.95619658119658069</v>
      </c>
      <c r="AC38" s="571"/>
    </row>
    <row r="39" spans="1:29">
      <c r="A39" s="589" t="s">
        <v>2276</v>
      </c>
      <c r="B39" s="300" t="s">
        <v>46</v>
      </c>
      <c r="C39" s="565" t="s">
        <v>63</v>
      </c>
      <c r="D39" s="565"/>
      <c r="E39" s="300">
        <v>26.2</v>
      </c>
      <c r="F39" s="493">
        <v>1849</v>
      </c>
      <c r="G39" s="483">
        <f t="shared" si="27"/>
        <v>48443.799999999996</v>
      </c>
      <c r="H39" s="494" t="s">
        <v>35</v>
      </c>
      <c r="I39" s="485">
        <v>18</v>
      </c>
      <c r="J39" s="303">
        <v>2400</v>
      </c>
      <c r="K39" s="304">
        <f t="shared" si="1"/>
        <v>133.33333333333334</v>
      </c>
      <c r="L39" s="485">
        <v>18</v>
      </c>
      <c r="M39" s="305">
        <f t="shared" si="28"/>
        <v>2311.2500000000005</v>
      </c>
      <c r="N39" s="304">
        <f t="shared" si="3"/>
        <v>128.4027777777778</v>
      </c>
      <c r="O39" s="306">
        <f t="shared" si="4"/>
        <v>0</v>
      </c>
      <c r="P39" s="307">
        <f t="shared" si="5"/>
        <v>-4.9305555555555429</v>
      </c>
      <c r="Q39" s="487">
        <f t="shared" si="6"/>
        <v>0.96302083333333344</v>
      </c>
      <c r="R39" s="571"/>
      <c r="S39" s="308">
        <v>0.61736111111111103</v>
      </c>
      <c r="T39" s="308">
        <v>0.65069444444444435</v>
      </c>
      <c r="U39" s="483">
        <f t="shared" si="30"/>
        <v>7.9999999999999716</v>
      </c>
      <c r="V39" s="484">
        <f t="shared" si="29"/>
        <v>47.999999999999986</v>
      </c>
      <c r="W39" s="310"/>
      <c r="X39" s="310"/>
      <c r="Y39" s="566"/>
      <c r="Z39" s="567"/>
      <c r="AA39" s="306">
        <f t="shared" si="8"/>
        <v>-88.749999999999545</v>
      </c>
      <c r="AB39" s="487">
        <f t="shared" si="9"/>
        <v>0.96302083333333355</v>
      </c>
      <c r="AC39" s="571"/>
    </row>
    <row r="40" spans="1:29">
      <c r="A40" s="589" t="s">
        <v>2276</v>
      </c>
      <c r="B40" s="300" t="s">
        <v>46</v>
      </c>
      <c r="C40" s="565" t="s">
        <v>64</v>
      </c>
      <c r="D40" s="565"/>
      <c r="E40" s="300">
        <v>26.39</v>
      </c>
      <c r="F40" s="493">
        <v>1969</v>
      </c>
      <c r="G40" s="483">
        <f t="shared" si="27"/>
        <v>51961.91</v>
      </c>
      <c r="H40" s="494" t="s">
        <v>35</v>
      </c>
      <c r="I40" s="485">
        <v>19</v>
      </c>
      <c r="J40" s="303">
        <v>2400</v>
      </c>
      <c r="K40" s="304">
        <f t="shared" si="1"/>
        <v>126.31578947368421</v>
      </c>
      <c r="L40" s="485">
        <v>19</v>
      </c>
      <c r="M40" s="305">
        <f t="shared" si="28"/>
        <v>2316.4705882352951</v>
      </c>
      <c r="N40" s="304">
        <f t="shared" si="3"/>
        <v>121.9195046439629</v>
      </c>
      <c r="O40" s="306">
        <f t="shared" si="4"/>
        <v>0</v>
      </c>
      <c r="P40" s="307">
        <f t="shared" si="5"/>
        <v>-4.39628482972131</v>
      </c>
      <c r="Q40" s="487">
        <f t="shared" si="6"/>
        <v>0.96519607843137301</v>
      </c>
      <c r="R40" s="571"/>
      <c r="S40" s="308">
        <v>0.65486111111111101</v>
      </c>
      <c r="T40" s="308">
        <v>0.69027777777777766</v>
      </c>
      <c r="U40" s="483">
        <f t="shared" si="30"/>
        <v>5.9999999999999787</v>
      </c>
      <c r="V40" s="484">
        <f t="shared" si="29"/>
        <v>50.999999999999979</v>
      </c>
      <c r="W40" s="310"/>
      <c r="X40" s="310"/>
      <c r="Y40" s="566"/>
      <c r="Z40" s="567"/>
      <c r="AA40" s="306">
        <f t="shared" si="8"/>
        <v>-83.529411764704946</v>
      </c>
      <c r="AB40" s="487">
        <f t="shared" si="9"/>
        <v>0.96519607843137289</v>
      </c>
      <c r="AC40" s="571"/>
    </row>
    <row r="41" spans="1:29">
      <c r="A41" s="589" t="s">
        <v>2276</v>
      </c>
      <c r="B41" s="313" t="s">
        <v>2268</v>
      </c>
      <c r="C41" s="572"/>
      <c r="D41" s="572"/>
      <c r="E41" s="486"/>
      <c r="F41" s="313"/>
      <c r="G41" s="304"/>
      <c r="H41" s="493"/>
      <c r="I41" s="314">
        <v>17.25</v>
      </c>
      <c r="J41" s="303">
        <v>2400</v>
      </c>
      <c r="K41" s="304">
        <f t="shared" si="1"/>
        <v>139.13043478260869</v>
      </c>
      <c r="L41" s="314">
        <v>17.25</v>
      </c>
      <c r="M41" s="305">
        <f>AVERAGE(M33:M40)</f>
        <v>2298.836962485922</v>
      </c>
      <c r="N41" s="304">
        <f t="shared" si="3"/>
        <v>133.2659108687491</v>
      </c>
      <c r="O41" s="306">
        <f t="shared" si="4"/>
        <v>0</v>
      </c>
      <c r="P41" s="307">
        <f t="shared" si="5"/>
        <v>-5.8645239138595855</v>
      </c>
      <c r="Q41" s="487">
        <f t="shared" si="6"/>
        <v>0.9578487343691342</v>
      </c>
      <c r="R41" s="571"/>
      <c r="S41" s="308"/>
      <c r="T41" s="308"/>
      <c r="U41" s="304"/>
      <c r="V41" s="484"/>
      <c r="W41" s="304"/>
      <c r="X41" s="304"/>
      <c r="Y41" s="570"/>
      <c r="Z41" s="570"/>
      <c r="AA41" s="306">
        <f t="shared" si="8"/>
        <v>-101.16303751407804</v>
      </c>
      <c r="AB41" s="487">
        <f t="shared" si="9"/>
        <v>0.9578487343691342</v>
      </c>
      <c r="AC41" s="571"/>
    </row>
    <row r="42" spans="1:29" ht="15.75" customHeight="1">
      <c r="A42" s="585" t="s">
        <v>2277</v>
      </c>
      <c r="B42" s="300" t="s">
        <v>67</v>
      </c>
      <c r="C42" s="580" t="s">
        <v>68</v>
      </c>
      <c r="D42" s="581"/>
      <c r="E42" s="300">
        <v>21.13</v>
      </c>
      <c r="F42" s="493">
        <v>3100</v>
      </c>
      <c r="G42" s="483">
        <f t="shared" ref="G42:G51" si="31">E42*F42</f>
        <v>65503</v>
      </c>
      <c r="H42" s="494">
        <v>2</v>
      </c>
      <c r="I42" s="485">
        <v>10</v>
      </c>
      <c r="J42" s="303">
        <v>3000</v>
      </c>
      <c r="K42" s="304">
        <f t="shared" si="1"/>
        <v>300</v>
      </c>
      <c r="L42" s="485">
        <v>10</v>
      </c>
      <c r="M42" s="305">
        <f t="shared" ref="M42:M51" si="32">F42/V42*60</f>
        <v>2861.5384615384619</v>
      </c>
      <c r="N42" s="305">
        <f t="shared" si="3"/>
        <v>286.15384615384619</v>
      </c>
      <c r="O42" s="306">
        <f t="shared" si="4"/>
        <v>0</v>
      </c>
      <c r="P42" s="307">
        <f t="shared" si="5"/>
        <v>-13.846153846153811</v>
      </c>
      <c r="Q42" s="487">
        <f t="shared" si="6"/>
        <v>0.95384615384615401</v>
      </c>
      <c r="R42" s="582">
        <f>Q52</f>
        <v>0.95824620062524835</v>
      </c>
      <c r="S42" s="308">
        <v>8.3333333333333329E-2</v>
      </c>
      <c r="T42" s="308">
        <v>0.12847222222222221</v>
      </c>
      <c r="U42" s="315"/>
      <c r="V42" s="484">
        <f t="shared" ref="V42:V51" si="33">(T42-S42)*24*60</f>
        <v>64.999999999999986</v>
      </c>
      <c r="W42" s="310">
        <f>T42</f>
        <v>0.12847222222222221</v>
      </c>
      <c r="X42" s="310">
        <f>S43</f>
        <v>0.14791666666666667</v>
      </c>
      <c r="Y42" s="566"/>
      <c r="Z42" s="567"/>
      <c r="AA42" s="306">
        <f t="shared" si="8"/>
        <v>-138.46153846153811</v>
      </c>
      <c r="AB42" s="487">
        <f t="shared" si="9"/>
        <v>0.95384615384615401</v>
      </c>
      <c r="AC42" s="582">
        <f>AB52</f>
        <v>0.95824620062524835</v>
      </c>
    </row>
    <row r="43" spans="1:29" ht="15.75" customHeight="1">
      <c r="A43" s="586" t="s">
        <v>2277</v>
      </c>
      <c r="B43" s="300" t="s">
        <v>67</v>
      </c>
      <c r="C43" s="580" t="s">
        <v>69</v>
      </c>
      <c r="D43" s="581"/>
      <c r="E43" s="300">
        <v>27.17</v>
      </c>
      <c r="F43" s="493">
        <v>4000</v>
      </c>
      <c r="G43" s="483">
        <f t="shared" si="31"/>
        <v>108680</v>
      </c>
      <c r="H43" s="494">
        <v>2</v>
      </c>
      <c r="I43" s="485">
        <v>10</v>
      </c>
      <c r="J43" s="303">
        <v>3000</v>
      </c>
      <c r="K43" s="304">
        <f t="shared" si="1"/>
        <v>300</v>
      </c>
      <c r="L43" s="485">
        <v>10</v>
      </c>
      <c r="M43" s="305">
        <f t="shared" si="32"/>
        <v>2857.1428571428578</v>
      </c>
      <c r="N43" s="305">
        <f t="shared" si="3"/>
        <v>285.71428571428578</v>
      </c>
      <c r="O43" s="306">
        <f t="shared" si="4"/>
        <v>0</v>
      </c>
      <c r="P43" s="307">
        <f t="shared" si="5"/>
        <v>-14.285714285714221</v>
      </c>
      <c r="Q43" s="487">
        <f t="shared" si="6"/>
        <v>0.95238095238095255</v>
      </c>
      <c r="R43" s="583"/>
      <c r="S43" s="308">
        <v>0.14791666666666667</v>
      </c>
      <c r="T43" s="308">
        <v>0.20624999999999999</v>
      </c>
      <c r="U43" s="483">
        <f t="shared" ref="U43:U51" si="34">(S43-T42)*24*60</f>
        <v>28.000000000000021</v>
      </c>
      <c r="V43" s="484">
        <f t="shared" si="33"/>
        <v>83.999999999999986</v>
      </c>
      <c r="W43" s="310"/>
      <c r="X43" s="310"/>
      <c r="Y43" s="566"/>
      <c r="Z43" s="567"/>
      <c r="AA43" s="306">
        <f t="shared" si="8"/>
        <v>-142.85714285714221</v>
      </c>
      <c r="AB43" s="487">
        <f t="shared" si="9"/>
        <v>0.95238095238095255</v>
      </c>
      <c r="AC43" s="583"/>
    </row>
    <row r="44" spans="1:29" ht="15.75" customHeight="1">
      <c r="A44" s="586" t="s">
        <v>2277</v>
      </c>
      <c r="B44" s="300" t="s">
        <v>67</v>
      </c>
      <c r="C44" s="580" t="s">
        <v>70</v>
      </c>
      <c r="D44" s="581"/>
      <c r="E44" s="300">
        <v>35.119999999999997</v>
      </c>
      <c r="F44" s="493">
        <v>4491</v>
      </c>
      <c r="G44" s="483">
        <f t="shared" si="31"/>
        <v>157723.91999999998</v>
      </c>
      <c r="H44" s="494" t="s">
        <v>35</v>
      </c>
      <c r="I44" s="485">
        <v>10</v>
      </c>
      <c r="J44" s="303">
        <v>3000</v>
      </c>
      <c r="K44" s="304">
        <f t="shared" si="1"/>
        <v>300</v>
      </c>
      <c r="L44" s="485">
        <v>10</v>
      </c>
      <c r="M44" s="305">
        <f t="shared" si="32"/>
        <v>2866.5957446808516</v>
      </c>
      <c r="N44" s="305">
        <f t="shared" si="3"/>
        <v>286.65957446808517</v>
      </c>
      <c r="O44" s="306">
        <f t="shared" si="4"/>
        <v>0</v>
      </c>
      <c r="P44" s="307">
        <f t="shared" si="5"/>
        <v>-13.340425531914832</v>
      </c>
      <c r="Q44" s="487">
        <f t="shared" si="6"/>
        <v>0.95553191489361722</v>
      </c>
      <c r="R44" s="583"/>
      <c r="S44" s="308">
        <v>0.2097222222222222</v>
      </c>
      <c r="T44" s="308">
        <v>0.27499999999999997</v>
      </c>
      <c r="U44" s="483">
        <f t="shared" si="34"/>
        <v>4.9999999999999822</v>
      </c>
      <c r="V44" s="484">
        <f t="shared" si="33"/>
        <v>93.999999999999986</v>
      </c>
      <c r="W44" s="310"/>
      <c r="X44" s="310"/>
      <c r="Y44" s="566"/>
      <c r="Z44" s="567"/>
      <c r="AA44" s="306">
        <f t="shared" si="8"/>
        <v>-133.40425531914843</v>
      </c>
      <c r="AB44" s="487">
        <f t="shared" si="9"/>
        <v>0.95553191489361722</v>
      </c>
      <c r="AC44" s="583"/>
    </row>
    <row r="45" spans="1:29" ht="15.75" customHeight="1">
      <c r="A45" s="586" t="s">
        <v>2277</v>
      </c>
      <c r="B45" s="300" t="s">
        <v>67</v>
      </c>
      <c r="C45" s="580" t="s">
        <v>71</v>
      </c>
      <c r="D45" s="581"/>
      <c r="E45" s="300">
        <v>35.869999999999997</v>
      </c>
      <c r="F45" s="493">
        <v>2948</v>
      </c>
      <c r="G45" s="483">
        <f t="shared" si="31"/>
        <v>105744.76</v>
      </c>
      <c r="H45" s="494" t="s">
        <v>35</v>
      </c>
      <c r="I45" s="485">
        <v>10</v>
      </c>
      <c r="J45" s="303">
        <v>3000</v>
      </c>
      <c r="K45" s="304">
        <f t="shared" si="1"/>
        <v>300</v>
      </c>
      <c r="L45" s="485">
        <v>10</v>
      </c>
      <c r="M45" s="305">
        <f t="shared" si="32"/>
        <v>2852.9032258064508</v>
      </c>
      <c r="N45" s="305">
        <f t="shared" si="3"/>
        <v>285.29032258064507</v>
      </c>
      <c r="O45" s="306">
        <f t="shared" si="4"/>
        <v>0</v>
      </c>
      <c r="P45" s="307">
        <f t="shared" si="5"/>
        <v>-14.709677419354932</v>
      </c>
      <c r="Q45" s="487">
        <f t="shared" si="6"/>
        <v>0.95096774193548361</v>
      </c>
      <c r="R45" s="583"/>
      <c r="S45" s="308">
        <v>0.27916666666666662</v>
      </c>
      <c r="T45" s="308">
        <v>0.32222222222222219</v>
      </c>
      <c r="U45" s="483">
        <f t="shared" si="34"/>
        <v>5.9999999999999787</v>
      </c>
      <c r="V45" s="484">
        <f t="shared" si="33"/>
        <v>62.000000000000021</v>
      </c>
      <c r="W45" s="310"/>
      <c r="X45" s="310"/>
      <c r="Y45" s="566"/>
      <c r="Z45" s="567"/>
      <c r="AA45" s="306">
        <f t="shared" si="8"/>
        <v>-147.09677419354921</v>
      </c>
      <c r="AB45" s="487">
        <f t="shared" si="9"/>
        <v>0.95096774193548361</v>
      </c>
      <c r="AC45" s="583"/>
    </row>
    <row r="46" spans="1:29" ht="15.75" customHeight="1">
      <c r="A46" s="586" t="s">
        <v>2277</v>
      </c>
      <c r="B46" s="300" t="s">
        <v>67</v>
      </c>
      <c r="C46" s="580" t="s">
        <v>72</v>
      </c>
      <c r="D46" s="581"/>
      <c r="E46" s="300">
        <v>36.14</v>
      </c>
      <c r="F46" s="493">
        <v>1565</v>
      </c>
      <c r="G46" s="483">
        <f t="shared" si="31"/>
        <v>56559.1</v>
      </c>
      <c r="H46" s="494" t="s">
        <v>35</v>
      </c>
      <c r="I46" s="485">
        <v>8</v>
      </c>
      <c r="J46" s="303">
        <v>3000</v>
      </c>
      <c r="K46" s="304">
        <f t="shared" si="1"/>
        <v>375</v>
      </c>
      <c r="L46" s="485">
        <v>8</v>
      </c>
      <c r="M46" s="305">
        <f t="shared" si="32"/>
        <v>2934.3750000000036</v>
      </c>
      <c r="N46" s="305">
        <f t="shared" si="3"/>
        <v>366.79687500000045</v>
      </c>
      <c r="O46" s="306">
        <f t="shared" si="4"/>
        <v>0</v>
      </c>
      <c r="P46" s="307">
        <f t="shared" si="5"/>
        <v>-8.2031249999995453</v>
      </c>
      <c r="Q46" s="487">
        <f t="shared" si="6"/>
        <v>0.97812500000000124</v>
      </c>
      <c r="R46" s="583"/>
      <c r="S46" s="308">
        <v>0.32777777777777772</v>
      </c>
      <c r="T46" s="308">
        <v>0.34999999999999992</v>
      </c>
      <c r="U46" s="483">
        <f t="shared" si="34"/>
        <v>7.9999999999999716</v>
      </c>
      <c r="V46" s="484">
        <f t="shared" si="33"/>
        <v>31.999999999999964</v>
      </c>
      <c r="W46" s="310"/>
      <c r="X46" s="310"/>
      <c r="Y46" s="566"/>
      <c r="Z46" s="567"/>
      <c r="AA46" s="306">
        <f t="shared" si="8"/>
        <v>-65.624999999996362</v>
      </c>
      <c r="AB46" s="487">
        <f t="shared" si="9"/>
        <v>0.97812500000000124</v>
      </c>
      <c r="AC46" s="583"/>
    </row>
    <row r="47" spans="1:29" ht="15.75" customHeight="1">
      <c r="A47" s="586" t="s">
        <v>2277</v>
      </c>
      <c r="B47" s="300" t="s">
        <v>67</v>
      </c>
      <c r="C47" s="580" t="s">
        <v>664</v>
      </c>
      <c r="D47" s="581"/>
      <c r="E47" s="300">
        <v>34.36</v>
      </c>
      <c r="F47" s="493">
        <v>3009</v>
      </c>
      <c r="G47" s="483">
        <f t="shared" si="31"/>
        <v>103389.24</v>
      </c>
      <c r="H47" s="494" t="s">
        <v>35</v>
      </c>
      <c r="I47" s="485">
        <v>10</v>
      </c>
      <c r="J47" s="303">
        <v>3000</v>
      </c>
      <c r="K47" s="304">
        <f t="shared" si="1"/>
        <v>300</v>
      </c>
      <c r="L47" s="485">
        <v>10</v>
      </c>
      <c r="M47" s="305">
        <f t="shared" si="32"/>
        <v>2865.7142857142853</v>
      </c>
      <c r="N47" s="305">
        <f t="shared" si="3"/>
        <v>286.57142857142856</v>
      </c>
      <c r="O47" s="306">
        <f t="shared" si="4"/>
        <v>0</v>
      </c>
      <c r="P47" s="307">
        <f t="shared" si="5"/>
        <v>-13.428571428571445</v>
      </c>
      <c r="Q47" s="487">
        <f t="shared" si="6"/>
        <v>0.95523809523809522</v>
      </c>
      <c r="R47" s="583"/>
      <c r="S47" s="308">
        <v>0.35555555555555546</v>
      </c>
      <c r="T47" s="308">
        <v>0.39930555555555547</v>
      </c>
      <c r="U47" s="483">
        <f t="shared" si="34"/>
        <v>7.9999999999999716</v>
      </c>
      <c r="V47" s="484">
        <f t="shared" si="33"/>
        <v>63.000000000000014</v>
      </c>
      <c r="W47" s="310"/>
      <c r="X47" s="310"/>
      <c r="Y47" s="566"/>
      <c r="Z47" s="567"/>
      <c r="AA47" s="306">
        <f t="shared" si="8"/>
        <v>-134.28571428571468</v>
      </c>
      <c r="AB47" s="487">
        <f t="shared" si="9"/>
        <v>0.95523809523809511</v>
      </c>
      <c r="AC47" s="583"/>
    </row>
    <row r="48" spans="1:29" ht="15.75" customHeight="1">
      <c r="A48" s="586" t="s">
        <v>2277</v>
      </c>
      <c r="B48" s="300" t="s">
        <v>67</v>
      </c>
      <c r="C48" s="580" t="s">
        <v>2117</v>
      </c>
      <c r="D48" s="581"/>
      <c r="E48" s="300">
        <v>31</v>
      </c>
      <c r="F48" s="493">
        <v>4200</v>
      </c>
      <c r="G48" s="483">
        <f t="shared" si="31"/>
        <v>130200</v>
      </c>
      <c r="H48" s="494">
        <v>2</v>
      </c>
      <c r="I48" s="485">
        <v>13</v>
      </c>
      <c r="J48" s="303">
        <v>2000</v>
      </c>
      <c r="K48" s="304">
        <f t="shared" si="1"/>
        <v>153.84615384615384</v>
      </c>
      <c r="L48" s="485">
        <v>13</v>
      </c>
      <c r="M48" s="305">
        <f t="shared" si="32"/>
        <v>1909.090909090909</v>
      </c>
      <c r="N48" s="305">
        <f t="shared" si="3"/>
        <v>146.85314685314685</v>
      </c>
      <c r="O48" s="306">
        <f t="shared" si="4"/>
        <v>0</v>
      </c>
      <c r="P48" s="307">
        <f t="shared" si="5"/>
        <v>-6.9930069930069862</v>
      </c>
      <c r="Q48" s="487">
        <f t="shared" si="6"/>
        <v>0.95454545454545459</v>
      </c>
      <c r="R48" s="583"/>
      <c r="S48" s="308">
        <v>0.40416666666666656</v>
      </c>
      <c r="T48" s="308">
        <v>0.49583333333333324</v>
      </c>
      <c r="U48" s="483">
        <f t="shared" si="34"/>
        <v>6.9999999999999751</v>
      </c>
      <c r="V48" s="484">
        <f t="shared" si="33"/>
        <v>132</v>
      </c>
      <c r="W48" s="310">
        <f>T48</f>
        <v>0.49583333333333324</v>
      </c>
      <c r="X48" s="310">
        <f>S49</f>
        <v>0.53611111111111098</v>
      </c>
      <c r="Y48" s="566"/>
      <c r="Z48" s="567"/>
      <c r="AA48" s="306">
        <f t="shared" si="8"/>
        <v>-90.909090909090992</v>
      </c>
      <c r="AB48" s="487">
        <f t="shared" si="9"/>
        <v>0.95454545454545447</v>
      </c>
      <c r="AC48" s="583"/>
    </row>
    <row r="49" spans="1:29" ht="15.75" customHeight="1">
      <c r="A49" s="586" t="s">
        <v>2277</v>
      </c>
      <c r="B49" s="300" t="s">
        <v>67</v>
      </c>
      <c r="C49" s="580" t="s">
        <v>2117</v>
      </c>
      <c r="D49" s="581"/>
      <c r="E49" s="300">
        <v>31</v>
      </c>
      <c r="F49" s="493">
        <v>2012</v>
      </c>
      <c r="G49" s="483">
        <f t="shared" si="31"/>
        <v>62372</v>
      </c>
      <c r="H49" s="494" t="s">
        <v>35</v>
      </c>
      <c r="I49" s="485">
        <v>13</v>
      </c>
      <c r="J49" s="303">
        <v>2000</v>
      </c>
      <c r="K49" s="304">
        <f t="shared" si="1"/>
        <v>153.84615384615384</v>
      </c>
      <c r="L49" s="485">
        <v>13</v>
      </c>
      <c r="M49" s="305">
        <f t="shared" si="32"/>
        <v>1916.1904761904782</v>
      </c>
      <c r="N49" s="305">
        <f t="shared" si="3"/>
        <v>147.39926739926756</v>
      </c>
      <c r="O49" s="306">
        <f t="shared" si="4"/>
        <v>0</v>
      </c>
      <c r="P49" s="307">
        <f t="shared" si="5"/>
        <v>-6.4468864468862819</v>
      </c>
      <c r="Q49" s="487">
        <f t="shared" si="6"/>
        <v>0.95809523809523922</v>
      </c>
      <c r="R49" s="583"/>
      <c r="S49" s="308">
        <v>0.53611111111111098</v>
      </c>
      <c r="T49" s="308">
        <v>0.57986111111111094</v>
      </c>
      <c r="U49" s="483">
        <f t="shared" si="34"/>
        <v>57.999999999999957</v>
      </c>
      <c r="V49" s="484">
        <f t="shared" si="33"/>
        <v>62.999999999999936</v>
      </c>
      <c r="W49" s="310"/>
      <c r="X49" s="310"/>
      <c r="Y49" s="566"/>
      <c r="Z49" s="567"/>
      <c r="AA49" s="306">
        <f t="shared" si="8"/>
        <v>-83.809523809521806</v>
      </c>
      <c r="AB49" s="487">
        <f t="shared" si="9"/>
        <v>0.95809523809523911</v>
      </c>
      <c r="AC49" s="583"/>
    </row>
    <row r="50" spans="1:29" ht="15.75" customHeight="1">
      <c r="A50" s="586" t="s">
        <v>2277</v>
      </c>
      <c r="B50" s="300" t="s">
        <v>67</v>
      </c>
      <c r="C50" s="580" t="s">
        <v>69</v>
      </c>
      <c r="D50" s="581"/>
      <c r="E50" s="300">
        <v>27.17</v>
      </c>
      <c r="F50" s="493">
        <v>2513</v>
      </c>
      <c r="G50" s="483">
        <f t="shared" si="31"/>
        <v>68278.210000000006</v>
      </c>
      <c r="H50" s="494" t="s">
        <v>35</v>
      </c>
      <c r="I50" s="485">
        <v>10</v>
      </c>
      <c r="J50" s="303">
        <v>3000</v>
      </c>
      <c r="K50" s="304">
        <f t="shared" si="1"/>
        <v>300</v>
      </c>
      <c r="L50" s="485">
        <v>10</v>
      </c>
      <c r="M50" s="305">
        <f t="shared" si="32"/>
        <v>2899.6153846153861</v>
      </c>
      <c r="N50" s="305">
        <f t="shared" si="3"/>
        <v>289.96153846153862</v>
      </c>
      <c r="O50" s="306">
        <f t="shared" si="4"/>
        <v>0</v>
      </c>
      <c r="P50" s="307">
        <f t="shared" si="5"/>
        <v>-10.038461538461377</v>
      </c>
      <c r="Q50" s="487">
        <f t="shared" si="6"/>
        <v>0.96653846153846212</v>
      </c>
      <c r="R50" s="583"/>
      <c r="S50" s="308">
        <v>0.58333333333333315</v>
      </c>
      <c r="T50" s="308">
        <v>0.61944444444444424</v>
      </c>
      <c r="U50" s="483">
        <f t="shared" si="34"/>
        <v>4.9999999999999822</v>
      </c>
      <c r="V50" s="484">
        <f t="shared" si="33"/>
        <v>51.999999999999972</v>
      </c>
      <c r="W50" s="310"/>
      <c r="X50" s="310"/>
      <c r="Y50" s="566"/>
      <c r="Z50" s="567"/>
      <c r="AA50" s="306">
        <f t="shared" si="8"/>
        <v>-100.38461538461388</v>
      </c>
      <c r="AB50" s="487">
        <f t="shared" si="9"/>
        <v>0.96653846153846201</v>
      </c>
      <c r="AC50" s="583"/>
    </row>
    <row r="51" spans="1:29" ht="15.75" customHeight="1">
      <c r="A51" s="586" t="s">
        <v>2277</v>
      </c>
      <c r="B51" s="300" t="s">
        <v>67</v>
      </c>
      <c r="C51" s="580" t="s">
        <v>68</v>
      </c>
      <c r="D51" s="581"/>
      <c r="E51" s="300">
        <v>21.13</v>
      </c>
      <c r="F51" s="493">
        <v>2103</v>
      </c>
      <c r="G51" s="483">
        <f t="shared" si="31"/>
        <v>44436.39</v>
      </c>
      <c r="H51" s="494" t="s">
        <v>35</v>
      </c>
      <c r="I51" s="485">
        <v>10</v>
      </c>
      <c r="J51" s="303">
        <v>3000</v>
      </c>
      <c r="K51" s="304">
        <f t="shared" si="1"/>
        <v>300</v>
      </c>
      <c r="L51" s="485">
        <v>10</v>
      </c>
      <c r="M51" s="305">
        <f t="shared" si="32"/>
        <v>2867.727272727273</v>
      </c>
      <c r="N51" s="305">
        <f t="shared" si="3"/>
        <v>286.77272727272731</v>
      </c>
      <c r="O51" s="306">
        <f t="shared" si="4"/>
        <v>0</v>
      </c>
      <c r="P51" s="307">
        <f t="shared" si="5"/>
        <v>-13.227272727272691</v>
      </c>
      <c r="Q51" s="487">
        <f t="shared" si="6"/>
        <v>0.95590909090909104</v>
      </c>
      <c r="R51" s="583"/>
      <c r="S51" s="308">
        <v>0.62499999999999978</v>
      </c>
      <c r="T51" s="308">
        <v>0.65555555555555534</v>
      </c>
      <c r="U51" s="483">
        <f t="shared" si="34"/>
        <v>7.9999999999999716</v>
      </c>
      <c r="V51" s="484">
        <f t="shared" si="33"/>
        <v>44</v>
      </c>
      <c r="W51" s="310"/>
      <c r="X51" s="310"/>
      <c r="Y51" s="566"/>
      <c r="Z51" s="567"/>
      <c r="AA51" s="306">
        <f t="shared" si="8"/>
        <v>-132.27272727272702</v>
      </c>
      <c r="AB51" s="487">
        <f t="shared" si="9"/>
        <v>0.95590909090909104</v>
      </c>
      <c r="AC51" s="583"/>
    </row>
    <row r="52" spans="1:29" ht="15.75" customHeight="1">
      <c r="A52" s="587" t="s">
        <v>2277</v>
      </c>
      <c r="B52" s="300" t="s">
        <v>2268</v>
      </c>
      <c r="C52" s="568"/>
      <c r="D52" s="569"/>
      <c r="E52" s="492"/>
      <c r="F52" s="493"/>
      <c r="G52" s="483"/>
      <c r="H52" s="493"/>
      <c r="I52" s="314">
        <v>10.4</v>
      </c>
      <c r="J52" s="303">
        <v>2800</v>
      </c>
      <c r="K52" s="304">
        <f t="shared" si="1"/>
        <v>269.23076923076923</v>
      </c>
      <c r="L52" s="314">
        <v>10.4</v>
      </c>
      <c r="M52" s="305">
        <f>AVERAGE(M42:M51)</f>
        <v>2683.0893617506954</v>
      </c>
      <c r="N52" s="304">
        <f t="shared" si="3"/>
        <v>257.98936170679764</v>
      </c>
      <c r="O52" s="306">
        <f t="shared" si="4"/>
        <v>0</v>
      </c>
      <c r="P52" s="307">
        <f t="shared" si="5"/>
        <v>-11.241407523971588</v>
      </c>
      <c r="Q52" s="487">
        <f t="shared" si="6"/>
        <v>0.95824620062524835</v>
      </c>
      <c r="R52" s="584"/>
      <c r="S52" s="308"/>
      <c r="T52" s="308"/>
      <c r="U52" s="483"/>
      <c r="V52" s="484"/>
      <c r="W52" s="310"/>
      <c r="X52" s="310"/>
      <c r="Y52" s="566"/>
      <c r="Z52" s="567"/>
      <c r="AA52" s="306">
        <f t="shared" si="8"/>
        <v>-116.91063824930461</v>
      </c>
      <c r="AB52" s="487">
        <f t="shared" si="9"/>
        <v>0.95824620062524835</v>
      </c>
      <c r="AC52" s="584"/>
    </row>
    <row r="53" spans="1:29" ht="15.75" customHeight="1">
      <c r="A53" s="578" t="s">
        <v>2278</v>
      </c>
      <c r="B53" s="300" t="s">
        <v>40</v>
      </c>
      <c r="C53" s="565" t="s">
        <v>73</v>
      </c>
      <c r="D53" s="565"/>
      <c r="E53" s="300">
        <v>46</v>
      </c>
      <c r="F53" s="317">
        <v>2659</v>
      </c>
      <c r="G53" s="483">
        <f t="shared" ref="G53:G58" si="35">E53*F53</f>
        <v>122314</v>
      </c>
      <c r="H53" s="494" t="s">
        <v>35</v>
      </c>
      <c r="I53" s="485">
        <v>17</v>
      </c>
      <c r="J53" s="303">
        <v>2000</v>
      </c>
      <c r="K53" s="304">
        <f t="shared" si="1"/>
        <v>117.64705882352941</v>
      </c>
      <c r="L53" s="485">
        <v>17</v>
      </c>
      <c r="M53" s="305">
        <f t="shared" ref="M53:M58" si="36">F53/V53*60</f>
        <v>1922.1686746987953</v>
      </c>
      <c r="N53" s="305">
        <f t="shared" si="3"/>
        <v>113.06874557051736</v>
      </c>
      <c r="O53" s="306">
        <f t="shared" si="4"/>
        <v>0</v>
      </c>
      <c r="P53" s="307">
        <f t="shared" si="5"/>
        <v>-4.5783132530120412</v>
      </c>
      <c r="Q53" s="487">
        <f t="shared" si="6"/>
        <v>0.96108433734939769</v>
      </c>
      <c r="R53" s="571">
        <f>Q59</f>
        <v>0.95775100405566993</v>
      </c>
      <c r="S53" s="308">
        <v>0.20833333333333334</v>
      </c>
      <c r="T53" s="308">
        <v>0.26597222222222222</v>
      </c>
      <c r="U53" s="315"/>
      <c r="V53" s="484">
        <f t="shared" ref="V53:V58" si="37">(T53-S53)*24*60</f>
        <v>82.999999999999986</v>
      </c>
      <c r="W53" s="315"/>
      <c r="X53" s="315"/>
      <c r="Y53" s="570"/>
      <c r="Z53" s="570"/>
      <c r="AA53" s="306">
        <f t="shared" si="8"/>
        <v>-77.831325301204743</v>
      </c>
      <c r="AB53" s="487">
        <f t="shared" si="9"/>
        <v>0.96108433734939758</v>
      </c>
      <c r="AC53" s="571">
        <f>AB59</f>
        <v>0.95775100405567004</v>
      </c>
    </row>
    <row r="54" spans="1:29" ht="15.75" customHeight="1">
      <c r="A54" s="578" t="s">
        <v>2278</v>
      </c>
      <c r="B54" s="300" t="s">
        <v>40</v>
      </c>
      <c r="C54" s="565" t="s">
        <v>74</v>
      </c>
      <c r="D54" s="565"/>
      <c r="E54" s="300">
        <v>46</v>
      </c>
      <c r="F54" s="317">
        <v>2831</v>
      </c>
      <c r="G54" s="483">
        <f t="shared" si="35"/>
        <v>130226</v>
      </c>
      <c r="H54" s="494" t="s">
        <v>35</v>
      </c>
      <c r="I54" s="485">
        <v>17</v>
      </c>
      <c r="J54" s="303">
        <v>2000</v>
      </c>
      <c r="K54" s="304">
        <f t="shared" si="1"/>
        <v>117.64705882352941</v>
      </c>
      <c r="L54" s="485">
        <v>17</v>
      </c>
      <c r="M54" s="305">
        <f t="shared" si="36"/>
        <v>1908.5393258426966</v>
      </c>
      <c r="N54" s="305">
        <f t="shared" si="3"/>
        <v>112.26701916721744</v>
      </c>
      <c r="O54" s="306">
        <f t="shared" si="4"/>
        <v>0</v>
      </c>
      <c r="P54" s="307">
        <f t="shared" si="5"/>
        <v>-5.3800396563119648</v>
      </c>
      <c r="Q54" s="487">
        <f t="shared" si="6"/>
        <v>0.95426966292134829</v>
      </c>
      <c r="R54" s="571"/>
      <c r="S54" s="308">
        <v>0.27083333333333331</v>
      </c>
      <c r="T54" s="308">
        <v>0.33263888888888887</v>
      </c>
      <c r="U54" s="483">
        <f t="shared" ref="U54:U58" si="38">IF(S54=TIME(17,0,0),"",(S54-T53)*24*60)</f>
        <v>6.9999999999999751</v>
      </c>
      <c r="V54" s="484">
        <f t="shared" si="37"/>
        <v>89</v>
      </c>
      <c r="W54" s="310"/>
      <c r="X54" s="310"/>
      <c r="Y54" s="570"/>
      <c r="Z54" s="570"/>
      <c r="AA54" s="306">
        <f t="shared" si="8"/>
        <v>-91.460674157303401</v>
      </c>
      <c r="AB54" s="487">
        <f t="shared" si="9"/>
        <v>0.95426966292134829</v>
      </c>
      <c r="AC54" s="571"/>
    </row>
    <row r="55" spans="1:29" ht="15.75" customHeight="1">
      <c r="A55" s="578" t="s">
        <v>2278</v>
      </c>
      <c r="B55" s="300" t="s">
        <v>36</v>
      </c>
      <c r="C55" s="580" t="s">
        <v>76</v>
      </c>
      <c r="D55" s="581"/>
      <c r="E55" s="300">
        <v>55.56</v>
      </c>
      <c r="F55" s="317">
        <v>2032</v>
      </c>
      <c r="G55" s="483">
        <f t="shared" si="35"/>
        <v>112897.92</v>
      </c>
      <c r="H55" s="494" t="s">
        <v>35</v>
      </c>
      <c r="I55" s="485">
        <v>17</v>
      </c>
      <c r="J55" s="303">
        <v>2000</v>
      </c>
      <c r="K55" s="304">
        <f t="shared" si="1"/>
        <v>117.64705882352941</v>
      </c>
      <c r="L55" s="485">
        <v>17</v>
      </c>
      <c r="M55" s="305">
        <f t="shared" si="36"/>
        <v>1905.000000000002</v>
      </c>
      <c r="N55" s="305">
        <f t="shared" si="3"/>
        <v>112.05882352941188</v>
      </c>
      <c r="O55" s="306">
        <f t="shared" si="4"/>
        <v>0</v>
      </c>
      <c r="P55" s="307">
        <f t="shared" si="5"/>
        <v>-5.5882352941175242</v>
      </c>
      <c r="Q55" s="487">
        <f t="shared" si="6"/>
        <v>0.95250000000000101</v>
      </c>
      <c r="R55" s="571"/>
      <c r="S55" s="308">
        <v>0.70833333333333337</v>
      </c>
      <c r="T55" s="308">
        <v>0.75277777777777777</v>
      </c>
      <c r="U55" s="483" t="str">
        <f t="shared" si="38"/>
        <v/>
      </c>
      <c r="V55" s="484">
        <f t="shared" si="37"/>
        <v>63.999999999999929</v>
      </c>
      <c r="W55" s="310"/>
      <c r="X55" s="310"/>
      <c r="Y55" s="488"/>
      <c r="Z55" s="489"/>
      <c r="AA55" s="306">
        <f t="shared" si="8"/>
        <v>-94.999999999997954</v>
      </c>
      <c r="AB55" s="487">
        <f t="shared" si="9"/>
        <v>0.95250000000000101</v>
      </c>
      <c r="AC55" s="571"/>
    </row>
    <row r="56" spans="1:29" ht="15.75" customHeight="1">
      <c r="A56" s="578" t="s">
        <v>2278</v>
      </c>
      <c r="B56" s="300" t="s">
        <v>36</v>
      </c>
      <c r="C56" s="490" t="s">
        <v>77</v>
      </c>
      <c r="D56" s="491"/>
      <c r="E56" s="300">
        <v>55.32</v>
      </c>
      <c r="F56" s="317">
        <v>1525</v>
      </c>
      <c r="G56" s="483">
        <f t="shared" si="35"/>
        <v>84363</v>
      </c>
      <c r="H56" s="494" t="s">
        <v>35</v>
      </c>
      <c r="I56" s="485">
        <v>15</v>
      </c>
      <c r="J56" s="303">
        <v>2000</v>
      </c>
      <c r="K56" s="304">
        <f t="shared" si="1"/>
        <v>133.33333333333334</v>
      </c>
      <c r="L56" s="485">
        <v>15</v>
      </c>
      <c r="M56" s="305">
        <f t="shared" si="36"/>
        <v>1906.2500000000005</v>
      </c>
      <c r="N56" s="305">
        <f t="shared" si="3"/>
        <v>127.08333333333336</v>
      </c>
      <c r="O56" s="306">
        <f t="shared" si="4"/>
        <v>0</v>
      </c>
      <c r="P56" s="307">
        <f t="shared" si="5"/>
        <v>-6.2499999999999858</v>
      </c>
      <c r="Q56" s="487">
        <f t="shared" si="6"/>
        <v>0.95312500000000011</v>
      </c>
      <c r="R56" s="571"/>
      <c r="S56" s="308">
        <v>0.7583333333333333</v>
      </c>
      <c r="T56" s="308">
        <v>0.79166666666666663</v>
      </c>
      <c r="U56" s="483">
        <f t="shared" si="38"/>
        <v>7.9999999999999716</v>
      </c>
      <c r="V56" s="484">
        <f t="shared" si="37"/>
        <v>47.999999999999986</v>
      </c>
      <c r="W56" s="310"/>
      <c r="X56" s="310"/>
      <c r="Y56" s="488"/>
      <c r="Z56" s="489"/>
      <c r="AA56" s="306">
        <f t="shared" si="8"/>
        <v>-93.749999999999545</v>
      </c>
      <c r="AB56" s="487">
        <f t="shared" si="9"/>
        <v>0.95312500000000022</v>
      </c>
      <c r="AC56" s="571"/>
    </row>
    <row r="57" spans="1:29" ht="15.75" customHeight="1">
      <c r="A57" s="578" t="s">
        <v>2278</v>
      </c>
      <c r="B57" s="300" t="s">
        <v>36</v>
      </c>
      <c r="C57" s="490" t="s">
        <v>1977</v>
      </c>
      <c r="D57" s="491"/>
      <c r="E57" s="300">
        <v>57.73</v>
      </c>
      <c r="F57" s="317">
        <v>1500</v>
      </c>
      <c r="G57" s="483">
        <f t="shared" si="35"/>
        <v>86595</v>
      </c>
      <c r="H57" s="494">
        <v>2</v>
      </c>
      <c r="I57" s="485">
        <v>16</v>
      </c>
      <c r="J57" s="303">
        <v>1500</v>
      </c>
      <c r="K57" s="304">
        <f t="shared" si="1"/>
        <v>93.75</v>
      </c>
      <c r="L57" s="485">
        <v>16</v>
      </c>
      <c r="M57" s="305">
        <f t="shared" si="36"/>
        <v>1451.6129032258077</v>
      </c>
      <c r="N57" s="305">
        <f t="shared" si="3"/>
        <v>90.725806451612982</v>
      </c>
      <c r="O57" s="306">
        <f t="shared" si="4"/>
        <v>0</v>
      </c>
      <c r="P57" s="307">
        <f t="shared" si="5"/>
        <v>-3.0241935483870179</v>
      </c>
      <c r="Q57" s="487">
        <f t="shared" si="6"/>
        <v>0.96774193548387177</v>
      </c>
      <c r="R57" s="571"/>
      <c r="S57" s="308">
        <v>0.79583333333333328</v>
      </c>
      <c r="T57" s="308">
        <v>0.8388888888888888</v>
      </c>
      <c r="U57" s="483">
        <f t="shared" si="38"/>
        <v>5.9999999999999787</v>
      </c>
      <c r="V57" s="484">
        <f t="shared" si="37"/>
        <v>61.999999999999943</v>
      </c>
      <c r="W57" s="310">
        <f>T57</f>
        <v>0.8388888888888888</v>
      </c>
      <c r="X57" s="310">
        <f>S58</f>
        <v>0.88055555555555542</v>
      </c>
      <c r="Y57" s="488"/>
      <c r="Z57" s="489"/>
      <c r="AA57" s="306">
        <f t="shared" si="8"/>
        <v>-48.387096774192287</v>
      </c>
      <c r="AB57" s="487">
        <f t="shared" si="9"/>
        <v>0.96774193548387177</v>
      </c>
      <c r="AC57" s="571"/>
    </row>
    <row r="58" spans="1:29" ht="15.75" customHeight="1">
      <c r="A58" s="578" t="s">
        <v>2278</v>
      </c>
      <c r="B58" s="300" t="s">
        <v>36</v>
      </c>
      <c r="C58" s="580" t="s">
        <v>1977</v>
      </c>
      <c r="D58" s="581"/>
      <c r="E58" s="300">
        <v>57.73</v>
      </c>
      <c r="F58" s="317">
        <v>1706</v>
      </c>
      <c r="G58" s="483">
        <f t="shared" si="35"/>
        <v>98487.37999999999</v>
      </c>
      <c r="H58" s="494" t="s">
        <v>35</v>
      </c>
      <c r="I58" s="485">
        <v>16</v>
      </c>
      <c r="J58" s="303">
        <v>1500</v>
      </c>
      <c r="K58" s="304">
        <f t="shared" si="1"/>
        <v>93.75</v>
      </c>
      <c r="L58" s="485">
        <v>16</v>
      </c>
      <c r="M58" s="305">
        <f t="shared" si="36"/>
        <v>1441.690140845069</v>
      </c>
      <c r="N58" s="305">
        <f t="shared" si="3"/>
        <v>90.105633802816811</v>
      </c>
      <c r="O58" s="306">
        <f t="shared" si="4"/>
        <v>0</v>
      </c>
      <c r="P58" s="307">
        <f t="shared" si="5"/>
        <v>-3.6443661971831887</v>
      </c>
      <c r="Q58" s="487">
        <f t="shared" si="6"/>
        <v>0.96112676056337931</v>
      </c>
      <c r="R58" s="571"/>
      <c r="S58" s="308">
        <v>0.88055555555555542</v>
      </c>
      <c r="T58" s="308">
        <v>0.92986111111111103</v>
      </c>
      <c r="U58" s="483">
        <f t="shared" si="38"/>
        <v>59.999999999999943</v>
      </c>
      <c r="V58" s="484">
        <f t="shared" si="37"/>
        <v>71.000000000000071</v>
      </c>
      <c r="W58" s="310"/>
      <c r="X58" s="310"/>
      <c r="Y58" s="566"/>
      <c r="Z58" s="567"/>
      <c r="AA58" s="306">
        <f t="shared" si="8"/>
        <v>-58.309859154931019</v>
      </c>
      <c r="AB58" s="487">
        <f t="shared" si="9"/>
        <v>0.96112676056337931</v>
      </c>
      <c r="AC58" s="571"/>
    </row>
    <row r="59" spans="1:29">
      <c r="A59" s="579" t="s">
        <v>2278</v>
      </c>
      <c r="B59" s="300" t="s">
        <v>2268</v>
      </c>
      <c r="C59" s="572"/>
      <c r="D59" s="572"/>
      <c r="E59" s="486"/>
      <c r="F59" s="313"/>
      <c r="G59" s="304"/>
      <c r="H59" s="493"/>
      <c r="I59" s="314">
        <v>16.333333333333332</v>
      </c>
      <c r="J59" s="303">
        <v>1833.3333333333333</v>
      </c>
      <c r="K59" s="304">
        <f t="shared" si="1"/>
        <v>112.24489795918367</v>
      </c>
      <c r="L59" s="314">
        <v>16.333333333333332</v>
      </c>
      <c r="M59" s="305">
        <f>AVERAGE(M53:M58)</f>
        <v>1755.8768407687282</v>
      </c>
      <c r="N59" s="304">
        <f t="shared" si="3"/>
        <v>107.50266372053439</v>
      </c>
      <c r="O59" s="306">
        <f t="shared" si="4"/>
        <v>0</v>
      </c>
      <c r="P59" s="307">
        <f t="shared" si="5"/>
        <v>-4.7422342386492886</v>
      </c>
      <c r="Q59" s="487">
        <f t="shared" si="6"/>
        <v>0.95775100405566993</v>
      </c>
      <c r="R59" s="571"/>
      <c r="S59" s="322"/>
      <c r="T59" s="308"/>
      <c r="U59" s="304"/>
      <c r="V59" s="484"/>
      <c r="W59" s="304"/>
      <c r="X59" s="304"/>
      <c r="Y59" s="570"/>
      <c r="Z59" s="570"/>
      <c r="AA59" s="306">
        <f t="shared" si="8"/>
        <v>-77.456492564605014</v>
      </c>
      <c r="AB59" s="487">
        <f t="shared" si="9"/>
        <v>0.95775100405567004</v>
      </c>
      <c r="AC59" s="571"/>
    </row>
    <row r="60" spans="1:29" ht="15.75" customHeight="1">
      <c r="A60" s="576" t="s">
        <v>2279</v>
      </c>
      <c r="B60" s="493" t="s">
        <v>40</v>
      </c>
      <c r="C60" s="565" t="s">
        <v>82</v>
      </c>
      <c r="D60" s="565"/>
      <c r="E60" s="300">
        <v>26.97</v>
      </c>
      <c r="F60" s="317">
        <v>3036</v>
      </c>
      <c r="G60" s="483">
        <f t="shared" ref="G60:G64" si="39">E60*F60</f>
        <v>81880.92</v>
      </c>
      <c r="H60" s="494" t="s">
        <v>35</v>
      </c>
      <c r="I60" s="485">
        <v>8</v>
      </c>
      <c r="J60" s="303">
        <v>1500</v>
      </c>
      <c r="K60" s="304">
        <f t="shared" si="1"/>
        <v>187.5</v>
      </c>
      <c r="L60" s="485">
        <v>8</v>
      </c>
      <c r="M60" s="305">
        <f t="shared" ref="M60:M64" si="40">F60/V60*60</f>
        <v>1434.3307086614175</v>
      </c>
      <c r="N60" s="304">
        <f t="shared" si="3"/>
        <v>179.29133858267718</v>
      </c>
      <c r="O60" s="306">
        <f t="shared" si="4"/>
        <v>0</v>
      </c>
      <c r="P60" s="307">
        <f t="shared" si="5"/>
        <v>-8.2086614173228156</v>
      </c>
      <c r="Q60" s="487">
        <f t="shared" si="6"/>
        <v>0.95622047244094499</v>
      </c>
      <c r="R60" s="571">
        <f>Q65</f>
        <v>0.96086360352238642</v>
      </c>
      <c r="S60" s="308">
        <v>0.20833333333333334</v>
      </c>
      <c r="T60" s="308">
        <v>0.29652777777777778</v>
      </c>
      <c r="U60" s="483"/>
      <c r="V60" s="484">
        <f t="shared" ref="V60:V64" si="41">(T60-S60)*24*60</f>
        <v>126.99999999999997</v>
      </c>
      <c r="W60" s="315"/>
      <c r="X60" s="315"/>
      <c r="Y60" s="570"/>
      <c r="Z60" s="570"/>
      <c r="AA60" s="306">
        <f t="shared" si="8"/>
        <v>-65.669291338582525</v>
      </c>
      <c r="AB60" s="487">
        <f t="shared" si="9"/>
        <v>0.95622047244094499</v>
      </c>
      <c r="AC60" s="571">
        <f>AB65</f>
        <v>0.96086360352238642</v>
      </c>
    </row>
    <row r="61" spans="1:29" ht="15.75" customHeight="1">
      <c r="A61" s="576" t="s">
        <v>2279</v>
      </c>
      <c r="B61" s="493" t="s">
        <v>67</v>
      </c>
      <c r="C61" s="565" t="s">
        <v>79</v>
      </c>
      <c r="D61" s="565"/>
      <c r="E61" s="300">
        <v>26.78</v>
      </c>
      <c r="F61" s="317">
        <v>2706</v>
      </c>
      <c r="G61" s="483">
        <f t="shared" si="39"/>
        <v>72466.680000000008</v>
      </c>
      <c r="H61" s="494" t="s">
        <v>35</v>
      </c>
      <c r="I61" s="485">
        <v>10</v>
      </c>
      <c r="J61" s="303">
        <v>3000</v>
      </c>
      <c r="K61" s="304">
        <f t="shared" si="1"/>
        <v>300</v>
      </c>
      <c r="L61" s="485">
        <v>10</v>
      </c>
      <c r="M61" s="305">
        <f t="shared" si="40"/>
        <v>2899.2857142857119</v>
      </c>
      <c r="N61" s="304">
        <f t="shared" si="3"/>
        <v>289.92857142857122</v>
      </c>
      <c r="O61" s="306">
        <f t="shared" si="4"/>
        <v>0</v>
      </c>
      <c r="P61" s="307">
        <f t="shared" si="5"/>
        <v>-10.071428571428783</v>
      </c>
      <c r="Q61" s="487">
        <f t="shared" si="6"/>
        <v>0.96642857142857075</v>
      </c>
      <c r="R61" s="571"/>
      <c r="S61" s="308">
        <v>0.30208333333333331</v>
      </c>
      <c r="T61" s="308">
        <v>0.34097222222222223</v>
      </c>
      <c r="U61" s="483">
        <f t="shared" ref="U61:U64" si="42">(S61-T60)*24*60</f>
        <v>7.9999999999999716</v>
      </c>
      <c r="V61" s="484">
        <f t="shared" si="41"/>
        <v>56.000000000000043</v>
      </c>
      <c r="W61" s="483"/>
      <c r="X61" s="483"/>
      <c r="Y61" s="570"/>
      <c r="Z61" s="570"/>
      <c r="AA61" s="306">
        <f t="shared" si="8"/>
        <v>-100.71428571428805</v>
      </c>
      <c r="AB61" s="487">
        <f t="shared" si="9"/>
        <v>0.96642857142857064</v>
      </c>
      <c r="AC61" s="571"/>
    </row>
    <row r="62" spans="1:29" ht="15.75" customHeight="1">
      <c r="A62" s="576" t="s">
        <v>2279</v>
      </c>
      <c r="B62" s="493" t="s">
        <v>67</v>
      </c>
      <c r="C62" s="565" t="s">
        <v>83</v>
      </c>
      <c r="D62" s="565"/>
      <c r="E62" s="300">
        <v>35.369999999999997</v>
      </c>
      <c r="F62" s="317">
        <v>1557</v>
      </c>
      <c r="G62" s="483">
        <f t="shared" si="39"/>
        <v>55071.09</v>
      </c>
      <c r="H62" s="494" t="s">
        <v>35</v>
      </c>
      <c r="I62" s="485">
        <v>10</v>
      </c>
      <c r="J62" s="303">
        <v>3000</v>
      </c>
      <c r="K62" s="304">
        <f t="shared" si="1"/>
        <v>300</v>
      </c>
      <c r="L62" s="485">
        <v>10</v>
      </c>
      <c r="M62" s="305">
        <f t="shared" si="40"/>
        <v>2919.3750000000036</v>
      </c>
      <c r="N62" s="304">
        <f t="shared" si="3"/>
        <v>291.93750000000034</v>
      </c>
      <c r="O62" s="306">
        <f t="shared" si="4"/>
        <v>0</v>
      </c>
      <c r="P62" s="307">
        <f t="shared" si="5"/>
        <v>-8.0624999999996589</v>
      </c>
      <c r="Q62" s="487">
        <f t="shared" si="6"/>
        <v>0.97312500000000113</v>
      </c>
      <c r="R62" s="571"/>
      <c r="S62" s="308">
        <v>0.34513888888888888</v>
      </c>
      <c r="T62" s="308">
        <v>0.36736111111111108</v>
      </c>
      <c r="U62" s="483">
        <f t="shared" si="42"/>
        <v>5.9999999999999787</v>
      </c>
      <c r="V62" s="484">
        <f t="shared" si="41"/>
        <v>31.999999999999964</v>
      </c>
      <c r="W62" s="483"/>
      <c r="X62" s="483"/>
      <c r="Y62" s="570"/>
      <c r="Z62" s="570"/>
      <c r="AA62" s="306">
        <f t="shared" si="8"/>
        <v>-80.624999999996362</v>
      </c>
      <c r="AB62" s="487">
        <f t="shared" si="9"/>
        <v>0.97312500000000124</v>
      </c>
      <c r="AC62" s="571"/>
    </row>
    <row r="63" spans="1:29" ht="15.75" customHeight="1">
      <c r="A63" s="576" t="s">
        <v>2279</v>
      </c>
      <c r="B63" s="493" t="s">
        <v>67</v>
      </c>
      <c r="C63" s="565" t="s">
        <v>666</v>
      </c>
      <c r="D63" s="565"/>
      <c r="E63" s="300">
        <v>37.880000000000003</v>
      </c>
      <c r="F63" s="317">
        <v>3765</v>
      </c>
      <c r="G63" s="483">
        <f t="shared" si="39"/>
        <v>142618.20000000001</v>
      </c>
      <c r="H63" s="494" t="s">
        <v>35</v>
      </c>
      <c r="I63" s="485">
        <v>11</v>
      </c>
      <c r="J63" s="303">
        <v>3000</v>
      </c>
      <c r="K63" s="304">
        <f t="shared" si="1"/>
        <v>272.72727272727275</v>
      </c>
      <c r="L63" s="485">
        <v>11</v>
      </c>
      <c r="M63" s="305">
        <f t="shared" si="40"/>
        <v>2859.4936708860773</v>
      </c>
      <c r="N63" s="304">
        <f t="shared" si="3"/>
        <v>259.95397008055249</v>
      </c>
      <c r="O63" s="306">
        <f t="shared" si="4"/>
        <v>0</v>
      </c>
      <c r="P63" s="307">
        <f t="shared" si="5"/>
        <v>-12.773302646720254</v>
      </c>
      <c r="Q63" s="487">
        <f t="shared" si="6"/>
        <v>0.95316455696202573</v>
      </c>
      <c r="R63" s="571"/>
      <c r="S63" s="308">
        <v>0.37222222222222218</v>
      </c>
      <c r="T63" s="308">
        <v>0.42708333333333326</v>
      </c>
      <c r="U63" s="483">
        <f t="shared" si="42"/>
        <v>6.9999999999999751</v>
      </c>
      <c r="V63" s="484">
        <f t="shared" si="41"/>
        <v>78.999999999999957</v>
      </c>
      <c r="W63" s="483"/>
      <c r="X63" s="483"/>
      <c r="Y63" s="570"/>
      <c r="Z63" s="570"/>
      <c r="AA63" s="306">
        <f t="shared" si="8"/>
        <v>-140.50632911392267</v>
      </c>
      <c r="AB63" s="487">
        <f t="shared" si="9"/>
        <v>0.95316455696202573</v>
      </c>
      <c r="AC63" s="571"/>
    </row>
    <row r="64" spans="1:29">
      <c r="A64" s="577" t="s">
        <v>2279</v>
      </c>
      <c r="B64" s="493" t="s">
        <v>67</v>
      </c>
      <c r="C64" s="565" t="s">
        <v>2121</v>
      </c>
      <c r="D64" s="565"/>
      <c r="E64" s="300">
        <v>38.72</v>
      </c>
      <c r="F64" s="317">
        <v>5766</v>
      </c>
      <c r="G64" s="483">
        <f t="shared" si="39"/>
        <v>223259.51999999999</v>
      </c>
      <c r="H64" s="494" t="s">
        <v>35</v>
      </c>
      <c r="I64" s="485">
        <v>10</v>
      </c>
      <c r="J64" s="303">
        <v>3000</v>
      </c>
      <c r="K64" s="304">
        <f t="shared" si="1"/>
        <v>300</v>
      </c>
      <c r="L64" s="485">
        <v>10</v>
      </c>
      <c r="M64" s="305">
        <f t="shared" si="40"/>
        <v>2859.173553719007</v>
      </c>
      <c r="N64" s="304">
        <f t="shared" si="3"/>
        <v>285.91735537190073</v>
      </c>
      <c r="O64" s="306">
        <f t="shared" si="4"/>
        <v>0</v>
      </c>
      <c r="P64" s="307">
        <f t="shared" si="5"/>
        <v>-14.082644628099274</v>
      </c>
      <c r="Q64" s="487">
        <f t="shared" si="6"/>
        <v>0.95305785123966913</v>
      </c>
      <c r="R64" s="571"/>
      <c r="S64" s="308">
        <v>0.43124999999999991</v>
      </c>
      <c r="T64" s="308">
        <v>0.51527777777777772</v>
      </c>
      <c r="U64" s="483">
        <f t="shared" si="42"/>
        <v>5.9999999999999787</v>
      </c>
      <c r="V64" s="484">
        <f t="shared" si="41"/>
        <v>121.00000000000006</v>
      </c>
      <c r="W64" s="310"/>
      <c r="X64" s="310"/>
      <c r="Y64" s="570"/>
      <c r="Z64" s="570"/>
      <c r="AA64" s="306">
        <f t="shared" si="8"/>
        <v>-140.82644628099297</v>
      </c>
      <c r="AB64" s="487">
        <f t="shared" si="9"/>
        <v>0.95305785123966902</v>
      </c>
      <c r="AC64" s="571"/>
    </row>
    <row r="65" spans="1:29">
      <c r="A65" s="577" t="s">
        <v>2279</v>
      </c>
      <c r="B65" s="300" t="s">
        <v>2268</v>
      </c>
      <c r="C65" s="572"/>
      <c r="D65" s="572"/>
      <c r="E65" s="486"/>
      <c r="F65" s="313"/>
      <c r="G65" s="304"/>
      <c r="H65" s="493"/>
      <c r="I65" s="314">
        <v>9.8000000000000007</v>
      </c>
      <c r="J65" s="303">
        <v>2700</v>
      </c>
      <c r="K65" s="304">
        <f t="shared" si="1"/>
        <v>275.51020408163265</v>
      </c>
      <c r="L65" s="314">
        <v>9.8000000000000007</v>
      </c>
      <c r="M65" s="305">
        <f>AVERAGE(M60:M64)</f>
        <v>2594.3317295104434</v>
      </c>
      <c r="N65" s="304">
        <f t="shared" si="3"/>
        <v>264.72772750106566</v>
      </c>
      <c r="O65" s="306">
        <f t="shared" si="4"/>
        <v>0</v>
      </c>
      <c r="P65" s="307">
        <f t="shared" si="5"/>
        <v>-10.782476580566993</v>
      </c>
      <c r="Q65" s="487">
        <f t="shared" si="6"/>
        <v>0.96086360352238642</v>
      </c>
      <c r="R65" s="571"/>
      <c r="S65" s="308"/>
      <c r="T65" s="308"/>
      <c r="U65" s="304"/>
      <c r="V65" s="484"/>
      <c r="W65" s="304"/>
      <c r="X65" s="304"/>
      <c r="Y65" s="570"/>
      <c r="Z65" s="570"/>
      <c r="AA65" s="306">
        <f t="shared" si="8"/>
        <v>-105.66827048955656</v>
      </c>
      <c r="AB65" s="487">
        <f t="shared" si="9"/>
        <v>0.96086360352238642</v>
      </c>
      <c r="AC65" s="571"/>
    </row>
    <row r="66" spans="1:29" ht="15.75" customHeight="1">
      <c r="A66" s="573" t="s">
        <v>2280</v>
      </c>
      <c r="B66" s="493" t="s">
        <v>46</v>
      </c>
      <c r="C66" s="565" t="s">
        <v>84</v>
      </c>
      <c r="D66" s="565"/>
      <c r="E66" s="300">
        <v>20.2</v>
      </c>
      <c r="F66" s="493">
        <v>2519</v>
      </c>
      <c r="G66" s="483">
        <f t="shared" ref="G66:G73" si="43">E66*F66</f>
        <v>50883.799999999996</v>
      </c>
      <c r="H66" s="494" t="s">
        <v>35</v>
      </c>
      <c r="I66" s="485">
        <v>19</v>
      </c>
      <c r="J66" s="303">
        <v>2400</v>
      </c>
      <c r="K66" s="304">
        <f t="shared" si="1"/>
        <v>126.31578947368421</v>
      </c>
      <c r="L66" s="485">
        <v>19</v>
      </c>
      <c r="M66" s="305">
        <f t="shared" ref="M66:M73" si="44">F66/V66*60</f>
        <v>2290.0000000000009</v>
      </c>
      <c r="N66" s="304">
        <f t="shared" si="3"/>
        <v>120.52631578947373</v>
      </c>
      <c r="O66" s="306">
        <f t="shared" si="4"/>
        <v>0</v>
      </c>
      <c r="P66" s="307">
        <f t="shared" si="5"/>
        <v>-5.7894736842104777</v>
      </c>
      <c r="Q66" s="487">
        <f t="shared" si="6"/>
        <v>0.95416666666666705</v>
      </c>
      <c r="R66" s="571">
        <f>Q74</f>
        <v>0.95732648982558166</v>
      </c>
      <c r="S66" s="308">
        <v>8.3333333333333329E-2</v>
      </c>
      <c r="T66" s="308">
        <v>0.12916666666666665</v>
      </c>
      <c r="U66" s="315"/>
      <c r="V66" s="484">
        <f t="shared" ref="V66:V73" si="45">(T66-S66)*24*60</f>
        <v>65.999999999999972</v>
      </c>
      <c r="W66" s="310">
        <f>T66</f>
        <v>0.12916666666666665</v>
      </c>
      <c r="X66" s="310">
        <f>S67</f>
        <v>0.14791666666666664</v>
      </c>
      <c r="Y66" s="570"/>
      <c r="Z66" s="570"/>
      <c r="AA66" s="306">
        <f t="shared" si="8"/>
        <v>-109.99999999999909</v>
      </c>
      <c r="AB66" s="487">
        <f t="shared" si="9"/>
        <v>0.95416666666666705</v>
      </c>
      <c r="AC66" s="571">
        <f>AB74</f>
        <v>0.95732648982558166</v>
      </c>
    </row>
    <row r="67" spans="1:29" ht="15.75" customHeight="1">
      <c r="A67" s="574" t="s">
        <v>2280</v>
      </c>
      <c r="B67" s="493" t="s">
        <v>46</v>
      </c>
      <c r="C67" s="565" t="s">
        <v>58</v>
      </c>
      <c r="D67" s="565"/>
      <c r="E67" s="300">
        <v>25.98</v>
      </c>
      <c r="F67" s="493">
        <v>1398</v>
      </c>
      <c r="G67" s="483">
        <f t="shared" si="43"/>
        <v>36320.04</v>
      </c>
      <c r="H67" s="494" t="s">
        <v>35</v>
      </c>
      <c r="I67" s="485">
        <v>17</v>
      </c>
      <c r="J67" s="303">
        <v>2400</v>
      </c>
      <c r="K67" s="304">
        <f t="shared" si="1"/>
        <v>141.1764705882353</v>
      </c>
      <c r="L67" s="485">
        <v>17</v>
      </c>
      <c r="M67" s="305">
        <f t="shared" si="44"/>
        <v>2330.0000000000005</v>
      </c>
      <c r="N67" s="304">
        <f t="shared" si="3"/>
        <v>137.0588235294118</v>
      </c>
      <c r="O67" s="306">
        <f t="shared" si="4"/>
        <v>0</v>
      </c>
      <c r="P67" s="307">
        <f t="shared" si="5"/>
        <v>-4.1176470588235077</v>
      </c>
      <c r="Q67" s="487">
        <f t="shared" si="6"/>
        <v>0.97083333333333344</v>
      </c>
      <c r="R67" s="571"/>
      <c r="S67" s="308">
        <v>0.14791666666666664</v>
      </c>
      <c r="T67" s="308">
        <v>0.17291666666666664</v>
      </c>
      <c r="U67" s="483">
        <f t="shared" ref="U67:U73" si="46">(S67-T66)*24*60</f>
        <v>26.999999999999986</v>
      </c>
      <c r="V67" s="484">
        <f t="shared" si="45"/>
        <v>35.999999999999993</v>
      </c>
      <c r="W67" s="310"/>
      <c r="X67" s="310"/>
      <c r="Y67" s="570"/>
      <c r="Z67" s="570"/>
      <c r="AA67" s="306">
        <f t="shared" si="8"/>
        <v>-69.999999999999545</v>
      </c>
      <c r="AB67" s="487">
        <f t="shared" si="9"/>
        <v>0.97083333333333355</v>
      </c>
      <c r="AC67" s="571"/>
    </row>
    <row r="68" spans="1:29" ht="15.75" customHeight="1">
      <c r="A68" s="574" t="s">
        <v>2280</v>
      </c>
      <c r="B68" s="493" t="s">
        <v>46</v>
      </c>
      <c r="C68" s="565" t="s">
        <v>88</v>
      </c>
      <c r="D68" s="565"/>
      <c r="E68" s="300">
        <v>24.25</v>
      </c>
      <c r="F68" s="493">
        <v>2955</v>
      </c>
      <c r="G68" s="483">
        <f t="shared" si="43"/>
        <v>71658.75</v>
      </c>
      <c r="H68" s="494" t="s">
        <v>35</v>
      </c>
      <c r="I68" s="485">
        <v>17</v>
      </c>
      <c r="J68" s="303">
        <v>2400</v>
      </c>
      <c r="K68" s="304">
        <f t="shared" si="1"/>
        <v>141.1764705882353</v>
      </c>
      <c r="L68" s="485">
        <v>17</v>
      </c>
      <c r="M68" s="305">
        <f t="shared" si="44"/>
        <v>2302.5974025974028</v>
      </c>
      <c r="N68" s="304">
        <f t="shared" si="3"/>
        <v>135.44690603514135</v>
      </c>
      <c r="O68" s="306">
        <f t="shared" si="4"/>
        <v>0</v>
      </c>
      <c r="P68" s="307">
        <f t="shared" si="5"/>
        <v>-5.729564553093951</v>
      </c>
      <c r="Q68" s="487">
        <f t="shared" si="6"/>
        <v>0.9594155844155845</v>
      </c>
      <c r="R68" s="571"/>
      <c r="S68" s="308">
        <v>0.17777777777777776</v>
      </c>
      <c r="T68" s="308">
        <v>0.23124999999999998</v>
      </c>
      <c r="U68" s="483">
        <f t="shared" si="46"/>
        <v>7.0000000000000151</v>
      </c>
      <c r="V68" s="484">
        <f t="shared" si="45"/>
        <v>77</v>
      </c>
      <c r="W68" s="310"/>
      <c r="X68" s="310"/>
      <c r="Y68" s="570"/>
      <c r="Z68" s="570"/>
      <c r="AA68" s="306">
        <f t="shared" si="8"/>
        <v>-97.402597402597166</v>
      </c>
      <c r="AB68" s="487">
        <f t="shared" si="9"/>
        <v>0.9594155844155845</v>
      </c>
      <c r="AC68" s="571"/>
    </row>
    <row r="69" spans="1:29" ht="15.75" customHeight="1">
      <c r="A69" s="574" t="s">
        <v>2280</v>
      </c>
      <c r="B69" s="493" t="s">
        <v>46</v>
      </c>
      <c r="C69" s="565" t="s">
        <v>47</v>
      </c>
      <c r="D69" s="565"/>
      <c r="E69" s="300">
        <v>24.45</v>
      </c>
      <c r="F69" s="493">
        <v>2404</v>
      </c>
      <c r="G69" s="483">
        <f t="shared" si="43"/>
        <v>58777.799999999996</v>
      </c>
      <c r="H69" s="494" t="s">
        <v>35</v>
      </c>
      <c r="I69" s="485">
        <v>20</v>
      </c>
      <c r="J69" s="303">
        <v>2400</v>
      </c>
      <c r="K69" s="304">
        <f t="shared" ref="K69:K74" si="47">J69/I69</f>
        <v>120</v>
      </c>
      <c r="L69" s="485">
        <v>20</v>
      </c>
      <c r="M69" s="305">
        <f t="shared" si="44"/>
        <v>2289.5238095238105</v>
      </c>
      <c r="N69" s="304">
        <f t="shared" ref="N69:N74" si="48">M69/L69</f>
        <v>114.47619047619052</v>
      </c>
      <c r="O69" s="306">
        <f t="shared" ref="O69:O74" si="49">L69-I69</f>
        <v>0</v>
      </c>
      <c r="P69" s="307">
        <f t="shared" ref="P69:P74" si="50">N69-K69</f>
        <v>-5.5238095238094758</v>
      </c>
      <c r="Q69" s="487">
        <f t="shared" ref="Q69:Q74" si="51">N69/K69</f>
        <v>0.95396825396825435</v>
      </c>
      <c r="R69" s="571"/>
      <c r="S69" s="308">
        <v>0.23472222222222219</v>
      </c>
      <c r="T69" s="308">
        <v>0.27847222222222218</v>
      </c>
      <c r="U69" s="483">
        <f t="shared" si="46"/>
        <v>4.9999999999999822</v>
      </c>
      <c r="V69" s="484">
        <f t="shared" si="45"/>
        <v>62.999999999999979</v>
      </c>
      <c r="W69" s="310"/>
      <c r="X69" s="310"/>
      <c r="Y69" s="570"/>
      <c r="Z69" s="570"/>
      <c r="AA69" s="306">
        <f t="shared" ref="AA69:AA74" si="52">M69-J69</f>
        <v>-110.47619047618946</v>
      </c>
      <c r="AB69" s="487">
        <f t="shared" ref="AB69:AB74" si="53">M69/J69</f>
        <v>0.95396825396825435</v>
      </c>
      <c r="AC69" s="571"/>
    </row>
    <row r="70" spans="1:29" ht="15.75" customHeight="1">
      <c r="A70" s="574" t="s">
        <v>2280</v>
      </c>
      <c r="B70" s="493" t="s">
        <v>46</v>
      </c>
      <c r="C70" s="565" t="s">
        <v>66</v>
      </c>
      <c r="D70" s="565"/>
      <c r="E70" s="300">
        <v>24.25</v>
      </c>
      <c r="F70" s="493">
        <v>4277</v>
      </c>
      <c r="G70" s="483">
        <f t="shared" si="43"/>
        <v>103717.25</v>
      </c>
      <c r="H70" s="494" t="s">
        <v>35</v>
      </c>
      <c r="I70" s="485">
        <v>14</v>
      </c>
      <c r="J70" s="303">
        <v>2400</v>
      </c>
      <c r="K70" s="304">
        <f t="shared" si="47"/>
        <v>171.42857142857142</v>
      </c>
      <c r="L70" s="485">
        <v>14</v>
      </c>
      <c r="M70" s="305">
        <f t="shared" si="44"/>
        <v>2291.25</v>
      </c>
      <c r="N70" s="304">
        <f t="shared" si="48"/>
        <v>163.66071428571428</v>
      </c>
      <c r="O70" s="306">
        <f t="shared" si="49"/>
        <v>0</v>
      </c>
      <c r="P70" s="307">
        <f t="shared" si="50"/>
        <v>-7.7678571428571388</v>
      </c>
      <c r="Q70" s="487">
        <f t="shared" si="51"/>
        <v>0.95468750000000002</v>
      </c>
      <c r="R70" s="571"/>
      <c r="S70" s="308">
        <v>0.28263888888888883</v>
      </c>
      <c r="T70" s="308">
        <v>0.36041666666666661</v>
      </c>
      <c r="U70" s="483">
        <f t="shared" si="46"/>
        <v>5.9999999999999787</v>
      </c>
      <c r="V70" s="484">
        <f t="shared" si="45"/>
        <v>112</v>
      </c>
      <c r="W70" s="310"/>
      <c r="X70" s="310"/>
      <c r="Y70" s="570"/>
      <c r="Z70" s="570"/>
      <c r="AA70" s="306">
        <f t="shared" si="52"/>
        <v>-108.75</v>
      </c>
      <c r="AB70" s="487">
        <f t="shared" si="53"/>
        <v>0.95468750000000002</v>
      </c>
      <c r="AC70" s="571"/>
    </row>
    <row r="71" spans="1:29" ht="15.75" customHeight="1">
      <c r="A71" s="574" t="s">
        <v>2280</v>
      </c>
      <c r="B71" s="493" t="s">
        <v>46</v>
      </c>
      <c r="C71" s="565" t="s">
        <v>85</v>
      </c>
      <c r="D71" s="565"/>
      <c r="E71" s="300">
        <v>19.02</v>
      </c>
      <c r="F71" s="493">
        <v>4200</v>
      </c>
      <c r="G71" s="483">
        <f t="shared" si="43"/>
        <v>79884</v>
      </c>
      <c r="H71" s="494">
        <v>2</v>
      </c>
      <c r="I71" s="485">
        <v>15</v>
      </c>
      <c r="J71" s="303">
        <v>2400</v>
      </c>
      <c r="K71" s="304">
        <f t="shared" si="47"/>
        <v>160</v>
      </c>
      <c r="L71" s="485">
        <v>15</v>
      </c>
      <c r="M71" s="305">
        <f t="shared" si="44"/>
        <v>2290.909090909091</v>
      </c>
      <c r="N71" s="304">
        <f t="shared" si="48"/>
        <v>152.72727272727272</v>
      </c>
      <c r="O71" s="306">
        <f t="shared" si="49"/>
        <v>0</v>
      </c>
      <c r="P71" s="307">
        <f t="shared" si="50"/>
        <v>-7.2727272727272805</v>
      </c>
      <c r="Q71" s="487">
        <f t="shared" si="51"/>
        <v>0.95454545454545447</v>
      </c>
      <c r="R71" s="571"/>
      <c r="S71" s="308">
        <v>0.36388888888888882</v>
      </c>
      <c r="T71" s="308">
        <v>0.44027777777777771</v>
      </c>
      <c r="U71" s="483">
        <f t="shared" si="46"/>
        <v>4.9999999999999822</v>
      </c>
      <c r="V71" s="484">
        <f t="shared" si="45"/>
        <v>110.00000000000001</v>
      </c>
      <c r="W71" s="310"/>
      <c r="X71" s="310"/>
      <c r="Y71" s="570"/>
      <c r="Z71" s="570"/>
      <c r="AA71" s="306">
        <f t="shared" si="52"/>
        <v>-109.09090909090901</v>
      </c>
      <c r="AB71" s="487">
        <f t="shared" si="53"/>
        <v>0.95454545454545459</v>
      </c>
      <c r="AC71" s="571"/>
    </row>
    <row r="72" spans="1:29" ht="15.75" customHeight="1">
      <c r="A72" s="574" t="s">
        <v>2280</v>
      </c>
      <c r="B72" s="493" t="s">
        <v>46</v>
      </c>
      <c r="C72" s="565" t="s">
        <v>57</v>
      </c>
      <c r="D72" s="565"/>
      <c r="E72" s="300">
        <v>20.52</v>
      </c>
      <c r="F72" s="493">
        <v>3790</v>
      </c>
      <c r="G72" s="483">
        <f t="shared" si="43"/>
        <v>77770.8</v>
      </c>
      <c r="H72" s="494" t="s">
        <v>35</v>
      </c>
      <c r="I72" s="485">
        <v>18</v>
      </c>
      <c r="J72" s="303">
        <v>2400</v>
      </c>
      <c r="K72" s="304">
        <f t="shared" si="47"/>
        <v>133.33333333333334</v>
      </c>
      <c r="L72" s="485">
        <v>18</v>
      </c>
      <c r="M72" s="305">
        <f t="shared" si="44"/>
        <v>2296.9696969696961</v>
      </c>
      <c r="N72" s="304">
        <f t="shared" si="48"/>
        <v>127.60942760942756</v>
      </c>
      <c r="O72" s="306">
        <f t="shared" si="49"/>
        <v>0</v>
      </c>
      <c r="P72" s="307">
        <f t="shared" si="50"/>
        <v>-5.7239057239057871</v>
      </c>
      <c r="Q72" s="487">
        <f t="shared" si="51"/>
        <v>0.95707070707070663</v>
      </c>
      <c r="R72" s="571"/>
      <c r="S72" s="308">
        <v>0.44444444444444436</v>
      </c>
      <c r="T72" s="308">
        <v>0.5131944444444444</v>
      </c>
      <c r="U72" s="483">
        <f t="shared" si="46"/>
        <v>5.9999999999999787</v>
      </c>
      <c r="V72" s="484">
        <f t="shared" si="45"/>
        <v>99.000000000000043</v>
      </c>
      <c r="W72" s="310">
        <f>T72</f>
        <v>0.5131944444444444</v>
      </c>
      <c r="X72" s="310">
        <f>S73</f>
        <v>0.55416666666666659</v>
      </c>
      <c r="Y72" s="566"/>
      <c r="Z72" s="567"/>
      <c r="AA72" s="306">
        <f t="shared" si="52"/>
        <v>-103.03030303030391</v>
      </c>
      <c r="AB72" s="487">
        <f t="shared" si="53"/>
        <v>0.95707070707070674</v>
      </c>
      <c r="AC72" s="571"/>
    </row>
    <row r="73" spans="1:29" ht="15.75" customHeight="1">
      <c r="A73" s="574" t="s">
        <v>2280</v>
      </c>
      <c r="B73" s="493" t="s">
        <v>46</v>
      </c>
      <c r="C73" s="565" t="s">
        <v>85</v>
      </c>
      <c r="D73" s="565"/>
      <c r="E73" s="300">
        <v>19.02</v>
      </c>
      <c r="F73" s="493">
        <v>6563</v>
      </c>
      <c r="G73" s="483">
        <f t="shared" si="43"/>
        <v>124828.26</v>
      </c>
      <c r="H73" s="494" t="s">
        <v>35</v>
      </c>
      <c r="I73" s="485">
        <v>15</v>
      </c>
      <c r="J73" s="303">
        <v>2400</v>
      </c>
      <c r="K73" s="304">
        <f t="shared" si="47"/>
        <v>160</v>
      </c>
      <c r="L73" s="485">
        <v>15</v>
      </c>
      <c r="M73" s="305">
        <f t="shared" si="44"/>
        <v>2289.4186046511622</v>
      </c>
      <c r="N73" s="304">
        <f t="shared" si="48"/>
        <v>152.62790697674416</v>
      </c>
      <c r="O73" s="306">
        <f t="shared" si="49"/>
        <v>0</v>
      </c>
      <c r="P73" s="307">
        <f t="shared" si="50"/>
        <v>-7.372093023255843</v>
      </c>
      <c r="Q73" s="487">
        <f t="shared" si="51"/>
        <v>0.95392441860465094</v>
      </c>
      <c r="R73" s="571"/>
      <c r="S73" s="308">
        <v>0.55416666666666659</v>
      </c>
      <c r="T73" s="308">
        <v>0.67361111111111105</v>
      </c>
      <c r="U73" s="483">
        <f t="shared" si="46"/>
        <v>58.99999999999995</v>
      </c>
      <c r="V73" s="484">
        <f t="shared" si="45"/>
        <v>172.00000000000003</v>
      </c>
      <c r="W73" s="310"/>
      <c r="X73" s="310"/>
      <c r="Y73" s="566"/>
      <c r="Z73" s="567"/>
      <c r="AA73" s="306">
        <f t="shared" si="52"/>
        <v>-110.58139534883776</v>
      </c>
      <c r="AB73" s="487">
        <f t="shared" si="53"/>
        <v>0.95392441860465094</v>
      </c>
      <c r="AC73" s="571"/>
    </row>
    <row r="74" spans="1:29" ht="16.5" customHeight="1">
      <c r="A74" s="575" t="s">
        <v>2280</v>
      </c>
      <c r="B74" s="300" t="s">
        <v>2268</v>
      </c>
      <c r="C74" s="568"/>
      <c r="D74" s="569"/>
      <c r="E74" s="486"/>
      <c r="F74" s="313"/>
      <c r="G74" s="304"/>
      <c r="H74" s="493"/>
      <c r="I74" s="314">
        <v>16.875</v>
      </c>
      <c r="J74" s="303">
        <v>2400</v>
      </c>
      <c r="K74" s="304">
        <f t="shared" si="47"/>
        <v>142.22222222222223</v>
      </c>
      <c r="L74" s="314">
        <v>16.875</v>
      </c>
      <c r="M74" s="305">
        <f>AVERAGE(M66:M73)</f>
        <v>2297.583575581396</v>
      </c>
      <c r="N74" s="304">
        <f t="shared" si="48"/>
        <v>136.15310077519385</v>
      </c>
      <c r="O74" s="306">
        <f t="shared" si="49"/>
        <v>0</v>
      </c>
      <c r="P74" s="307">
        <f t="shared" si="50"/>
        <v>-6.0691214470283796</v>
      </c>
      <c r="Q74" s="487">
        <f t="shared" si="51"/>
        <v>0.95732648982558166</v>
      </c>
      <c r="R74" s="571"/>
      <c r="S74" s="308"/>
      <c r="T74" s="308"/>
      <c r="U74" s="304"/>
      <c r="V74" s="484"/>
      <c r="W74" s="304"/>
      <c r="X74" s="304"/>
      <c r="Y74" s="570"/>
      <c r="Z74" s="570"/>
      <c r="AA74" s="306">
        <f t="shared" si="52"/>
        <v>-102.41642441860404</v>
      </c>
      <c r="AB74" s="487">
        <f t="shared" si="53"/>
        <v>0.95732648982558166</v>
      </c>
      <c r="AC74" s="571"/>
    </row>
    <row r="75" spans="1:29">
      <c r="D75" s="323"/>
      <c r="E75" s="323"/>
    </row>
  </sheetData>
  <mergeCells count="196">
    <mergeCell ref="S1:X2"/>
    <mergeCell ref="Y1:Z2"/>
    <mergeCell ref="AA1:AC2"/>
    <mergeCell ref="A3:A4"/>
    <mergeCell ref="B3:B4"/>
    <mergeCell ref="C3:D4"/>
    <mergeCell ref="E3:E4"/>
    <mergeCell ref="F3:F4"/>
    <mergeCell ref="G3:G4"/>
    <mergeCell ref="I1:K2"/>
    <mergeCell ref="L1:N2"/>
    <mergeCell ref="O1:R2"/>
    <mergeCell ref="P3:P4"/>
    <mergeCell ref="Q3:Q4"/>
    <mergeCell ref="R3:R4"/>
    <mergeCell ref="S3:T3"/>
    <mergeCell ref="H3:H4"/>
    <mergeCell ref="I3:I4"/>
    <mergeCell ref="J3:J4"/>
    <mergeCell ref="K3:K4"/>
    <mergeCell ref="L3:L4"/>
    <mergeCell ref="M3:M4"/>
    <mergeCell ref="C8:D8"/>
    <mergeCell ref="Y8:Z8"/>
    <mergeCell ref="A9:A11"/>
    <mergeCell ref="C9:D9"/>
    <mergeCell ref="R9:R11"/>
    <mergeCell ref="Y9:Z9"/>
    <mergeCell ref="AC3:AC4"/>
    <mergeCell ref="A5:A8"/>
    <mergeCell ref="C5:D5"/>
    <mergeCell ref="R5:R8"/>
    <mergeCell ref="Y5:Z5"/>
    <mergeCell ref="AC5:AC8"/>
    <mergeCell ref="C6:D6"/>
    <mergeCell ref="Y6:Z6"/>
    <mergeCell ref="C7:D7"/>
    <mergeCell ref="Y7:Z7"/>
    <mergeCell ref="U3:U4"/>
    <mergeCell ref="V3:V4"/>
    <mergeCell ref="W3:X3"/>
    <mergeCell ref="Y3:Z4"/>
    <mergeCell ref="AA3:AA4"/>
    <mergeCell ref="AB3:AB4"/>
    <mergeCell ref="N3:N4"/>
    <mergeCell ref="O3:O4"/>
    <mergeCell ref="C13:D13"/>
    <mergeCell ref="Y13:Z13"/>
    <mergeCell ref="C14:D14"/>
    <mergeCell ref="Y14:Z14"/>
    <mergeCell ref="C15:D15"/>
    <mergeCell ref="Y15:Z15"/>
    <mergeCell ref="AC9:AC11"/>
    <mergeCell ref="C10:D10"/>
    <mergeCell ref="Y10:Z10"/>
    <mergeCell ref="C11:D11"/>
    <mergeCell ref="Y11:Z11"/>
    <mergeCell ref="C12:D12"/>
    <mergeCell ref="R12:R17"/>
    <mergeCell ref="Y12:Z12"/>
    <mergeCell ref="AC12:AC17"/>
    <mergeCell ref="C16:D16"/>
    <mergeCell ref="Y16:Z16"/>
    <mergeCell ref="C17:D17"/>
    <mergeCell ref="Y17:Z17"/>
    <mergeCell ref="A18:A23"/>
    <mergeCell ref="C18:D18"/>
    <mergeCell ref="R18:R23"/>
    <mergeCell ref="Y18:Z18"/>
    <mergeCell ref="Y23:Z23"/>
    <mergeCell ref="A12:A17"/>
    <mergeCell ref="AC24:AC32"/>
    <mergeCell ref="C25:D25"/>
    <mergeCell ref="Y25:Z25"/>
    <mergeCell ref="C26:D26"/>
    <mergeCell ref="Y26:Z26"/>
    <mergeCell ref="C27:D27"/>
    <mergeCell ref="AC18:AC23"/>
    <mergeCell ref="C19:D19"/>
    <mergeCell ref="Y19:Z19"/>
    <mergeCell ref="C20:D20"/>
    <mergeCell ref="Y20:Z20"/>
    <mergeCell ref="C21:D21"/>
    <mergeCell ref="Y21:Z21"/>
    <mergeCell ref="C22:D22"/>
    <mergeCell ref="Y22:Z22"/>
    <mergeCell ref="C23:D23"/>
    <mergeCell ref="Y27:Z27"/>
    <mergeCell ref="C28:D28"/>
    <mergeCell ref="Y28:Z28"/>
    <mergeCell ref="C29:D29"/>
    <mergeCell ref="Y29:Z29"/>
    <mergeCell ref="C30:D30"/>
    <mergeCell ref="Y30:Z30"/>
    <mergeCell ref="A24:A32"/>
    <mergeCell ref="C24:D24"/>
    <mergeCell ref="R24:R32"/>
    <mergeCell ref="Y24:Z24"/>
    <mergeCell ref="C31:D31"/>
    <mergeCell ref="Y31:Z31"/>
    <mergeCell ref="C32:D32"/>
    <mergeCell ref="Y32:Z32"/>
    <mergeCell ref="A33:A41"/>
    <mergeCell ref="C33:D33"/>
    <mergeCell ref="R33:R41"/>
    <mergeCell ref="Y33:Z33"/>
    <mergeCell ref="Y38:Z38"/>
    <mergeCell ref="C39:D39"/>
    <mergeCell ref="AC33:AC41"/>
    <mergeCell ref="C34:D34"/>
    <mergeCell ref="Y34:Z34"/>
    <mergeCell ref="C35:D35"/>
    <mergeCell ref="Y35:Z35"/>
    <mergeCell ref="C36:D36"/>
    <mergeCell ref="Y36:Z36"/>
    <mergeCell ref="C37:D37"/>
    <mergeCell ref="Y37:Z37"/>
    <mergeCell ref="C38:D38"/>
    <mergeCell ref="Y39:Z39"/>
    <mergeCell ref="C40:D40"/>
    <mergeCell ref="Y40:Z40"/>
    <mergeCell ref="C41:D41"/>
    <mergeCell ref="Y41:Z41"/>
    <mergeCell ref="AC42:AC52"/>
    <mergeCell ref="C43:D43"/>
    <mergeCell ref="Y43:Z43"/>
    <mergeCell ref="C44:D44"/>
    <mergeCell ref="Y44:Z44"/>
    <mergeCell ref="C45:D45"/>
    <mergeCell ref="Y45:Z45"/>
    <mergeCell ref="C46:D46"/>
    <mergeCell ref="Y46:Z46"/>
    <mergeCell ref="C47:D47"/>
    <mergeCell ref="C51:D51"/>
    <mergeCell ref="Y51:Z51"/>
    <mergeCell ref="C52:D52"/>
    <mergeCell ref="Y52:Z52"/>
    <mergeCell ref="A53:A59"/>
    <mergeCell ref="C53:D53"/>
    <mergeCell ref="R53:R59"/>
    <mergeCell ref="Y53:Z53"/>
    <mergeCell ref="C48:D48"/>
    <mergeCell ref="Y48:Z48"/>
    <mergeCell ref="C49:D49"/>
    <mergeCell ref="Y49:Z49"/>
    <mergeCell ref="C50:D50"/>
    <mergeCell ref="Y50:Z50"/>
    <mergeCell ref="A42:A52"/>
    <mergeCell ref="C42:D42"/>
    <mergeCell ref="R42:R52"/>
    <mergeCell ref="Y42:Z42"/>
    <mergeCell ref="Y47:Z47"/>
    <mergeCell ref="AC60:AC65"/>
    <mergeCell ref="C61:D61"/>
    <mergeCell ref="Y61:Z61"/>
    <mergeCell ref="C62:D62"/>
    <mergeCell ref="Y62:Z62"/>
    <mergeCell ref="C63:D63"/>
    <mergeCell ref="AC53:AC59"/>
    <mergeCell ref="C54:D54"/>
    <mergeCell ref="Y54:Z54"/>
    <mergeCell ref="C55:D55"/>
    <mergeCell ref="C58:D58"/>
    <mergeCell ref="Y58:Z58"/>
    <mergeCell ref="C59:D59"/>
    <mergeCell ref="Y59:Z59"/>
    <mergeCell ref="Y63:Z63"/>
    <mergeCell ref="C64:D64"/>
    <mergeCell ref="Y64:Z64"/>
    <mergeCell ref="C65:D65"/>
    <mergeCell ref="Y65:Z65"/>
    <mergeCell ref="A66:A74"/>
    <mergeCell ref="C66:D66"/>
    <mergeCell ref="R66:R74"/>
    <mergeCell ref="Y66:Z66"/>
    <mergeCell ref="Y71:Z71"/>
    <mergeCell ref="A60:A65"/>
    <mergeCell ref="C60:D60"/>
    <mergeCell ref="R60:R65"/>
    <mergeCell ref="Y60:Z60"/>
    <mergeCell ref="C72:D72"/>
    <mergeCell ref="Y72:Z72"/>
    <mergeCell ref="C73:D73"/>
    <mergeCell ref="Y73:Z73"/>
    <mergeCell ref="C74:D74"/>
    <mergeCell ref="Y74:Z74"/>
    <mergeCell ref="AC66:AC74"/>
    <mergeCell ref="C67:D67"/>
    <mergeCell ref="Y67:Z67"/>
    <mergeCell ref="C68:D68"/>
    <mergeCell ref="Y68:Z68"/>
    <mergeCell ref="C69:D69"/>
    <mergeCell ref="Y69:Z69"/>
    <mergeCell ref="C70:D70"/>
    <mergeCell ref="Y70:Z70"/>
    <mergeCell ref="C71:D71"/>
  </mergeCells>
  <phoneticPr fontId="3" type="noConversion"/>
  <conditionalFormatting sqref="O63:O71 O74 O5:O9 O11:O13 O52:O60 O17:O47">
    <cfRule type="cellIs" dxfId="1939" priority="70" operator="greaterThan">
      <formula>0</formula>
    </cfRule>
  </conditionalFormatting>
  <conditionalFormatting sqref="P5:P7 P63:P64 AA63:AA64 P66:P71 P24:P31 P60 P9 P11:P13 P18:P22 P53:P58 P33:P47 AA5:AA60 AA66:AA74">
    <cfRule type="cellIs" dxfId="1938" priority="74" operator="lessThan">
      <formula>0</formula>
    </cfRule>
  </conditionalFormatting>
  <conditionalFormatting sqref="AB63:AB64 Q63:Q71 Q74 Q5:Q9 Q11:Q13 Q52:Q60 Q17:Q47 AB5:AB60 AB66:AB74">
    <cfRule type="cellIs" dxfId="1937" priority="71" operator="greaterThan">
      <formula>1</formula>
    </cfRule>
    <cfRule type="cellIs" dxfId="1936" priority="72" operator="lessThan">
      <formula>0.8</formula>
    </cfRule>
  </conditionalFormatting>
  <conditionalFormatting sqref="AC12:AC13 R12:R13 AC63 R63:R71 R74 AC5:AC9 R5:R9 R17:R47 AC17:AC47 AC52:AC60 R52:R60">
    <cfRule type="cellIs" dxfId="1935" priority="76" operator="lessThan">
      <formula>0.8</formula>
    </cfRule>
  </conditionalFormatting>
  <conditionalFormatting sqref="AC42">
    <cfRule type="cellIs" dxfId="1934" priority="78" operator="lessThan">
      <formula>0.8</formula>
    </cfRule>
  </conditionalFormatting>
  <conditionalFormatting sqref="AC18:AC22">
    <cfRule type="cellIs" dxfId="1933" priority="75" operator="lessThan">
      <formula>0.8</formula>
    </cfRule>
  </conditionalFormatting>
  <conditionalFormatting sqref="AC24">
    <cfRule type="cellIs" dxfId="1932" priority="77" operator="lessThan">
      <formula>0.8</formula>
    </cfRule>
  </conditionalFormatting>
  <conditionalFormatting sqref="AC33:AC40">
    <cfRule type="cellIs" dxfId="1931" priority="73" operator="lessThan">
      <formula>0.8</formula>
    </cfRule>
  </conditionalFormatting>
  <conditionalFormatting sqref="AA65">
    <cfRule type="cellIs" dxfId="1930" priority="69" operator="lessThan">
      <formula>0</formula>
    </cfRule>
  </conditionalFormatting>
  <conditionalFormatting sqref="AB65">
    <cfRule type="cellIs" dxfId="1929" priority="67" operator="greaterThan">
      <formula>1</formula>
    </cfRule>
    <cfRule type="cellIs" dxfId="1928" priority="68" operator="lessThan">
      <formula>0.8</formula>
    </cfRule>
  </conditionalFormatting>
  <conditionalFormatting sqref="O14:O15">
    <cfRule type="cellIs" dxfId="1927" priority="62" operator="greaterThan">
      <formula>0</formula>
    </cfRule>
  </conditionalFormatting>
  <conditionalFormatting sqref="P14:P15">
    <cfRule type="cellIs" dxfId="1926" priority="65" operator="lessThan">
      <formula>0</formula>
    </cfRule>
  </conditionalFormatting>
  <conditionalFormatting sqref="Q14:Q15">
    <cfRule type="cellIs" dxfId="1925" priority="63" operator="greaterThan">
      <formula>1</formula>
    </cfRule>
    <cfRule type="cellIs" dxfId="1924" priority="64" operator="lessThan">
      <formula>0.8</formula>
    </cfRule>
  </conditionalFormatting>
  <conditionalFormatting sqref="R14:R15 AC14:AC15">
    <cfRule type="cellIs" dxfId="1923" priority="66" operator="lessThan">
      <formula>0.8</formula>
    </cfRule>
  </conditionalFormatting>
  <conditionalFormatting sqref="O10">
    <cfRule type="cellIs" dxfId="1922" priority="58" operator="greaterThan">
      <formula>0</formula>
    </cfRule>
  </conditionalFormatting>
  <conditionalFormatting sqref="P10">
    <cfRule type="cellIs" dxfId="1921" priority="61" operator="lessThan">
      <formula>0</formula>
    </cfRule>
  </conditionalFormatting>
  <conditionalFormatting sqref="Q10">
    <cfRule type="cellIs" dxfId="1920" priority="59" operator="greaterThan">
      <formula>1</formula>
    </cfRule>
    <cfRule type="cellIs" dxfId="1919" priority="60" operator="lessThan">
      <formula>0.8</formula>
    </cfRule>
  </conditionalFormatting>
  <conditionalFormatting sqref="O62">
    <cfRule type="cellIs" dxfId="1918" priority="53" operator="greaterThan">
      <formula>0</formula>
    </cfRule>
  </conditionalFormatting>
  <conditionalFormatting sqref="P62 AA62">
    <cfRule type="cellIs" dxfId="1917" priority="56" operator="lessThan">
      <formula>0</formula>
    </cfRule>
  </conditionalFormatting>
  <conditionalFormatting sqref="Q62 AB62">
    <cfRule type="cellIs" dxfId="1916" priority="54" operator="greaterThan">
      <formula>1</formula>
    </cfRule>
    <cfRule type="cellIs" dxfId="1915" priority="55" operator="lessThan">
      <formula>0.8</formula>
    </cfRule>
  </conditionalFormatting>
  <conditionalFormatting sqref="R62 AC62">
    <cfRule type="cellIs" dxfId="1914" priority="57" operator="lessThan">
      <formula>0.8</formula>
    </cfRule>
  </conditionalFormatting>
  <conditionalFormatting sqref="O72">
    <cfRule type="cellIs" dxfId="1913" priority="48" operator="greaterThan">
      <formula>0</formula>
    </cfRule>
  </conditionalFormatting>
  <conditionalFormatting sqref="P72">
    <cfRule type="cellIs" dxfId="1912" priority="51" operator="lessThan">
      <formula>0</formula>
    </cfRule>
  </conditionalFormatting>
  <conditionalFormatting sqref="Q72">
    <cfRule type="cellIs" dxfId="1911" priority="49" operator="greaterThan">
      <formula>1</formula>
    </cfRule>
    <cfRule type="cellIs" dxfId="1910" priority="50" operator="lessThan">
      <formula>0.8</formula>
    </cfRule>
  </conditionalFormatting>
  <conditionalFormatting sqref="R72">
    <cfRule type="cellIs" dxfId="1909" priority="52" operator="lessThan">
      <formula>0.8</formula>
    </cfRule>
  </conditionalFormatting>
  <conditionalFormatting sqref="O16">
    <cfRule type="cellIs" dxfId="1908" priority="43" operator="greaterThan">
      <formula>0</formula>
    </cfRule>
  </conditionalFormatting>
  <conditionalFormatting sqref="P16">
    <cfRule type="cellIs" dxfId="1907" priority="46" operator="lessThan">
      <formula>0</formula>
    </cfRule>
  </conditionalFormatting>
  <conditionalFormatting sqref="Q16">
    <cfRule type="cellIs" dxfId="1906" priority="44" operator="greaterThan">
      <formula>1</formula>
    </cfRule>
    <cfRule type="cellIs" dxfId="1905" priority="45" operator="lessThan">
      <formula>0.8</formula>
    </cfRule>
  </conditionalFormatting>
  <conditionalFormatting sqref="R16 AC16">
    <cfRule type="cellIs" dxfId="1904" priority="47" operator="lessThan">
      <formula>0.8</formula>
    </cfRule>
  </conditionalFormatting>
  <conditionalFormatting sqref="O48">
    <cfRule type="cellIs" dxfId="1903" priority="37" operator="greaterThan">
      <formula>0</formula>
    </cfRule>
  </conditionalFormatting>
  <conditionalFormatting sqref="P48">
    <cfRule type="cellIs" dxfId="1902" priority="41" operator="lessThan">
      <formula>0</formula>
    </cfRule>
  </conditionalFormatting>
  <conditionalFormatting sqref="Q48">
    <cfRule type="cellIs" dxfId="1901" priority="38" operator="greaterThan">
      <formula>1</formula>
    </cfRule>
    <cfRule type="cellIs" dxfId="1900" priority="39" operator="lessThan">
      <formula>0.8</formula>
    </cfRule>
  </conditionalFormatting>
  <conditionalFormatting sqref="R48 AC48">
    <cfRule type="cellIs" dxfId="1899" priority="42" operator="lessThan">
      <formula>0.8</formula>
    </cfRule>
  </conditionalFormatting>
  <conditionalFormatting sqref="AC48">
    <cfRule type="cellIs" dxfId="1898" priority="40" operator="lessThan">
      <formula>0.8</formula>
    </cfRule>
  </conditionalFormatting>
  <conditionalFormatting sqref="O49">
    <cfRule type="cellIs" dxfId="1897" priority="31" operator="greaterThan">
      <formula>0</formula>
    </cfRule>
  </conditionalFormatting>
  <conditionalFormatting sqref="P49">
    <cfRule type="cellIs" dxfId="1896" priority="35" operator="lessThan">
      <formula>0</formula>
    </cfRule>
  </conditionalFormatting>
  <conditionalFormatting sqref="Q49">
    <cfRule type="cellIs" dxfId="1895" priority="32" operator="greaterThan">
      <formula>1</formula>
    </cfRule>
    <cfRule type="cellIs" dxfId="1894" priority="33" operator="lessThan">
      <formula>0.8</formula>
    </cfRule>
  </conditionalFormatting>
  <conditionalFormatting sqref="R49 AC49">
    <cfRule type="cellIs" dxfId="1893" priority="36" operator="lessThan">
      <formula>0.8</formula>
    </cfRule>
  </conditionalFormatting>
  <conditionalFormatting sqref="AC49">
    <cfRule type="cellIs" dxfId="1892" priority="34" operator="lessThan">
      <formula>0.8</formula>
    </cfRule>
  </conditionalFormatting>
  <conditionalFormatting sqref="O50">
    <cfRule type="cellIs" dxfId="1891" priority="25" operator="greaterThan">
      <formula>0</formula>
    </cfRule>
  </conditionalFormatting>
  <conditionalFormatting sqref="P50">
    <cfRule type="cellIs" dxfId="1890" priority="29" operator="lessThan">
      <formula>0</formula>
    </cfRule>
  </conditionalFormatting>
  <conditionalFormatting sqref="Q50">
    <cfRule type="cellIs" dxfId="1889" priority="26" operator="greaterThan">
      <formula>1</formula>
    </cfRule>
    <cfRule type="cellIs" dxfId="1888" priority="27" operator="lessThan">
      <formula>0.8</formula>
    </cfRule>
  </conditionalFormatting>
  <conditionalFormatting sqref="R50 AC50">
    <cfRule type="cellIs" dxfId="1887" priority="30" operator="lessThan">
      <formula>0.8</formula>
    </cfRule>
  </conditionalFormatting>
  <conditionalFormatting sqref="AC50">
    <cfRule type="cellIs" dxfId="1886" priority="28" operator="lessThan">
      <formula>0.8</formula>
    </cfRule>
  </conditionalFormatting>
  <conditionalFormatting sqref="O51">
    <cfRule type="cellIs" dxfId="1885" priority="19" operator="greaterThan">
      <formula>0</formula>
    </cfRule>
  </conditionalFormatting>
  <conditionalFormatting sqref="P51">
    <cfRule type="cellIs" dxfId="1884" priority="23" operator="lessThan">
      <formula>0</formula>
    </cfRule>
  </conditionalFormatting>
  <conditionalFormatting sqref="Q51">
    <cfRule type="cellIs" dxfId="1883" priority="20" operator="greaterThan">
      <formula>1</formula>
    </cfRule>
    <cfRule type="cellIs" dxfId="1882" priority="21" operator="lessThan">
      <formula>0.8</formula>
    </cfRule>
  </conditionalFormatting>
  <conditionalFormatting sqref="R51 AC51">
    <cfRule type="cellIs" dxfId="1881" priority="24" operator="lessThan">
      <formula>0.8</formula>
    </cfRule>
  </conditionalFormatting>
  <conditionalFormatting sqref="AC51">
    <cfRule type="cellIs" dxfId="1880" priority="22" operator="lessThan">
      <formula>0.8</formula>
    </cfRule>
  </conditionalFormatting>
  <conditionalFormatting sqref="O61">
    <cfRule type="cellIs" dxfId="1879" priority="14" operator="greaterThan">
      <formula>0</formula>
    </cfRule>
  </conditionalFormatting>
  <conditionalFormatting sqref="P61 AA61">
    <cfRule type="cellIs" dxfId="1878" priority="17" operator="lessThan">
      <formula>0</formula>
    </cfRule>
  </conditionalFormatting>
  <conditionalFormatting sqref="Q61 AB61">
    <cfRule type="cellIs" dxfId="1877" priority="15" operator="greaterThan">
      <formula>1</formula>
    </cfRule>
    <cfRule type="cellIs" dxfId="1876" priority="16" operator="lessThan">
      <formula>0.8</formula>
    </cfRule>
  </conditionalFormatting>
  <conditionalFormatting sqref="R61 AC61">
    <cfRule type="cellIs" dxfId="1875" priority="18" operator="lessThan">
      <formula>0.8</formula>
    </cfRule>
  </conditionalFormatting>
  <conditionalFormatting sqref="P8">
    <cfRule type="cellIs" dxfId="1874" priority="13" operator="lessThan">
      <formula>0</formula>
    </cfRule>
  </conditionalFormatting>
  <conditionalFormatting sqref="P17">
    <cfRule type="cellIs" dxfId="1873" priority="12" operator="lessThan">
      <formula>0</formula>
    </cfRule>
  </conditionalFormatting>
  <conditionalFormatting sqref="P23">
    <cfRule type="cellIs" dxfId="1872" priority="11" operator="lessThan">
      <formula>0</formula>
    </cfRule>
  </conditionalFormatting>
  <conditionalFormatting sqref="P32">
    <cfRule type="cellIs" dxfId="1871" priority="10" operator="lessThan">
      <formula>0</formula>
    </cfRule>
  </conditionalFormatting>
  <conditionalFormatting sqref="P52">
    <cfRule type="cellIs" dxfId="1870" priority="9" operator="lessThan">
      <formula>0</formula>
    </cfRule>
  </conditionalFormatting>
  <conditionalFormatting sqref="P59">
    <cfRule type="cellIs" dxfId="1869" priority="8" operator="lessThan">
      <formula>0</formula>
    </cfRule>
  </conditionalFormatting>
  <conditionalFormatting sqref="P65">
    <cfRule type="cellIs" dxfId="1868" priority="7" operator="lessThan">
      <formula>0</formula>
    </cfRule>
  </conditionalFormatting>
  <conditionalFormatting sqref="P74">
    <cfRule type="cellIs" dxfId="1867" priority="6" operator="lessThan">
      <formula>0</formula>
    </cfRule>
  </conditionalFormatting>
  <conditionalFormatting sqref="O73">
    <cfRule type="cellIs" dxfId="1866" priority="1" operator="greaterThan">
      <formula>0</formula>
    </cfRule>
  </conditionalFormatting>
  <conditionalFormatting sqref="P73">
    <cfRule type="cellIs" dxfId="1865" priority="4" operator="lessThan">
      <formula>0</formula>
    </cfRule>
  </conditionalFormatting>
  <conditionalFormatting sqref="Q73">
    <cfRule type="cellIs" dxfId="1864" priority="2" operator="greaterThan">
      <formula>1</formula>
    </cfRule>
    <cfRule type="cellIs" dxfId="1863" priority="3" operator="lessThan">
      <formula>0.8</formula>
    </cfRule>
  </conditionalFormatting>
  <conditionalFormatting sqref="R73">
    <cfRule type="cellIs" dxfId="1862" priority="5" operator="lessThan">
      <formula>0.8</formula>
    </cfRule>
  </conditionalFormatting>
  <dataValidations count="1">
    <dataValidation type="list" allowBlank="1" showInputMessage="1" showErrorMessage="1" sqref="Z8 Z64 Y5:Z7 Y8:Y64 Z10:Z60 Y65:Z74">
      <formula1>#REF!</formula1>
    </dataValidation>
  </dataValidations>
  <pageMargins left="0" right="0" top="0" bottom="0" header="0" footer="0"/>
  <pageSetup paperSize="9" scale="11" orientation="landscape" horizontalDpi="300" verticalDpi="300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工作表5"/>
  <dimension ref="B1:Q28"/>
  <sheetViews>
    <sheetView zoomScale="85" zoomScaleNormal="85" workbookViewId="0">
      <selection activeCell="L2" sqref="L2"/>
    </sheetView>
  </sheetViews>
  <sheetFormatPr defaultColWidth="8.75" defaultRowHeight="15.75"/>
  <cols>
    <col min="1" max="1" width="8.75" style="30"/>
    <col min="2" max="2" width="17.875" style="30" customWidth="1"/>
    <col min="3" max="3" width="9.25" style="37" customWidth="1"/>
    <col min="4" max="13" width="12.625" style="30" customWidth="1"/>
    <col min="14" max="14" width="11" style="30" bestFit="1" customWidth="1"/>
    <col min="15" max="15" width="17.75" style="30" bestFit="1" customWidth="1"/>
    <col min="16" max="16" width="12.25" style="30" bestFit="1" customWidth="1"/>
    <col min="17" max="22" width="9.25" style="30" customWidth="1"/>
    <col min="23" max="23" width="10.75" style="30" customWidth="1"/>
    <col min="24" max="24" width="11" style="30" customWidth="1"/>
    <col min="25" max="16384" width="8.75" style="30"/>
  </cols>
  <sheetData>
    <row r="1" spans="2:17" ht="27.75" customHeight="1">
      <c r="B1" s="552" t="s">
        <v>2124</v>
      </c>
      <c r="C1" s="552"/>
      <c r="D1" s="552"/>
      <c r="E1" s="552"/>
      <c r="F1" s="552"/>
      <c r="G1" s="552"/>
      <c r="H1" s="552"/>
      <c r="I1" s="552"/>
      <c r="J1" s="552"/>
      <c r="K1" s="29"/>
      <c r="L1" s="29"/>
      <c r="M1" s="29"/>
      <c r="N1" s="29"/>
      <c r="O1" s="29"/>
      <c r="P1" s="29"/>
    </row>
    <row r="2" spans="2:17" ht="27.75" customHeight="1">
      <c r="B2" s="553"/>
      <c r="C2" s="553"/>
      <c r="D2" s="553"/>
      <c r="E2" s="553"/>
      <c r="F2" s="553"/>
      <c r="G2" s="553"/>
      <c r="H2" s="553"/>
      <c r="I2" s="553"/>
      <c r="J2" s="553"/>
      <c r="K2" s="31"/>
      <c r="L2" s="31"/>
      <c r="M2" s="31"/>
      <c r="N2" s="29"/>
      <c r="O2" s="29"/>
      <c r="P2" s="29"/>
    </row>
    <row r="3" spans="2:17" ht="46.5" customHeight="1">
      <c r="B3" s="32" t="s">
        <v>2125</v>
      </c>
      <c r="C3" s="554" t="str">
        <f>TEXT('1029 4度C'!A2,"yyyy.mm.ddaaaa")</f>
        <v>2025.10.29星期三</v>
      </c>
      <c r="D3" s="555"/>
      <c r="E3" s="32" t="s">
        <v>2126</v>
      </c>
      <c r="F3" s="556">
        <f>'1029 4度C'!D1</f>
        <v>200992</v>
      </c>
      <c r="G3" s="557"/>
      <c r="H3" s="32" t="s">
        <v>2127</v>
      </c>
      <c r="I3" s="558">
        <f>'1029 4度C'!F1</f>
        <v>6670578.6099999994</v>
      </c>
      <c r="J3" s="559"/>
      <c r="K3" s="33"/>
      <c r="L3" s="34"/>
      <c r="M3" s="35"/>
      <c r="N3" s="35"/>
    </row>
    <row r="4" spans="2:17" ht="28.5" customHeight="1">
      <c r="B4" s="560" t="s">
        <v>2128</v>
      </c>
      <c r="C4" s="542" t="s">
        <v>2129</v>
      </c>
      <c r="D4" s="543"/>
      <c r="E4" s="563" t="s">
        <v>2130</v>
      </c>
      <c r="F4" s="564"/>
      <c r="G4" s="563" t="s">
        <v>2131</v>
      </c>
      <c r="H4" s="564"/>
      <c r="I4" s="563" t="s">
        <v>207</v>
      </c>
      <c r="J4" s="564"/>
      <c r="L4" s="35"/>
      <c r="M4" s="35"/>
      <c r="N4" s="35"/>
    </row>
    <row r="5" spans="2:17" ht="28.5" customHeight="1">
      <c r="B5" s="561"/>
      <c r="C5" s="542" t="s">
        <v>2132</v>
      </c>
      <c r="D5" s="543"/>
      <c r="E5" s="542" t="s">
        <v>2133</v>
      </c>
      <c r="F5" s="543"/>
      <c r="G5" s="544" t="s">
        <v>2134</v>
      </c>
      <c r="H5" s="545"/>
      <c r="I5" s="546" t="s">
        <v>2135</v>
      </c>
      <c r="J5" s="547"/>
      <c r="K5" s="35"/>
      <c r="L5" s="35"/>
      <c r="M5" s="35"/>
      <c r="N5" s="35"/>
    </row>
    <row r="6" spans="2:17" ht="28.5" customHeight="1">
      <c r="B6" s="561"/>
      <c r="C6" s="542" t="s">
        <v>92</v>
      </c>
      <c r="D6" s="543"/>
      <c r="E6" s="548">
        <f>AVERAGE(D13:M13)</f>
        <v>149.56695843385103</v>
      </c>
      <c r="F6" s="549">
        <f>AVERAGE(D27:O27,D13:J13)</f>
        <v>154.61813641267682</v>
      </c>
      <c r="G6" s="550">
        <f>AVERAGE(D13:J13)</f>
        <v>154.61813641267682</v>
      </c>
      <c r="H6" s="551"/>
      <c r="I6" s="550">
        <f>AVERAGE(K13:M13)</f>
        <v>137.78087648325752</v>
      </c>
      <c r="J6" s="551"/>
      <c r="K6" s="35"/>
      <c r="L6" s="35"/>
      <c r="M6" s="35"/>
      <c r="N6" s="35"/>
    </row>
    <row r="7" spans="2:17" ht="28.5" customHeight="1">
      <c r="B7" s="561"/>
      <c r="C7" s="532" t="s">
        <v>93</v>
      </c>
      <c r="D7" s="533"/>
      <c r="E7" s="534">
        <f>AVERAGE(D14:M14)</f>
        <v>143.27930962019843</v>
      </c>
      <c r="F7" s="535">
        <f>AVERAGE(D28:O28,D14:J14)</f>
        <v>148.21817012912291</v>
      </c>
      <c r="G7" s="536">
        <f>AVERAGE(D14:J14)</f>
        <v>148.21817012912291</v>
      </c>
      <c r="H7" s="537"/>
      <c r="I7" s="536">
        <f>AVERAGE(K14:M14)</f>
        <v>131.75530176604136</v>
      </c>
      <c r="J7" s="537"/>
      <c r="K7" s="35"/>
      <c r="L7" s="35"/>
      <c r="M7" s="35"/>
      <c r="N7" s="35"/>
    </row>
    <row r="8" spans="2:17" ht="28.5" customHeight="1">
      <c r="B8" s="562"/>
      <c r="C8" s="532" t="s">
        <v>94</v>
      </c>
      <c r="D8" s="533"/>
      <c r="E8" s="538">
        <f>AVERAGE(D15:M15)</f>
        <v>0.95760069496086331</v>
      </c>
      <c r="F8" s="539">
        <f>AVERAGE(D15:J15,D29:O29)</f>
        <v>0.95817408977200935</v>
      </c>
      <c r="G8" s="540">
        <f>AVERAGE(D15:J15)</f>
        <v>0.95817408977200935</v>
      </c>
      <c r="H8" s="541"/>
      <c r="I8" s="540">
        <f>AVERAGE(K15:M15)</f>
        <v>0.9562627737348558</v>
      </c>
      <c r="J8" s="541"/>
      <c r="K8" s="36" t="s">
        <v>2136</v>
      </c>
      <c r="L8" s="35"/>
      <c r="M8" s="35"/>
      <c r="N8" s="35"/>
    </row>
    <row r="9" spans="2:17" ht="28.5" customHeight="1" thickBot="1">
      <c r="H9" s="38"/>
      <c r="N9" s="35"/>
      <c r="O9" s="35"/>
      <c r="P9" s="35"/>
      <c r="Q9" s="35"/>
    </row>
    <row r="10" spans="2:17" ht="30" customHeight="1">
      <c r="B10" s="515" t="s">
        <v>2137</v>
      </c>
      <c r="C10" s="516"/>
      <c r="D10" s="517" t="s">
        <v>2138</v>
      </c>
      <c r="E10" s="518"/>
      <c r="F10" s="518"/>
      <c r="G10" s="518"/>
      <c r="H10" s="518"/>
      <c r="I10" s="518"/>
      <c r="J10" s="519"/>
      <c r="K10" s="520" t="s">
        <v>2139</v>
      </c>
      <c r="L10" s="521"/>
      <c r="M10" s="522"/>
      <c r="P10" s="39"/>
      <c r="Q10" s="39"/>
    </row>
    <row r="11" spans="2:17" ht="17.25" customHeight="1">
      <c r="B11" s="523" t="s">
        <v>2140</v>
      </c>
      <c r="C11" s="524"/>
      <c r="D11" s="40">
        <v>1</v>
      </c>
      <c r="E11" s="41">
        <v>2</v>
      </c>
      <c r="F11" s="41">
        <v>3</v>
      </c>
      <c r="G11" s="41">
        <v>4</v>
      </c>
      <c r="H11" s="41">
        <v>5</v>
      </c>
      <c r="I11" s="41">
        <v>6</v>
      </c>
      <c r="J11" s="42">
        <v>7</v>
      </c>
      <c r="K11" s="40">
        <v>1</v>
      </c>
      <c r="L11" s="41">
        <v>2</v>
      </c>
      <c r="M11" s="42">
        <v>3</v>
      </c>
      <c r="P11" s="39"/>
      <c r="Q11" s="39"/>
    </row>
    <row r="12" spans="2:17" ht="34.15" customHeight="1">
      <c r="B12" s="525"/>
      <c r="C12" s="526"/>
      <c r="D12" s="43" t="s">
        <v>96</v>
      </c>
      <c r="E12" s="44" t="s">
        <v>97</v>
      </c>
      <c r="F12" s="44" t="s">
        <v>98</v>
      </c>
      <c r="G12" s="44" t="s">
        <v>99</v>
      </c>
      <c r="H12" s="44" t="s">
        <v>100</v>
      </c>
      <c r="I12" s="44" t="s">
        <v>101</v>
      </c>
      <c r="J12" s="45" t="s">
        <v>102</v>
      </c>
      <c r="K12" s="43" t="s">
        <v>103</v>
      </c>
      <c r="L12" s="44" t="s">
        <v>104</v>
      </c>
      <c r="M12" s="45" t="s">
        <v>105</v>
      </c>
    </row>
    <row r="13" spans="2:17" ht="40.15" customHeight="1">
      <c r="B13" s="527" t="s">
        <v>2141</v>
      </c>
      <c r="C13" s="46" t="s">
        <v>2142</v>
      </c>
      <c r="D13" s="47">
        <f>SUMIFS('1029 4度C'!$K:$K,'1029 4度C'!$A:$A,"新豐6線",'1029 4度C'!$B:$B,"平均")</f>
        <v>125</v>
      </c>
      <c r="E13" s="48">
        <f>SUMIFS('1029 4度C'!$K:$K,'1029 4度C'!$A:$A,"新豐2線",'1029 4度C'!$B:$B,"平均")</f>
        <v>81.081081081081081</v>
      </c>
      <c r="F13" s="49">
        <f>SUMIFS('1029 4度C'!$K:$K,'1029 4度C'!$A:$A,"新豐5線",'1029 4度C'!$B:$B,"平均")</f>
        <v>91.397849462365585</v>
      </c>
      <c r="G13" s="49">
        <f>SUMIFS('1029 4度C'!$K:$K,'1029 4度C'!$A:$A,"新豐7線",'1029 4度C'!$B:$B,"平均")</f>
        <v>123.71134020618555</v>
      </c>
      <c r="H13" s="49">
        <f>SUMIFS('1029 4度C'!$K:$K,'1029 4度C'!$A:$A,"新豐3線",'1029 4度C'!$B:$B,"平均")</f>
        <v>269.23076923076923</v>
      </c>
      <c r="I13" s="49">
        <f>SUMIFS('1029 4度C'!$K:$K,'1029 4度C'!$A:$A,"新豐1線",'1029 4度C'!$B:$B,"平均")</f>
        <v>112.24489795918367</v>
      </c>
      <c r="J13" s="50">
        <f>SUMIFS('1029 4度C'!$K:$K,'1029 4度C'!$A:$A,"新豐10線",'1029 4度C'!$B:$B,"平均")</f>
        <v>279.66101694915255</v>
      </c>
      <c r="K13" s="51">
        <f>SUMIFS('1029 4度C'!$K:$K,'1029 4度C'!$A:$A,"新豐8線",'1029 4度C'!$B:$B,"平均")</f>
        <v>135.48387096774192</v>
      </c>
      <c r="L13" s="52">
        <f>SUMIFS('1029 4度C'!$K:$K,'1029 4度C'!$A:$A,"新豐9線",'1029 4度C'!$B:$B,"平均")</f>
        <v>139.13043478260869</v>
      </c>
      <c r="M13" s="50">
        <f>SUMIFS('1029 4度C'!$K:$K,'1029 4度C'!$A:$A,"新豐4線",'1029 4度C'!$B:$B,"平均")</f>
        <v>138.72832369942196</v>
      </c>
    </row>
    <row r="14" spans="2:17" ht="39.6" customHeight="1">
      <c r="B14" s="528"/>
      <c r="C14" s="53" t="s">
        <v>2143</v>
      </c>
      <c r="D14" s="54">
        <f>SUMIFS('1029 4度C'!$N:$N,'1029 4度C'!$A:$A,"新豐6線",'1029 4度C'!$B:$B,"平均")</f>
        <v>119.95148401826479</v>
      </c>
      <c r="E14" s="55">
        <f>SUMIFS('1029 4度C'!$N:$N,'1029 4度C'!$A:$A,"新豐2線",'1029 4度C'!$B:$B,"平均")</f>
        <v>77.523441809156097</v>
      </c>
      <c r="F14" s="55">
        <f>SUMIFS('1029 4度C'!$N:$N,'1029 4度C'!$A:$A,"新豐5線",'1029 4度C'!$B:$B,"平均")</f>
        <v>87.346880929225748</v>
      </c>
      <c r="G14" s="55">
        <f>SUMIFS('1029 4度C'!$N:$N,'1029 4度C'!$A:$A,"新豐7線",'1029 4度C'!$B:$B,"平均")</f>
        <v>118.85255596548116</v>
      </c>
      <c r="H14" s="55">
        <f>SUMIFS('1029 4度C'!$N:$N,'1029 4度C'!$A:$A,"新豐3線",'1029 4度C'!$B:$B,"平均")</f>
        <v>257.8705586535097</v>
      </c>
      <c r="I14" s="55">
        <f>SUMIFS('1029 4度C'!$N:$N,'1029 4度C'!$A:$A,"新豐1線",'1029 4度C'!$B:$B,"平均")</f>
        <v>107.41039888704796</v>
      </c>
      <c r="J14" s="56">
        <f>SUMIFS('1029 4度C'!$N:$N,'1029 4度C'!$A:$A,"新豐10線",'1029 4度C'!$B:$B,"平均")</f>
        <v>268.57187064117488</v>
      </c>
      <c r="K14" s="57">
        <f>SUMIFS('1029 4度C'!$N:$N,'1029 4度C'!$A:$A,"新豐8線",'1029 4度C'!$B:$B,"平均")</f>
        <v>129.47625525298875</v>
      </c>
      <c r="L14" s="58">
        <f>SUMIFS('1029 4度C'!$N:$N,'1029 4度C'!$A:$A,"新豐9線",'1029 4度C'!$B:$B,"平均")</f>
        <v>132.96707314216911</v>
      </c>
      <c r="M14" s="56">
        <f>SUMIFS('1029 4度C'!$N:$N,'1029 4度C'!$A:$A,"新豐4線",'1029 4度C'!$B:$B,"平均")</f>
        <v>132.82257690296612</v>
      </c>
    </row>
    <row r="15" spans="2:17" ht="40.15" customHeight="1">
      <c r="B15" s="529"/>
      <c r="C15" s="59" t="s">
        <v>2144</v>
      </c>
      <c r="D15" s="60">
        <f t="shared" ref="D15:M15" si="0">D14/D13</f>
        <v>0.95961187214611832</v>
      </c>
      <c r="E15" s="61">
        <f t="shared" si="0"/>
        <v>0.95612244897959187</v>
      </c>
      <c r="F15" s="61">
        <f t="shared" si="0"/>
        <v>0.95567763840211706</v>
      </c>
      <c r="G15" s="61">
        <f t="shared" si="0"/>
        <v>0.96072482738763942</v>
      </c>
      <c r="H15" s="61">
        <f t="shared" si="0"/>
        <v>0.95780493214160745</v>
      </c>
      <c r="I15" s="61">
        <f t="shared" si="0"/>
        <v>0.95692900826642724</v>
      </c>
      <c r="J15" s="62">
        <f t="shared" si="0"/>
        <v>0.96034790108056467</v>
      </c>
      <c r="K15" s="60">
        <f t="shared" si="0"/>
        <v>0.95565807448634565</v>
      </c>
      <c r="L15" s="61">
        <f t="shared" si="0"/>
        <v>0.9557008382093406</v>
      </c>
      <c r="M15" s="62">
        <f t="shared" si="0"/>
        <v>0.95742940850888081</v>
      </c>
    </row>
    <row r="16" spans="2:17" ht="17.25" customHeight="1">
      <c r="B16" s="530" t="s">
        <v>2145</v>
      </c>
      <c r="C16" s="63" t="s">
        <v>2146</v>
      </c>
      <c r="D16" s="284">
        <f>VLOOKUP("新豐6線",'1029 4度C'!$A:$T,19,0)</f>
        <v>0.70833333333333337</v>
      </c>
      <c r="E16" s="285">
        <f>VLOOKUP("新豐2線",'1029 4度C'!$A:$T,19,0)</f>
        <v>0.20833333333333334</v>
      </c>
      <c r="F16" s="285">
        <f>VLOOKUP("新豐5線",'1029 4度C'!$A:$T,19,0)</f>
        <v>0.125</v>
      </c>
      <c r="G16" s="285">
        <f>VLOOKUP("新豐7線",'1029 4度C'!$A:$T,19,0)</f>
        <v>0.20833333333333334</v>
      </c>
      <c r="H16" s="285">
        <f>VLOOKUP("新豐3線",'1029 4度C'!$A:$T,19,0)</f>
        <v>8.3333333333333329E-2</v>
      </c>
      <c r="I16" s="285">
        <f>VLOOKUP("新豐1線",'1029 4度C'!$A:$T,19,0)</f>
        <v>0.20833333333333334</v>
      </c>
      <c r="J16" s="286">
        <f>VLOOKUP("新豐10線",'1029 4度C'!$A:$T,19,0)</f>
        <v>0.20833333333333334</v>
      </c>
      <c r="K16" s="66">
        <f>VLOOKUP("新豐8線",'1029 4度C'!$A:$T,19,0)</f>
        <v>8.3333333333333329E-2</v>
      </c>
      <c r="L16" s="67">
        <f>VLOOKUP("新豐9線",'1029 4度C'!$A:$T,19,0)</f>
        <v>8.3333333333333329E-2</v>
      </c>
      <c r="M16" s="68">
        <f>VLOOKUP("新豐4線",'1029 4度C'!$A:$T,19,0)</f>
        <v>8.3333333333333329E-2</v>
      </c>
    </row>
    <row r="17" spans="2:13" ht="17.25" customHeight="1">
      <c r="B17" s="531"/>
      <c r="C17" s="63" t="s">
        <v>2147</v>
      </c>
      <c r="D17" s="66">
        <f>LOOKUP(2,1/(('1029 4度C'!$A:$A="新豐6線")*('1029 4度C'!$T:$T&lt;&gt;"")),'1029 4度C'!$T:$T)</f>
        <v>0.83194444444444449</v>
      </c>
      <c r="E17" s="285">
        <f>LOOKUP(2,1/(('1029 4度C'!$A:$A="新豐2線")*('1029 4度C'!$T:$T&lt;&gt;"")),'1029 4度C'!$T:$T)</f>
        <v>0.48124999999999996</v>
      </c>
      <c r="F17" s="285">
        <f>LOOKUP(2,1/(('1029 4度C'!$A:$A="新豐5線")*('1029 4度C'!$T:$T&lt;&gt;"")),'1029 4度C'!$T:$T)</f>
        <v>0.84166666666666667</v>
      </c>
      <c r="G17" s="285">
        <f>LOOKUP(2,1/(('1029 4度C'!$A:$A="新豐7線")*('1029 4度C'!$T:$T&lt;&gt;"")),'1029 4度C'!$T:$T)</f>
        <v>0.91388888888888897</v>
      </c>
      <c r="H17" s="285">
        <f>LOOKUP(2,1/(('1029 4度C'!$A:$A="新豐3線")*('1029 4度C'!$T:$T&lt;&gt;"")),'1029 4度C'!$T:$T)</f>
        <v>0.67847222222222203</v>
      </c>
      <c r="I17" s="285">
        <f>LOOKUP(2,1/(('1029 4度C'!$A:$A="新豐1線")*('1029 4度C'!$T:$T&lt;&gt;"")),'1029 4度C'!$T:$T)</f>
        <v>0.99097222222222214</v>
      </c>
      <c r="J17" s="286">
        <f>LOOKUP(2,1/(('1029 4度C'!$A:$A="新豐10線")*('1029 4度C'!$T:$T&lt;&gt;"")),'1029 4度C'!$T:$T)</f>
        <v>0.57638888888888884</v>
      </c>
      <c r="K17" s="284">
        <f>LOOKUP(2,1/(('1029 4度C'!$A:$A="新豐8線")*('1029 4度C'!$T:$T&lt;&gt;"")),'1029 4度C'!$T:$T)</f>
        <v>0.70486111111111105</v>
      </c>
      <c r="L17" s="285">
        <f>LOOKUP(2,1/(('1029 4度C'!$A:$A="新豐9線")*('1029 4度C'!$T:$T&lt;&gt;"")),'1029 4度C'!$T:$T)</f>
        <v>0.73888888888888871</v>
      </c>
      <c r="M17" s="286">
        <f>LOOKUP(2,1/(('1029 4度C'!$A:$A="新豐4線")*('1029 4度C'!$T:$T&lt;&gt;"")),'1029 4度C'!$T:$T)</f>
        <v>0.73819444444444426</v>
      </c>
    </row>
    <row r="18" spans="2:13" ht="17.25" customHeight="1">
      <c r="B18" s="509" t="s">
        <v>108</v>
      </c>
      <c r="C18" s="510"/>
      <c r="D18" s="69">
        <f>SUMIFS('1029 4度C'!$I:$I,'1029 4度C'!$A:$A,"新豐6線",'1029 4度C'!$B:$B,"平均")</f>
        <v>16</v>
      </c>
      <c r="E18" s="70">
        <f>SUMIFS('1029 4度C'!$I:$I,'1029 4度C'!$A:$A,"新豐2線",'1029 4度C'!$B:$B,"平均")</f>
        <v>18.5</v>
      </c>
      <c r="F18" s="70">
        <f>SUMIFS('1029 4度C'!$I:$I,'1029 4度C'!$A:$A,"新豐5線",'1029 4度C'!$B:$B,"平均")</f>
        <v>18.600000000000001</v>
      </c>
      <c r="G18" s="70">
        <f>SUMIFS('1029 4度C'!$I:$I,'1029 4度C'!$A:$A,"新豐7線",'1029 4度C'!$B:$B,"平均")</f>
        <v>16.166666666666668</v>
      </c>
      <c r="H18" s="70">
        <f>SUMIFS('1029 4度C'!$I:$I,'1029 4度C'!$A:$A,"新豐3線",'1029 4度C'!$B:$B,"平均")</f>
        <v>10.4</v>
      </c>
      <c r="I18" s="70">
        <f>SUMIFS('1029 4度C'!$I:$I,'1029 4度C'!$A:$A,"新豐1線",'1029 4度C'!$B:$B,"平均")</f>
        <v>16.333333333333332</v>
      </c>
      <c r="J18" s="71">
        <f>SUMIFS('1029 4度C'!$I:$I,'1029 4度C'!$A:$A,"新豐10線",'1029 4度C'!$B:$B,"平均")</f>
        <v>9.8333333333333339</v>
      </c>
      <c r="K18" s="69">
        <f>SUMIFS('1029 4度C'!$I:$I,'1029 4度C'!$A:$A,"新豐8線",'1029 4度C'!$B:$B,"平均")</f>
        <v>17.714285714285715</v>
      </c>
      <c r="L18" s="70">
        <f>SUMIFS('1029 4度C'!$I:$I,'1029 4度C'!$A:$A,"新豐9線",'1029 4度C'!$B:$B,"平均")</f>
        <v>17.25</v>
      </c>
      <c r="M18" s="71">
        <f>SUMIFS('1029 4度C'!$I:$I,'1029 4度C'!$A:$A,"新豐4線",'1029 4度C'!$B:$B,"平均")</f>
        <v>17.3</v>
      </c>
    </row>
    <row r="19" spans="2:13" ht="17.25" customHeight="1">
      <c r="B19" s="509" t="s">
        <v>2148</v>
      </c>
      <c r="C19" s="510"/>
      <c r="D19" s="72" t="s">
        <v>109</v>
      </c>
      <c r="E19" s="73" t="s">
        <v>110</v>
      </c>
      <c r="F19" s="73" t="s">
        <v>2149</v>
      </c>
      <c r="G19" s="73" t="s">
        <v>2150</v>
      </c>
      <c r="H19" s="73" t="s">
        <v>111</v>
      </c>
      <c r="I19" s="73" t="s">
        <v>109</v>
      </c>
      <c r="J19" s="74" t="s">
        <v>111</v>
      </c>
      <c r="K19" s="72" t="s">
        <v>2151</v>
      </c>
      <c r="L19" s="73" t="s">
        <v>2151</v>
      </c>
      <c r="M19" s="74" t="s">
        <v>2152</v>
      </c>
    </row>
    <row r="20" spans="2:13" ht="17.25" customHeight="1">
      <c r="B20" s="509" t="s">
        <v>2153</v>
      </c>
      <c r="C20" s="510"/>
      <c r="D20" s="72"/>
      <c r="E20" s="73"/>
      <c r="F20" s="73" t="s">
        <v>2154</v>
      </c>
      <c r="G20" s="73" t="s">
        <v>109</v>
      </c>
      <c r="H20" s="73"/>
      <c r="I20" s="73"/>
      <c r="J20" s="74"/>
      <c r="K20" s="72"/>
      <c r="L20" s="73"/>
      <c r="M20" s="74"/>
    </row>
    <row r="21" spans="2:13" ht="17.25" customHeight="1" thickBot="1">
      <c r="B21" s="511" t="s">
        <v>2155</v>
      </c>
      <c r="C21" s="512"/>
      <c r="D21" s="75"/>
      <c r="E21" s="76" t="s">
        <v>142</v>
      </c>
      <c r="F21" s="513" t="s">
        <v>2156</v>
      </c>
      <c r="G21" s="514"/>
      <c r="H21" s="76" t="s">
        <v>2157</v>
      </c>
      <c r="I21" s="76" t="s">
        <v>2158</v>
      </c>
      <c r="J21" s="77" t="s">
        <v>2157</v>
      </c>
      <c r="K21" s="78"/>
      <c r="L21" s="76"/>
      <c r="M21" s="77"/>
    </row>
    <row r="22" spans="2:13" ht="17.25" customHeight="1"/>
    <row r="23" spans="2:13" ht="17.25" customHeight="1"/>
    <row r="24" spans="2:13" ht="17.25" customHeight="1"/>
    <row r="25" spans="2:13" ht="37.5" customHeight="1"/>
    <row r="26" spans="2:13" ht="35.25" customHeight="1"/>
    <row r="27" spans="2:13" ht="35.25" customHeight="1"/>
    <row r="28" spans="2:13" ht="39.75" customHeight="1"/>
  </sheetData>
  <mergeCells count="36">
    <mergeCell ref="B20:C20"/>
    <mergeCell ref="B21:C21"/>
    <mergeCell ref="F21:G21"/>
    <mergeCell ref="K10:M10"/>
    <mergeCell ref="B11:C12"/>
    <mergeCell ref="B13:B15"/>
    <mergeCell ref="B18:C18"/>
    <mergeCell ref="B19:C19"/>
    <mergeCell ref="I6:J6"/>
    <mergeCell ref="B16:B17"/>
    <mergeCell ref="C7:D7"/>
    <mergeCell ref="E7:F7"/>
    <mergeCell ref="G7:H7"/>
    <mergeCell ref="I7:J7"/>
    <mergeCell ref="C8:D8"/>
    <mergeCell ref="E8:F8"/>
    <mergeCell ref="G8:H8"/>
    <mergeCell ref="I8:J8"/>
    <mergeCell ref="B10:C10"/>
    <mergeCell ref="D10:J10"/>
    <mergeCell ref="B1:J2"/>
    <mergeCell ref="C3:D3"/>
    <mergeCell ref="F3:G3"/>
    <mergeCell ref="I3:J3"/>
    <mergeCell ref="B4:B8"/>
    <mergeCell ref="C4:D4"/>
    <mergeCell ref="E4:F4"/>
    <mergeCell ref="G4:H4"/>
    <mergeCell ref="I4:J4"/>
    <mergeCell ref="C5:D5"/>
    <mergeCell ref="E5:F5"/>
    <mergeCell ref="G5:H5"/>
    <mergeCell ref="I5:J5"/>
    <mergeCell ref="C6:D6"/>
    <mergeCell ref="E6:F6"/>
    <mergeCell ref="G6:H6"/>
  </mergeCells>
  <phoneticPr fontId="3" type="noConversion"/>
  <conditionalFormatting sqref="D15:M15">
    <cfRule type="cellIs" dxfId="1861" priority="1" operator="lessThan">
      <formula>0.8</formula>
    </cfRule>
  </conditionalFormatting>
  <pageMargins left="0.7" right="0.7" top="0.75" bottom="0.75" header="0.3" footer="0.3"/>
  <pageSetup paperSize="9" orientation="portrait" horizontalDpi="300" verticalDpi="300"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工作表13">
    <pageSetUpPr fitToPage="1"/>
  </sheetPr>
  <dimension ref="A1:AC78"/>
  <sheetViews>
    <sheetView zoomScale="80" zoomScaleNormal="80" workbookViewId="0">
      <pane ySplit="4" topLeftCell="A5" activePane="bottomLeft" state="frozen"/>
      <selection activeCell="A12" sqref="A12"/>
      <selection pane="bottomLeft" activeCell="A3" sqref="A3:A4"/>
    </sheetView>
  </sheetViews>
  <sheetFormatPr defaultColWidth="8" defaultRowHeight="15.75"/>
  <cols>
    <col min="1" max="1" width="15.125" style="291" customWidth="1"/>
    <col min="2" max="2" width="19.375" style="291" customWidth="1"/>
    <col min="3" max="3" width="15.25" style="291" customWidth="1"/>
    <col min="4" max="4" width="17.5" style="291" customWidth="1"/>
    <col min="5" max="5" width="7.5" style="291" bestFit="1" customWidth="1"/>
    <col min="6" max="6" width="14.375" style="291" bestFit="1" customWidth="1"/>
    <col min="7" max="7" width="14.375" style="291" customWidth="1"/>
    <col min="8" max="8" width="8" style="291" customWidth="1"/>
    <col min="9" max="9" width="5.875" style="291" customWidth="1"/>
    <col min="10" max="10" width="10.625" style="291" customWidth="1"/>
    <col min="11" max="11" width="14.625" style="291" customWidth="1"/>
    <col min="12" max="12" width="7.25" style="291" bestFit="1" customWidth="1"/>
    <col min="13" max="13" width="8" style="291" customWidth="1"/>
    <col min="14" max="14" width="12" style="291" customWidth="1"/>
    <col min="15" max="15" width="6" style="291" customWidth="1"/>
    <col min="16" max="16" width="9.25" style="291" customWidth="1"/>
    <col min="17" max="17" width="11.5" style="291" customWidth="1"/>
    <col min="18" max="18" width="8.5" style="291" customWidth="1"/>
    <col min="19" max="19" width="10.125" style="291" bestFit="1" customWidth="1"/>
    <col min="20" max="20" width="7.625" style="291" bestFit="1" customWidth="1"/>
    <col min="21" max="21" width="10.25" style="291" bestFit="1" customWidth="1"/>
    <col min="22" max="22" width="8.75" style="325" customWidth="1"/>
    <col min="23" max="23" width="7.375" style="291" customWidth="1"/>
    <col min="24" max="24" width="6.875" style="291" bestFit="1" customWidth="1"/>
    <col min="25" max="25" width="12.75" style="291" customWidth="1"/>
    <col min="26" max="26" width="18.875" style="291" customWidth="1"/>
    <col min="27" max="27" width="13.125" style="291" bestFit="1" customWidth="1"/>
    <col min="28" max="28" width="10.375" style="291" customWidth="1"/>
    <col min="29" max="29" width="9.375" style="291" customWidth="1"/>
    <col min="30" max="30" width="8" style="291"/>
    <col min="31" max="31" width="24.625" style="291" bestFit="1" customWidth="1"/>
    <col min="32" max="16384" width="8" style="291"/>
  </cols>
  <sheetData>
    <row r="1" spans="1:29" ht="26.25" customHeight="1">
      <c r="A1" s="287" t="s">
        <v>2159</v>
      </c>
      <c r="B1" s="287"/>
      <c r="C1" s="288" t="s">
        <v>2160</v>
      </c>
      <c r="D1" s="289">
        <f>SUM(F5:F77)</f>
        <v>200992</v>
      </c>
      <c r="E1" s="470" t="s">
        <v>2161</v>
      </c>
      <c r="F1" s="287">
        <f>SUM(G5:G77)</f>
        <v>6670578.6099999994</v>
      </c>
      <c r="G1" s="287" t="s">
        <v>2162</v>
      </c>
      <c r="H1" s="290">
        <f>L8+L11+L52+L59+L17+L66+L32+L41+L24+L77</f>
        <v>158.09761904761905</v>
      </c>
      <c r="I1" s="611" t="s">
        <v>2163</v>
      </c>
      <c r="J1" s="611"/>
      <c r="K1" s="611"/>
      <c r="L1" s="611" t="s">
        <v>2164</v>
      </c>
      <c r="M1" s="611"/>
      <c r="N1" s="611"/>
      <c r="O1" s="611" t="s">
        <v>2165</v>
      </c>
      <c r="P1" s="611"/>
      <c r="Q1" s="611"/>
      <c r="R1" s="611"/>
      <c r="S1" s="611" t="s">
        <v>2166</v>
      </c>
      <c r="T1" s="611"/>
      <c r="U1" s="611"/>
      <c r="V1" s="611"/>
      <c r="W1" s="611"/>
      <c r="X1" s="611"/>
      <c r="Y1" s="611" t="s">
        <v>2167</v>
      </c>
      <c r="Z1" s="611"/>
      <c r="AA1" s="611" t="s">
        <v>2168</v>
      </c>
      <c r="AB1" s="612"/>
      <c r="AC1" s="612"/>
    </row>
    <row r="2" spans="1:29" ht="26.25" customHeight="1">
      <c r="A2" s="292">
        <v>45959</v>
      </c>
      <c r="B2" s="293" t="s">
        <v>34</v>
      </c>
      <c r="C2" s="288" t="s">
        <v>2169</v>
      </c>
      <c r="D2" s="294">
        <f>AVERAGE(N8,N11,N52,N59,N17,N66,N24,N32,N41,N77)</f>
        <v>143.27930962019843</v>
      </c>
      <c r="E2" s="295" t="s">
        <v>2</v>
      </c>
      <c r="F2" s="296">
        <f>F1/D1</f>
        <v>33.1882791852412</v>
      </c>
      <c r="G2" s="287" t="s">
        <v>2170</v>
      </c>
      <c r="H2" s="479">
        <f>COUNT(H5:H77)</f>
        <v>14</v>
      </c>
      <c r="I2" s="611"/>
      <c r="J2" s="611"/>
      <c r="K2" s="611"/>
      <c r="L2" s="611"/>
      <c r="M2" s="611"/>
      <c r="N2" s="611"/>
      <c r="O2" s="611"/>
      <c r="P2" s="611"/>
      <c r="Q2" s="611"/>
      <c r="R2" s="611"/>
      <c r="S2" s="611"/>
      <c r="T2" s="611"/>
      <c r="U2" s="611"/>
      <c r="V2" s="611"/>
      <c r="W2" s="611"/>
      <c r="X2" s="611"/>
      <c r="Y2" s="611"/>
      <c r="Z2" s="611"/>
      <c r="AA2" s="612"/>
      <c r="AB2" s="612"/>
      <c r="AC2" s="612"/>
    </row>
    <row r="3" spans="1:29" ht="23.25" customHeight="1">
      <c r="A3" s="570" t="s">
        <v>2171</v>
      </c>
      <c r="B3" s="570" t="s">
        <v>2172</v>
      </c>
      <c r="C3" s="570" t="s">
        <v>2173</v>
      </c>
      <c r="D3" s="570"/>
      <c r="E3" s="609" t="s">
        <v>2174</v>
      </c>
      <c r="F3" s="570" t="s">
        <v>2175</v>
      </c>
      <c r="G3" s="609" t="s">
        <v>2176</v>
      </c>
      <c r="H3" s="602" t="s">
        <v>2177</v>
      </c>
      <c r="I3" s="600" t="s">
        <v>2178</v>
      </c>
      <c r="J3" s="605" t="s">
        <v>2179</v>
      </c>
      <c r="K3" s="607" t="s">
        <v>2169</v>
      </c>
      <c r="L3" s="600" t="s">
        <v>2178</v>
      </c>
      <c r="M3" s="605" t="s">
        <v>2179</v>
      </c>
      <c r="N3" s="607" t="s">
        <v>2169</v>
      </c>
      <c r="O3" s="600" t="s">
        <v>2178</v>
      </c>
      <c r="P3" s="607" t="s">
        <v>2169</v>
      </c>
      <c r="Q3" s="606" t="s">
        <v>2180</v>
      </c>
      <c r="R3" s="578" t="s">
        <v>2181</v>
      </c>
      <c r="S3" s="570" t="s">
        <v>14</v>
      </c>
      <c r="T3" s="570"/>
      <c r="U3" s="602" t="s">
        <v>15</v>
      </c>
      <c r="V3" s="602" t="s">
        <v>2182</v>
      </c>
      <c r="W3" s="570" t="s">
        <v>2183</v>
      </c>
      <c r="X3" s="570"/>
      <c r="Y3" s="603" t="s">
        <v>2184</v>
      </c>
      <c r="Z3" s="604"/>
      <c r="AA3" s="605" t="s">
        <v>2179</v>
      </c>
      <c r="AB3" s="606" t="s">
        <v>2180</v>
      </c>
      <c r="AC3" s="578" t="s">
        <v>2181</v>
      </c>
    </row>
    <row r="4" spans="1:29">
      <c r="A4" s="570"/>
      <c r="B4" s="570"/>
      <c r="C4" s="570"/>
      <c r="D4" s="570"/>
      <c r="E4" s="610"/>
      <c r="F4" s="570"/>
      <c r="G4" s="610"/>
      <c r="H4" s="602"/>
      <c r="I4" s="600"/>
      <c r="J4" s="605"/>
      <c r="K4" s="607"/>
      <c r="L4" s="600"/>
      <c r="M4" s="605"/>
      <c r="N4" s="607"/>
      <c r="O4" s="600"/>
      <c r="P4" s="607"/>
      <c r="Q4" s="606"/>
      <c r="R4" s="578"/>
      <c r="S4" s="470" t="s">
        <v>18</v>
      </c>
      <c r="T4" s="470" t="s">
        <v>19</v>
      </c>
      <c r="U4" s="602"/>
      <c r="V4" s="602"/>
      <c r="W4" s="470" t="s">
        <v>2185</v>
      </c>
      <c r="X4" s="470" t="s">
        <v>2186</v>
      </c>
      <c r="Y4" s="604"/>
      <c r="Z4" s="604"/>
      <c r="AA4" s="605"/>
      <c r="AB4" s="606"/>
      <c r="AC4" s="578"/>
    </row>
    <row r="5" spans="1:29">
      <c r="A5" s="599" t="s">
        <v>2187</v>
      </c>
      <c r="B5" s="300" t="s">
        <v>36</v>
      </c>
      <c r="C5" s="601" t="s">
        <v>37</v>
      </c>
      <c r="D5" s="601"/>
      <c r="E5" s="300">
        <v>46.93</v>
      </c>
      <c r="F5" s="480">
        <v>1032</v>
      </c>
      <c r="G5" s="470">
        <f t="shared" ref="G5:G7" si="0">E5*F5</f>
        <v>48431.76</v>
      </c>
      <c r="H5" s="481" t="s">
        <v>35</v>
      </c>
      <c r="I5" s="477">
        <v>16</v>
      </c>
      <c r="J5" s="303">
        <v>2000</v>
      </c>
      <c r="K5" s="304">
        <f t="shared" ref="K5:K68" si="1">J5/I5</f>
        <v>125</v>
      </c>
      <c r="L5" s="477">
        <v>16</v>
      </c>
      <c r="M5" s="305">
        <f t="shared" ref="M5:M7" si="2">F5/V5*60</f>
        <v>1934.9999999999975</v>
      </c>
      <c r="N5" s="304">
        <f t="shared" ref="N5:N68" si="3">M5/L5</f>
        <v>120.93749999999984</v>
      </c>
      <c r="O5" s="306">
        <f t="shared" ref="O5:O68" si="4">L5-I5</f>
        <v>0</v>
      </c>
      <c r="P5" s="307">
        <f t="shared" ref="P5:P68" si="5">N5-K5</f>
        <v>-4.0625000000001563</v>
      </c>
      <c r="Q5" s="473">
        <f t="shared" ref="Q5:Q68" si="6">N5/K5</f>
        <v>0.96749999999999869</v>
      </c>
      <c r="R5" s="571">
        <f>Q8</f>
        <v>0.95961187214611832</v>
      </c>
      <c r="S5" s="308">
        <v>0.70833333333333337</v>
      </c>
      <c r="T5" s="308">
        <v>0.73055555555555562</v>
      </c>
      <c r="U5" s="470"/>
      <c r="V5" s="478">
        <f t="shared" ref="V5:V7" si="7">(T5-S5)*24*60</f>
        <v>32.000000000000043</v>
      </c>
      <c r="W5" s="310"/>
      <c r="X5" s="311"/>
      <c r="Y5" s="570"/>
      <c r="Z5" s="570"/>
      <c r="AA5" s="306">
        <f t="shared" ref="AA5:AA68" si="8">M5-J5</f>
        <v>-65.000000000002501</v>
      </c>
      <c r="AB5" s="473">
        <f t="shared" ref="AB5:AB68" si="9">M5/J5</f>
        <v>0.96749999999999869</v>
      </c>
      <c r="AC5" s="571">
        <f>AB8</f>
        <v>0.95961187214611832</v>
      </c>
    </row>
    <row r="6" spans="1:29">
      <c r="A6" s="600" t="s">
        <v>2188</v>
      </c>
      <c r="B6" s="300" t="s">
        <v>36</v>
      </c>
      <c r="C6" s="601" t="s">
        <v>38</v>
      </c>
      <c r="D6" s="601"/>
      <c r="E6" s="300">
        <v>50.49</v>
      </c>
      <c r="F6" s="480">
        <v>2321</v>
      </c>
      <c r="G6" s="470">
        <f t="shared" si="0"/>
        <v>117187.29000000001</v>
      </c>
      <c r="H6" s="481" t="s">
        <v>35</v>
      </c>
      <c r="I6" s="477">
        <v>15</v>
      </c>
      <c r="J6" s="303">
        <v>2000</v>
      </c>
      <c r="K6" s="304">
        <f t="shared" si="1"/>
        <v>133.33333333333334</v>
      </c>
      <c r="L6" s="477">
        <v>15</v>
      </c>
      <c r="M6" s="305">
        <f t="shared" si="2"/>
        <v>1907.6712328767107</v>
      </c>
      <c r="N6" s="304">
        <f t="shared" si="3"/>
        <v>127.17808219178072</v>
      </c>
      <c r="O6" s="306">
        <f t="shared" si="4"/>
        <v>0</v>
      </c>
      <c r="P6" s="307">
        <f t="shared" si="5"/>
        <v>-6.1552511415526254</v>
      </c>
      <c r="Q6" s="473">
        <f t="shared" si="6"/>
        <v>0.95383561643835535</v>
      </c>
      <c r="R6" s="571"/>
      <c r="S6" s="308">
        <v>0.73541666666666672</v>
      </c>
      <c r="T6" s="308">
        <v>0.7861111111111112</v>
      </c>
      <c r="U6" s="470">
        <f t="shared" ref="U6:U7" si="10">IF(S6=TIME(17,0,0),"",(S6-T5)*24*60)</f>
        <v>6.9999999999999751</v>
      </c>
      <c r="V6" s="478">
        <f t="shared" si="7"/>
        <v>73.000000000000057</v>
      </c>
      <c r="W6" s="310"/>
      <c r="X6" s="310"/>
      <c r="Y6" s="570"/>
      <c r="Z6" s="570"/>
      <c r="AA6" s="306">
        <f t="shared" si="8"/>
        <v>-92.328767123289254</v>
      </c>
      <c r="AB6" s="473">
        <f t="shared" si="9"/>
        <v>0.95383561643835535</v>
      </c>
      <c r="AC6" s="571"/>
    </row>
    <row r="7" spans="1:29">
      <c r="A7" s="600" t="s">
        <v>2189</v>
      </c>
      <c r="B7" s="300" t="s">
        <v>36</v>
      </c>
      <c r="C7" s="594" t="s">
        <v>39</v>
      </c>
      <c r="D7" s="595"/>
      <c r="E7" s="300">
        <v>50.67</v>
      </c>
      <c r="F7" s="480">
        <v>1915</v>
      </c>
      <c r="G7" s="470">
        <f t="shared" si="0"/>
        <v>97033.05</v>
      </c>
      <c r="H7" s="481" t="s">
        <v>35</v>
      </c>
      <c r="I7" s="477">
        <v>17</v>
      </c>
      <c r="J7" s="303">
        <v>2000</v>
      </c>
      <c r="K7" s="304">
        <f t="shared" si="1"/>
        <v>117.64705882352941</v>
      </c>
      <c r="L7" s="477">
        <v>17</v>
      </c>
      <c r="M7" s="305">
        <f t="shared" si="2"/>
        <v>1915.0000000000018</v>
      </c>
      <c r="N7" s="304">
        <f t="shared" si="3"/>
        <v>112.64705882352952</v>
      </c>
      <c r="O7" s="306">
        <f t="shared" si="4"/>
        <v>0</v>
      </c>
      <c r="P7" s="307">
        <f t="shared" si="5"/>
        <v>-4.9999999999998863</v>
      </c>
      <c r="Q7" s="473">
        <f t="shared" si="6"/>
        <v>0.95750000000000102</v>
      </c>
      <c r="R7" s="571"/>
      <c r="S7" s="308">
        <v>0.79027777777777786</v>
      </c>
      <c r="T7" s="308">
        <v>0.83194444444444449</v>
      </c>
      <c r="U7" s="470">
        <f t="shared" si="10"/>
        <v>5.9999999999999787</v>
      </c>
      <c r="V7" s="478">
        <f t="shared" si="7"/>
        <v>59.999999999999943</v>
      </c>
      <c r="W7" s="310"/>
      <c r="X7" s="310"/>
      <c r="Y7" s="566"/>
      <c r="Z7" s="567"/>
      <c r="AA7" s="306">
        <f t="shared" si="8"/>
        <v>-84.999999999998181</v>
      </c>
      <c r="AB7" s="473">
        <f t="shared" si="9"/>
        <v>0.95750000000000091</v>
      </c>
      <c r="AC7" s="571"/>
    </row>
    <row r="8" spans="1:29">
      <c r="A8" s="600" t="s">
        <v>2188</v>
      </c>
      <c r="B8" s="300" t="s">
        <v>2190</v>
      </c>
      <c r="C8" s="572"/>
      <c r="D8" s="572"/>
      <c r="E8" s="476"/>
      <c r="F8" s="313"/>
      <c r="G8" s="304"/>
      <c r="H8" s="480"/>
      <c r="I8" s="314">
        <v>16</v>
      </c>
      <c r="J8" s="303">
        <v>2000</v>
      </c>
      <c r="K8" s="304">
        <f t="shared" si="1"/>
        <v>125</v>
      </c>
      <c r="L8" s="314">
        <v>16</v>
      </c>
      <c r="M8" s="305">
        <f>AVERAGE(M5:M7)</f>
        <v>1919.2237442922367</v>
      </c>
      <c r="N8" s="304">
        <f t="shared" si="3"/>
        <v>119.95148401826479</v>
      </c>
      <c r="O8" s="306">
        <f t="shared" si="4"/>
        <v>0</v>
      </c>
      <c r="P8" s="307">
        <f t="shared" si="5"/>
        <v>-5.048515981735207</v>
      </c>
      <c r="Q8" s="473">
        <f t="shared" si="6"/>
        <v>0.95961187214611832</v>
      </c>
      <c r="R8" s="571"/>
      <c r="S8" s="308"/>
      <c r="T8" s="308"/>
      <c r="U8" s="470"/>
      <c r="V8" s="478"/>
      <c r="W8" s="304"/>
      <c r="X8" s="304"/>
      <c r="Y8" s="570"/>
      <c r="Z8" s="570"/>
      <c r="AA8" s="306">
        <f t="shared" si="8"/>
        <v>-80.776255707763312</v>
      </c>
      <c r="AB8" s="473">
        <f t="shared" si="9"/>
        <v>0.95961187214611832</v>
      </c>
      <c r="AC8" s="571"/>
    </row>
    <row r="9" spans="1:29" ht="15.75" customHeight="1">
      <c r="A9" s="598" t="s">
        <v>2191</v>
      </c>
      <c r="B9" s="300" t="s">
        <v>40</v>
      </c>
      <c r="C9" s="594" t="s">
        <v>42</v>
      </c>
      <c r="D9" s="595"/>
      <c r="E9" s="300">
        <v>39.36</v>
      </c>
      <c r="F9" s="480">
        <v>2347</v>
      </c>
      <c r="G9" s="470">
        <f t="shared" ref="G9:G10" si="11">E9*F9</f>
        <v>92377.919999999998</v>
      </c>
      <c r="H9" s="481" t="s">
        <v>35</v>
      </c>
      <c r="I9" s="477">
        <v>20</v>
      </c>
      <c r="J9" s="303">
        <v>1500</v>
      </c>
      <c r="K9" s="304">
        <f t="shared" si="1"/>
        <v>75</v>
      </c>
      <c r="L9" s="477">
        <v>20</v>
      </c>
      <c r="M9" s="305">
        <f t="shared" ref="M9:M10" si="12">F9/V9*60</f>
        <v>1436.9387755102039</v>
      </c>
      <c r="N9" s="304">
        <f t="shared" si="3"/>
        <v>71.846938775510196</v>
      </c>
      <c r="O9" s="306">
        <f t="shared" si="4"/>
        <v>0</v>
      </c>
      <c r="P9" s="307">
        <f t="shared" si="5"/>
        <v>-3.1530612244898037</v>
      </c>
      <c r="Q9" s="473">
        <f t="shared" si="6"/>
        <v>0.95795918367346933</v>
      </c>
      <c r="R9" s="571">
        <f>Q11</f>
        <v>0.95612244897959187</v>
      </c>
      <c r="S9" s="308">
        <v>0.20833333333333334</v>
      </c>
      <c r="T9" s="308">
        <v>0.27638888888888891</v>
      </c>
      <c r="U9" s="470"/>
      <c r="V9" s="478">
        <f t="shared" ref="V9:V10" si="13">(T9-S9)*24*60</f>
        <v>98.000000000000014</v>
      </c>
      <c r="W9" s="310"/>
      <c r="X9" s="310"/>
      <c r="Y9" s="570"/>
      <c r="Z9" s="570"/>
      <c r="AA9" s="306">
        <f t="shared" si="8"/>
        <v>-63.061224489796132</v>
      </c>
      <c r="AB9" s="473">
        <f t="shared" si="9"/>
        <v>0.95795918367346922</v>
      </c>
      <c r="AC9" s="571">
        <f>AB11</f>
        <v>0.95612244897959175</v>
      </c>
    </row>
    <row r="10" spans="1:29" ht="15.75" customHeight="1">
      <c r="A10" s="598" t="s">
        <v>2191</v>
      </c>
      <c r="B10" s="300" t="s">
        <v>40</v>
      </c>
      <c r="C10" s="594" t="s">
        <v>41</v>
      </c>
      <c r="D10" s="595"/>
      <c r="E10" s="300">
        <v>39.799999999999997</v>
      </c>
      <c r="F10" s="480">
        <v>6847</v>
      </c>
      <c r="G10" s="470">
        <f t="shared" si="11"/>
        <v>272510.59999999998</v>
      </c>
      <c r="H10" s="481" t="s">
        <v>35</v>
      </c>
      <c r="I10" s="477">
        <v>17</v>
      </c>
      <c r="J10" s="303">
        <v>1500</v>
      </c>
      <c r="K10" s="304">
        <f t="shared" si="1"/>
        <v>88.235294117647058</v>
      </c>
      <c r="L10" s="477">
        <v>17</v>
      </c>
      <c r="M10" s="305">
        <f t="shared" si="12"/>
        <v>1431.4285714285716</v>
      </c>
      <c r="N10" s="304">
        <f t="shared" si="3"/>
        <v>84.201680672268921</v>
      </c>
      <c r="O10" s="306">
        <f t="shared" si="4"/>
        <v>0</v>
      </c>
      <c r="P10" s="307">
        <f t="shared" si="5"/>
        <v>-4.0336134453781369</v>
      </c>
      <c r="Q10" s="473">
        <f t="shared" si="6"/>
        <v>0.9542857142857144</v>
      </c>
      <c r="R10" s="571"/>
      <c r="S10" s="308">
        <v>0.28194444444444444</v>
      </c>
      <c r="T10" s="308">
        <v>0.48124999999999996</v>
      </c>
      <c r="U10" s="470">
        <f t="shared" ref="U10" si="14">IF(S10=TIME(17,0,0),"",(S10-T9)*24*60)</f>
        <v>7.9999999999999716</v>
      </c>
      <c r="V10" s="478">
        <f t="shared" si="13"/>
        <v>286.99999999999994</v>
      </c>
      <c r="W10" s="310"/>
      <c r="X10" s="310"/>
      <c r="Y10" s="570"/>
      <c r="Z10" s="570"/>
      <c r="AA10" s="306">
        <f t="shared" si="8"/>
        <v>-68.571428571428442</v>
      </c>
      <c r="AB10" s="473">
        <f t="shared" si="9"/>
        <v>0.9542857142857144</v>
      </c>
      <c r="AC10" s="571"/>
    </row>
    <row r="11" spans="1:29" ht="16.5" customHeight="1">
      <c r="A11" s="598" t="s">
        <v>2191</v>
      </c>
      <c r="B11" s="300" t="s">
        <v>2190</v>
      </c>
      <c r="C11" s="572"/>
      <c r="D11" s="572"/>
      <c r="E11" s="476"/>
      <c r="F11" s="303"/>
      <c r="G11" s="305"/>
      <c r="H11" s="480"/>
      <c r="I11" s="314">
        <v>18.5</v>
      </c>
      <c r="J11" s="303">
        <v>1500</v>
      </c>
      <c r="K11" s="304">
        <f t="shared" si="1"/>
        <v>81.081081081081081</v>
      </c>
      <c r="L11" s="314">
        <v>18.5</v>
      </c>
      <c r="M11" s="305">
        <f>AVERAGE(M9:M10)</f>
        <v>1434.1836734693877</v>
      </c>
      <c r="N11" s="304">
        <f t="shared" si="3"/>
        <v>77.523441809156097</v>
      </c>
      <c r="O11" s="306">
        <f t="shared" si="4"/>
        <v>0</v>
      </c>
      <c r="P11" s="307">
        <f t="shared" si="5"/>
        <v>-3.5576392719249839</v>
      </c>
      <c r="Q11" s="473">
        <f t="shared" si="6"/>
        <v>0.95612244897959187</v>
      </c>
      <c r="R11" s="571"/>
      <c r="S11" s="308"/>
      <c r="T11" s="308"/>
      <c r="U11" s="304"/>
      <c r="V11" s="478"/>
      <c r="W11" s="304"/>
      <c r="X11" s="304"/>
      <c r="Y11" s="570"/>
      <c r="Z11" s="570"/>
      <c r="AA11" s="306">
        <f t="shared" si="8"/>
        <v>-65.816326530612287</v>
      </c>
      <c r="AB11" s="473">
        <f t="shared" si="9"/>
        <v>0.95612244897959175</v>
      </c>
      <c r="AC11" s="571"/>
    </row>
    <row r="12" spans="1:29" ht="16.5" customHeight="1">
      <c r="A12" s="596" t="s">
        <v>2192</v>
      </c>
      <c r="B12" s="480" t="s">
        <v>43</v>
      </c>
      <c r="C12" s="590" t="s">
        <v>44</v>
      </c>
      <c r="D12" s="590"/>
      <c r="E12" s="300">
        <v>41</v>
      </c>
      <c r="F12" s="480">
        <v>2707</v>
      </c>
      <c r="G12" s="470">
        <f t="shared" ref="G12:G16" si="15">E12*F12</f>
        <v>110987</v>
      </c>
      <c r="H12" s="481" t="s">
        <v>35</v>
      </c>
      <c r="I12" s="477">
        <v>26</v>
      </c>
      <c r="J12" s="303">
        <v>1500</v>
      </c>
      <c r="K12" s="304">
        <f t="shared" si="1"/>
        <v>57.692307692307693</v>
      </c>
      <c r="L12" s="477">
        <v>26</v>
      </c>
      <c r="M12" s="305">
        <f t="shared" ref="M12:M16" si="16">F12/V12*60</f>
        <v>1437.3451327433629</v>
      </c>
      <c r="N12" s="304">
        <f t="shared" si="3"/>
        <v>55.282505105513955</v>
      </c>
      <c r="O12" s="306">
        <f t="shared" si="4"/>
        <v>0</v>
      </c>
      <c r="P12" s="307">
        <f t="shared" si="5"/>
        <v>-2.409802586793738</v>
      </c>
      <c r="Q12" s="473">
        <f t="shared" si="6"/>
        <v>0.95823008849557523</v>
      </c>
      <c r="R12" s="571">
        <f>Q17</f>
        <v>0.95567763840211706</v>
      </c>
      <c r="S12" s="308">
        <v>0.125</v>
      </c>
      <c r="T12" s="308">
        <v>0.20347222222222222</v>
      </c>
      <c r="U12" s="470"/>
      <c r="V12" s="478">
        <f t="shared" ref="V12:V16" si="17">(T12-S12)*24*60</f>
        <v>113</v>
      </c>
      <c r="W12" s="310">
        <f>T12</f>
        <v>0.20347222222222222</v>
      </c>
      <c r="X12" s="310">
        <f>S13</f>
        <v>0.22430555555555556</v>
      </c>
      <c r="Y12" s="570"/>
      <c r="Z12" s="570"/>
      <c r="AA12" s="306">
        <f t="shared" si="8"/>
        <v>-62.65486725663709</v>
      </c>
      <c r="AB12" s="473">
        <f t="shared" si="9"/>
        <v>0.95823008849557523</v>
      </c>
      <c r="AC12" s="571">
        <f>AB17</f>
        <v>0.95567763840211706</v>
      </c>
    </row>
    <row r="13" spans="1:29" ht="16.5" customHeight="1">
      <c r="A13" s="597" t="s">
        <v>2192</v>
      </c>
      <c r="B13" s="480" t="s">
        <v>40</v>
      </c>
      <c r="C13" s="590" t="s">
        <v>45</v>
      </c>
      <c r="D13" s="590"/>
      <c r="E13" s="300">
        <v>39.619999999999997</v>
      </c>
      <c r="F13" s="480">
        <v>4624</v>
      </c>
      <c r="G13" s="470">
        <f t="shared" si="15"/>
        <v>183202.87999999998</v>
      </c>
      <c r="H13" s="481" t="s">
        <v>35</v>
      </c>
      <c r="I13" s="477">
        <v>19</v>
      </c>
      <c r="J13" s="303">
        <v>1500</v>
      </c>
      <c r="K13" s="304">
        <f t="shared" si="1"/>
        <v>78.94736842105263</v>
      </c>
      <c r="L13" s="477">
        <v>19</v>
      </c>
      <c r="M13" s="305">
        <f t="shared" si="16"/>
        <v>1430.1030927835052</v>
      </c>
      <c r="N13" s="304">
        <f t="shared" si="3"/>
        <v>75.268583830710796</v>
      </c>
      <c r="O13" s="306">
        <f t="shared" si="4"/>
        <v>0</v>
      </c>
      <c r="P13" s="307">
        <f t="shared" si="5"/>
        <v>-3.6787845903418344</v>
      </c>
      <c r="Q13" s="473">
        <f t="shared" si="6"/>
        <v>0.95340206185567011</v>
      </c>
      <c r="R13" s="571"/>
      <c r="S13" s="308">
        <v>0.22430555555555556</v>
      </c>
      <c r="T13" s="308">
        <v>0.35902777777777778</v>
      </c>
      <c r="U13" s="470">
        <f t="shared" ref="U13:U16" si="18">IF(S13=TIME(17,0,0),"",(S13-T12)*24*60)</f>
        <v>30.000000000000014</v>
      </c>
      <c r="V13" s="478">
        <f t="shared" si="17"/>
        <v>194</v>
      </c>
      <c r="W13" s="310"/>
      <c r="X13" s="310"/>
      <c r="Y13" s="570"/>
      <c r="Z13" s="570"/>
      <c r="AA13" s="306">
        <f t="shared" si="8"/>
        <v>-69.89690721649481</v>
      </c>
      <c r="AB13" s="473">
        <f t="shared" si="9"/>
        <v>0.95340206185567011</v>
      </c>
      <c r="AC13" s="571"/>
    </row>
    <row r="14" spans="1:29" ht="16.5" customHeight="1">
      <c r="A14" s="597" t="s">
        <v>2192</v>
      </c>
      <c r="B14" s="480" t="s">
        <v>1182</v>
      </c>
      <c r="C14" s="590" t="s">
        <v>1041</v>
      </c>
      <c r="D14" s="590"/>
      <c r="E14" s="300">
        <v>57.3</v>
      </c>
      <c r="F14" s="480">
        <v>1381</v>
      </c>
      <c r="G14" s="470">
        <f t="shared" si="15"/>
        <v>79131.3</v>
      </c>
      <c r="H14" s="481" t="s">
        <v>35</v>
      </c>
      <c r="I14" s="477">
        <v>17</v>
      </c>
      <c r="J14" s="303">
        <v>1500</v>
      </c>
      <c r="K14" s="304">
        <f t="shared" si="1"/>
        <v>88.235294117647058</v>
      </c>
      <c r="L14" s="477">
        <v>17</v>
      </c>
      <c r="M14" s="305">
        <f t="shared" si="16"/>
        <v>1428.6206896551716</v>
      </c>
      <c r="N14" s="304">
        <f t="shared" si="3"/>
        <v>84.036511156186563</v>
      </c>
      <c r="O14" s="306">
        <f t="shared" si="4"/>
        <v>0</v>
      </c>
      <c r="P14" s="307">
        <f t="shared" si="5"/>
        <v>-4.1987829614604948</v>
      </c>
      <c r="Q14" s="473">
        <f t="shared" si="6"/>
        <v>0.95241379310344776</v>
      </c>
      <c r="R14" s="571"/>
      <c r="S14" s="308">
        <v>0.36319444444444443</v>
      </c>
      <c r="T14" s="308">
        <v>0.40347222222222223</v>
      </c>
      <c r="U14" s="470">
        <f t="shared" si="18"/>
        <v>5.9999999999999787</v>
      </c>
      <c r="V14" s="478">
        <f t="shared" si="17"/>
        <v>58.000000000000036</v>
      </c>
      <c r="W14" s="310"/>
      <c r="X14" s="310"/>
      <c r="Y14" s="570"/>
      <c r="Z14" s="570"/>
      <c r="AA14" s="306">
        <f t="shared" si="8"/>
        <v>-71.379310344828355</v>
      </c>
      <c r="AB14" s="473">
        <f t="shared" si="9"/>
        <v>0.95241379310344776</v>
      </c>
      <c r="AC14" s="571"/>
    </row>
    <row r="15" spans="1:29" ht="16.5" customHeight="1">
      <c r="A15" s="597" t="s">
        <v>2193</v>
      </c>
      <c r="B15" s="480" t="s">
        <v>36</v>
      </c>
      <c r="C15" s="590" t="s">
        <v>49</v>
      </c>
      <c r="D15" s="590"/>
      <c r="E15" s="300">
        <v>50.98</v>
      </c>
      <c r="F15" s="480">
        <v>2829</v>
      </c>
      <c r="G15" s="470">
        <f t="shared" si="15"/>
        <v>144222.41999999998</v>
      </c>
      <c r="H15" s="481" t="s">
        <v>35</v>
      </c>
      <c r="I15" s="477">
        <v>16</v>
      </c>
      <c r="J15" s="303">
        <v>2000</v>
      </c>
      <c r="K15" s="304">
        <f t="shared" si="1"/>
        <v>125</v>
      </c>
      <c r="L15" s="477">
        <v>16</v>
      </c>
      <c r="M15" s="305">
        <f t="shared" si="16"/>
        <v>1907.1910112359551</v>
      </c>
      <c r="N15" s="304">
        <f t="shared" si="3"/>
        <v>119.19943820224719</v>
      </c>
      <c r="O15" s="306">
        <f t="shared" si="4"/>
        <v>0</v>
      </c>
      <c r="P15" s="307">
        <f t="shared" si="5"/>
        <v>-5.8005617977528061</v>
      </c>
      <c r="Q15" s="473">
        <f t="shared" si="6"/>
        <v>0.95359550561797757</v>
      </c>
      <c r="R15" s="571"/>
      <c r="S15" s="308">
        <v>0.70833333333333337</v>
      </c>
      <c r="T15" s="308">
        <v>0.77013888888888893</v>
      </c>
      <c r="U15" s="470" t="str">
        <f t="shared" si="18"/>
        <v/>
      </c>
      <c r="V15" s="478">
        <f t="shared" si="17"/>
        <v>89</v>
      </c>
      <c r="W15" s="310"/>
      <c r="X15" s="310"/>
      <c r="Y15" s="570"/>
      <c r="Z15" s="570"/>
      <c r="AA15" s="306">
        <f t="shared" si="8"/>
        <v>-92.808988764044898</v>
      </c>
      <c r="AB15" s="473">
        <f t="shared" si="9"/>
        <v>0.95359550561797757</v>
      </c>
      <c r="AC15" s="571"/>
    </row>
    <row r="16" spans="1:29" ht="16.5" customHeight="1">
      <c r="A16" s="597" t="s">
        <v>2193</v>
      </c>
      <c r="B16" s="480" t="s">
        <v>36</v>
      </c>
      <c r="C16" s="590" t="s">
        <v>50</v>
      </c>
      <c r="D16" s="590"/>
      <c r="E16" s="300">
        <v>50.92</v>
      </c>
      <c r="F16" s="480">
        <v>3040</v>
      </c>
      <c r="G16" s="470">
        <f t="shared" si="15"/>
        <v>154796.80000000002</v>
      </c>
      <c r="H16" s="481" t="s">
        <v>35</v>
      </c>
      <c r="I16" s="477">
        <v>15</v>
      </c>
      <c r="J16" s="303">
        <v>2000</v>
      </c>
      <c r="K16" s="304">
        <f t="shared" si="1"/>
        <v>133.33333333333334</v>
      </c>
      <c r="L16" s="477">
        <v>15</v>
      </c>
      <c r="M16" s="305">
        <f t="shared" si="16"/>
        <v>1920.0000000000005</v>
      </c>
      <c r="N16" s="304">
        <f t="shared" si="3"/>
        <v>128.00000000000003</v>
      </c>
      <c r="O16" s="306">
        <f t="shared" si="4"/>
        <v>0</v>
      </c>
      <c r="P16" s="307">
        <f t="shared" si="5"/>
        <v>-5.3333333333333144</v>
      </c>
      <c r="Q16" s="473">
        <f t="shared" si="6"/>
        <v>0.96000000000000019</v>
      </c>
      <c r="R16" s="571"/>
      <c r="S16" s="308">
        <v>0.77569444444444446</v>
      </c>
      <c r="T16" s="308">
        <v>0.84166666666666667</v>
      </c>
      <c r="U16" s="470">
        <f t="shared" si="18"/>
        <v>7.9999999999999716</v>
      </c>
      <c r="V16" s="478">
        <f t="shared" si="17"/>
        <v>94.999999999999986</v>
      </c>
      <c r="W16" s="310"/>
      <c r="X16" s="310"/>
      <c r="Y16" s="570"/>
      <c r="Z16" s="570"/>
      <c r="AA16" s="306">
        <f t="shared" si="8"/>
        <v>-79.999999999999545</v>
      </c>
      <c r="AB16" s="473">
        <f t="shared" si="9"/>
        <v>0.96000000000000019</v>
      </c>
      <c r="AC16" s="571"/>
    </row>
    <row r="17" spans="1:29" ht="16.5" customHeight="1">
      <c r="A17" s="597" t="s">
        <v>2192</v>
      </c>
      <c r="B17" s="300" t="s">
        <v>2190</v>
      </c>
      <c r="C17" s="572"/>
      <c r="D17" s="572"/>
      <c r="E17" s="476"/>
      <c r="F17" s="313"/>
      <c r="G17" s="304"/>
      <c r="H17" s="480"/>
      <c r="I17" s="314">
        <v>18.600000000000001</v>
      </c>
      <c r="J17" s="303">
        <v>1700</v>
      </c>
      <c r="K17" s="304">
        <f t="shared" si="1"/>
        <v>91.397849462365585</v>
      </c>
      <c r="L17" s="314">
        <v>18.600000000000001</v>
      </c>
      <c r="M17" s="305">
        <f>AVERAGE(M12:M16)</f>
        <v>1624.6519852835991</v>
      </c>
      <c r="N17" s="304">
        <f t="shared" si="3"/>
        <v>87.346880929225748</v>
      </c>
      <c r="O17" s="306">
        <f t="shared" si="4"/>
        <v>0</v>
      </c>
      <c r="P17" s="307">
        <f t="shared" si="5"/>
        <v>-4.0509685331398373</v>
      </c>
      <c r="Q17" s="473">
        <f t="shared" si="6"/>
        <v>0.95567763840211706</v>
      </c>
      <c r="R17" s="571"/>
      <c r="S17" s="308"/>
      <c r="T17" s="308"/>
      <c r="U17" s="470"/>
      <c r="V17" s="478"/>
      <c r="W17" s="304"/>
      <c r="X17" s="304"/>
      <c r="Y17" s="570"/>
      <c r="Z17" s="570"/>
      <c r="AA17" s="306">
        <f t="shared" si="8"/>
        <v>-75.34801471640094</v>
      </c>
      <c r="AB17" s="473">
        <f t="shared" si="9"/>
        <v>0.95567763840211706</v>
      </c>
      <c r="AC17" s="571"/>
    </row>
    <row r="18" spans="1:29" ht="15.75" customHeight="1">
      <c r="A18" s="592" t="s">
        <v>2194</v>
      </c>
      <c r="B18" s="300" t="s">
        <v>43</v>
      </c>
      <c r="C18" s="590" t="s">
        <v>51</v>
      </c>
      <c r="D18" s="590"/>
      <c r="E18" s="300">
        <v>43.14</v>
      </c>
      <c r="F18" s="480">
        <v>1487</v>
      </c>
      <c r="G18" s="470">
        <f t="shared" ref="G18:G23" si="19">E18*F18</f>
        <v>64149.18</v>
      </c>
      <c r="H18" s="481" t="s">
        <v>35</v>
      </c>
      <c r="I18" s="477">
        <v>17</v>
      </c>
      <c r="J18" s="303">
        <v>2000</v>
      </c>
      <c r="K18" s="304">
        <f t="shared" si="1"/>
        <v>117.64705882352941</v>
      </c>
      <c r="L18" s="477">
        <v>17</v>
      </c>
      <c r="M18" s="305">
        <f t="shared" ref="M18:M23" si="20">F18/V18*60</f>
        <v>1939.5652173913045</v>
      </c>
      <c r="N18" s="304">
        <f t="shared" si="3"/>
        <v>114.0920716112532</v>
      </c>
      <c r="O18" s="306">
        <f t="shared" si="4"/>
        <v>0</v>
      </c>
      <c r="P18" s="307">
        <f t="shared" si="5"/>
        <v>-3.5549872122762025</v>
      </c>
      <c r="Q18" s="473">
        <f t="shared" si="6"/>
        <v>0.96978260869565225</v>
      </c>
      <c r="R18" s="571">
        <f>Q24</f>
        <v>0.96072482738763942</v>
      </c>
      <c r="S18" s="308">
        <v>0.20833333333333334</v>
      </c>
      <c r="T18" s="308">
        <v>0.24027777777777778</v>
      </c>
      <c r="U18" s="470"/>
      <c r="V18" s="478">
        <f t="shared" ref="V18:V23" si="21">(T18-S18)*24*60</f>
        <v>46</v>
      </c>
      <c r="W18" s="315"/>
      <c r="X18" s="315"/>
      <c r="Y18" s="570"/>
      <c r="Z18" s="570"/>
      <c r="AA18" s="306">
        <f t="shared" si="8"/>
        <v>-60.434782608695514</v>
      </c>
      <c r="AB18" s="473">
        <f t="shared" si="9"/>
        <v>0.96978260869565225</v>
      </c>
      <c r="AC18" s="571">
        <f>AB24</f>
        <v>0.96072482738763942</v>
      </c>
    </row>
    <row r="19" spans="1:29" ht="15.75" customHeight="1">
      <c r="A19" s="593" t="s">
        <v>2194</v>
      </c>
      <c r="B19" s="300" t="s">
        <v>36</v>
      </c>
      <c r="C19" s="590" t="s">
        <v>53</v>
      </c>
      <c r="D19" s="590"/>
      <c r="E19" s="300">
        <v>53.68</v>
      </c>
      <c r="F19" s="480">
        <v>2003</v>
      </c>
      <c r="G19" s="470">
        <f t="shared" si="19"/>
        <v>107521.04</v>
      </c>
      <c r="H19" s="481" t="s">
        <v>35</v>
      </c>
      <c r="I19" s="477">
        <v>16</v>
      </c>
      <c r="J19" s="303">
        <v>2000</v>
      </c>
      <c r="K19" s="304">
        <f t="shared" si="1"/>
        <v>125</v>
      </c>
      <c r="L19" s="477">
        <v>16</v>
      </c>
      <c r="M19" s="305">
        <f t="shared" si="20"/>
        <v>1907.6190476190484</v>
      </c>
      <c r="N19" s="304">
        <f t="shared" si="3"/>
        <v>119.22619047619052</v>
      </c>
      <c r="O19" s="306">
        <f t="shared" si="4"/>
        <v>0</v>
      </c>
      <c r="P19" s="307">
        <f t="shared" si="5"/>
        <v>-5.7738095238094758</v>
      </c>
      <c r="Q19" s="473">
        <f t="shared" si="6"/>
        <v>0.95380952380952422</v>
      </c>
      <c r="R19" s="571"/>
      <c r="S19" s="308">
        <v>0.24374999999999999</v>
      </c>
      <c r="T19" s="308">
        <v>0.28749999999999998</v>
      </c>
      <c r="U19" s="470">
        <f t="shared" ref="U19:U23" si="22">IF(S19=TIME(17,0,0),"",(S19-T18)*24*60)</f>
        <v>4.9999999999999822</v>
      </c>
      <c r="V19" s="478">
        <f t="shared" si="21"/>
        <v>62.999999999999979</v>
      </c>
      <c r="W19" s="310"/>
      <c r="X19" s="470"/>
      <c r="Y19" s="570"/>
      <c r="Z19" s="570"/>
      <c r="AA19" s="306">
        <f t="shared" si="8"/>
        <v>-92.380952380951612</v>
      </c>
      <c r="AB19" s="473">
        <f t="shared" si="9"/>
        <v>0.95380952380952422</v>
      </c>
      <c r="AC19" s="571"/>
    </row>
    <row r="20" spans="1:29" ht="15.75" customHeight="1">
      <c r="A20" s="593" t="s">
        <v>2194</v>
      </c>
      <c r="B20" s="300" t="s">
        <v>36</v>
      </c>
      <c r="C20" s="590" t="s">
        <v>52</v>
      </c>
      <c r="D20" s="590"/>
      <c r="E20" s="300">
        <v>57.73</v>
      </c>
      <c r="F20" s="480">
        <v>3314</v>
      </c>
      <c r="G20" s="470">
        <f t="shared" si="19"/>
        <v>191317.22</v>
      </c>
      <c r="H20" s="481" t="s">
        <v>35</v>
      </c>
      <c r="I20" s="477">
        <v>15</v>
      </c>
      <c r="J20" s="303">
        <v>2000</v>
      </c>
      <c r="K20" s="304">
        <f t="shared" si="1"/>
        <v>133.33333333333334</v>
      </c>
      <c r="L20" s="477">
        <v>15</v>
      </c>
      <c r="M20" s="305">
        <f t="shared" si="20"/>
        <v>1911.9230769230765</v>
      </c>
      <c r="N20" s="304">
        <f t="shared" si="3"/>
        <v>127.46153846153842</v>
      </c>
      <c r="O20" s="306">
        <f t="shared" si="4"/>
        <v>0</v>
      </c>
      <c r="P20" s="307">
        <f t="shared" si="5"/>
        <v>-5.8717948717949184</v>
      </c>
      <c r="Q20" s="473">
        <f t="shared" si="6"/>
        <v>0.95596153846153809</v>
      </c>
      <c r="R20" s="571"/>
      <c r="S20" s="308">
        <v>0.29166666666666663</v>
      </c>
      <c r="T20" s="308">
        <v>0.36388888888888887</v>
      </c>
      <c r="U20" s="470">
        <f t="shared" si="22"/>
        <v>5.9999999999999787</v>
      </c>
      <c r="V20" s="478">
        <f t="shared" si="21"/>
        <v>104.00000000000003</v>
      </c>
      <c r="W20" s="310"/>
      <c r="X20" s="470"/>
      <c r="Y20" s="570"/>
      <c r="Z20" s="570"/>
      <c r="AA20" s="306">
        <f t="shared" si="8"/>
        <v>-88.076923076923549</v>
      </c>
      <c r="AB20" s="473">
        <f t="shared" si="9"/>
        <v>0.9559615384615382</v>
      </c>
      <c r="AC20" s="571"/>
    </row>
    <row r="21" spans="1:29" ht="15.75" customHeight="1">
      <c r="A21" s="593" t="s">
        <v>2194</v>
      </c>
      <c r="B21" s="300" t="s">
        <v>36</v>
      </c>
      <c r="C21" s="590" t="s">
        <v>55</v>
      </c>
      <c r="D21" s="590"/>
      <c r="E21" s="300">
        <v>54.09</v>
      </c>
      <c r="F21" s="480">
        <v>2314</v>
      </c>
      <c r="G21" s="470">
        <f t="shared" si="19"/>
        <v>125164.26000000001</v>
      </c>
      <c r="H21" s="481" t="s">
        <v>35</v>
      </c>
      <c r="I21" s="477">
        <v>19</v>
      </c>
      <c r="J21" s="303">
        <v>2000</v>
      </c>
      <c r="K21" s="304">
        <f t="shared" si="1"/>
        <v>105.26315789473684</v>
      </c>
      <c r="L21" s="477">
        <v>19</v>
      </c>
      <c r="M21" s="305">
        <f t="shared" si="20"/>
        <v>1928.3333333333319</v>
      </c>
      <c r="N21" s="304">
        <f t="shared" si="3"/>
        <v>101.49122807017537</v>
      </c>
      <c r="O21" s="306">
        <f t="shared" si="4"/>
        <v>0</v>
      </c>
      <c r="P21" s="307">
        <f t="shared" si="5"/>
        <v>-3.7719298245614681</v>
      </c>
      <c r="Q21" s="473">
        <f t="shared" si="6"/>
        <v>0.96416666666666606</v>
      </c>
      <c r="R21" s="571"/>
      <c r="S21" s="308">
        <v>0.70833333333333337</v>
      </c>
      <c r="T21" s="308">
        <v>0.75833333333333341</v>
      </c>
      <c r="U21" s="470" t="str">
        <f t="shared" si="22"/>
        <v/>
      </c>
      <c r="V21" s="478">
        <f t="shared" si="21"/>
        <v>72.000000000000057</v>
      </c>
      <c r="W21" s="310"/>
      <c r="X21" s="470"/>
      <c r="Y21" s="570"/>
      <c r="Z21" s="570"/>
      <c r="AA21" s="306">
        <f t="shared" si="8"/>
        <v>-71.666666666668107</v>
      </c>
      <c r="AB21" s="473">
        <f t="shared" si="9"/>
        <v>0.96416666666666595</v>
      </c>
      <c r="AC21" s="571"/>
    </row>
    <row r="22" spans="1:29" ht="15.75" customHeight="1">
      <c r="A22" s="593" t="s">
        <v>2194</v>
      </c>
      <c r="B22" s="300" t="s">
        <v>36</v>
      </c>
      <c r="C22" s="590" t="s">
        <v>1976</v>
      </c>
      <c r="D22" s="590"/>
      <c r="E22" s="300">
        <v>48.36</v>
      </c>
      <c r="F22" s="480">
        <v>3000</v>
      </c>
      <c r="G22" s="470">
        <f t="shared" si="19"/>
        <v>145080</v>
      </c>
      <c r="H22" s="481">
        <v>2</v>
      </c>
      <c r="I22" s="477">
        <v>15</v>
      </c>
      <c r="J22" s="303">
        <v>2000</v>
      </c>
      <c r="K22" s="304">
        <f t="shared" si="1"/>
        <v>133.33333333333334</v>
      </c>
      <c r="L22" s="477">
        <v>15</v>
      </c>
      <c r="M22" s="305">
        <f t="shared" si="20"/>
        <v>1914.8936170212769</v>
      </c>
      <c r="N22" s="304">
        <f t="shared" si="3"/>
        <v>127.65957446808513</v>
      </c>
      <c r="O22" s="306">
        <f t="shared" si="4"/>
        <v>0</v>
      </c>
      <c r="P22" s="307">
        <f t="shared" si="5"/>
        <v>-5.6737588652482174</v>
      </c>
      <c r="Q22" s="473">
        <f t="shared" si="6"/>
        <v>0.95744680851063835</v>
      </c>
      <c r="R22" s="571"/>
      <c r="S22" s="308">
        <v>0.76180555555555562</v>
      </c>
      <c r="T22" s="308">
        <v>0.82708333333333339</v>
      </c>
      <c r="U22" s="470">
        <f t="shared" si="22"/>
        <v>4.9999999999999822</v>
      </c>
      <c r="V22" s="478">
        <f t="shared" si="21"/>
        <v>93.999999999999986</v>
      </c>
      <c r="W22" s="310">
        <f>T22</f>
        <v>0.82708333333333339</v>
      </c>
      <c r="X22" s="310">
        <f>S23</f>
        <v>0.86805555555555558</v>
      </c>
      <c r="Y22" s="570"/>
      <c r="Z22" s="570"/>
      <c r="AA22" s="306">
        <f t="shared" si="8"/>
        <v>-85.106382978723104</v>
      </c>
      <c r="AB22" s="473">
        <f t="shared" si="9"/>
        <v>0.95744680851063846</v>
      </c>
      <c r="AC22" s="571"/>
    </row>
    <row r="23" spans="1:29" ht="15.75" customHeight="1">
      <c r="A23" s="593" t="s">
        <v>2194</v>
      </c>
      <c r="B23" s="300" t="s">
        <v>36</v>
      </c>
      <c r="C23" s="590" t="s">
        <v>1976</v>
      </c>
      <c r="D23" s="590"/>
      <c r="E23" s="300">
        <v>48.36</v>
      </c>
      <c r="F23" s="480">
        <v>2119</v>
      </c>
      <c r="G23" s="470">
        <f t="shared" si="19"/>
        <v>102474.84</v>
      </c>
      <c r="H23" s="481" t="s">
        <v>35</v>
      </c>
      <c r="I23" s="477">
        <v>15</v>
      </c>
      <c r="J23" s="303">
        <v>2000</v>
      </c>
      <c r="K23" s="304">
        <f t="shared" si="1"/>
        <v>133.33333333333334</v>
      </c>
      <c r="L23" s="477">
        <v>15</v>
      </c>
      <c r="M23" s="305">
        <f t="shared" si="20"/>
        <v>1926.363636363634</v>
      </c>
      <c r="N23" s="304">
        <f t="shared" si="3"/>
        <v>128.42424242424227</v>
      </c>
      <c r="O23" s="306">
        <f t="shared" si="4"/>
        <v>0</v>
      </c>
      <c r="P23" s="307">
        <f t="shared" si="5"/>
        <v>-4.909090909091077</v>
      </c>
      <c r="Q23" s="473">
        <f t="shared" si="6"/>
        <v>0.96318181818181692</v>
      </c>
      <c r="R23" s="571"/>
      <c r="S23" s="308">
        <v>0.86805555555555558</v>
      </c>
      <c r="T23" s="308">
        <v>0.91388888888888897</v>
      </c>
      <c r="U23" s="470">
        <f t="shared" si="22"/>
        <v>58.99999999999995</v>
      </c>
      <c r="V23" s="478">
        <f t="shared" si="21"/>
        <v>66.000000000000085</v>
      </c>
      <c r="W23" s="310"/>
      <c r="X23" s="315"/>
      <c r="Y23" s="570"/>
      <c r="Z23" s="570"/>
      <c r="AA23" s="306">
        <f t="shared" si="8"/>
        <v>-73.636363636366013</v>
      </c>
      <c r="AB23" s="473">
        <f t="shared" si="9"/>
        <v>0.96318181818181703</v>
      </c>
      <c r="AC23" s="571"/>
    </row>
    <row r="24" spans="1:29" ht="15.75" customHeight="1">
      <c r="A24" s="593" t="s">
        <v>2195</v>
      </c>
      <c r="B24" s="300" t="s">
        <v>2190</v>
      </c>
      <c r="C24" s="572"/>
      <c r="D24" s="572"/>
      <c r="E24" s="476"/>
      <c r="F24" s="480"/>
      <c r="G24" s="470"/>
      <c r="H24" s="480"/>
      <c r="I24" s="314">
        <v>16.166666666666668</v>
      </c>
      <c r="J24" s="303">
        <v>2000</v>
      </c>
      <c r="K24" s="304">
        <f t="shared" si="1"/>
        <v>123.71134020618555</v>
      </c>
      <c r="L24" s="314">
        <v>16.166666666666668</v>
      </c>
      <c r="M24" s="305">
        <f>AVERAGE(M18:M23)</f>
        <v>1921.4496547752788</v>
      </c>
      <c r="N24" s="304">
        <f t="shared" si="3"/>
        <v>118.85255596548116</v>
      </c>
      <c r="O24" s="306">
        <f t="shared" si="4"/>
        <v>0</v>
      </c>
      <c r="P24" s="307">
        <f t="shared" si="5"/>
        <v>-4.8587842407043951</v>
      </c>
      <c r="Q24" s="473">
        <f t="shared" si="6"/>
        <v>0.96072482738763942</v>
      </c>
      <c r="R24" s="571"/>
      <c r="S24" s="308"/>
      <c r="T24" s="308"/>
      <c r="U24" s="304"/>
      <c r="V24" s="478"/>
      <c r="W24" s="304"/>
      <c r="X24" s="304"/>
      <c r="Y24" s="570"/>
      <c r="Z24" s="570"/>
      <c r="AA24" s="306">
        <f t="shared" si="8"/>
        <v>-78.550345224721241</v>
      </c>
      <c r="AB24" s="473">
        <f t="shared" si="9"/>
        <v>0.96072482738763942</v>
      </c>
      <c r="AC24" s="571"/>
    </row>
    <row r="25" spans="1:29" ht="15.75" customHeight="1">
      <c r="A25" s="591" t="s">
        <v>2196</v>
      </c>
      <c r="B25" s="300" t="s">
        <v>46</v>
      </c>
      <c r="C25" s="590" t="s">
        <v>61</v>
      </c>
      <c r="D25" s="590"/>
      <c r="E25" s="300">
        <v>31.29</v>
      </c>
      <c r="F25" s="480">
        <v>6200</v>
      </c>
      <c r="G25" s="470">
        <f t="shared" ref="G25:G31" si="23">E25*F25</f>
        <v>193998</v>
      </c>
      <c r="H25" s="481">
        <v>2</v>
      </c>
      <c r="I25" s="477">
        <v>18</v>
      </c>
      <c r="J25" s="303">
        <v>2400</v>
      </c>
      <c r="K25" s="304">
        <f t="shared" si="1"/>
        <v>133.33333333333334</v>
      </c>
      <c r="L25" s="477">
        <v>18</v>
      </c>
      <c r="M25" s="305">
        <f t="shared" ref="M25:M31" si="24">F25/V25*60</f>
        <v>2296.2962962962965</v>
      </c>
      <c r="N25" s="304">
        <f t="shared" si="3"/>
        <v>127.57201646090536</v>
      </c>
      <c r="O25" s="306">
        <f t="shared" si="4"/>
        <v>0</v>
      </c>
      <c r="P25" s="307">
        <f t="shared" si="5"/>
        <v>-5.7613168724279831</v>
      </c>
      <c r="Q25" s="473">
        <f t="shared" si="6"/>
        <v>0.95679012345679015</v>
      </c>
      <c r="R25" s="571">
        <f>Q32</f>
        <v>0.95565807448634565</v>
      </c>
      <c r="S25" s="308">
        <v>8.3333333333333329E-2</v>
      </c>
      <c r="T25" s="308">
        <v>0.19583333333333333</v>
      </c>
      <c r="U25" s="470"/>
      <c r="V25" s="478">
        <f t="shared" ref="V25:V31" si="25">(T25-S25)*24*60</f>
        <v>162</v>
      </c>
      <c r="W25" s="310">
        <f>T25</f>
        <v>0.19583333333333333</v>
      </c>
      <c r="X25" s="310">
        <f>S26</f>
        <v>0.21319444444444441</v>
      </c>
      <c r="Y25" s="570"/>
      <c r="Z25" s="570"/>
      <c r="AA25" s="306">
        <f t="shared" si="8"/>
        <v>-103.70370370370347</v>
      </c>
      <c r="AB25" s="473">
        <f t="shared" si="9"/>
        <v>0.95679012345679026</v>
      </c>
      <c r="AC25" s="571">
        <f>AB32</f>
        <v>0.95565807448634554</v>
      </c>
    </row>
    <row r="26" spans="1:29" ht="15.75" customHeight="1">
      <c r="A26" s="591" t="s">
        <v>2196</v>
      </c>
      <c r="B26" s="300" t="s">
        <v>46</v>
      </c>
      <c r="C26" s="590" t="s">
        <v>59</v>
      </c>
      <c r="D26" s="590"/>
      <c r="E26" s="300">
        <v>26.18</v>
      </c>
      <c r="F26" s="480">
        <v>3809</v>
      </c>
      <c r="G26" s="470">
        <f t="shared" si="23"/>
        <v>99719.62</v>
      </c>
      <c r="H26" s="481" t="s">
        <v>35</v>
      </c>
      <c r="I26" s="477">
        <v>19</v>
      </c>
      <c r="J26" s="303">
        <v>2400</v>
      </c>
      <c r="K26" s="304">
        <f t="shared" si="1"/>
        <v>126.31578947368421</v>
      </c>
      <c r="L26" s="477">
        <v>19</v>
      </c>
      <c r="M26" s="305">
        <f t="shared" si="24"/>
        <v>2285.3999999999987</v>
      </c>
      <c r="N26" s="304">
        <f t="shared" si="3"/>
        <v>120.28421052631572</v>
      </c>
      <c r="O26" s="306">
        <f t="shared" si="4"/>
        <v>0</v>
      </c>
      <c r="P26" s="307">
        <f t="shared" si="5"/>
        <v>-6.0315789473684873</v>
      </c>
      <c r="Q26" s="473">
        <f t="shared" si="6"/>
        <v>0.95224999999999949</v>
      </c>
      <c r="R26" s="571"/>
      <c r="S26" s="308">
        <v>0.21319444444444441</v>
      </c>
      <c r="T26" s="308">
        <v>0.28263888888888888</v>
      </c>
      <c r="U26" s="470">
        <f t="shared" ref="U26:U31" si="26">(S26-T25)*24*60</f>
        <v>24.99999999999995</v>
      </c>
      <c r="V26" s="478">
        <f t="shared" si="25"/>
        <v>100.00000000000004</v>
      </c>
      <c r="W26" s="310"/>
      <c r="X26" s="310"/>
      <c r="Y26" s="570"/>
      <c r="Z26" s="570"/>
      <c r="AA26" s="306">
        <f t="shared" si="8"/>
        <v>-114.60000000000127</v>
      </c>
      <c r="AB26" s="473">
        <f t="shared" si="9"/>
        <v>0.95224999999999949</v>
      </c>
      <c r="AC26" s="571"/>
    </row>
    <row r="27" spans="1:29" ht="15.75" customHeight="1">
      <c r="A27" s="591" t="s">
        <v>2196</v>
      </c>
      <c r="B27" s="300" t="s">
        <v>46</v>
      </c>
      <c r="C27" s="590" t="s">
        <v>60</v>
      </c>
      <c r="D27" s="590"/>
      <c r="E27" s="300">
        <v>26.2</v>
      </c>
      <c r="F27" s="480">
        <v>4830</v>
      </c>
      <c r="G27" s="470">
        <f t="shared" si="23"/>
        <v>126546</v>
      </c>
      <c r="H27" s="481" t="s">
        <v>35</v>
      </c>
      <c r="I27" s="477">
        <v>19</v>
      </c>
      <c r="J27" s="303">
        <v>2400</v>
      </c>
      <c r="K27" s="304">
        <f t="shared" si="1"/>
        <v>126.31578947368421</v>
      </c>
      <c r="L27" s="477">
        <v>19</v>
      </c>
      <c r="M27" s="305">
        <f t="shared" si="24"/>
        <v>2299.9999999999991</v>
      </c>
      <c r="N27" s="304">
        <f t="shared" si="3"/>
        <v>121.05263157894733</v>
      </c>
      <c r="O27" s="306">
        <f t="shared" si="4"/>
        <v>0</v>
      </c>
      <c r="P27" s="307">
        <f t="shared" si="5"/>
        <v>-5.263157894736878</v>
      </c>
      <c r="Q27" s="473">
        <f t="shared" si="6"/>
        <v>0.95833333333333304</v>
      </c>
      <c r="R27" s="571"/>
      <c r="S27" s="308">
        <v>0.28611111111111109</v>
      </c>
      <c r="T27" s="308">
        <v>0.37361111111111112</v>
      </c>
      <c r="U27" s="470">
        <f t="shared" si="26"/>
        <v>4.9999999999999822</v>
      </c>
      <c r="V27" s="478">
        <f t="shared" si="25"/>
        <v>126.00000000000003</v>
      </c>
      <c r="W27" s="310"/>
      <c r="X27" s="310"/>
      <c r="Y27" s="570"/>
      <c r="Z27" s="570"/>
      <c r="AA27" s="306">
        <f t="shared" si="8"/>
        <v>-100.00000000000091</v>
      </c>
      <c r="AB27" s="473">
        <f t="shared" si="9"/>
        <v>0.95833333333333293</v>
      </c>
      <c r="AC27" s="571"/>
    </row>
    <row r="28" spans="1:29" ht="15.75" customHeight="1">
      <c r="A28" s="591" t="s">
        <v>2196</v>
      </c>
      <c r="B28" s="300" t="s">
        <v>46</v>
      </c>
      <c r="C28" s="590" t="s">
        <v>56</v>
      </c>
      <c r="D28" s="590"/>
      <c r="E28" s="300">
        <v>26.2</v>
      </c>
      <c r="F28" s="480">
        <v>3300</v>
      </c>
      <c r="G28" s="470">
        <f t="shared" si="23"/>
        <v>86460</v>
      </c>
      <c r="H28" s="481">
        <v>2</v>
      </c>
      <c r="I28" s="477">
        <v>20</v>
      </c>
      <c r="J28" s="303">
        <v>2400</v>
      </c>
      <c r="K28" s="304">
        <f t="shared" si="1"/>
        <v>120</v>
      </c>
      <c r="L28" s="477">
        <v>20</v>
      </c>
      <c r="M28" s="305">
        <f t="shared" si="24"/>
        <v>2302.3255813953483</v>
      </c>
      <c r="N28" s="304">
        <f t="shared" si="3"/>
        <v>115.11627906976742</v>
      </c>
      <c r="O28" s="306">
        <f t="shared" si="4"/>
        <v>0</v>
      </c>
      <c r="P28" s="307">
        <f t="shared" si="5"/>
        <v>-4.8837209302325846</v>
      </c>
      <c r="Q28" s="473">
        <f t="shared" si="6"/>
        <v>0.95930232558139517</v>
      </c>
      <c r="R28" s="571"/>
      <c r="S28" s="308">
        <v>0.37777777777777777</v>
      </c>
      <c r="T28" s="308">
        <v>0.4375</v>
      </c>
      <c r="U28" s="470">
        <f t="shared" si="26"/>
        <v>5.9999999999999787</v>
      </c>
      <c r="V28" s="478">
        <f t="shared" si="25"/>
        <v>86.000000000000014</v>
      </c>
      <c r="W28" s="310"/>
      <c r="X28" s="310"/>
      <c r="Y28" s="570"/>
      <c r="Z28" s="570"/>
      <c r="AA28" s="306">
        <f t="shared" si="8"/>
        <v>-97.674418604651692</v>
      </c>
      <c r="AB28" s="473">
        <f t="shared" si="9"/>
        <v>0.95930232558139517</v>
      </c>
      <c r="AC28" s="571"/>
    </row>
    <row r="29" spans="1:29" ht="15.75" customHeight="1">
      <c r="A29" s="591" t="s">
        <v>2196</v>
      </c>
      <c r="B29" s="300" t="s">
        <v>46</v>
      </c>
      <c r="C29" s="590" t="s">
        <v>2114</v>
      </c>
      <c r="D29" s="590"/>
      <c r="E29" s="300">
        <v>24.83</v>
      </c>
      <c r="F29" s="480">
        <v>4501</v>
      </c>
      <c r="G29" s="470">
        <f t="shared" si="23"/>
        <v>111759.82999999999</v>
      </c>
      <c r="H29" s="481">
        <v>2</v>
      </c>
      <c r="I29" s="477">
        <v>15</v>
      </c>
      <c r="J29" s="303">
        <v>2400</v>
      </c>
      <c r="K29" s="304">
        <f t="shared" si="1"/>
        <v>160</v>
      </c>
      <c r="L29" s="477">
        <v>15</v>
      </c>
      <c r="M29" s="305">
        <f t="shared" si="24"/>
        <v>2288.6440677966093</v>
      </c>
      <c r="N29" s="304">
        <f t="shared" si="3"/>
        <v>152.57627118644061</v>
      </c>
      <c r="O29" s="306">
        <f t="shared" si="4"/>
        <v>0</v>
      </c>
      <c r="P29" s="307">
        <f t="shared" si="5"/>
        <v>-7.4237288135593928</v>
      </c>
      <c r="Q29" s="473">
        <f t="shared" si="6"/>
        <v>0.95360169491525382</v>
      </c>
      <c r="R29" s="571"/>
      <c r="S29" s="308">
        <v>0.44097222222222221</v>
      </c>
      <c r="T29" s="308">
        <v>0.5229166666666667</v>
      </c>
      <c r="U29" s="470">
        <f t="shared" si="26"/>
        <v>4.9999999999999822</v>
      </c>
      <c r="V29" s="478">
        <f t="shared" si="25"/>
        <v>118.00000000000006</v>
      </c>
      <c r="W29" s="310">
        <f>T29</f>
        <v>0.5229166666666667</v>
      </c>
      <c r="X29" s="310">
        <f>S30</f>
        <v>0.56388888888888888</v>
      </c>
      <c r="Y29" s="570"/>
      <c r="Z29" s="570"/>
      <c r="AA29" s="306">
        <f t="shared" si="8"/>
        <v>-111.35593220339069</v>
      </c>
      <c r="AB29" s="473">
        <f t="shared" si="9"/>
        <v>0.95360169491525393</v>
      </c>
      <c r="AC29" s="571"/>
    </row>
    <row r="30" spans="1:29" ht="15.75" customHeight="1">
      <c r="A30" s="591" t="s">
        <v>2196</v>
      </c>
      <c r="B30" s="300" t="s">
        <v>46</v>
      </c>
      <c r="C30" s="590" t="s">
        <v>2114</v>
      </c>
      <c r="D30" s="590"/>
      <c r="E30" s="300">
        <v>24.83</v>
      </c>
      <c r="F30" s="480">
        <v>3665</v>
      </c>
      <c r="G30" s="470">
        <f t="shared" si="23"/>
        <v>91001.95</v>
      </c>
      <c r="H30" s="481" t="s">
        <v>35</v>
      </c>
      <c r="I30" s="477">
        <v>15</v>
      </c>
      <c r="J30" s="303">
        <v>2400</v>
      </c>
      <c r="K30" s="304">
        <f t="shared" si="1"/>
        <v>160</v>
      </c>
      <c r="L30" s="477">
        <v>15</v>
      </c>
      <c r="M30" s="305">
        <f t="shared" si="24"/>
        <v>2290.6250000000005</v>
      </c>
      <c r="N30" s="304">
        <f t="shared" si="3"/>
        <v>152.70833333333337</v>
      </c>
      <c r="O30" s="306">
        <f t="shared" si="4"/>
        <v>0</v>
      </c>
      <c r="P30" s="307">
        <f t="shared" si="5"/>
        <v>-7.2916666666666288</v>
      </c>
      <c r="Q30" s="473">
        <f t="shared" si="6"/>
        <v>0.95442708333333359</v>
      </c>
      <c r="R30" s="571"/>
      <c r="S30" s="308">
        <v>0.56388888888888888</v>
      </c>
      <c r="T30" s="308">
        <v>0.63055555555555554</v>
      </c>
      <c r="U30" s="470">
        <f t="shared" si="26"/>
        <v>58.99999999999995</v>
      </c>
      <c r="V30" s="478">
        <f t="shared" si="25"/>
        <v>95.999999999999972</v>
      </c>
      <c r="W30" s="310"/>
      <c r="X30" s="310"/>
      <c r="Y30" s="570"/>
      <c r="Z30" s="570"/>
      <c r="AA30" s="306">
        <f t="shared" si="8"/>
        <v>-109.37499999999955</v>
      </c>
      <c r="AB30" s="473">
        <f t="shared" si="9"/>
        <v>0.95442708333333348</v>
      </c>
      <c r="AC30" s="571"/>
    </row>
    <row r="31" spans="1:29" ht="15.75" customHeight="1">
      <c r="A31" s="591" t="s">
        <v>2197</v>
      </c>
      <c r="B31" s="300" t="s">
        <v>46</v>
      </c>
      <c r="C31" s="590" t="s">
        <v>61</v>
      </c>
      <c r="D31" s="590"/>
      <c r="E31" s="300">
        <v>31.29</v>
      </c>
      <c r="F31" s="480">
        <v>3896</v>
      </c>
      <c r="G31" s="470">
        <f t="shared" si="23"/>
        <v>121905.84</v>
      </c>
      <c r="H31" s="481" t="s">
        <v>35</v>
      </c>
      <c r="I31" s="477">
        <v>18</v>
      </c>
      <c r="J31" s="303">
        <v>2400</v>
      </c>
      <c r="K31" s="304">
        <f t="shared" si="1"/>
        <v>133.33333333333334</v>
      </c>
      <c r="L31" s="477">
        <v>18</v>
      </c>
      <c r="M31" s="305">
        <f t="shared" si="24"/>
        <v>2291.7647058823536</v>
      </c>
      <c r="N31" s="304">
        <f t="shared" si="3"/>
        <v>127.32026143790853</v>
      </c>
      <c r="O31" s="306">
        <f t="shared" si="4"/>
        <v>0</v>
      </c>
      <c r="P31" s="307">
        <f t="shared" si="5"/>
        <v>-6.0130718954248152</v>
      </c>
      <c r="Q31" s="473">
        <f t="shared" si="6"/>
        <v>0.95490196078431389</v>
      </c>
      <c r="R31" s="571"/>
      <c r="S31" s="308">
        <v>0.63402777777777775</v>
      </c>
      <c r="T31" s="308">
        <v>0.70486111111111105</v>
      </c>
      <c r="U31" s="470">
        <f t="shared" si="26"/>
        <v>4.9999999999999822</v>
      </c>
      <c r="V31" s="478">
        <f t="shared" si="25"/>
        <v>101.99999999999996</v>
      </c>
      <c r="W31" s="310"/>
      <c r="X31" s="310"/>
      <c r="Y31" s="570"/>
      <c r="Z31" s="570"/>
      <c r="AA31" s="306">
        <f t="shared" si="8"/>
        <v>-108.23529411764639</v>
      </c>
      <c r="AB31" s="473">
        <f t="shared" si="9"/>
        <v>0.954901960784314</v>
      </c>
      <c r="AC31" s="571"/>
    </row>
    <row r="32" spans="1:29" ht="15.75" customHeight="1">
      <c r="A32" s="591" t="s">
        <v>2196</v>
      </c>
      <c r="B32" s="300" t="s">
        <v>2190</v>
      </c>
      <c r="C32" s="572"/>
      <c r="D32" s="572"/>
      <c r="E32" s="476"/>
      <c r="F32" s="480"/>
      <c r="G32" s="470"/>
      <c r="H32" s="480"/>
      <c r="I32" s="314">
        <v>17.714285714285715</v>
      </c>
      <c r="J32" s="303">
        <v>2400</v>
      </c>
      <c r="K32" s="304">
        <f t="shared" si="1"/>
        <v>135.48387096774192</v>
      </c>
      <c r="L32" s="314">
        <v>17.714285714285715</v>
      </c>
      <c r="M32" s="305">
        <f>AVERAGE(M25:M31)</f>
        <v>2293.5793787672292</v>
      </c>
      <c r="N32" s="304">
        <f t="shared" si="3"/>
        <v>129.47625525298875</v>
      </c>
      <c r="O32" s="306">
        <f t="shared" si="4"/>
        <v>0</v>
      </c>
      <c r="P32" s="307">
        <f t="shared" si="5"/>
        <v>-6.0076157147531717</v>
      </c>
      <c r="Q32" s="473">
        <f t="shared" si="6"/>
        <v>0.95565807448634565</v>
      </c>
      <c r="R32" s="571"/>
      <c r="S32" s="308"/>
      <c r="T32" s="308"/>
      <c r="U32" s="470"/>
      <c r="V32" s="478"/>
      <c r="W32" s="470"/>
      <c r="X32" s="470"/>
      <c r="Y32" s="570"/>
      <c r="Z32" s="570"/>
      <c r="AA32" s="306">
        <f t="shared" si="8"/>
        <v>-106.42062123277083</v>
      </c>
      <c r="AB32" s="473">
        <f t="shared" si="9"/>
        <v>0.95565807448634554</v>
      </c>
      <c r="AC32" s="571"/>
    </row>
    <row r="33" spans="1:29" ht="15.75" customHeight="1">
      <c r="A33" s="588" t="s">
        <v>2198</v>
      </c>
      <c r="B33" s="300" t="s">
        <v>46</v>
      </c>
      <c r="C33" s="565" t="s">
        <v>63</v>
      </c>
      <c r="D33" s="565"/>
      <c r="E33" s="300">
        <v>26.2</v>
      </c>
      <c r="F33" s="480">
        <v>5000</v>
      </c>
      <c r="G33" s="470">
        <f t="shared" ref="G33:G40" si="27">E33*F33</f>
        <v>131000</v>
      </c>
      <c r="H33" s="481">
        <v>2</v>
      </c>
      <c r="I33" s="477">
        <v>18</v>
      </c>
      <c r="J33" s="303">
        <v>2400</v>
      </c>
      <c r="K33" s="304">
        <f t="shared" si="1"/>
        <v>133.33333333333334</v>
      </c>
      <c r="L33" s="477">
        <v>18</v>
      </c>
      <c r="M33" s="305">
        <f t="shared" ref="M33:M40" si="28">F33/V33*60</f>
        <v>2290.0763358778627</v>
      </c>
      <c r="N33" s="304">
        <f t="shared" si="3"/>
        <v>127.2264631043257</v>
      </c>
      <c r="O33" s="306">
        <f t="shared" si="4"/>
        <v>0</v>
      </c>
      <c r="P33" s="307">
        <f t="shared" si="5"/>
        <v>-6.1068702290076402</v>
      </c>
      <c r="Q33" s="473">
        <f t="shared" si="6"/>
        <v>0.95419847328244267</v>
      </c>
      <c r="R33" s="571">
        <f>Q41</f>
        <v>0.9557008382093406</v>
      </c>
      <c r="S33" s="308">
        <v>8.3333333333333329E-2</v>
      </c>
      <c r="T33" s="308">
        <v>0.17430555555555555</v>
      </c>
      <c r="U33" s="470"/>
      <c r="V33" s="478">
        <f t="shared" ref="V33:V40" si="29">(T33-S33)*24*60</f>
        <v>131</v>
      </c>
      <c r="W33" s="315">
        <f>T33</f>
        <v>0.17430555555555555</v>
      </c>
      <c r="X33" s="315">
        <f>S34</f>
        <v>0.19374999999999998</v>
      </c>
      <c r="Y33" s="570"/>
      <c r="Z33" s="570"/>
      <c r="AA33" s="306">
        <f t="shared" si="8"/>
        <v>-109.92366412213732</v>
      </c>
      <c r="AB33" s="473">
        <f t="shared" si="9"/>
        <v>0.95419847328244278</v>
      </c>
      <c r="AC33" s="571">
        <f>AB41</f>
        <v>0.95570083820934049</v>
      </c>
    </row>
    <row r="34" spans="1:29" ht="15.75" customHeight="1">
      <c r="A34" s="588" t="s">
        <v>2198</v>
      </c>
      <c r="B34" s="300" t="s">
        <v>46</v>
      </c>
      <c r="C34" s="565" t="s">
        <v>64</v>
      </c>
      <c r="D34" s="565"/>
      <c r="E34" s="300">
        <v>26.39</v>
      </c>
      <c r="F34" s="480">
        <v>4500</v>
      </c>
      <c r="G34" s="470">
        <f t="shared" si="27"/>
        <v>118755</v>
      </c>
      <c r="H34" s="481">
        <v>2</v>
      </c>
      <c r="I34" s="477">
        <v>19</v>
      </c>
      <c r="J34" s="303">
        <v>2400</v>
      </c>
      <c r="K34" s="304">
        <f t="shared" si="1"/>
        <v>126.31578947368421</v>
      </c>
      <c r="L34" s="477">
        <v>19</v>
      </c>
      <c r="M34" s="305">
        <f t="shared" si="28"/>
        <v>2288.1355932203396</v>
      </c>
      <c r="N34" s="304">
        <f t="shared" si="3"/>
        <v>120.42818911685998</v>
      </c>
      <c r="O34" s="306">
        <f t="shared" si="4"/>
        <v>0</v>
      </c>
      <c r="P34" s="307">
        <f t="shared" si="5"/>
        <v>-5.8876003568242226</v>
      </c>
      <c r="Q34" s="473">
        <f t="shared" si="6"/>
        <v>0.95338983050847492</v>
      </c>
      <c r="R34" s="571"/>
      <c r="S34" s="308">
        <v>0.19374999999999998</v>
      </c>
      <c r="T34" s="308">
        <v>0.27569444444444441</v>
      </c>
      <c r="U34" s="470">
        <f t="shared" ref="U34:U40" si="30">(S34-T33)*24*60</f>
        <v>27.999999999999979</v>
      </c>
      <c r="V34" s="478">
        <f t="shared" si="29"/>
        <v>117.99999999999999</v>
      </c>
      <c r="W34" s="470"/>
      <c r="X34" s="470"/>
      <c r="Y34" s="570"/>
      <c r="Z34" s="570"/>
      <c r="AA34" s="306">
        <f t="shared" si="8"/>
        <v>-111.86440677966038</v>
      </c>
      <c r="AB34" s="473">
        <f t="shared" si="9"/>
        <v>0.95338983050847481</v>
      </c>
      <c r="AC34" s="571"/>
    </row>
    <row r="35" spans="1:29">
      <c r="A35" s="589" t="s">
        <v>2198</v>
      </c>
      <c r="B35" s="300" t="s">
        <v>46</v>
      </c>
      <c r="C35" s="565" t="s">
        <v>87</v>
      </c>
      <c r="D35" s="565"/>
      <c r="E35" s="300">
        <v>20.52</v>
      </c>
      <c r="F35" s="480">
        <v>5400</v>
      </c>
      <c r="G35" s="470">
        <f t="shared" si="27"/>
        <v>110808</v>
      </c>
      <c r="H35" s="481" t="s">
        <v>35</v>
      </c>
      <c r="I35" s="477">
        <v>18</v>
      </c>
      <c r="J35" s="303">
        <v>2400</v>
      </c>
      <c r="K35" s="304">
        <f t="shared" si="1"/>
        <v>133.33333333333334</v>
      </c>
      <c r="L35" s="477">
        <v>18</v>
      </c>
      <c r="M35" s="305">
        <f t="shared" si="28"/>
        <v>2281.6901408450708</v>
      </c>
      <c r="N35" s="304">
        <f t="shared" si="3"/>
        <v>126.76056338028171</v>
      </c>
      <c r="O35" s="306">
        <f t="shared" si="4"/>
        <v>0</v>
      </c>
      <c r="P35" s="307">
        <f t="shared" si="5"/>
        <v>-6.5727699530516333</v>
      </c>
      <c r="Q35" s="473">
        <f t="shared" si="6"/>
        <v>0.95070422535211274</v>
      </c>
      <c r="R35" s="571"/>
      <c r="S35" s="308">
        <v>0.27986111111111106</v>
      </c>
      <c r="T35" s="308">
        <v>0.37847222222222215</v>
      </c>
      <c r="U35" s="470">
        <f t="shared" si="30"/>
        <v>5.9999999999999787</v>
      </c>
      <c r="V35" s="478">
        <f t="shared" si="29"/>
        <v>141.99999999999997</v>
      </c>
      <c r="W35" s="470"/>
      <c r="X35" s="470"/>
      <c r="Y35" s="570"/>
      <c r="Z35" s="570"/>
      <c r="AA35" s="306">
        <f t="shared" si="8"/>
        <v>-118.3098591549292</v>
      </c>
      <c r="AB35" s="473">
        <f t="shared" si="9"/>
        <v>0.95070422535211285</v>
      </c>
      <c r="AC35" s="571"/>
    </row>
    <row r="36" spans="1:29">
      <c r="A36" s="589" t="s">
        <v>2198</v>
      </c>
      <c r="B36" s="300" t="s">
        <v>46</v>
      </c>
      <c r="C36" s="565" t="s">
        <v>48</v>
      </c>
      <c r="D36" s="565"/>
      <c r="E36" s="300">
        <v>22.35</v>
      </c>
      <c r="F36" s="480">
        <v>2615</v>
      </c>
      <c r="G36" s="470">
        <f t="shared" si="27"/>
        <v>58445.250000000007</v>
      </c>
      <c r="H36" s="481" t="s">
        <v>35</v>
      </c>
      <c r="I36" s="477">
        <v>16</v>
      </c>
      <c r="J36" s="303">
        <v>2400</v>
      </c>
      <c r="K36" s="304">
        <f t="shared" si="1"/>
        <v>150</v>
      </c>
      <c r="L36" s="477">
        <v>16</v>
      </c>
      <c r="M36" s="305">
        <f t="shared" si="28"/>
        <v>2307.3529411764703</v>
      </c>
      <c r="N36" s="304">
        <f t="shared" si="3"/>
        <v>144.20955882352939</v>
      </c>
      <c r="O36" s="306">
        <f t="shared" si="4"/>
        <v>0</v>
      </c>
      <c r="P36" s="307">
        <f t="shared" si="5"/>
        <v>-5.7904411764706083</v>
      </c>
      <c r="Q36" s="473">
        <f t="shared" si="6"/>
        <v>0.96139705882352933</v>
      </c>
      <c r="R36" s="571"/>
      <c r="S36" s="308">
        <v>0.38333333333333325</v>
      </c>
      <c r="T36" s="308">
        <v>0.43055555555555547</v>
      </c>
      <c r="U36" s="470">
        <f t="shared" si="30"/>
        <v>6.9999999999999751</v>
      </c>
      <c r="V36" s="478">
        <f t="shared" si="29"/>
        <v>68</v>
      </c>
      <c r="W36" s="310"/>
      <c r="X36" s="310"/>
      <c r="Y36" s="570"/>
      <c r="Z36" s="570"/>
      <c r="AA36" s="306">
        <f t="shared" si="8"/>
        <v>-92.647058823529733</v>
      </c>
      <c r="AB36" s="473">
        <f t="shared" si="9"/>
        <v>0.96139705882352933</v>
      </c>
      <c r="AC36" s="571"/>
    </row>
    <row r="37" spans="1:29">
      <c r="A37" s="589" t="s">
        <v>2198</v>
      </c>
      <c r="B37" s="300" t="s">
        <v>46</v>
      </c>
      <c r="C37" s="565" t="s">
        <v>65</v>
      </c>
      <c r="D37" s="565"/>
      <c r="E37" s="300">
        <v>24.43</v>
      </c>
      <c r="F37" s="480">
        <v>4000</v>
      </c>
      <c r="G37" s="470">
        <f t="shared" si="27"/>
        <v>97720</v>
      </c>
      <c r="H37" s="481">
        <v>2</v>
      </c>
      <c r="I37" s="477">
        <v>15</v>
      </c>
      <c r="J37" s="303">
        <v>2400</v>
      </c>
      <c r="K37" s="304">
        <f t="shared" si="1"/>
        <v>160</v>
      </c>
      <c r="L37" s="477">
        <v>15</v>
      </c>
      <c r="M37" s="305">
        <f t="shared" si="28"/>
        <v>2285.7142857142871</v>
      </c>
      <c r="N37" s="304">
        <f t="shared" si="3"/>
        <v>152.38095238095246</v>
      </c>
      <c r="O37" s="306">
        <f t="shared" si="4"/>
        <v>0</v>
      </c>
      <c r="P37" s="307">
        <f t="shared" si="5"/>
        <v>-7.6190476190475351</v>
      </c>
      <c r="Q37" s="473">
        <f t="shared" si="6"/>
        <v>0.95238095238095288</v>
      </c>
      <c r="R37" s="571"/>
      <c r="S37" s="308">
        <v>0.43472222222222212</v>
      </c>
      <c r="T37" s="308">
        <v>0.50763888888888875</v>
      </c>
      <c r="U37" s="470">
        <f t="shared" si="30"/>
        <v>5.9999999999999787</v>
      </c>
      <c r="V37" s="478">
        <f t="shared" si="29"/>
        <v>104.99999999999994</v>
      </c>
      <c r="W37" s="310">
        <f>T37</f>
        <v>0.50763888888888875</v>
      </c>
      <c r="X37" s="310">
        <f>S38</f>
        <v>0.54652777777777761</v>
      </c>
      <c r="Y37" s="570"/>
      <c r="Z37" s="570"/>
      <c r="AA37" s="306">
        <f t="shared" si="8"/>
        <v>-114.28571428571286</v>
      </c>
      <c r="AB37" s="473">
        <f t="shared" si="9"/>
        <v>0.95238095238095299</v>
      </c>
      <c r="AC37" s="571"/>
    </row>
    <row r="38" spans="1:29">
      <c r="A38" s="589" t="s">
        <v>2199</v>
      </c>
      <c r="B38" s="300" t="s">
        <v>46</v>
      </c>
      <c r="C38" s="565" t="s">
        <v>65</v>
      </c>
      <c r="D38" s="565"/>
      <c r="E38" s="300">
        <v>24.43</v>
      </c>
      <c r="F38" s="480">
        <v>5132</v>
      </c>
      <c r="G38" s="470">
        <f t="shared" si="27"/>
        <v>125374.76</v>
      </c>
      <c r="H38" s="481" t="s">
        <v>35</v>
      </c>
      <c r="I38" s="477">
        <v>15</v>
      </c>
      <c r="J38" s="303">
        <v>2400</v>
      </c>
      <c r="K38" s="304">
        <f t="shared" si="1"/>
        <v>160</v>
      </c>
      <c r="L38" s="477">
        <v>15</v>
      </c>
      <c r="M38" s="305">
        <f t="shared" si="28"/>
        <v>2297.9104477611941</v>
      </c>
      <c r="N38" s="304">
        <f t="shared" si="3"/>
        <v>153.19402985074626</v>
      </c>
      <c r="O38" s="306">
        <f t="shared" si="4"/>
        <v>0</v>
      </c>
      <c r="P38" s="307">
        <f t="shared" si="5"/>
        <v>-6.8059701492537386</v>
      </c>
      <c r="Q38" s="473">
        <f t="shared" si="6"/>
        <v>0.95746268656716416</v>
      </c>
      <c r="R38" s="571"/>
      <c r="S38" s="308">
        <v>0.54652777777777761</v>
      </c>
      <c r="T38" s="308">
        <v>0.63958333333333317</v>
      </c>
      <c r="U38" s="470">
        <f t="shared" si="30"/>
        <v>55.999999999999957</v>
      </c>
      <c r="V38" s="478">
        <f t="shared" si="29"/>
        <v>134</v>
      </c>
      <c r="W38" s="310"/>
      <c r="X38" s="310"/>
      <c r="Y38" s="570"/>
      <c r="Z38" s="570"/>
      <c r="AA38" s="306">
        <f t="shared" si="8"/>
        <v>-102.08955223880594</v>
      </c>
      <c r="AB38" s="473">
        <f t="shared" si="9"/>
        <v>0.95746268656716416</v>
      </c>
      <c r="AC38" s="571"/>
    </row>
    <row r="39" spans="1:29">
      <c r="A39" s="589" t="s">
        <v>2199</v>
      </c>
      <c r="B39" s="300" t="s">
        <v>46</v>
      </c>
      <c r="C39" s="565" t="s">
        <v>63</v>
      </c>
      <c r="D39" s="565"/>
      <c r="E39" s="300">
        <v>26.2</v>
      </c>
      <c r="F39" s="480">
        <v>2505</v>
      </c>
      <c r="G39" s="470">
        <f t="shared" si="27"/>
        <v>65631</v>
      </c>
      <c r="H39" s="481" t="s">
        <v>35</v>
      </c>
      <c r="I39" s="477">
        <v>18</v>
      </c>
      <c r="J39" s="303">
        <v>2400</v>
      </c>
      <c r="K39" s="304">
        <f t="shared" si="1"/>
        <v>133.33333333333334</v>
      </c>
      <c r="L39" s="477">
        <v>18</v>
      </c>
      <c r="M39" s="305">
        <f t="shared" si="28"/>
        <v>2312.3076923076951</v>
      </c>
      <c r="N39" s="304">
        <f t="shared" si="3"/>
        <v>128.46153846153862</v>
      </c>
      <c r="O39" s="306">
        <f t="shared" si="4"/>
        <v>0</v>
      </c>
      <c r="P39" s="307">
        <f t="shared" si="5"/>
        <v>-4.8717948717947195</v>
      </c>
      <c r="Q39" s="473">
        <f t="shared" si="6"/>
        <v>0.96346153846153959</v>
      </c>
      <c r="R39" s="571"/>
      <c r="S39" s="308">
        <v>0.64374999999999982</v>
      </c>
      <c r="T39" s="308">
        <v>0.68888888888888866</v>
      </c>
      <c r="U39" s="470">
        <f t="shared" si="30"/>
        <v>5.9999999999999787</v>
      </c>
      <c r="V39" s="478">
        <f t="shared" si="29"/>
        <v>64.999999999999929</v>
      </c>
      <c r="W39" s="310"/>
      <c r="X39" s="310"/>
      <c r="Y39" s="566"/>
      <c r="Z39" s="567"/>
      <c r="AA39" s="306">
        <f t="shared" si="8"/>
        <v>-87.692307692304894</v>
      </c>
      <c r="AB39" s="473">
        <f t="shared" si="9"/>
        <v>0.96346153846153959</v>
      </c>
      <c r="AC39" s="571"/>
    </row>
    <row r="40" spans="1:29">
      <c r="A40" s="589" t="s">
        <v>2199</v>
      </c>
      <c r="B40" s="300" t="s">
        <v>46</v>
      </c>
      <c r="C40" s="565" t="s">
        <v>64</v>
      </c>
      <c r="D40" s="565"/>
      <c r="E40" s="300">
        <v>26.39</v>
      </c>
      <c r="F40" s="480">
        <v>2553</v>
      </c>
      <c r="G40" s="470">
        <f t="shared" si="27"/>
        <v>67373.67</v>
      </c>
      <c r="H40" s="481" t="s">
        <v>35</v>
      </c>
      <c r="I40" s="477">
        <v>19</v>
      </c>
      <c r="J40" s="303">
        <v>2400</v>
      </c>
      <c r="K40" s="304">
        <f t="shared" si="1"/>
        <v>126.31578947368421</v>
      </c>
      <c r="L40" s="477">
        <v>19</v>
      </c>
      <c r="M40" s="305">
        <f t="shared" si="28"/>
        <v>2286.2686567164146</v>
      </c>
      <c r="N40" s="304">
        <f t="shared" si="3"/>
        <v>120.32992930086392</v>
      </c>
      <c r="O40" s="306">
        <f t="shared" si="4"/>
        <v>0</v>
      </c>
      <c r="P40" s="307">
        <f t="shared" si="5"/>
        <v>-5.9858601728202814</v>
      </c>
      <c r="Q40" s="473">
        <f t="shared" si="6"/>
        <v>0.95261194029850615</v>
      </c>
      <c r="R40" s="571"/>
      <c r="S40" s="308">
        <v>0.69236111111111087</v>
      </c>
      <c r="T40" s="308">
        <v>0.73888888888888871</v>
      </c>
      <c r="U40" s="470">
        <f t="shared" si="30"/>
        <v>4.9999999999999822</v>
      </c>
      <c r="V40" s="478">
        <f t="shared" si="29"/>
        <v>67.000000000000085</v>
      </c>
      <c r="W40" s="310"/>
      <c r="X40" s="310"/>
      <c r="Y40" s="566"/>
      <c r="Z40" s="567"/>
      <c r="AA40" s="306">
        <f t="shared" si="8"/>
        <v>-113.73134328358537</v>
      </c>
      <c r="AB40" s="473">
        <f t="shared" si="9"/>
        <v>0.95261194029850604</v>
      </c>
      <c r="AC40" s="571"/>
    </row>
    <row r="41" spans="1:29">
      <c r="A41" s="589" t="s">
        <v>2199</v>
      </c>
      <c r="B41" s="313" t="s">
        <v>2200</v>
      </c>
      <c r="C41" s="572"/>
      <c r="D41" s="572"/>
      <c r="E41" s="476"/>
      <c r="F41" s="313"/>
      <c r="G41" s="304"/>
      <c r="H41" s="480"/>
      <c r="I41" s="314">
        <v>17.25</v>
      </c>
      <c r="J41" s="303">
        <v>2400</v>
      </c>
      <c r="K41" s="304">
        <f t="shared" si="1"/>
        <v>139.13043478260869</v>
      </c>
      <c r="L41" s="314">
        <v>17.25</v>
      </c>
      <c r="M41" s="305">
        <f>AVERAGE(M33:M40)</f>
        <v>2293.6820117024172</v>
      </c>
      <c r="N41" s="304">
        <f t="shared" si="3"/>
        <v>132.96707314216911</v>
      </c>
      <c r="O41" s="306">
        <f t="shared" si="4"/>
        <v>0</v>
      </c>
      <c r="P41" s="307">
        <f t="shared" si="5"/>
        <v>-6.1633616404395752</v>
      </c>
      <c r="Q41" s="473">
        <f t="shared" si="6"/>
        <v>0.9557008382093406</v>
      </c>
      <c r="R41" s="571"/>
      <c r="S41" s="308"/>
      <c r="T41" s="308"/>
      <c r="U41" s="304"/>
      <c r="V41" s="478"/>
      <c r="W41" s="304"/>
      <c r="X41" s="304"/>
      <c r="Y41" s="570"/>
      <c r="Z41" s="570"/>
      <c r="AA41" s="306">
        <f t="shared" si="8"/>
        <v>-106.31798829758281</v>
      </c>
      <c r="AB41" s="473">
        <f t="shared" si="9"/>
        <v>0.95570083820934049</v>
      </c>
      <c r="AC41" s="571"/>
    </row>
    <row r="42" spans="1:29" ht="15.75" customHeight="1">
      <c r="A42" s="585" t="s">
        <v>2201</v>
      </c>
      <c r="B42" s="300" t="s">
        <v>67</v>
      </c>
      <c r="C42" s="580" t="s">
        <v>68</v>
      </c>
      <c r="D42" s="581"/>
      <c r="E42" s="300">
        <v>21.13</v>
      </c>
      <c r="F42" s="480">
        <v>3100</v>
      </c>
      <c r="G42" s="470">
        <f t="shared" ref="G42:G51" si="31">E42*F42</f>
        <v>65503</v>
      </c>
      <c r="H42" s="481">
        <v>2</v>
      </c>
      <c r="I42" s="477">
        <v>10</v>
      </c>
      <c r="J42" s="303">
        <v>3000</v>
      </c>
      <c r="K42" s="304">
        <f t="shared" si="1"/>
        <v>300</v>
      </c>
      <c r="L42" s="477">
        <v>10</v>
      </c>
      <c r="M42" s="305">
        <f t="shared" ref="M42:M51" si="32">F42/V42*60</f>
        <v>2861.5384615384619</v>
      </c>
      <c r="N42" s="305">
        <f t="shared" si="3"/>
        <v>286.15384615384619</v>
      </c>
      <c r="O42" s="306">
        <f t="shared" si="4"/>
        <v>0</v>
      </c>
      <c r="P42" s="307">
        <f t="shared" si="5"/>
        <v>-13.846153846153811</v>
      </c>
      <c r="Q42" s="473">
        <f t="shared" si="6"/>
        <v>0.95384615384615401</v>
      </c>
      <c r="R42" s="582">
        <f>Q52</f>
        <v>0.95780493214160745</v>
      </c>
      <c r="S42" s="308">
        <v>8.3333333333333329E-2</v>
      </c>
      <c r="T42" s="308">
        <v>0.12847222222222221</v>
      </c>
      <c r="U42" s="315"/>
      <c r="V42" s="478">
        <f t="shared" ref="V42:V51" si="33">(T42-S42)*24*60</f>
        <v>64.999999999999986</v>
      </c>
      <c r="W42" s="310">
        <f>T42</f>
        <v>0.12847222222222221</v>
      </c>
      <c r="X42" s="310">
        <f>S43</f>
        <v>0.14791666666666664</v>
      </c>
      <c r="Y42" s="566"/>
      <c r="Z42" s="567"/>
      <c r="AA42" s="306">
        <f t="shared" si="8"/>
        <v>-138.46153846153811</v>
      </c>
      <c r="AB42" s="473">
        <f t="shared" si="9"/>
        <v>0.95384615384615401</v>
      </c>
      <c r="AC42" s="582">
        <f>AB52</f>
        <v>0.95780493214160745</v>
      </c>
    </row>
    <row r="43" spans="1:29" ht="15.75" customHeight="1">
      <c r="A43" s="586" t="s">
        <v>2201</v>
      </c>
      <c r="B43" s="300" t="s">
        <v>67</v>
      </c>
      <c r="C43" s="580" t="s">
        <v>69</v>
      </c>
      <c r="D43" s="581"/>
      <c r="E43" s="300">
        <v>27.17</v>
      </c>
      <c r="F43" s="480">
        <v>4000</v>
      </c>
      <c r="G43" s="470">
        <f t="shared" si="31"/>
        <v>108680</v>
      </c>
      <c r="H43" s="481">
        <v>2</v>
      </c>
      <c r="I43" s="477">
        <v>10</v>
      </c>
      <c r="J43" s="303">
        <v>3000</v>
      </c>
      <c r="K43" s="304">
        <f t="shared" si="1"/>
        <v>300</v>
      </c>
      <c r="L43" s="477">
        <v>10</v>
      </c>
      <c r="M43" s="305">
        <f t="shared" si="32"/>
        <v>2857.1428571428578</v>
      </c>
      <c r="N43" s="305">
        <f t="shared" si="3"/>
        <v>285.71428571428578</v>
      </c>
      <c r="O43" s="306">
        <f t="shared" si="4"/>
        <v>0</v>
      </c>
      <c r="P43" s="307">
        <f t="shared" si="5"/>
        <v>-14.285714285714221</v>
      </c>
      <c r="Q43" s="473">
        <f t="shared" si="6"/>
        <v>0.95238095238095255</v>
      </c>
      <c r="R43" s="583"/>
      <c r="S43" s="308">
        <v>0.14791666666666664</v>
      </c>
      <c r="T43" s="308">
        <v>0.20624999999999996</v>
      </c>
      <c r="U43" s="470">
        <f t="shared" ref="U43:U51" si="34">(S43-T42)*24*60</f>
        <v>27.999999999999979</v>
      </c>
      <c r="V43" s="478">
        <f t="shared" si="33"/>
        <v>83.999999999999986</v>
      </c>
      <c r="W43" s="310"/>
      <c r="X43" s="310"/>
      <c r="Y43" s="566"/>
      <c r="Z43" s="567"/>
      <c r="AA43" s="306">
        <f t="shared" si="8"/>
        <v>-142.85714285714221</v>
      </c>
      <c r="AB43" s="473">
        <f t="shared" si="9"/>
        <v>0.95238095238095255</v>
      </c>
      <c r="AC43" s="583"/>
    </row>
    <row r="44" spans="1:29" ht="15.75" customHeight="1">
      <c r="A44" s="586" t="s">
        <v>2201</v>
      </c>
      <c r="B44" s="300" t="s">
        <v>67</v>
      </c>
      <c r="C44" s="580" t="s">
        <v>70</v>
      </c>
      <c r="D44" s="581"/>
      <c r="E44" s="300">
        <v>35.119999999999997</v>
      </c>
      <c r="F44" s="480">
        <v>4900</v>
      </c>
      <c r="G44" s="470">
        <f t="shared" si="31"/>
        <v>172088</v>
      </c>
      <c r="H44" s="481" t="s">
        <v>35</v>
      </c>
      <c r="I44" s="477">
        <v>10</v>
      </c>
      <c r="J44" s="303">
        <v>3000</v>
      </c>
      <c r="K44" s="304">
        <f t="shared" si="1"/>
        <v>300</v>
      </c>
      <c r="L44" s="477">
        <v>10</v>
      </c>
      <c r="M44" s="305">
        <f t="shared" si="32"/>
        <v>2882.3529411764694</v>
      </c>
      <c r="N44" s="305">
        <f t="shared" si="3"/>
        <v>288.23529411764696</v>
      </c>
      <c r="O44" s="306">
        <f t="shared" si="4"/>
        <v>0</v>
      </c>
      <c r="P44" s="307">
        <f t="shared" si="5"/>
        <v>-11.764705882353041</v>
      </c>
      <c r="Q44" s="473">
        <f t="shared" si="6"/>
        <v>0.96078431372548989</v>
      </c>
      <c r="R44" s="583"/>
      <c r="S44" s="308">
        <v>0.21111111111111108</v>
      </c>
      <c r="T44" s="308">
        <v>0.28194444444444444</v>
      </c>
      <c r="U44" s="470">
        <f t="shared" si="34"/>
        <v>7.0000000000000151</v>
      </c>
      <c r="V44" s="478">
        <f t="shared" si="33"/>
        <v>102.00000000000004</v>
      </c>
      <c r="W44" s="310"/>
      <c r="X44" s="310"/>
      <c r="Y44" s="566"/>
      <c r="Z44" s="567"/>
      <c r="AA44" s="306">
        <f t="shared" si="8"/>
        <v>-117.64705882353064</v>
      </c>
      <c r="AB44" s="473">
        <f t="shared" si="9"/>
        <v>0.96078431372548978</v>
      </c>
      <c r="AC44" s="583"/>
    </row>
    <row r="45" spans="1:29" ht="15.75" customHeight="1">
      <c r="A45" s="586" t="s">
        <v>2201</v>
      </c>
      <c r="B45" s="300" t="s">
        <v>67</v>
      </c>
      <c r="C45" s="580" t="s">
        <v>71</v>
      </c>
      <c r="D45" s="581"/>
      <c r="E45" s="300">
        <v>35.869999999999997</v>
      </c>
      <c r="F45" s="480">
        <v>3139</v>
      </c>
      <c r="G45" s="470">
        <f t="shared" si="31"/>
        <v>112595.93</v>
      </c>
      <c r="H45" s="481" t="s">
        <v>35</v>
      </c>
      <c r="I45" s="477">
        <v>10</v>
      </c>
      <c r="J45" s="303">
        <v>3000</v>
      </c>
      <c r="K45" s="304">
        <f t="shared" si="1"/>
        <v>300</v>
      </c>
      <c r="L45" s="477">
        <v>10</v>
      </c>
      <c r="M45" s="305">
        <f t="shared" si="32"/>
        <v>2853.636363636364</v>
      </c>
      <c r="N45" s="305">
        <f t="shared" si="3"/>
        <v>285.36363636363637</v>
      </c>
      <c r="O45" s="306">
        <f t="shared" si="4"/>
        <v>0</v>
      </c>
      <c r="P45" s="307">
        <f t="shared" si="5"/>
        <v>-14.636363636363626</v>
      </c>
      <c r="Q45" s="473">
        <f t="shared" si="6"/>
        <v>0.95121212121212129</v>
      </c>
      <c r="R45" s="583"/>
      <c r="S45" s="308">
        <v>0.28541666666666665</v>
      </c>
      <c r="T45" s="308">
        <v>0.33124999999999999</v>
      </c>
      <c r="U45" s="470">
        <f t="shared" si="34"/>
        <v>4.9999999999999822</v>
      </c>
      <c r="V45" s="478">
        <f t="shared" si="33"/>
        <v>66</v>
      </c>
      <c r="W45" s="310"/>
      <c r="X45" s="310"/>
      <c r="Y45" s="566"/>
      <c r="Z45" s="567"/>
      <c r="AA45" s="306">
        <f t="shared" si="8"/>
        <v>-146.36363636363603</v>
      </c>
      <c r="AB45" s="473">
        <f t="shared" si="9"/>
        <v>0.95121212121212129</v>
      </c>
      <c r="AC45" s="583"/>
    </row>
    <row r="46" spans="1:29" ht="15.75" customHeight="1">
      <c r="A46" s="586" t="s">
        <v>2201</v>
      </c>
      <c r="B46" s="300" t="s">
        <v>67</v>
      </c>
      <c r="C46" s="580" t="s">
        <v>72</v>
      </c>
      <c r="D46" s="581"/>
      <c r="E46" s="300">
        <v>36.14</v>
      </c>
      <c r="F46" s="480">
        <v>1664</v>
      </c>
      <c r="G46" s="470">
        <f t="shared" si="31"/>
        <v>60136.959999999999</v>
      </c>
      <c r="H46" s="481" t="s">
        <v>35</v>
      </c>
      <c r="I46" s="477">
        <v>8</v>
      </c>
      <c r="J46" s="303">
        <v>3000</v>
      </c>
      <c r="K46" s="304">
        <f t="shared" si="1"/>
        <v>375</v>
      </c>
      <c r="L46" s="477">
        <v>8</v>
      </c>
      <c r="M46" s="305">
        <f t="shared" si="32"/>
        <v>2936.4705882352978</v>
      </c>
      <c r="N46" s="305">
        <f t="shared" si="3"/>
        <v>367.05882352941222</v>
      </c>
      <c r="O46" s="306">
        <f t="shared" si="4"/>
        <v>0</v>
      </c>
      <c r="P46" s="307">
        <f t="shared" si="5"/>
        <v>-7.9411764705877772</v>
      </c>
      <c r="Q46" s="473">
        <f t="shared" si="6"/>
        <v>0.97882352941176598</v>
      </c>
      <c r="R46" s="583"/>
      <c r="S46" s="308">
        <v>0.33541666666666664</v>
      </c>
      <c r="T46" s="308">
        <v>0.35902777777777772</v>
      </c>
      <c r="U46" s="470">
        <f t="shared" si="34"/>
        <v>5.9999999999999787</v>
      </c>
      <c r="V46" s="478">
        <f t="shared" si="33"/>
        <v>33.999999999999957</v>
      </c>
      <c r="W46" s="310"/>
      <c r="X46" s="310"/>
      <c r="Y46" s="566"/>
      <c r="Z46" s="567"/>
      <c r="AA46" s="306">
        <f t="shared" si="8"/>
        <v>-63.529411764702218</v>
      </c>
      <c r="AB46" s="473">
        <f t="shared" si="9"/>
        <v>0.97882352941176598</v>
      </c>
      <c r="AC46" s="583"/>
    </row>
    <row r="47" spans="1:29" ht="15.75" customHeight="1">
      <c r="A47" s="586" t="s">
        <v>2201</v>
      </c>
      <c r="B47" s="300" t="s">
        <v>67</v>
      </c>
      <c r="C47" s="580" t="s">
        <v>664</v>
      </c>
      <c r="D47" s="581"/>
      <c r="E47" s="300">
        <v>34.36</v>
      </c>
      <c r="F47" s="480">
        <v>3213</v>
      </c>
      <c r="G47" s="470">
        <f t="shared" si="31"/>
        <v>110398.68</v>
      </c>
      <c r="H47" s="481" t="s">
        <v>35</v>
      </c>
      <c r="I47" s="477">
        <v>10</v>
      </c>
      <c r="J47" s="303">
        <v>3000</v>
      </c>
      <c r="K47" s="304">
        <f t="shared" si="1"/>
        <v>300</v>
      </c>
      <c r="L47" s="477">
        <v>10</v>
      </c>
      <c r="M47" s="305">
        <f t="shared" si="32"/>
        <v>2877.313432835821</v>
      </c>
      <c r="N47" s="305">
        <f t="shared" si="3"/>
        <v>287.73134328358208</v>
      </c>
      <c r="O47" s="306">
        <f t="shared" si="4"/>
        <v>0</v>
      </c>
      <c r="P47" s="307">
        <f t="shared" si="5"/>
        <v>-12.268656716417922</v>
      </c>
      <c r="Q47" s="473">
        <f t="shared" si="6"/>
        <v>0.95910447761194029</v>
      </c>
      <c r="R47" s="583"/>
      <c r="S47" s="308">
        <v>0.36458333333333326</v>
      </c>
      <c r="T47" s="308">
        <v>0.41111111111111104</v>
      </c>
      <c r="U47" s="470">
        <f t="shared" si="34"/>
        <v>7.9999999999999716</v>
      </c>
      <c r="V47" s="478">
        <f t="shared" si="33"/>
        <v>67</v>
      </c>
      <c r="W47" s="310"/>
      <c r="X47" s="310"/>
      <c r="Y47" s="566"/>
      <c r="Z47" s="567"/>
      <c r="AA47" s="306">
        <f t="shared" si="8"/>
        <v>-122.686567164179</v>
      </c>
      <c r="AB47" s="473">
        <f t="shared" si="9"/>
        <v>0.95910447761194029</v>
      </c>
      <c r="AC47" s="583"/>
    </row>
    <row r="48" spans="1:29" ht="15.75" customHeight="1">
      <c r="A48" s="586" t="s">
        <v>2201</v>
      </c>
      <c r="B48" s="300" t="s">
        <v>67</v>
      </c>
      <c r="C48" s="580" t="s">
        <v>2117</v>
      </c>
      <c r="D48" s="581"/>
      <c r="E48" s="300">
        <v>31</v>
      </c>
      <c r="F48" s="480">
        <v>4200</v>
      </c>
      <c r="G48" s="470">
        <f t="shared" si="31"/>
        <v>130200</v>
      </c>
      <c r="H48" s="481">
        <v>2</v>
      </c>
      <c r="I48" s="477">
        <v>13</v>
      </c>
      <c r="J48" s="303">
        <v>2000</v>
      </c>
      <c r="K48" s="304">
        <f t="shared" si="1"/>
        <v>153.84615384615384</v>
      </c>
      <c r="L48" s="477">
        <v>13</v>
      </c>
      <c r="M48" s="305">
        <f t="shared" si="32"/>
        <v>1909.0909090909079</v>
      </c>
      <c r="N48" s="305">
        <f t="shared" si="3"/>
        <v>146.85314685314677</v>
      </c>
      <c r="O48" s="306">
        <f t="shared" si="4"/>
        <v>0</v>
      </c>
      <c r="P48" s="307">
        <f t="shared" si="5"/>
        <v>-6.9930069930070715</v>
      </c>
      <c r="Q48" s="473">
        <f t="shared" si="6"/>
        <v>0.95454545454545403</v>
      </c>
      <c r="R48" s="583"/>
      <c r="S48" s="308">
        <v>0.41666666666666657</v>
      </c>
      <c r="T48" s="308">
        <v>0.5083333333333333</v>
      </c>
      <c r="U48" s="470">
        <f t="shared" si="34"/>
        <v>7.9999999999999716</v>
      </c>
      <c r="V48" s="478">
        <f t="shared" si="33"/>
        <v>132.00000000000009</v>
      </c>
      <c r="W48" s="310">
        <f>T48</f>
        <v>0.5083333333333333</v>
      </c>
      <c r="X48" s="310">
        <f>S49</f>
        <v>0.54652777777777772</v>
      </c>
      <c r="Y48" s="566"/>
      <c r="Z48" s="567"/>
      <c r="AA48" s="306">
        <f t="shared" si="8"/>
        <v>-90.909090909092129</v>
      </c>
      <c r="AB48" s="473">
        <f t="shared" si="9"/>
        <v>0.95454545454545392</v>
      </c>
      <c r="AC48" s="583"/>
    </row>
    <row r="49" spans="1:29" ht="15.75" customHeight="1">
      <c r="A49" s="586" t="s">
        <v>2201</v>
      </c>
      <c r="B49" s="300" t="s">
        <v>67</v>
      </c>
      <c r="C49" s="580" t="s">
        <v>2117</v>
      </c>
      <c r="D49" s="581"/>
      <c r="E49" s="300">
        <v>31</v>
      </c>
      <c r="F49" s="480">
        <v>2062</v>
      </c>
      <c r="G49" s="470">
        <f t="shared" si="31"/>
        <v>63922</v>
      </c>
      <c r="H49" s="481" t="s">
        <v>35</v>
      </c>
      <c r="I49" s="477">
        <v>13</v>
      </c>
      <c r="J49" s="303">
        <v>2000</v>
      </c>
      <c r="K49" s="304">
        <f t="shared" si="1"/>
        <v>153.84615384615384</v>
      </c>
      <c r="L49" s="477">
        <v>13</v>
      </c>
      <c r="M49" s="305">
        <f t="shared" si="32"/>
        <v>1903.3846153846173</v>
      </c>
      <c r="N49" s="305">
        <f t="shared" si="3"/>
        <v>146.41420118343211</v>
      </c>
      <c r="O49" s="306">
        <f t="shared" si="4"/>
        <v>0</v>
      </c>
      <c r="P49" s="307">
        <f t="shared" si="5"/>
        <v>-7.4319526627217272</v>
      </c>
      <c r="Q49" s="473">
        <f t="shared" si="6"/>
        <v>0.95169230769230873</v>
      </c>
      <c r="R49" s="583"/>
      <c r="S49" s="308">
        <v>0.54652777777777772</v>
      </c>
      <c r="T49" s="308">
        <v>0.59166666666666656</v>
      </c>
      <c r="U49" s="470">
        <f t="shared" si="34"/>
        <v>54.999999999999964</v>
      </c>
      <c r="V49" s="478">
        <f t="shared" si="33"/>
        <v>64.999999999999929</v>
      </c>
      <c r="W49" s="310"/>
      <c r="X49" s="310"/>
      <c r="Y49" s="566"/>
      <c r="Z49" s="567"/>
      <c r="AA49" s="306">
        <f t="shared" si="8"/>
        <v>-96.615384615382709</v>
      </c>
      <c r="AB49" s="473">
        <f t="shared" si="9"/>
        <v>0.95169230769230861</v>
      </c>
      <c r="AC49" s="583"/>
    </row>
    <row r="50" spans="1:29" ht="15.75" customHeight="1">
      <c r="A50" s="586" t="s">
        <v>2201</v>
      </c>
      <c r="B50" s="300" t="s">
        <v>67</v>
      </c>
      <c r="C50" s="580" t="s">
        <v>69</v>
      </c>
      <c r="D50" s="581"/>
      <c r="E50" s="300">
        <v>27.17</v>
      </c>
      <c r="F50" s="480">
        <v>2820</v>
      </c>
      <c r="G50" s="470">
        <f t="shared" si="31"/>
        <v>76619.400000000009</v>
      </c>
      <c r="H50" s="481" t="s">
        <v>35</v>
      </c>
      <c r="I50" s="477">
        <v>10</v>
      </c>
      <c r="J50" s="303">
        <v>3000</v>
      </c>
      <c r="K50" s="304">
        <f t="shared" si="1"/>
        <v>300</v>
      </c>
      <c r="L50" s="477">
        <v>10</v>
      </c>
      <c r="M50" s="305">
        <f t="shared" si="32"/>
        <v>2867.7966101694938</v>
      </c>
      <c r="N50" s="305">
        <f t="shared" si="3"/>
        <v>286.77966101694938</v>
      </c>
      <c r="O50" s="306">
        <f t="shared" si="4"/>
        <v>0</v>
      </c>
      <c r="P50" s="307">
        <f t="shared" si="5"/>
        <v>-13.220338983050624</v>
      </c>
      <c r="Q50" s="473">
        <f t="shared" si="6"/>
        <v>0.9559322033898312</v>
      </c>
      <c r="R50" s="583"/>
      <c r="S50" s="308">
        <v>0.5972222222222221</v>
      </c>
      <c r="T50" s="308">
        <v>0.63819444444444429</v>
      </c>
      <c r="U50" s="470">
        <f t="shared" si="34"/>
        <v>7.9999999999999716</v>
      </c>
      <c r="V50" s="478">
        <f t="shared" si="33"/>
        <v>58.99999999999995</v>
      </c>
      <c r="W50" s="310"/>
      <c r="X50" s="310"/>
      <c r="Y50" s="566"/>
      <c r="Z50" s="567"/>
      <c r="AA50" s="306">
        <f t="shared" si="8"/>
        <v>-132.20338983050624</v>
      </c>
      <c r="AB50" s="473">
        <f t="shared" si="9"/>
        <v>0.9559322033898312</v>
      </c>
      <c r="AC50" s="583"/>
    </row>
    <row r="51" spans="1:29" ht="15.75" customHeight="1">
      <c r="A51" s="586" t="s">
        <v>2201</v>
      </c>
      <c r="B51" s="300" t="s">
        <v>67</v>
      </c>
      <c r="C51" s="580" t="s">
        <v>68</v>
      </c>
      <c r="D51" s="581"/>
      <c r="E51" s="300">
        <v>21.13</v>
      </c>
      <c r="F51" s="480">
        <v>2535</v>
      </c>
      <c r="G51" s="470">
        <f t="shared" si="31"/>
        <v>53564.549999999996</v>
      </c>
      <c r="H51" s="481" t="s">
        <v>35</v>
      </c>
      <c r="I51" s="477">
        <v>10</v>
      </c>
      <c r="J51" s="303">
        <v>3000</v>
      </c>
      <c r="K51" s="304">
        <f t="shared" si="1"/>
        <v>300</v>
      </c>
      <c r="L51" s="477">
        <v>10</v>
      </c>
      <c r="M51" s="305">
        <f t="shared" si="32"/>
        <v>2869.8113207547185</v>
      </c>
      <c r="N51" s="305">
        <f t="shared" si="3"/>
        <v>286.98113207547186</v>
      </c>
      <c r="O51" s="306">
        <f t="shared" si="4"/>
        <v>0</v>
      </c>
      <c r="P51" s="307">
        <f t="shared" si="5"/>
        <v>-13.018867924528138</v>
      </c>
      <c r="Q51" s="473">
        <f t="shared" si="6"/>
        <v>0.95660377358490623</v>
      </c>
      <c r="R51" s="583"/>
      <c r="S51" s="308">
        <v>0.6416666666666665</v>
      </c>
      <c r="T51" s="308">
        <v>0.67847222222222203</v>
      </c>
      <c r="U51" s="470">
        <f t="shared" si="34"/>
        <v>4.9999999999999822</v>
      </c>
      <c r="V51" s="478">
        <f t="shared" si="33"/>
        <v>52.999999999999972</v>
      </c>
      <c r="W51" s="310"/>
      <c r="X51" s="310"/>
      <c r="Y51" s="566"/>
      <c r="Z51" s="567"/>
      <c r="AA51" s="306">
        <f t="shared" si="8"/>
        <v>-130.18867924528149</v>
      </c>
      <c r="AB51" s="473">
        <f t="shared" si="9"/>
        <v>0.95660377358490611</v>
      </c>
      <c r="AC51" s="583"/>
    </row>
    <row r="52" spans="1:29" ht="15.75" customHeight="1">
      <c r="A52" s="587" t="s">
        <v>2201</v>
      </c>
      <c r="B52" s="300" t="s">
        <v>2190</v>
      </c>
      <c r="C52" s="568"/>
      <c r="D52" s="569"/>
      <c r="E52" s="469"/>
      <c r="F52" s="480"/>
      <c r="G52" s="470"/>
      <c r="H52" s="480"/>
      <c r="I52" s="314">
        <v>10.4</v>
      </c>
      <c r="J52" s="303">
        <v>2800</v>
      </c>
      <c r="K52" s="304">
        <f t="shared" si="1"/>
        <v>269.23076923076923</v>
      </c>
      <c r="L52" s="314">
        <v>10.4</v>
      </c>
      <c r="M52" s="305">
        <f>AVERAGE(M42:M51)</f>
        <v>2681.8538099965008</v>
      </c>
      <c r="N52" s="304">
        <f t="shared" si="3"/>
        <v>257.8705586535097</v>
      </c>
      <c r="O52" s="306">
        <f t="shared" si="4"/>
        <v>0</v>
      </c>
      <c r="P52" s="307">
        <f t="shared" si="5"/>
        <v>-11.360210577259522</v>
      </c>
      <c r="Q52" s="473">
        <f t="shared" si="6"/>
        <v>0.95780493214160745</v>
      </c>
      <c r="R52" s="584"/>
      <c r="S52" s="308"/>
      <c r="T52" s="308"/>
      <c r="U52" s="470"/>
      <c r="V52" s="478"/>
      <c r="W52" s="310"/>
      <c r="X52" s="310"/>
      <c r="Y52" s="566"/>
      <c r="Z52" s="567"/>
      <c r="AA52" s="306">
        <f t="shared" si="8"/>
        <v>-118.14619000349921</v>
      </c>
      <c r="AB52" s="473">
        <f t="shared" si="9"/>
        <v>0.95780493214160745</v>
      </c>
      <c r="AC52" s="584"/>
    </row>
    <row r="53" spans="1:29" ht="15.75" customHeight="1">
      <c r="A53" s="578" t="s">
        <v>2202</v>
      </c>
      <c r="B53" s="300" t="s">
        <v>40</v>
      </c>
      <c r="C53" s="565" t="s">
        <v>73</v>
      </c>
      <c r="D53" s="565"/>
      <c r="E53" s="300">
        <v>46</v>
      </c>
      <c r="F53" s="317">
        <v>2903</v>
      </c>
      <c r="G53" s="470">
        <f t="shared" ref="G53:G58" si="35">E53*F53</f>
        <v>133538</v>
      </c>
      <c r="H53" s="481" t="s">
        <v>35</v>
      </c>
      <c r="I53" s="477">
        <v>17</v>
      </c>
      <c r="J53" s="303">
        <v>2000</v>
      </c>
      <c r="K53" s="304">
        <f t="shared" si="1"/>
        <v>117.64705882352941</v>
      </c>
      <c r="L53" s="477">
        <v>17</v>
      </c>
      <c r="M53" s="305">
        <f t="shared" ref="M53:M58" si="36">F53/V53*60</f>
        <v>1914.0659340659333</v>
      </c>
      <c r="N53" s="305">
        <f t="shared" si="3"/>
        <v>112.59211376858431</v>
      </c>
      <c r="O53" s="306">
        <f t="shared" si="4"/>
        <v>0</v>
      </c>
      <c r="P53" s="307">
        <f t="shared" si="5"/>
        <v>-5.0549450549450938</v>
      </c>
      <c r="Q53" s="473">
        <f t="shared" si="6"/>
        <v>0.9570329670329667</v>
      </c>
      <c r="R53" s="571">
        <f>Q59</f>
        <v>0.95692900826642724</v>
      </c>
      <c r="S53" s="308">
        <v>0.20833333333333334</v>
      </c>
      <c r="T53" s="308">
        <v>0.27152777777777781</v>
      </c>
      <c r="U53" s="315"/>
      <c r="V53" s="478">
        <f t="shared" ref="V53:V58" si="37">(T53-S53)*24*60</f>
        <v>91.000000000000043</v>
      </c>
      <c r="W53" s="315"/>
      <c r="X53" s="315"/>
      <c r="Y53" s="570"/>
      <c r="Z53" s="570"/>
      <c r="AA53" s="306">
        <f t="shared" si="8"/>
        <v>-85.934065934066666</v>
      </c>
      <c r="AB53" s="473">
        <f t="shared" si="9"/>
        <v>0.9570329670329667</v>
      </c>
      <c r="AC53" s="571">
        <f>AB59</f>
        <v>0.95692900826642724</v>
      </c>
    </row>
    <row r="54" spans="1:29" ht="15.75" customHeight="1">
      <c r="A54" s="578" t="s">
        <v>2202</v>
      </c>
      <c r="B54" s="300" t="s">
        <v>40</v>
      </c>
      <c r="C54" s="565" t="s">
        <v>74</v>
      </c>
      <c r="D54" s="565"/>
      <c r="E54" s="300">
        <v>46</v>
      </c>
      <c r="F54" s="317">
        <v>3020</v>
      </c>
      <c r="G54" s="470">
        <f t="shared" si="35"/>
        <v>138920</v>
      </c>
      <c r="H54" s="481" t="s">
        <v>35</v>
      </c>
      <c r="I54" s="477">
        <v>17</v>
      </c>
      <c r="J54" s="303">
        <v>2000</v>
      </c>
      <c r="K54" s="304">
        <f t="shared" si="1"/>
        <v>117.64705882352941</v>
      </c>
      <c r="L54" s="477">
        <v>17</v>
      </c>
      <c r="M54" s="305">
        <f t="shared" si="36"/>
        <v>1907.3684210526319</v>
      </c>
      <c r="N54" s="305">
        <f t="shared" si="3"/>
        <v>112.1981424148607</v>
      </c>
      <c r="O54" s="306">
        <f t="shared" si="4"/>
        <v>0</v>
      </c>
      <c r="P54" s="307">
        <f t="shared" si="5"/>
        <v>-5.4489164086687083</v>
      </c>
      <c r="Q54" s="473">
        <f t="shared" si="6"/>
        <v>0.95368421052631602</v>
      </c>
      <c r="R54" s="571"/>
      <c r="S54" s="308">
        <v>0.27500000000000002</v>
      </c>
      <c r="T54" s="308">
        <v>0.34097222222222223</v>
      </c>
      <c r="U54" s="470">
        <f t="shared" ref="U54:U58" si="38">IF(S54=TIME(17,0,0),"",(S54-T53)*24*60)</f>
        <v>4.9999999999999822</v>
      </c>
      <c r="V54" s="478">
        <f t="shared" si="37"/>
        <v>94.999999999999986</v>
      </c>
      <c r="W54" s="310"/>
      <c r="X54" s="310"/>
      <c r="Y54" s="570"/>
      <c r="Z54" s="570"/>
      <c r="AA54" s="306">
        <f t="shared" si="8"/>
        <v>-92.631578947368098</v>
      </c>
      <c r="AB54" s="473">
        <f t="shared" si="9"/>
        <v>0.95368421052631591</v>
      </c>
      <c r="AC54" s="571"/>
    </row>
    <row r="55" spans="1:29" ht="15.75" customHeight="1">
      <c r="A55" s="578" t="s">
        <v>2202</v>
      </c>
      <c r="B55" s="300" t="s">
        <v>36</v>
      </c>
      <c r="C55" s="580" t="s">
        <v>76</v>
      </c>
      <c r="D55" s="581"/>
      <c r="E55" s="300">
        <v>55.56</v>
      </c>
      <c r="F55" s="317">
        <v>2304</v>
      </c>
      <c r="G55" s="470">
        <f t="shared" si="35"/>
        <v>128010.24000000001</v>
      </c>
      <c r="H55" s="481" t="s">
        <v>35</v>
      </c>
      <c r="I55" s="477">
        <v>17</v>
      </c>
      <c r="J55" s="303">
        <v>2000</v>
      </c>
      <c r="K55" s="304">
        <f t="shared" si="1"/>
        <v>117.64705882352941</v>
      </c>
      <c r="L55" s="477">
        <v>17</v>
      </c>
      <c r="M55" s="305">
        <f t="shared" si="36"/>
        <v>1919.9999999999984</v>
      </c>
      <c r="N55" s="305">
        <f t="shared" si="3"/>
        <v>112.94117647058815</v>
      </c>
      <c r="O55" s="306">
        <f t="shared" si="4"/>
        <v>0</v>
      </c>
      <c r="P55" s="307">
        <f t="shared" si="5"/>
        <v>-4.7058823529412592</v>
      </c>
      <c r="Q55" s="473">
        <f t="shared" si="6"/>
        <v>0.9599999999999993</v>
      </c>
      <c r="R55" s="571"/>
      <c r="S55" s="308">
        <v>0.70833333333333337</v>
      </c>
      <c r="T55" s="308">
        <v>0.75833333333333341</v>
      </c>
      <c r="U55" s="470" t="str">
        <f t="shared" si="38"/>
        <v/>
      </c>
      <c r="V55" s="478">
        <f t="shared" si="37"/>
        <v>72.000000000000057</v>
      </c>
      <c r="W55" s="310"/>
      <c r="X55" s="310"/>
      <c r="Y55" s="471"/>
      <c r="Z55" s="472"/>
      <c r="AA55" s="306">
        <f t="shared" si="8"/>
        <v>-80.000000000001592</v>
      </c>
      <c r="AB55" s="473">
        <f t="shared" si="9"/>
        <v>0.95999999999999919</v>
      </c>
      <c r="AC55" s="571"/>
    </row>
    <row r="56" spans="1:29" ht="15.75" customHeight="1">
      <c r="A56" s="578" t="s">
        <v>2202</v>
      </c>
      <c r="B56" s="300" t="s">
        <v>36</v>
      </c>
      <c r="C56" s="474" t="s">
        <v>77</v>
      </c>
      <c r="D56" s="475"/>
      <c r="E56" s="300">
        <v>55.32</v>
      </c>
      <c r="F56" s="317">
        <v>1790</v>
      </c>
      <c r="G56" s="470">
        <f t="shared" si="35"/>
        <v>99022.8</v>
      </c>
      <c r="H56" s="481" t="s">
        <v>35</v>
      </c>
      <c r="I56" s="477">
        <v>15</v>
      </c>
      <c r="J56" s="303">
        <v>2000</v>
      </c>
      <c r="K56" s="304">
        <f t="shared" si="1"/>
        <v>133.33333333333334</v>
      </c>
      <c r="L56" s="477">
        <v>15</v>
      </c>
      <c r="M56" s="305">
        <f t="shared" si="36"/>
        <v>1917.8571428571445</v>
      </c>
      <c r="N56" s="305">
        <f t="shared" si="3"/>
        <v>127.85714285714296</v>
      </c>
      <c r="O56" s="306">
        <f t="shared" si="4"/>
        <v>0</v>
      </c>
      <c r="P56" s="307">
        <f t="shared" si="5"/>
        <v>-5.4761904761903821</v>
      </c>
      <c r="Q56" s="473">
        <f t="shared" si="6"/>
        <v>0.95892857142857213</v>
      </c>
      <c r="R56" s="571"/>
      <c r="S56" s="308">
        <v>0.76319444444444451</v>
      </c>
      <c r="T56" s="308">
        <v>0.80208333333333337</v>
      </c>
      <c r="U56" s="470">
        <f t="shared" si="38"/>
        <v>6.9999999999999751</v>
      </c>
      <c r="V56" s="478">
        <f t="shared" si="37"/>
        <v>55.999999999999957</v>
      </c>
      <c r="W56" s="310"/>
      <c r="X56" s="310"/>
      <c r="Y56" s="471"/>
      <c r="Z56" s="472"/>
      <c r="AA56" s="306">
        <f t="shared" si="8"/>
        <v>-82.142857142855519</v>
      </c>
      <c r="AB56" s="473">
        <f t="shared" si="9"/>
        <v>0.95892857142857224</v>
      </c>
      <c r="AC56" s="571"/>
    </row>
    <row r="57" spans="1:29" ht="15.75" customHeight="1">
      <c r="A57" s="578" t="s">
        <v>2202</v>
      </c>
      <c r="B57" s="300" t="s">
        <v>36</v>
      </c>
      <c r="C57" s="474" t="s">
        <v>1977</v>
      </c>
      <c r="D57" s="475"/>
      <c r="E57" s="300">
        <v>55.12</v>
      </c>
      <c r="F57" s="317">
        <v>1500</v>
      </c>
      <c r="G57" s="470">
        <f t="shared" si="35"/>
        <v>82680</v>
      </c>
      <c r="H57" s="481">
        <v>2</v>
      </c>
      <c r="I57" s="477">
        <v>16</v>
      </c>
      <c r="J57" s="303">
        <v>1500</v>
      </c>
      <c r="K57" s="304">
        <f t="shared" si="1"/>
        <v>93.75</v>
      </c>
      <c r="L57" s="477">
        <v>16</v>
      </c>
      <c r="M57" s="305">
        <f t="shared" si="36"/>
        <v>1428.57142857143</v>
      </c>
      <c r="N57" s="305">
        <f t="shared" si="3"/>
        <v>89.285714285714377</v>
      </c>
      <c r="O57" s="306">
        <f t="shared" si="4"/>
        <v>0</v>
      </c>
      <c r="P57" s="307">
        <f t="shared" si="5"/>
        <v>-4.4642857142856229</v>
      </c>
      <c r="Q57" s="473">
        <f t="shared" si="6"/>
        <v>0.95238095238095333</v>
      </c>
      <c r="R57" s="571"/>
      <c r="S57" s="308">
        <v>0.80555555555555558</v>
      </c>
      <c r="T57" s="308">
        <v>0.84930555555555554</v>
      </c>
      <c r="U57" s="470">
        <f t="shared" si="38"/>
        <v>4.9999999999999822</v>
      </c>
      <c r="V57" s="478">
        <f t="shared" si="37"/>
        <v>62.999999999999936</v>
      </c>
      <c r="W57" s="310">
        <f>T57</f>
        <v>0.84930555555555554</v>
      </c>
      <c r="X57" s="310">
        <f>S58</f>
        <v>0.88958333333333328</v>
      </c>
      <c r="Y57" s="471"/>
      <c r="Z57" s="472"/>
      <c r="AA57" s="306">
        <f t="shared" si="8"/>
        <v>-71.428571428569967</v>
      </c>
      <c r="AB57" s="473">
        <f t="shared" si="9"/>
        <v>0.95238095238095333</v>
      </c>
      <c r="AC57" s="571"/>
    </row>
    <row r="58" spans="1:29" ht="15.75" customHeight="1">
      <c r="A58" s="578" t="s">
        <v>2202</v>
      </c>
      <c r="B58" s="300" t="s">
        <v>36</v>
      </c>
      <c r="C58" s="580" t="s">
        <v>1977</v>
      </c>
      <c r="D58" s="581"/>
      <c r="E58" s="300">
        <v>55.12</v>
      </c>
      <c r="F58" s="317">
        <v>3500</v>
      </c>
      <c r="G58" s="470">
        <f t="shared" si="35"/>
        <v>192920</v>
      </c>
      <c r="H58" s="481" t="s">
        <v>35</v>
      </c>
      <c r="I58" s="477">
        <v>16</v>
      </c>
      <c r="J58" s="303">
        <v>1500</v>
      </c>
      <c r="K58" s="304">
        <f t="shared" si="1"/>
        <v>93.75</v>
      </c>
      <c r="L58" s="477">
        <v>16</v>
      </c>
      <c r="M58" s="305">
        <f t="shared" si="36"/>
        <v>1438.3561643835619</v>
      </c>
      <c r="N58" s="305">
        <f t="shared" si="3"/>
        <v>89.89726027397262</v>
      </c>
      <c r="O58" s="306">
        <f t="shared" si="4"/>
        <v>0</v>
      </c>
      <c r="P58" s="307">
        <f t="shared" si="5"/>
        <v>-3.8527397260273801</v>
      </c>
      <c r="Q58" s="473">
        <f t="shared" si="6"/>
        <v>0.95890410958904126</v>
      </c>
      <c r="R58" s="571"/>
      <c r="S58" s="308">
        <v>0.88958333333333328</v>
      </c>
      <c r="T58" s="308">
        <v>0.99097222222222214</v>
      </c>
      <c r="U58" s="470">
        <f t="shared" si="38"/>
        <v>57.999999999999957</v>
      </c>
      <c r="V58" s="478">
        <f t="shared" si="37"/>
        <v>145.99999999999997</v>
      </c>
      <c r="W58" s="310"/>
      <c r="X58" s="310"/>
      <c r="Y58" s="566"/>
      <c r="Z58" s="567"/>
      <c r="AA58" s="306">
        <f t="shared" si="8"/>
        <v>-61.643835616438082</v>
      </c>
      <c r="AB58" s="473">
        <f t="shared" si="9"/>
        <v>0.95890410958904126</v>
      </c>
      <c r="AC58" s="571"/>
    </row>
    <row r="59" spans="1:29">
      <c r="A59" s="579" t="s">
        <v>2202</v>
      </c>
      <c r="B59" s="300" t="s">
        <v>2190</v>
      </c>
      <c r="C59" s="572"/>
      <c r="D59" s="572"/>
      <c r="E59" s="476"/>
      <c r="F59" s="313"/>
      <c r="G59" s="304"/>
      <c r="H59" s="480"/>
      <c r="I59" s="314">
        <v>16.333333333333332</v>
      </c>
      <c r="J59" s="303">
        <v>1833.3333333333333</v>
      </c>
      <c r="K59" s="304">
        <f t="shared" si="1"/>
        <v>112.24489795918367</v>
      </c>
      <c r="L59" s="314">
        <v>16.333333333333332</v>
      </c>
      <c r="M59" s="305">
        <f>AVERAGE(M53:M58)</f>
        <v>1754.3698484884499</v>
      </c>
      <c r="N59" s="304">
        <f t="shared" si="3"/>
        <v>107.41039888704796</v>
      </c>
      <c r="O59" s="306">
        <f t="shared" si="4"/>
        <v>0</v>
      </c>
      <c r="P59" s="307">
        <f t="shared" si="5"/>
        <v>-4.8344990721357135</v>
      </c>
      <c r="Q59" s="473">
        <f t="shared" si="6"/>
        <v>0.95692900826642724</v>
      </c>
      <c r="R59" s="571"/>
      <c r="S59" s="322"/>
      <c r="T59" s="308"/>
      <c r="U59" s="304"/>
      <c r="V59" s="478"/>
      <c r="W59" s="304"/>
      <c r="X59" s="304"/>
      <c r="Y59" s="570"/>
      <c r="Z59" s="570"/>
      <c r="AA59" s="306">
        <f t="shared" si="8"/>
        <v>-78.963484844883396</v>
      </c>
      <c r="AB59" s="473">
        <f t="shared" si="9"/>
        <v>0.95692900826642724</v>
      </c>
      <c r="AC59" s="571"/>
    </row>
    <row r="60" spans="1:29" ht="15.75" customHeight="1">
      <c r="A60" s="576" t="s">
        <v>2203</v>
      </c>
      <c r="B60" s="480" t="s">
        <v>40</v>
      </c>
      <c r="C60" s="565" t="s">
        <v>82</v>
      </c>
      <c r="D60" s="565"/>
      <c r="E60" s="300">
        <v>26.97</v>
      </c>
      <c r="F60" s="317">
        <v>3301</v>
      </c>
      <c r="G60" s="470">
        <f t="shared" ref="G60:G65" si="39">E60*F60</f>
        <v>89027.97</v>
      </c>
      <c r="H60" s="481" t="s">
        <v>35</v>
      </c>
      <c r="I60" s="477">
        <v>8</v>
      </c>
      <c r="J60" s="303">
        <v>1500</v>
      </c>
      <c r="K60" s="304">
        <f t="shared" si="1"/>
        <v>187.5</v>
      </c>
      <c r="L60" s="477">
        <v>8</v>
      </c>
      <c r="M60" s="305">
        <f t="shared" ref="M60:M65" si="40">F60/V60*60</f>
        <v>1435.2173913043473</v>
      </c>
      <c r="N60" s="304">
        <f t="shared" si="3"/>
        <v>179.40217391304341</v>
      </c>
      <c r="O60" s="306">
        <f t="shared" si="4"/>
        <v>0</v>
      </c>
      <c r="P60" s="307">
        <f t="shared" si="5"/>
        <v>-8.0978260869565872</v>
      </c>
      <c r="Q60" s="473">
        <f t="shared" si="6"/>
        <v>0.95681159420289819</v>
      </c>
      <c r="R60" s="571">
        <f>Q66</f>
        <v>0.96034790108056467</v>
      </c>
      <c r="S60" s="308">
        <v>0.20833333333333334</v>
      </c>
      <c r="T60" s="308">
        <v>0.3041666666666667</v>
      </c>
      <c r="U60" s="470"/>
      <c r="V60" s="478">
        <f t="shared" ref="V60:V65" si="41">(T60-S60)*24*60</f>
        <v>138.00000000000006</v>
      </c>
      <c r="W60" s="315"/>
      <c r="X60" s="315"/>
      <c r="Y60" s="570"/>
      <c r="Z60" s="570"/>
      <c r="AA60" s="306">
        <f t="shared" si="8"/>
        <v>-64.782608695652698</v>
      </c>
      <c r="AB60" s="473">
        <f t="shared" si="9"/>
        <v>0.95681159420289819</v>
      </c>
      <c r="AC60" s="571">
        <f>AB66</f>
        <v>0.96034790108056489</v>
      </c>
    </row>
    <row r="61" spans="1:29" ht="15.75" customHeight="1">
      <c r="A61" s="576" t="s">
        <v>2203</v>
      </c>
      <c r="B61" s="480" t="s">
        <v>67</v>
      </c>
      <c r="C61" s="565" t="s">
        <v>79</v>
      </c>
      <c r="D61" s="565"/>
      <c r="E61" s="300">
        <v>26.78</v>
      </c>
      <c r="F61" s="317">
        <v>2819</v>
      </c>
      <c r="G61" s="470">
        <f t="shared" si="39"/>
        <v>75492.820000000007</v>
      </c>
      <c r="H61" s="481" t="s">
        <v>35</v>
      </c>
      <c r="I61" s="477">
        <v>10</v>
      </c>
      <c r="J61" s="303">
        <v>3000</v>
      </c>
      <c r="K61" s="304">
        <f t="shared" si="1"/>
        <v>300</v>
      </c>
      <c r="L61" s="477">
        <v>10</v>
      </c>
      <c r="M61" s="305">
        <f t="shared" si="40"/>
        <v>2866.7796610169476</v>
      </c>
      <c r="N61" s="304">
        <f t="shared" si="3"/>
        <v>286.67796610169478</v>
      </c>
      <c r="O61" s="306">
        <f t="shared" si="4"/>
        <v>0</v>
      </c>
      <c r="P61" s="307">
        <f t="shared" si="5"/>
        <v>-13.322033898305222</v>
      </c>
      <c r="Q61" s="473">
        <f t="shared" si="6"/>
        <v>0.95559322033898264</v>
      </c>
      <c r="R61" s="571"/>
      <c r="S61" s="308">
        <v>0.30763888888888891</v>
      </c>
      <c r="T61" s="308">
        <v>0.34861111111111115</v>
      </c>
      <c r="U61" s="470">
        <f t="shared" ref="U61:U65" si="42">(S61-T60)*24*60</f>
        <v>4.9999999999999822</v>
      </c>
      <c r="V61" s="478">
        <f t="shared" si="41"/>
        <v>59.000000000000028</v>
      </c>
      <c r="W61" s="470"/>
      <c r="X61" s="470"/>
      <c r="Y61" s="570"/>
      <c r="Z61" s="570"/>
      <c r="AA61" s="306">
        <f t="shared" si="8"/>
        <v>-133.22033898305244</v>
      </c>
      <c r="AB61" s="473">
        <f t="shared" si="9"/>
        <v>0.95559322033898253</v>
      </c>
      <c r="AC61" s="571"/>
    </row>
    <row r="62" spans="1:29" ht="15.75" customHeight="1">
      <c r="A62" s="576" t="s">
        <v>2203</v>
      </c>
      <c r="B62" s="480" t="s">
        <v>67</v>
      </c>
      <c r="C62" s="565" t="s">
        <v>83</v>
      </c>
      <c r="D62" s="565"/>
      <c r="E62" s="300">
        <v>35.369999999999997</v>
      </c>
      <c r="F62" s="317">
        <v>1649</v>
      </c>
      <c r="G62" s="470">
        <f t="shared" si="39"/>
        <v>58325.13</v>
      </c>
      <c r="H62" s="481" t="s">
        <v>35</v>
      </c>
      <c r="I62" s="477">
        <v>10</v>
      </c>
      <c r="J62" s="303">
        <v>3000</v>
      </c>
      <c r="K62" s="304">
        <f t="shared" si="1"/>
        <v>300</v>
      </c>
      <c r="L62" s="477">
        <v>10</v>
      </c>
      <c r="M62" s="305">
        <f t="shared" si="40"/>
        <v>2910.0000000000036</v>
      </c>
      <c r="N62" s="304">
        <f t="shared" si="3"/>
        <v>291.00000000000034</v>
      </c>
      <c r="O62" s="306">
        <f t="shared" si="4"/>
        <v>0</v>
      </c>
      <c r="P62" s="307">
        <f t="shared" si="5"/>
        <v>-8.9999999999996589</v>
      </c>
      <c r="Q62" s="473">
        <f t="shared" si="6"/>
        <v>0.97000000000000108</v>
      </c>
      <c r="R62" s="571"/>
      <c r="S62" s="308">
        <v>0.35208333333333336</v>
      </c>
      <c r="T62" s="308">
        <v>0.37569444444444444</v>
      </c>
      <c r="U62" s="470">
        <f t="shared" si="42"/>
        <v>4.9999999999999822</v>
      </c>
      <c r="V62" s="478">
        <f t="shared" si="41"/>
        <v>33.999999999999957</v>
      </c>
      <c r="W62" s="470"/>
      <c r="X62" s="470"/>
      <c r="Y62" s="570"/>
      <c r="Z62" s="570"/>
      <c r="AA62" s="306">
        <f t="shared" si="8"/>
        <v>-89.999999999996362</v>
      </c>
      <c r="AB62" s="473">
        <f t="shared" si="9"/>
        <v>0.97000000000000119</v>
      </c>
      <c r="AC62" s="571"/>
    </row>
    <row r="63" spans="1:29" ht="15.75" customHeight="1">
      <c r="A63" s="576" t="s">
        <v>2203</v>
      </c>
      <c r="B63" s="480" t="s">
        <v>67</v>
      </c>
      <c r="C63" s="565" t="s">
        <v>666</v>
      </c>
      <c r="D63" s="565"/>
      <c r="E63" s="300">
        <v>37.880000000000003</v>
      </c>
      <c r="F63" s="317">
        <v>4075</v>
      </c>
      <c r="G63" s="470">
        <f t="shared" si="39"/>
        <v>154361</v>
      </c>
      <c r="H63" s="481" t="s">
        <v>35</v>
      </c>
      <c r="I63" s="477">
        <v>11</v>
      </c>
      <c r="J63" s="303">
        <v>3000</v>
      </c>
      <c r="K63" s="304">
        <f t="shared" si="1"/>
        <v>272.72727272727275</v>
      </c>
      <c r="L63" s="477">
        <v>11</v>
      </c>
      <c r="M63" s="305">
        <f t="shared" si="40"/>
        <v>2876.4705882352937</v>
      </c>
      <c r="N63" s="304">
        <f t="shared" si="3"/>
        <v>261.4973262032085</v>
      </c>
      <c r="O63" s="306">
        <f t="shared" si="4"/>
        <v>0</v>
      </c>
      <c r="P63" s="307">
        <f t="shared" si="5"/>
        <v>-11.229946524064246</v>
      </c>
      <c r="Q63" s="473">
        <f t="shared" si="6"/>
        <v>0.95882352941176441</v>
      </c>
      <c r="R63" s="571"/>
      <c r="S63" s="308">
        <v>0.37986111111111109</v>
      </c>
      <c r="T63" s="308">
        <v>0.43888888888888888</v>
      </c>
      <c r="U63" s="470">
        <f t="shared" si="42"/>
        <v>5.9999999999999787</v>
      </c>
      <c r="V63" s="478">
        <f t="shared" si="41"/>
        <v>85.000000000000014</v>
      </c>
      <c r="W63" s="470"/>
      <c r="X63" s="470"/>
      <c r="Y63" s="570"/>
      <c r="Z63" s="570"/>
      <c r="AA63" s="306">
        <f t="shared" si="8"/>
        <v>-123.52941176470631</v>
      </c>
      <c r="AB63" s="473">
        <f t="shared" si="9"/>
        <v>0.95882352941176452</v>
      </c>
      <c r="AC63" s="571"/>
    </row>
    <row r="64" spans="1:29">
      <c r="A64" s="577" t="s">
        <v>2203</v>
      </c>
      <c r="B64" s="480" t="s">
        <v>67</v>
      </c>
      <c r="C64" s="565" t="s">
        <v>2121</v>
      </c>
      <c r="D64" s="565"/>
      <c r="E64" s="300">
        <v>38.72</v>
      </c>
      <c r="F64" s="317">
        <v>4200</v>
      </c>
      <c r="G64" s="470">
        <f t="shared" si="39"/>
        <v>162624</v>
      </c>
      <c r="H64" s="481">
        <v>2</v>
      </c>
      <c r="I64" s="477">
        <v>10</v>
      </c>
      <c r="J64" s="303">
        <v>3000</v>
      </c>
      <c r="K64" s="304">
        <f t="shared" si="1"/>
        <v>300</v>
      </c>
      <c r="L64" s="477">
        <v>10</v>
      </c>
      <c r="M64" s="305">
        <f t="shared" si="40"/>
        <v>2863.6363636363635</v>
      </c>
      <c r="N64" s="304">
        <f t="shared" si="3"/>
        <v>286.36363636363637</v>
      </c>
      <c r="O64" s="306">
        <f t="shared" si="4"/>
        <v>0</v>
      </c>
      <c r="P64" s="307">
        <f t="shared" si="5"/>
        <v>-13.636363636363626</v>
      </c>
      <c r="Q64" s="473">
        <f t="shared" si="6"/>
        <v>0.95454545454545459</v>
      </c>
      <c r="R64" s="571"/>
      <c r="S64" s="308">
        <v>0.44374999999999998</v>
      </c>
      <c r="T64" s="308">
        <v>0.50486111111111109</v>
      </c>
      <c r="U64" s="470">
        <f t="shared" si="42"/>
        <v>6.9999999999999751</v>
      </c>
      <c r="V64" s="478">
        <f t="shared" si="41"/>
        <v>88</v>
      </c>
      <c r="W64" s="310">
        <f>T64</f>
        <v>0.50486111111111109</v>
      </c>
      <c r="X64" s="310">
        <f>S65</f>
        <v>0.54583333333333328</v>
      </c>
      <c r="Y64" s="570"/>
      <c r="Z64" s="570"/>
      <c r="AA64" s="306">
        <f t="shared" si="8"/>
        <v>-136.36363636363649</v>
      </c>
      <c r="AB64" s="473">
        <f t="shared" si="9"/>
        <v>0.95454545454545447</v>
      </c>
      <c r="AC64" s="571"/>
    </row>
    <row r="65" spans="1:29" ht="15" customHeight="1">
      <c r="A65" s="577" t="s">
        <v>2203</v>
      </c>
      <c r="B65" s="480" t="s">
        <v>67</v>
      </c>
      <c r="C65" s="580" t="s">
        <v>2121</v>
      </c>
      <c r="D65" s="581"/>
      <c r="E65" s="300">
        <v>38.72</v>
      </c>
      <c r="F65" s="317">
        <v>2122</v>
      </c>
      <c r="G65" s="470">
        <f t="shared" si="39"/>
        <v>82163.839999999997</v>
      </c>
      <c r="H65" s="481" t="s">
        <v>35</v>
      </c>
      <c r="I65" s="477">
        <v>10</v>
      </c>
      <c r="J65" s="303">
        <v>3000</v>
      </c>
      <c r="K65" s="304">
        <f t="shared" si="1"/>
        <v>300</v>
      </c>
      <c r="L65" s="477">
        <v>10</v>
      </c>
      <c r="M65" s="305">
        <f t="shared" si="40"/>
        <v>2893.6363636363635</v>
      </c>
      <c r="N65" s="304">
        <f t="shared" si="3"/>
        <v>289.36363636363637</v>
      </c>
      <c r="O65" s="306">
        <f t="shared" si="4"/>
        <v>0</v>
      </c>
      <c r="P65" s="307">
        <f t="shared" si="5"/>
        <v>-10.636363636363626</v>
      </c>
      <c r="Q65" s="473">
        <f t="shared" si="6"/>
        <v>0.96454545454545459</v>
      </c>
      <c r="R65" s="571"/>
      <c r="S65" s="308">
        <v>0.54583333333333328</v>
      </c>
      <c r="T65" s="308">
        <v>0.57638888888888884</v>
      </c>
      <c r="U65" s="470">
        <f t="shared" si="42"/>
        <v>58.99999999999995</v>
      </c>
      <c r="V65" s="478">
        <f t="shared" si="41"/>
        <v>44</v>
      </c>
      <c r="W65" s="470"/>
      <c r="X65" s="470"/>
      <c r="Y65" s="566"/>
      <c r="Z65" s="567"/>
      <c r="AA65" s="306">
        <f t="shared" si="8"/>
        <v>-106.36363636363649</v>
      </c>
      <c r="AB65" s="473">
        <f t="shared" si="9"/>
        <v>0.96454545454545448</v>
      </c>
      <c r="AC65" s="571"/>
    </row>
    <row r="66" spans="1:29">
      <c r="A66" s="577" t="s">
        <v>2203</v>
      </c>
      <c r="B66" s="300" t="s">
        <v>2190</v>
      </c>
      <c r="C66" s="572"/>
      <c r="D66" s="572"/>
      <c r="E66" s="476"/>
      <c r="F66" s="313"/>
      <c r="G66" s="304"/>
      <c r="H66" s="480"/>
      <c r="I66" s="314">
        <v>9.8333333333333339</v>
      </c>
      <c r="J66" s="303">
        <v>2750</v>
      </c>
      <c r="K66" s="304">
        <f t="shared" si="1"/>
        <v>279.66101694915255</v>
      </c>
      <c r="L66" s="314">
        <v>9.8333333333333339</v>
      </c>
      <c r="M66" s="305">
        <f>AVERAGE(M60:M65)</f>
        <v>2640.9567279715534</v>
      </c>
      <c r="N66" s="304">
        <f t="shared" si="3"/>
        <v>268.57187064117488</v>
      </c>
      <c r="O66" s="306">
        <f t="shared" si="4"/>
        <v>0</v>
      </c>
      <c r="P66" s="307">
        <f t="shared" si="5"/>
        <v>-11.089146307977671</v>
      </c>
      <c r="Q66" s="473">
        <f t="shared" si="6"/>
        <v>0.96034790108056467</v>
      </c>
      <c r="R66" s="571"/>
      <c r="S66" s="308"/>
      <c r="T66" s="308"/>
      <c r="U66" s="304"/>
      <c r="V66" s="478"/>
      <c r="W66" s="304"/>
      <c r="X66" s="304"/>
      <c r="Y66" s="570"/>
      <c r="Z66" s="570"/>
      <c r="AA66" s="306">
        <f t="shared" si="8"/>
        <v>-109.04327202844661</v>
      </c>
      <c r="AB66" s="473">
        <f t="shared" si="9"/>
        <v>0.96034790108056489</v>
      </c>
      <c r="AC66" s="571"/>
    </row>
    <row r="67" spans="1:29" ht="15.75" customHeight="1">
      <c r="A67" s="573" t="s">
        <v>2204</v>
      </c>
      <c r="B67" s="480" t="s">
        <v>46</v>
      </c>
      <c r="C67" s="565" t="s">
        <v>84</v>
      </c>
      <c r="D67" s="565"/>
      <c r="E67" s="300">
        <v>20.2</v>
      </c>
      <c r="F67" s="480">
        <v>2719</v>
      </c>
      <c r="G67" s="470">
        <f t="shared" ref="G67:G76" si="43">E67*F67</f>
        <v>54923.799999999996</v>
      </c>
      <c r="H67" s="481" t="s">
        <v>35</v>
      </c>
      <c r="I67" s="477">
        <v>19</v>
      </c>
      <c r="J67" s="303">
        <v>2400</v>
      </c>
      <c r="K67" s="304">
        <f t="shared" si="1"/>
        <v>126.31578947368421</v>
      </c>
      <c r="L67" s="477">
        <v>19</v>
      </c>
      <c r="M67" s="305">
        <f t="shared" ref="M67:M76" si="44">F67/V67*60</f>
        <v>2297.7464788732386</v>
      </c>
      <c r="N67" s="304">
        <f t="shared" si="3"/>
        <v>120.93402520385466</v>
      </c>
      <c r="O67" s="306">
        <f t="shared" si="4"/>
        <v>0</v>
      </c>
      <c r="P67" s="307">
        <f t="shared" si="5"/>
        <v>-5.3817642698295458</v>
      </c>
      <c r="Q67" s="473">
        <f t="shared" si="6"/>
        <v>0.95739436619718277</v>
      </c>
      <c r="R67" s="571">
        <f>Q77</f>
        <v>0.95742940850888081</v>
      </c>
      <c r="S67" s="308">
        <v>8.3333333333333329E-2</v>
      </c>
      <c r="T67" s="308">
        <v>0.13263888888888889</v>
      </c>
      <c r="U67" s="315"/>
      <c r="V67" s="478">
        <f t="shared" ref="V67:V76" si="45">(T67-S67)*24*60</f>
        <v>71.000000000000014</v>
      </c>
      <c r="W67" s="310">
        <f>T67</f>
        <v>0.13263888888888889</v>
      </c>
      <c r="X67" s="310">
        <f>S68</f>
        <v>0.15277777777777779</v>
      </c>
      <c r="Y67" s="570"/>
      <c r="Z67" s="570"/>
      <c r="AA67" s="306">
        <f t="shared" si="8"/>
        <v>-102.25352112676137</v>
      </c>
      <c r="AB67" s="473">
        <f t="shared" si="9"/>
        <v>0.95739436619718277</v>
      </c>
      <c r="AC67" s="571">
        <f>AB77</f>
        <v>0.95742940850888092</v>
      </c>
    </row>
    <row r="68" spans="1:29" ht="15.75" customHeight="1">
      <c r="A68" s="574" t="s">
        <v>2204</v>
      </c>
      <c r="B68" s="480" t="s">
        <v>46</v>
      </c>
      <c r="C68" s="565" t="s">
        <v>58</v>
      </c>
      <c r="D68" s="565"/>
      <c r="E68" s="300">
        <v>25.98</v>
      </c>
      <c r="F68" s="480">
        <v>1490</v>
      </c>
      <c r="G68" s="470">
        <f t="shared" si="43"/>
        <v>38710.199999999997</v>
      </c>
      <c r="H68" s="481" t="s">
        <v>35</v>
      </c>
      <c r="I68" s="477">
        <v>17</v>
      </c>
      <c r="J68" s="303">
        <v>2400</v>
      </c>
      <c r="K68" s="304">
        <f t="shared" si="1"/>
        <v>141.1764705882353</v>
      </c>
      <c r="L68" s="477">
        <v>17</v>
      </c>
      <c r="M68" s="305">
        <f t="shared" si="44"/>
        <v>2292.307692307691</v>
      </c>
      <c r="N68" s="304">
        <f t="shared" si="3"/>
        <v>134.84162895927594</v>
      </c>
      <c r="O68" s="306">
        <f t="shared" si="4"/>
        <v>0</v>
      </c>
      <c r="P68" s="307">
        <f t="shared" si="5"/>
        <v>-6.3348416289593672</v>
      </c>
      <c r="Q68" s="473">
        <f t="shared" si="6"/>
        <v>0.95512820512820451</v>
      </c>
      <c r="R68" s="571"/>
      <c r="S68" s="308">
        <v>0.15277777777777779</v>
      </c>
      <c r="T68" s="308">
        <v>0.17986111111111114</v>
      </c>
      <c r="U68" s="470">
        <f t="shared" ref="U68:U76" si="46">(S68-T67)*24*60</f>
        <v>29.000000000000018</v>
      </c>
      <c r="V68" s="478">
        <f t="shared" si="45"/>
        <v>39.000000000000021</v>
      </c>
      <c r="W68" s="310"/>
      <c r="X68" s="310"/>
      <c r="Y68" s="570"/>
      <c r="Z68" s="570"/>
      <c r="AA68" s="306">
        <f t="shared" si="8"/>
        <v>-107.69230769230899</v>
      </c>
      <c r="AB68" s="473">
        <f t="shared" si="9"/>
        <v>0.95512820512820462</v>
      </c>
      <c r="AC68" s="571"/>
    </row>
    <row r="69" spans="1:29" ht="15.75" customHeight="1">
      <c r="A69" s="574" t="s">
        <v>2204</v>
      </c>
      <c r="B69" s="480" t="s">
        <v>46</v>
      </c>
      <c r="C69" s="565" t="s">
        <v>88</v>
      </c>
      <c r="D69" s="565"/>
      <c r="E69" s="300">
        <v>24.25</v>
      </c>
      <c r="F69" s="480">
        <v>3100</v>
      </c>
      <c r="G69" s="470">
        <f t="shared" si="43"/>
        <v>75175</v>
      </c>
      <c r="H69" s="481" t="s">
        <v>35</v>
      </c>
      <c r="I69" s="477">
        <v>17</v>
      </c>
      <c r="J69" s="303">
        <v>2400</v>
      </c>
      <c r="K69" s="304">
        <f t="shared" ref="K69:K77" si="47">J69/I69</f>
        <v>141.1764705882353</v>
      </c>
      <c r="L69" s="477">
        <v>17</v>
      </c>
      <c r="M69" s="305">
        <f t="shared" si="44"/>
        <v>2296.296296296297</v>
      </c>
      <c r="N69" s="304">
        <f t="shared" ref="N69:N77" si="48">M69/L69</f>
        <v>135.0762527233116</v>
      </c>
      <c r="O69" s="306">
        <f t="shared" ref="O69:O77" si="49">L69-I69</f>
        <v>0</v>
      </c>
      <c r="P69" s="307">
        <f t="shared" ref="P69:P77" si="50">N69-K69</f>
        <v>-6.1002178649237067</v>
      </c>
      <c r="Q69" s="473">
        <f t="shared" ref="Q69:Q77" si="51">N69/K69</f>
        <v>0.95679012345679038</v>
      </c>
      <c r="R69" s="571"/>
      <c r="S69" s="308">
        <v>0.18333333333333335</v>
      </c>
      <c r="T69" s="308">
        <v>0.23958333333333334</v>
      </c>
      <c r="U69" s="470">
        <f t="shared" si="46"/>
        <v>4.9999999999999822</v>
      </c>
      <c r="V69" s="478">
        <f t="shared" si="45"/>
        <v>80.999999999999986</v>
      </c>
      <c r="W69" s="310"/>
      <c r="X69" s="310"/>
      <c r="Y69" s="570"/>
      <c r="Z69" s="570"/>
      <c r="AA69" s="306">
        <f t="shared" ref="AA69:AA77" si="52">M69-J69</f>
        <v>-103.70370370370301</v>
      </c>
      <c r="AB69" s="473">
        <f t="shared" ref="AB69:AB77" si="53">M69/J69</f>
        <v>0.95679012345679038</v>
      </c>
      <c r="AC69" s="571"/>
    </row>
    <row r="70" spans="1:29" ht="15.75" customHeight="1">
      <c r="A70" s="574" t="s">
        <v>2204</v>
      </c>
      <c r="B70" s="480" t="s">
        <v>46</v>
      </c>
      <c r="C70" s="565" t="s">
        <v>47</v>
      </c>
      <c r="D70" s="565"/>
      <c r="E70" s="300">
        <v>24.45</v>
      </c>
      <c r="F70" s="480">
        <v>2568</v>
      </c>
      <c r="G70" s="470">
        <f t="shared" si="43"/>
        <v>62787.6</v>
      </c>
      <c r="H70" s="481" t="s">
        <v>35</v>
      </c>
      <c r="I70" s="477">
        <v>20</v>
      </c>
      <c r="J70" s="303">
        <v>2400</v>
      </c>
      <c r="K70" s="304">
        <f t="shared" si="47"/>
        <v>120</v>
      </c>
      <c r="L70" s="477">
        <v>20</v>
      </c>
      <c r="M70" s="305">
        <f t="shared" si="44"/>
        <v>2299.7014925373151</v>
      </c>
      <c r="N70" s="304">
        <f t="shared" si="48"/>
        <v>114.98507462686575</v>
      </c>
      <c r="O70" s="306">
        <f t="shared" si="49"/>
        <v>0</v>
      </c>
      <c r="P70" s="307">
        <f t="shared" si="50"/>
        <v>-5.0149253731342469</v>
      </c>
      <c r="Q70" s="473">
        <f t="shared" si="51"/>
        <v>0.95820895522388128</v>
      </c>
      <c r="R70" s="571"/>
      <c r="S70" s="308">
        <v>0.24305555555555555</v>
      </c>
      <c r="T70" s="308">
        <v>0.2895833333333333</v>
      </c>
      <c r="U70" s="470">
        <f t="shared" si="46"/>
        <v>4.9999999999999822</v>
      </c>
      <c r="V70" s="478">
        <f t="shared" si="45"/>
        <v>66.999999999999957</v>
      </c>
      <c r="W70" s="310"/>
      <c r="X70" s="310"/>
      <c r="Y70" s="570"/>
      <c r="Z70" s="570"/>
      <c r="AA70" s="306">
        <f t="shared" si="52"/>
        <v>-100.29850746268494</v>
      </c>
      <c r="AB70" s="473">
        <f t="shared" si="53"/>
        <v>0.95820895522388128</v>
      </c>
      <c r="AC70" s="571"/>
    </row>
    <row r="71" spans="1:29" ht="15.75" customHeight="1">
      <c r="A71" s="574" t="s">
        <v>2204</v>
      </c>
      <c r="B71" s="480" t="s">
        <v>46</v>
      </c>
      <c r="C71" s="565" t="s">
        <v>66</v>
      </c>
      <c r="D71" s="565"/>
      <c r="E71" s="300">
        <v>24.25</v>
      </c>
      <c r="F71" s="480">
        <v>4533</v>
      </c>
      <c r="G71" s="470">
        <f t="shared" si="43"/>
        <v>109925.25</v>
      </c>
      <c r="H71" s="481" t="s">
        <v>35</v>
      </c>
      <c r="I71" s="477">
        <v>14</v>
      </c>
      <c r="J71" s="303">
        <v>2400</v>
      </c>
      <c r="K71" s="304">
        <f t="shared" si="47"/>
        <v>171.42857142857142</v>
      </c>
      <c r="L71" s="477">
        <v>14</v>
      </c>
      <c r="M71" s="305">
        <f t="shared" si="44"/>
        <v>2285.5462184873954</v>
      </c>
      <c r="N71" s="304">
        <f t="shared" si="48"/>
        <v>163.25330132052824</v>
      </c>
      <c r="O71" s="306">
        <f t="shared" si="49"/>
        <v>0</v>
      </c>
      <c r="P71" s="307">
        <f t="shared" si="50"/>
        <v>-8.1752701080431791</v>
      </c>
      <c r="Q71" s="473">
        <f t="shared" si="51"/>
        <v>0.95231092436974807</v>
      </c>
      <c r="R71" s="571"/>
      <c r="S71" s="308">
        <v>0.2944444444444444</v>
      </c>
      <c r="T71" s="308">
        <v>0.37708333333333327</v>
      </c>
      <c r="U71" s="470">
        <f t="shared" si="46"/>
        <v>6.9999999999999751</v>
      </c>
      <c r="V71" s="478">
        <f t="shared" si="45"/>
        <v>118.99999999999997</v>
      </c>
      <c r="W71" s="310"/>
      <c r="X71" s="310"/>
      <c r="Y71" s="570"/>
      <c r="Z71" s="570"/>
      <c r="AA71" s="306">
        <f t="shared" si="52"/>
        <v>-114.45378151260456</v>
      </c>
      <c r="AB71" s="473">
        <f t="shared" si="53"/>
        <v>0.95231092436974807</v>
      </c>
      <c r="AC71" s="571"/>
    </row>
    <row r="72" spans="1:29" ht="15.75" customHeight="1">
      <c r="A72" s="574" t="s">
        <v>2204</v>
      </c>
      <c r="B72" s="480" t="s">
        <v>46</v>
      </c>
      <c r="C72" s="565" t="s">
        <v>85</v>
      </c>
      <c r="D72" s="565"/>
      <c r="E72" s="300">
        <v>19.02</v>
      </c>
      <c r="F72" s="480">
        <v>4500</v>
      </c>
      <c r="G72" s="470">
        <f t="shared" si="43"/>
        <v>85590</v>
      </c>
      <c r="H72" s="481">
        <v>2</v>
      </c>
      <c r="I72" s="477">
        <v>15</v>
      </c>
      <c r="J72" s="303">
        <v>2400</v>
      </c>
      <c r="K72" s="304">
        <f t="shared" si="47"/>
        <v>160</v>
      </c>
      <c r="L72" s="477">
        <v>15</v>
      </c>
      <c r="M72" s="305">
        <f t="shared" si="44"/>
        <v>2288.1355932203396</v>
      </c>
      <c r="N72" s="304">
        <f t="shared" si="48"/>
        <v>152.54237288135599</v>
      </c>
      <c r="O72" s="306">
        <f t="shared" si="49"/>
        <v>0</v>
      </c>
      <c r="P72" s="307">
        <f t="shared" si="50"/>
        <v>-7.4576271186440124</v>
      </c>
      <c r="Q72" s="473">
        <f t="shared" si="51"/>
        <v>0.95338983050847492</v>
      </c>
      <c r="R72" s="571"/>
      <c r="S72" s="308">
        <v>0.38263888888888881</v>
      </c>
      <c r="T72" s="308">
        <v>0.46458333333333324</v>
      </c>
      <c r="U72" s="470">
        <f t="shared" si="46"/>
        <v>7.9999999999999716</v>
      </c>
      <c r="V72" s="478">
        <f t="shared" si="45"/>
        <v>117.99999999999999</v>
      </c>
      <c r="W72" s="310"/>
      <c r="X72" s="310"/>
      <c r="Y72" s="570"/>
      <c r="Z72" s="570"/>
      <c r="AA72" s="306">
        <f t="shared" si="52"/>
        <v>-111.86440677966038</v>
      </c>
      <c r="AB72" s="473">
        <f t="shared" si="53"/>
        <v>0.95338983050847481</v>
      </c>
      <c r="AC72" s="571"/>
    </row>
    <row r="73" spans="1:29" ht="15.75" customHeight="1">
      <c r="A73" s="574" t="s">
        <v>2204</v>
      </c>
      <c r="B73" s="480" t="s">
        <v>46</v>
      </c>
      <c r="C73" s="565" t="s">
        <v>57</v>
      </c>
      <c r="D73" s="565"/>
      <c r="E73" s="300">
        <v>20.52</v>
      </c>
      <c r="F73" s="480">
        <v>2200</v>
      </c>
      <c r="G73" s="470">
        <f t="shared" si="43"/>
        <v>45144</v>
      </c>
      <c r="H73" s="481">
        <v>2</v>
      </c>
      <c r="I73" s="477">
        <v>18</v>
      </c>
      <c r="J73" s="303">
        <v>2400</v>
      </c>
      <c r="K73" s="304">
        <f t="shared" si="47"/>
        <v>133.33333333333334</v>
      </c>
      <c r="L73" s="477">
        <v>18</v>
      </c>
      <c r="M73" s="305">
        <f t="shared" si="44"/>
        <v>2315.7894736842122</v>
      </c>
      <c r="N73" s="304">
        <f t="shared" si="48"/>
        <v>128.65497076023402</v>
      </c>
      <c r="O73" s="306">
        <f t="shared" si="49"/>
        <v>0</v>
      </c>
      <c r="P73" s="307">
        <f t="shared" si="50"/>
        <v>-4.6783625730993208</v>
      </c>
      <c r="Q73" s="473">
        <f t="shared" si="51"/>
        <v>0.96491228070175505</v>
      </c>
      <c r="R73" s="571"/>
      <c r="S73" s="308">
        <v>0.46805555555555545</v>
      </c>
      <c r="T73" s="308">
        <v>0.50763888888888875</v>
      </c>
      <c r="U73" s="470">
        <f t="shared" si="46"/>
        <v>4.9999999999999822</v>
      </c>
      <c r="V73" s="478">
        <f t="shared" si="45"/>
        <v>56.999999999999957</v>
      </c>
      <c r="W73" s="310">
        <f>T73</f>
        <v>0.50763888888888875</v>
      </c>
      <c r="X73" s="310">
        <f>S74</f>
        <v>0.5479166666666665</v>
      </c>
      <c r="Y73" s="566"/>
      <c r="Z73" s="567"/>
      <c r="AA73" s="306">
        <f t="shared" si="52"/>
        <v>-84.210526315787774</v>
      </c>
      <c r="AB73" s="473">
        <f t="shared" si="53"/>
        <v>0.96491228070175505</v>
      </c>
      <c r="AC73" s="571"/>
    </row>
    <row r="74" spans="1:29" ht="15.75" customHeight="1">
      <c r="A74" s="574" t="s">
        <v>2204</v>
      </c>
      <c r="B74" s="480" t="s">
        <v>46</v>
      </c>
      <c r="C74" s="565" t="s">
        <v>85</v>
      </c>
      <c r="D74" s="565"/>
      <c r="E74" s="300">
        <v>19.02</v>
      </c>
      <c r="F74" s="480">
        <v>6346</v>
      </c>
      <c r="G74" s="470">
        <f t="shared" si="43"/>
        <v>120700.92</v>
      </c>
      <c r="H74" s="481" t="s">
        <v>35</v>
      </c>
      <c r="I74" s="477">
        <v>15</v>
      </c>
      <c r="J74" s="303">
        <v>2400</v>
      </c>
      <c r="K74" s="304">
        <f t="shared" si="47"/>
        <v>160</v>
      </c>
      <c r="L74" s="477">
        <v>15</v>
      </c>
      <c r="M74" s="305">
        <f t="shared" si="44"/>
        <v>2293.7349397590356</v>
      </c>
      <c r="N74" s="304">
        <f t="shared" si="48"/>
        <v>152.91566265060237</v>
      </c>
      <c r="O74" s="306">
        <f t="shared" si="49"/>
        <v>0</v>
      </c>
      <c r="P74" s="307">
        <f t="shared" si="50"/>
        <v>-7.0843373493976287</v>
      </c>
      <c r="Q74" s="473">
        <f t="shared" si="51"/>
        <v>0.95572289156626478</v>
      </c>
      <c r="R74" s="571"/>
      <c r="S74" s="308">
        <v>0.5479166666666665</v>
      </c>
      <c r="T74" s="308">
        <v>0.66319444444444431</v>
      </c>
      <c r="U74" s="470">
        <f t="shared" si="46"/>
        <v>57.999999999999957</v>
      </c>
      <c r="V74" s="478">
        <f t="shared" si="45"/>
        <v>166.00000000000006</v>
      </c>
      <c r="W74" s="310"/>
      <c r="X74" s="310"/>
      <c r="Y74" s="566"/>
      <c r="Z74" s="567"/>
      <c r="AA74" s="306">
        <f t="shared" si="52"/>
        <v>-106.26506024096443</v>
      </c>
      <c r="AB74" s="473">
        <f t="shared" si="53"/>
        <v>0.95572289156626478</v>
      </c>
      <c r="AC74" s="571"/>
    </row>
    <row r="75" spans="1:29" ht="15.75" customHeight="1">
      <c r="A75" s="574" t="s">
        <v>2204</v>
      </c>
      <c r="B75" s="480" t="s">
        <v>46</v>
      </c>
      <c r="C75" s="565" t="s">
        <v>57</v>
      </c>
      <c r="D75" s="565"/>
      <c r="E75" s="300">
        <v>20.52</v>
      </c>
      <c r="F75" s="480">
        <v>1382</v>
      </c>
      <c r="G75" s="470">
        <f t="shared" si="43"/>
        <v>28358.639999999999</v>
      </c>
      <c r="H75" s="481" t="s">
        <v>35</v>
      </c>
      <c r="I75" s="477">
        <v>18</v>
      </c>
      <c r="J75" s="303">
        <v>2400</v>
      </c>
      <c r="K75" s="304">
        <f t="shared" si="47"/>
        <v>133.33333333333334</v>
      </c>
      <c r="L75" s="477">
        <v>18</v>
      </c>
      <c r="M75" s="305">
        <f t="shared" si="44"/>
        <v>2303.3333333333312</v>
      </c>
      <c r="N75" s="304">
        <f t="shared" si="48"/>
        <v>127.96296296296285</v>
      </c>
      <c r="O75" s="306">
        <f t="shared" si="49"/>
        <v>0</v>
      </c>
      <c r="P75" s="307">
        <f t="shared" si="50"/>
        <v>-5.3703703703704946</v>
      </c>
      <c r="Q75" s="473">
        <f t="shared" si="51"/>
        <v>0.95972222222222126</v>
      </c>
      <c r="R75" s="571"/>
      <c r="S75" s="308">
        <v>0.66874999999999984</v>
      </c>
      <c r="T75" s="308">
        <v>0.69374999999999987</v>
      </c>
      <c r="U75" s="470">
        <f t="shared" si="46"/>
        <v>7.9999999999999716</v>
      </c>
      <c r="V75" s="478">
        <f t="shared" si="45"/>
        <v>36.000000000000028</v>
      </c>
      <c r="W75" s="310"/>
      <c r="X75" s="310"/>
      <c r="Y75" s="566"/>
      <c r="Z75" s="567"/>
      <c r="AA75" s="306">
        <f t="shared" si="52"/>
        <v>-96.666666666668789</v>
      </c>
      <c r="AB75" s="473">
        <f t="shared" si="53"/>
        <v>0.95972222222222137</v>
      </c>
      <c r="AC75" s="571"/>
    </row>
    <row r="76" spans="1:29" ht="15.75" customHeight="1">
      <c r="A76" s="574" t="s">
        <v>2204</v>
      </c>
      <c r="B76" s="480" t="s">
        <v>46</v>
      </c>
      <c r="C76" s="565" t="s">
        <v>56</v>
      </c>
      <c r="D76" s="565"/>
      <c r="E76" s="300">
        <v>26.2</v>
      </c>
      <c r="F76" s="480">
        <v>2152</v>
      </c>
      <c r="G76" s="470">
        <f t="shared" si="43"/>
        <v>56382.400000000001</v>
      </c>
      <c r="H76" s="481" t="s">
        <v>35</v>
      </c>
      <c r="I76" s="477">
        <v>20</v>
      </c>
      <c r="J76" s="303">
        <v>2400</v>
      </c>
      <c r="K76" s="304">
        <f t="shared" si="47"/>
        <v>120</v>
      </c>
      <c r="L76" s="477">
        <v>20</v>
      </c>
      <c r="M76" s="305">
        <f t="shared" si="44"/>
        <v>2305.7142857142876</v>
      </c>
      <c r="N76" s="304">
        <f t="shared" si="48"/>
        <v>115.28571428571438</v>
      </c>
      <c r="O76" s="306">
        <f t="shared" si="49"/>
        <v>0</v>
      </c>
      <c r="P76" s="307">
        <f t="shared" si="50"/>
        <v>-4.7142857142856229</v>
      </c>
      <c r="Q76" s="473">
        <f t="shared" si="51"/>
        <v>0.96071428571428652</v>
      </c>
      <c r="R76" s="571"/>
      <c r="S76" s="308">
        <v>0.6993055555555554</v>
      </c>
      <c r="T76" s="308">
        <v>0.73819444444444426</v>
      </c>
      <c r="U76" s="470">
        <f t="shared" si="46"/>
        <v>7.9999999999999716</v>
      </c>
      <c r="V76" s="478">
        <f t="shared" si="45"/>
        <v>55.999999999999957</v>
      </c>
      <c r="W76" s="310"/>
      <c r="X76" s="310"/>
      <c r="Y76" s="566"/>
      <c r="Z76" s="567"/>
      <c r="AA76" s="306">
        <f t="shared" si="52"/>
        <v>-94.285714285712402</v>
      </c>
      <c r="AB76" s="473">
        <f t="shared" si="53"/>
        <v>0.96071428571428652</v>
      </c>
      <c r="AC76" s="571"/>
    </row>
    <row r="77" spans="1:29" ht="16.5" customHeight="1">
      <c r="A77" s="575" t="s">
        <v>2204</v>
      </c>
      <c r="B77" s="300" t="s">
        <v>2190</v>
      </c>
      <c r="C77" s="568"/>
      <c r="D77" s="569"/>
      <c r="E77" s="476"/>
      <c r="F77" s="313"/>
      <c r="G77" s="304"/>
      <c r="H77" s="480"/>
      <c r="I77" s="314">
        <v>17.3</v>
      </c>
      <c r="J77" s="303">
        <v>2400</v>
      </c>
      <c r="K77" s="304">
        <f t="shared" si="47"/>
        <v>138.72832369942196</v>
      </c>
      <c r="L77" s="314">
        <v>17.3</v>
      </c>
      <c r="M77" s="305">
        <f>AVERAGE(M67:M76)</f>
        <v>2297.8305804213142</v>
      </c>
      <c r="N77" s="304">
        <f t="shared" si="48"/>
        <v>132.82257690296612</v>
      </c>
      <c r="O77" s="306">
        <f t="shared" si="49"/>
        <v>0</v>
      </c>
      <c r="P77" s="307">
        <f t="shared" si="50"/>
        <v>-5.9057467964558441</v>
      </c>
      <c r="Q77" s="473">
        <f t="shared" si="51"/>
        <v>0.95742940850888081</v>
      </c>
      <c r="R77" s="571"/>
      <c r="S77" s="308"/>
      <c r="T77" s="308"/>
      <c r="U77" s="304"/>
      <c r="V77" s="478"/>
      <c r="W77" s="304"/>
      <c r="X77" s="304"/>
      <c r="Y77" s="570"/>
      <c r="Z77" s="570"/>
      <c r="AA77" s="306">
        <f t="shared" si="52"/>
        <v>-102.16941957868585</v>
      </c>
      <c r="AB77" s="473">
        <f t="shared" si="53"/>
        <v>0.95742940850888092</v>
      </c>
      <c r="AC77" s="571"/>
    </row>
    <row r="78" spans="1:29">
      <c r="D78" s="323"/>
      <c r="E78" s="323"/>
    </row>
  </sheetData>
  <mergeCells count="202">
    <mergeCell ref="A60:A66"/>
    <mergeCell ref="C60:D60"/>
    <mergeCell ref="R60:R66"/>
    <mergeCell ref="Y60:Z60"/>
    <mergeCell ref="A67:A77"/>
    <mergeCell ref="C67:D67"/>
    <mergeCell ref="R67:R77"/>
    <mergeCell ref="Y67:Z67"/>
    <mergeCell ref="AC67:AC77"/>
    <mergeCell ref="C68:D68"/>
    <mergeCell ref="Y68:Z68"/>
    <mergeCell ref="C69:D69"/>
    <mergeCell ref="Y69:Z69"/>
    <mergeCell ref="C70:D70"/>
    <mergeCell ref="C77:D77"/>
    <mergeCell ref="Y77:Z77"/>
    <mergeCell ref="C74:D74"/>
    <mergeCell ref="Y74:Z74"/>
    <mergeCell ref="C75:D75"/>
    <mergeCell ref="Y75:Z75"/>
    <mergeCell ref="C76:D76"/>
    <mergeCell ref="Y76:Z76"/>
    <mergeCell ref="Y70:Z70"/>
    <mergeCell ref="C71:D71"/>
    <mergeCell ref="Y71:Z71"/>
    <mergeCell ref="C72:D72"/>
    <mergeCell ref="Y72:Z72"/>
    <mergeCell ref="C73:D73"/>
    <mergeCell ref="Y73:Z73"/>
    <mergeCell ref="AC60:AC66"/>
    <mergeCell ref="C61:D61"/>
    <mergeCell ref="Y61:Z61"/>
    <mergeCell ref="C62:D62"/>
    <mergeCell ref="Y62:Z62"/>
    <mergeCell ref="C63:D63"/>
    <mergeCell ref="AC53:AC59"/>
    <mergeCell ref="C54:D54"/>
    <mergeCell ref="Y54:Z54"/>
    <mergeCell ref="C55:D55"/>
    <mergeCell ref="C58:D58"/>
    <mergeCell ref="Y58:Z58"/>
    <mergeCell ref="C59:D59"/>
    <mergeCell ref="Y59:Z59"/>
    <mergeCell ref="Y63:Z63"/>
    <mergeCell ref="C64:D64"/>
    <mergeCell ref="Y64:Z64"/>
    <mergeCell ref="C65:D65"/>
    <mergeCell ref="Y65:Z65"/>
    <mergeCell ref="C66:D66"/>
    <mergeCell ref="Y66:Z66"/>
    <mergeCell ref="A53:A59"/>
    <mergeCell ref="C53:D53"/>
    <mergeCell ref="R53:R59"/>
    <mergeCell ref="Y53:Z53"/>
    <mergeCell ref="C48:D48"/>
    <mergeCell ref="Y48:Z48"/>
    <mergeCell ref="C49:D49"/>
    <mergeCell ref="Y49:Z49"/>
    <mergeCell ref="C50:D50"/>
    <mergeCell ref="Y50:Z50"/>
    <mergeCell ref="A42:A52"/>
    <mergeCell ref="C42:D42"/>
    <mergeCell ref="R42:R52"/>
    <mergeCell ref="Y42:Z42"/>
    <mergeCell ref="Y47:Z47"/>
    <mergeCell ref="AC42:AC52"/>
    <mergeCell ref="C43:D43"/>
    <mergeCell ref="Y43:Z43"/>
    <mergeCell ref="C44:D44"/>
    <mergeCell ref="Y44:Z44"/>
    <mergeCell ref="C45:D45"/>
    <mergeCell ref="Y45:Z45"/>
    <mergeCell ref="C46:D46"/>
    <mergeCell ref="Y46:Z46"/>
    <mergeCell ref="C47:D47"/>
    <mergeCell ref="C51:D51"/>
    <mergeCell ref="Y51:Z51"/>
    <mergeCell ref="C52:D52"/>
    <mergeCell ref="Y52:Z52"/>
    <mergeCell ref="A33:A41"/>
    <mergeCell ref="C33:D33"/>
    <mergeCell ref="R33:R41"/>
    <mergeCell ref="Y33:Z33"/>
    <mergeCell ref="Y38:Z38"/>
    <mergeCell ref="C39:D39"/>
    <mergeCell ref="AC33:AC41"/>
    <mergeCell ref="C34:D34"/>
    <mergeCell ref="Y34:Z34"/>
    <mergeCell ref="C35:D35"/>
    <mergeCell ref="Y35:Z35"/>
    <mergeCell ref="C36:D36"/>
    <mergeCell ref="Y36:Z36"/>
    <mergeCell ref="C37:D37"/>
    <mergeCell ref="Y37:Z37"/>
    <mergeCell ref="C38:D38"/>
    <mergeCell ref="Y39:Z39"/>
    <mergeCell ref="C40:D40"/>
    <mergeCell ref="Y40:Z40"/>
    <mergeCell ref="C41:D41"/>
    <mergeCell ref="Y41:Z41"/>
    <mergeCell ref="C29:D29"/>
    <mergeCell ref="Y29:Z29"/>
    <mergeCell ref="C30:D30"/>
    <mergeCell ref="Y30:Z30"/>
    <mergeCell ref="Y24:Z24"/>
    <mergeCell ref="A25:A32"/>
    <mergeCell ref="C25:D25"/>
    <mergeCell ref="R25:R32"/>
    <mergeCell ref="Y25:Z25"/>
    <mergeCell ref="C31:D31"/>
    <mergeCell ref="Y31:Z31"/>
    <mergeCell ref="C32:D32"/>
    <mergeCell ref="Y32:Z32"/>
    <mergeCell ref="A18:A24"/>
    <mergeCell ref="C18:D18"/>
    <mergeCell ref="R18:R24"/>
    <mergeCell ref="Y18:Z18"/>
    <mergeCell ref="Y23:Z23"/>
    <mergeCell ref="C24:D24"/>
    <mergeCell ref="A12:A17"/>
    <mergeCell ref="AC25:AC32"/>
    <mergeCell ref="C26:D26"/>
    <mergeCell ref="Y26:Z26"/>
    <mergeCell ref="C27:D27"/>
    <mergeCell ref="Y27:Z27"/>
    <mergeCell ref="AC18:AC24"/>
    <mergeCell ref="C19:D19"/>
    <mergeCell ref="Y19:Z19"/>
    <mergeCell ref="C20:D20"/>
    <mergeCell ref="Y20:Z20"/>
    <mergeCell ref="C21:D21"/>
    <mergeCell ref="Y21:Z21"/>
    <mergeCell ref="C22:D22"/>
    <mergeCell ref="Y22:Z22"/>
    <mergeCell ref="C23:D23"/>
    <mergeCell ref="C28:D28"/>
    <mergeCell ref="Y28:Z28"/>
    <mergeCell ref="C13:D13"/>
    <mergeCell ref="Y13:Z13"/>
    <mergeCell ref="C14:D14"/>
    <mergeCell ref="Y14:Z14"/>
    <mergeCell ref="C15:D15"/>
    <mergeCell ref="Y15:Z15"/>
    <mergeCell ref="AC9:AC11"/>
    <mergeCell ref="C10:D10"/>
    <mergeCell ref="Y10:Z10"/>
    <mergeCell ref="C11:D11"/>
    <mergeCell ref="Y11:Z11"/>
    <mergeCell ref="C12:D12"/>
    <mergeCell ref="R12:R17"/>
    <mergeCell ref="Y12:Z12"/>
    <mergeCell ref="AC12:AC17"/>
    <mergeCell ref="C16:D16"/>
    <mergeCell ref="Y16:Z16"/>
    <mergeCell ref="C17:D17"/>
    <mergeCell ref="Y17:Z17"/>
    <mergeCell ref="C8:D8"/>
    <mergeCell ref="Y8:Z8"/>
    <mergeCell ref="A9:A11"/>
    <mergeCell ref="C9:D9"/>
    <mergeCell ref="R9:R11"/>
    <mergeCell ref="Y9:Z9"/>
    <mergeCell ref="AC3:AC4"/>
    <mergeCell ref="A5:A8"/>
    <mergeCell ref="C5:D5"/>
    <mergeCell ref="R5:R8"/>
    <mergeCell ref="Y5:Z5"/>
    <mergeCell ref="AC5:AC8"/>
    <mergeCell ref="C6:D6"/>
    <mergeCell ref="Y6:Z6"/>
    <mergeCell ref="C7:D7"/>
    <mergeCell ref="Y7:Z7"/>
    <mergeCell ref="U3:U4"/>
    <mergeCell ref="V3:V4"/>
    <mergeCell ref="W3:X3"/>
    <mergeCell ref="Y3:Z4"/>
    <mergeCell ref="AA3:AA4"/>
    <mergeCell ref="AB3:AB4"/>
    <mergeCell ref="N3:N4"/>
    <mergeCell ref="O3:O4"/>
    <mergeCell ref="S1:X2"/>
    <mergeCell ref="Y1:Z2"/>
    <mergeCell ref="AA1:AC2"/>
    <mergeCell ref="A3:A4"/>
    <mergeCell ref="B3:B4"/>
    <mergeCell ref="C3:D4"/>
    <mergeCell ref="E3:E4"/>
    <mergeCell ref="F3:F4"/>
    <mergeCell ref="G3:G4"/>
    <mergeCell ref="I1:K2"/>
    <mergeCell ref="L1:N2"/>
    <mergeCell ref="O1:R2"/>
    <mergeCell ref="P3:P4"/>
    <mergeCell ref="Q3:Q4"/>
    <mergeCell ref="R3:R4"/>
    <mergeCell ref="S3:T3"/>
    <mergeCell ref="H3:H4"/>
    <mergeCell ref="I3:I4"/>
    <mergeCell ref="J3:J4"/>
    <mergeCell ref="K3:K4"/>
    <mergeCell ref="L3:L4"/>
    <mergeCell ref="M3:M4"/>
  </mergeCells>
  <phoneticPr fontId="3" type="noConversion"/>
  <conditionalFormatting sqref="O63:O72 O77 O5:O9 O11:O13 O52:O60 O17:O47">
    <cfRule type="cellIs" dxfId="1860" priority="80" operator="greaterThan">
      <formula>0</formula>
    </cfRule>
  </conditionalFormatting>
  <conditionalFormatting sqref="P5:P7 P63:P65 AA63:AA65 P67:P72 P25:P31 P60 P9 P11:P13 P18:P23 P53:P58 P33:P47 AA5:AA60 AA67:AA77">
    <cfRule type="cellIs" dxfId="1859" priority="84" operator="lessThan">
      <formula>0</formula>
    </cfRule>
  </conditionalFormatting>
  <conditionalFormatting sqref="AB63:AB65 Q63:Q72 Q77 Q5:Q9 Q11:Q13 Q52:Q60 Q17:Q47 AB5:AB60 AB67:AB77">
    <cfRule type="cellIs" dxfId="1858" priority="81" operator="greaterThan">
      <formula>1</formula>
    </cfRule>
    <cfRule type="cellIs" dxfId="1857" priority="82" operator="lessThan">
      <formula>0.8</formula>
    </cfRule>
  </conditionalFormatting>
  <conditionalFormatting sqref="AC12:AC13 R12:R13 AC63 R63:R72 R77 AC5:AC9 R5:R9 R17:R47 AC17:AC47 AC52:AC60 R52:R60">
    <cfRule type="cellIs" dxfId="1856" priority="86" operator="lessThan">
      <formula>0.8</formula>
    </cfRule>
  </conditionalFormatting>
  <conditionalFormatting sqref="AC42">
    <cfRule type="cellIs" dxfId="1855" priority="88" operator="lessThan">
      <formula>0.8</formula>
    </cfRule>
  </conditionalFormatting>
  <conditionalFormatting sqref="AC18:AC23">
    <cfRule type="cellIs" dxfId="1854" priority="85" operator="lessThan">
      <formula>0.8</formula>
    </cfRule>
  </conditionalFormatting>
  <conditionalFormatting sqref="AC25">
    <cfRule type="cellIs" dxfId="1853" priority="87" operator="lessThan">
      <formula>0.8</formula>
    </cfRule>
  </conditionalFormatting>
  <conditionalFormatting sqref="AC33:AC40">
    <cfRule type="cellIs" dxfId="1852" priority="83" operator="lessThan">
      <formula>0.8</formula>
    </cfRule>
  </conditionalFormatting>
  <conditionalFormatting sqref="AA66">
    <cfRule type="cellIs" dxfId="1851" priority="79" operator="lessThan">
      <formula>0</formula>
    </cfRule>
  </conditionalFormatting>
  <conditionalFormatting sqref="AB66">
    <cfRule type="cellIs" dxfId="1850" priority="77" operator="greaterThan">
      <formula>1</formula>
    </cfRule>
    <cfRule type="cellIs" dxfId="1849" priority="78" operator="lessThan">
      <formula>0.8</formula>
    </cfRule>
  </conditionalFormatting>
  <conditionalFormatting sqref="O14:O15">
    <cfRule type="cellIs" dxfId="1848" priority="72" operator="greaterThan">
      <formula>0</formula>
    </cfRule>
  </conditionalFormatting>
  <conditionalFormatting sqref="P14:P15">
    <cfRule type="cellIs" dxfId="1847" priority="75" operator="lessThan">
      <formula>0</formula>
    </cfRule>
  </conditionalFormatting>
  <conditionalFormatting sqref="Q14:Q15">
    <cfRule type="cellIs" dxfId="1846" priority="73" operator="greaterThan">
      <formula>1</formula>
    </cfRule>
    <cfRule type="cellIs" dxfId="1845" priority="74" operator="lessThan">
      <formula>0.8</formula>
    </cfRule>
  </conditionalFormatting>
  <conditionalFormatting sqref="R14:R15 AC14:AC15">
    <cfRule type="cellIs" dxfId="1844" priority="76" operator="lessThan">
      <formula>0.8</formula>
    </cfRule>
  </conditionalFormatting>
  <conditionalFormatting sqref="O10">
    <cfRule type="cellIs" dxfId="1843" priority="68" operator="greaterThan">
      <formula>0</formula>
    </cfRule>
  </conditionalFormatting>
  <conditionalFormatting sqref="P10">
    <cfRule type="cellIs" dxfId="1842" priority="71" operator="lessThan">
      <formula>0</formula>
    </cfRule>
  </conditionalFormatting>
  <conditionalFormatting sqref="Q10">
    <cfRule type="cellIs" dxfId="1841" priority="69" operator="greaterThan">
      <formula>1</formula>
    </cfRule>
    <cfRule type="cellIs" dxfId="1840" priority="70" operator="lessThan">
      <formula>0.8</formula>
    </cfRule>
  </conditionalFormatting>
  <conditionalFormatting sqref="O62">
    <cfRule type="cellIs" dxfId="1839" priority="63" operator="greaterThan">
      <formula>0</formula>
    </cfRule>
  </conditionalFormatting>
  <conditionalFormatting sqref="P62 AA62">
    <cfRule type="cellIs" dxfId="1838" priority="66" operator="lessThan">
      <formula>0</formula>
    </cfRule>
  </conditionalFormatting>
  <conditionalFormatting sqref="Q62 AB62">
    <cfRule type="cellIs" dxfId="1837" priority="64" operator="greaterThan">
      <formula>1</formula>
    </cfRule>
    <cfRule type="cellIs" dxfId="1836" priority="65" operator="lessThan">
      <formula>0.8</formula>
    </cfRule>
  </conditionalFormatting>
  <conditionalFormatting sqref="R62 AC62">
    <cfRule type="cellIs" dxfId="1835" priority="67" operator="lessThan">
      <formula>0.8</formula>
    </cfRule>
  </conditionalFormatting>
  <conditionalFormatting sqref="O73">
    <cfRule type="cellIs" dxfId="1834" priority="58" operator="greaterThan">
      <formula>0</formula>
    </cfRule>
  </conditionalFormatting>
  <conditionalFormatting sqref="P73">
    <cfRule type="cellIs" dxfId="1833" priority="61" operator="lessThan">
      <formula>0</formula>
    </cfRule>
  </conditionalFormatting>
  <conditionalFormatting sqref="Q73">
    <cfRule type="cellIs" dxfId="1832" priority="59" operator="greaterThan">
      <formula>1</formula>
    </cfRule>
    <cfRule type="cellIs" dxfId="1831" priority="60" operator="lessThan">
      <formula>0.8</formula>
    </cfRule>
  </conditionalFormatting>
  <conditionalFormatting sqref="R73">
    <cfRule type="cellIs" dxfId="1830" priority="62" operator="lessThan">
      <formula>0.8</formula>
    </cfRule>
  </conditionalFormatting>
  <conditionalFormatting sqref="O16">
    <cfRule type="cellIs" dxfId="1829" priority="53" operator="greaterThan">
      <formula>0</formula>
    </cfRule>
  </conditionalFormatting>
  <conditionalFormatting sqref="P16">
    <cfRule type="cellIs" dxfId="1828" priority="56" operator="lessThan">
      <formula>0</formula>
    </cfRule>
  </conditionalFormatting>
  <conditionalFormatting sqref="Q16">
    <cfRule type="cellIs" dxfId="1827" priority="54" operator="greaterThan">
      <formula>1</formula>
    </cfRule>
    <cfRule type="cellIs" dxfId="1826" priority="55" operator="lessThan">
      <formula>0.8</formula>
    </cfRule>
  </conditionalFormatting>
  <conditionalFormatting sqref="R16 AC16">
    <cfRule type="cellIs" dxfId="1825" priority="57" operator="lessThan">
      <formula>0.8</formula>
    </cfRule>
  </conditionalFormatting>
  <conditionalFormatting sqref="O48">
    <cfRule type="cellIs" dxfId="1824" priority="47" operator="greaterThan">
      <formula>0</formula>
    </cfRule>
  </conditionalFormatting>
  <conditionalFormatting sqref="P48">
    <cfRule type="cellIs" dxfId="1823" priority="51" operator="lessThan">
      <formula>0</formula>
    </cfRule>
  </conditionalFormatting>
  <conditionalFormatting sqref="Q48">
    <cfRule type="cellIs" dxfId="1822" priority="48" operator="greaterThan">
      <formula>1</formula>
    </cfRule>
    <cfRule type="cellIs" dxfId="1821" priority="49" operator="lessThan">
      <formula>0.8</formula>
    </cfRule>
  </conditionalFormatting>
  <conditionalFormatting sqref="R48 AC48">
    <cfRule type="cellIs" dxfId="1820" priority="52" operator="lessThan">
      <formula>0.8</formula>
    </cfRule>
  </conditionalFormatting>
  <conditionalFormatting sqref="AC48">
    <cfRule type="cellIs" dxfId="1819" priority="50" operator="lessThan">
      <formula>0.8</formula>
    </cfRule>
  </conditionalFormatting>
  <conditionalFormatting sqref="O49">
    <cfRule type="cellIs" dxfId="1818" priority="41" operator="greaterThan">
      <formula>0</formula>
    </cfRule>
  </conditionalFormatting>
  <conditionalFormatting sqref="P49">
    <cfRule type="cellIs" dxfId="1817" priority="45" operator="lessThan">
      <formula>0</formula>
    </cfRule>
  </conditionalFormatting>
  <conditionalFormatting sqref="Q49">
    <cfRule type="cellIs" dxfId="1816" priority="42" operator="greaterThan">
      <formula>1</formula>
    </cfRule>
    <cfRule type="cellIs" dxfId="1815" priority="43" operator="lessThan">
      <formula>0.8</formula>
    </cfRule>
  </conditionalFormatting>
  <conditionalFormatting sqref="R49 AC49">
    <cfRule type="cellIs" dxfId="1814" priority="46" operator="lessThan">
      <formula>0.8</formula>
    </cfRule>
  </conditionalFormatting>
  <conditionalFormatting sqref="AC49">
    <cfRule type="cellIs" dxfId="1813" priority="44" operator="lessThan">
      <formula>0.8</formula>
    </cfRule>
  </conditionalFormatting>
  <conditionalFormatting sqref="O50">
    <cfRule type="cellIs" dxfId="1812" priority="35" operator="greaterThan">
      <formula>0</formula>
    </cfRule>
  </conditionalFormatting>
  <conditionalFormatting sqref="P50">
    <cfRule type="cellIs" dxfId="1811" priority="39" operator="lessThan">
      <formula>0</formula>
    </cfRule>
  </conditionalFormatting>
  <conditionalFormatting sqref="Q50">
    <cfRule type="cellIs" dxfId="1810" priority="36" operator="greaterThan">
      <formula>1</formula>
    </cfRule>
    <cfRule type="cellIs" dxfId="1809" priority="37" operator="lessThan">
      <formula>0.8</formula>
    </cfRule>
  </conditionalFormatting>
  <conditionalFormatting sqref="R50 AC50">
    <cfRule type="cellIs" dxfId="1808" priority="40" operator="lessThan">
      <formula>0.8</formula>
    </cfRule>
  </conditionalFormatting>
  <conditionalFormatting sqref="AC50">
    <cfRule type="cellIs" dxfId="1807" priority="38" operator="lessThan">
      <formula>0.8</formula>
    </cfRule>
  </conditionalFormatting>
  <conditionalFormatting sqref="O51">
    <cfRule type="cellIs" dxfId="1806" priority="29" operator="greaterThan">
      <formula>0</formula>
    </cfRule>
  </conditionalFormatting>
  <conditionalFormatting sqref="P51">
    <cfRule type="cellIs" dxfId="1805" priority="33" operator="lessThan">
      <formula>0</formula>
    </cfRule>
  </conditionalFormatting>
  <conditionalFormatting sqref="Q51">
    <cfRule type="cellIs" dxfId="1804" priority="30" operator="greaterThan">
      <formula>1</formula>
    </cfRule>
    <cfRule type="cellIs" dxfId="1803" priority="31" operator="lessThan">
      <formula>0.8</formula>
    </cfRule>
  </conditionalFormatting>
  <conditionalFormatting sqref="R51 AC51">
    <cfRule type="cellIs" dxfId="1802" priority="34" operator="lessThan">
      <formula>0.8</formula>
    </cfRule>
  </conditionalFormatting>
  <conditionalFormatting sqref="AC51">
    <cfRule type="cellIs" dxfId="1801" priority="32" operator="lessThan">
      <formula>0.8</formula>
    </cfRule>
  </conditionalFormatting>
  <conditionalFormatting sqref="O61">
    <cfRule type="cellIs" dxfId="1800" priority="24" operator="greaterThan">
      <formula>0</formula>
    </cfRule>
  </conditionalFormatting>
  <conditionalFormatting sqref="P61 AA61">
    <cfRule type="cellIs" dxfId="1799" priority="27" operator="lessThan">
      <formula>0</formula>
    </cfRule>
  </conditionalFormatting>
  <conditionalFormatting sqref="Q61 AB61">
    <cfRule type="cellIs" dxfId="1798" priority="25" operator="greaterThan">
      <formula>1</formula>
    </cfRule>
    <cfRule type="cellIs" dxfId="1797" priority="26" operator="lessThan">
      <formula>0.8</formula>
    </cfRule>
  </conditionalFormatting>
  <conditionalFormatting sqref="R61 AC61">
    <cfRule type="cellIs" dxfId="1796" priority="28" operator="lessThan">
      <formula>0.8</formula>
    </cfRule>
  </conditionalFormatting>
  <conditionalFormatting sqref="P8">
    <cfRule type="cellIs" dxfId="1795" priority="23" operator="lessThan">
      <formula>0</formula>
    </cfRule>
  </conditionalFormatting>
  <conditionalFormatting sqref="P17">
    <cfRule type="cellIs" dxfId="1794" priority="22" operator="lessThan">
      <formula>0</formula>
    </cfRule>
  </conditionalFormatting>
  <conditionalFormatting sqref="P24">
    <cfRule type="cellIs" dxfId="1793" priority="21" operator="lessThan">
      <formula>0</formula>
    </cfRule>
  </conditionalFormatting>
  <conditionalFormatting sqref="P32">
    <cfRule type="cellIs" dxfId="1792" priority="20" operator="lessThan">
      <formula>0</formula>
    </cfRule>
  </conditionalFormatting>
  <conditionalFormatting sqref="P52">
    <cfRule type="cellIs" dxfId="1791" priority="19" operator="lessThan">
      <formula>0</formula>
    </cfRule>
  </conditionalFormatting>
  <conditionalFormatting sqref="P59">
    <cfRule type="cellIs" dxfId="1790" priority="18" operator="lessThan">
      <formula>0</formula>
    </cfRule>
  </conditionalFormatting>
  <conditionalFormatting sqref="P66">
    <cfRule type="cellIs" dxfId="1789" priority="17" operator="lessThan">
      <formula>0</formula>
    </cfRule>
  </conditionalFormatting>
  <conditionalFormatting sqref="P77">
    <cfRule type="cellIs" dxfId="1788" priority="16" operator="lessThan">
      <formula>0</formula>
    </cfRule>
  </conditionalFormatting>
  <conditionalFormatting sqref="O74">
    <cfRule type="cellIs" dxfId="1787" priority="11" operator="greaterThan">
      <formula>0</formula>
    </cfRule>
  </conditionalFormatting>
  <conditionalFormatting sqref="P74">
    <cfRule type="cellIs" dxfId="1786" priority="14" operator="lessThan">
      <formula>0</formula>
    </cfRule>
  </conditionalFormatting>
  <conditionalFormatting sqref="Q74">
    <cfRule type="cellIs" dxfId="1785" priority="12" operator="greaterThan">
      <formula>1</formula>
    </cfRule>
    <cfRule type="cellIs" dxfId="1784" priority="13" operator="lessThan">
      <formula>0.8</formula>
    </cfRule>
  </conditionalFormatting>
  <conditionalFormatting sqref="R74">
    <cfRule type="cellIs" dxfId="1783" priority="15" operator="lessThan">
      <formula>0.8</formula>
    </cfRule>
  </conditionalFormatting>
  <conditionalFormatting sqref="O75">
    <cfRule type="cellIs" dxfId="1782" priority="6" operator="greaterThan">
      <formula>0</formula>
    </cfRule>
  </conditionalFormatting>
  <conditionalFormatting sqref="P75">
    <cfRule type="cellIs" dxfId="1781" priority="9" operator="lessThan">
      <formula>0</formula>
    </cfRule>
  </conditionalFormatting>
  <conditionalFormatting sqref="Q75">
    <cfRule type="cellIs" dxfId="1780" priority="7" operator="greaterThan">
      <formula>1</formula>
    </cfRule>
    <cfRule type="cellIs" dxfId="1779" priority="8" operator="lessThan">
      <formula>0.8</formula>
    </cfRule>
  </conditionalFormatting>
  <conditionalFormatting sqref="R75">
    <cfRule type="cellIs" dxfId="1778" priority="10" operator="lessThan">
      <formula>0.8</formula>
    </cfRule>
  </conditionalFormatting>
  <conditionalFormatting sqref="O76">
    <cfRule type="cellIs" dxfId="1777" priority="1" operator="greaterThan">
      <formula>0</formula>
    </cfRule>
  </conditionalFormatting>
  <conditionalFormatting sqref="P76">
    <cfRule type="cellIs" dxfId="1776" priority="4" operator="lessThan">
      <formula>0</formula>
    </cfRule>
  </conditionalFormatting>
  <conditionalFormatting sqref="Q76">
    <cfRule type="cellIs" dxfId="1775" priority="2" operator="greaterThan">
      <formula>1</formula>
    </cfRule>
    <cfRule type="cellIs" dxfId="1774" priority="3" operator="lessThan">
      <formula>0.8</formula>
    </cfRule>
  </conditionalFormatting>
  <conditionalFormatting sqref="R76">
    <cfRule type="cellIs" dxfId="1773" priority="5" operator="lessThan">
      <formula>0.8</formula>
    </cfRule>
  </conditionalFormatting>
  <dataValidations count="1">
    <dataValidation type="list" allowBlank="1" showInputMessage="1" showErrorMessage="1" sqref="Z8 Z64:Z65 Y5:Z7 Y8:Y65 Z10:Z60 Y66:Z77">
      <formula1>#REF!</formula1>
    </dataValidation>
  </dataValidations>
  <pageMargins left="0" right="0" top="0" bottom="0" header="0" footer="0"/>
  <pageSetup paperSize="9" scale="11" orientation="landscape" horizontalDpi="300" verticalDpi="300"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工作表6"/>
  <dimension ref="B1:Q28"/>
  <sheetViews>
    <sheetView zoomScale="85" zoomScaleNormal="85" workbookViewId="0">
      <selection activeCell="A9" sqref="A9"/>
    </sheetView>
  </sheetViews>
  <sheetFormatPr defaultColWidth="8.75" defaultRowHeight="15.75"/>
  <cols>
    <col min="1" max="1" width="8.75" style="30"/>
    <col min="2" max="2" width="17.875" style="30" customWidth="1"/>
    <col min="3" max="3" width="9.25" style="37" customWidth="1"/>
    <col min="4" max="13" width="12.625" style="30" customWidth="1"/>
    <col min="14" max="14" width="11" style="30" bestFit="1" customWidth="1"/>
    <col min="15" max="15" width="17.75" style="30" bestFit="1" customWidth="1"/>
    <col min="16" max="16" width="12.25" style="30" bestFit="1" customWidth="1"/>
    <col min="17" max="22" width="9.25" style="30" customWidth="1"/>
    <col min="23" max="23" width="10.75" style="30" customWidth="1"/>
    <col min="24" max="24" width="11" style="30" customWidth="1"/>
    <col min="25" max="16384" width="8.75" style="30"/>
  </cols>
  <sheetData>
    <row r="1" spans="2:17" ht="27.75" customHeight="1">
      <c r="B1" s="552" t="s">
        <v>2041</v>
      </c>
      <c r="C1" s="552"/>
      <c r="D1" s="552"/>
      <c r="E1" s="552"/>
      <c r="F1" s="552"/>
      <c r="G1" s="552"/>
      <c r="H1" s="552"/>
      <c r="I1" s="552"/>
      <c r="J1" s="552"/>
      <c r="K1" s="29"/>
      <c r="L1" s="29"/>
      <c r="M1" s="29"/>
      <c r="N1" s="29"/>
      <c r="O1" s="29"/>
      <c r="P1" s="29"/>
    </row>
    <row r="2" spans="2:17" ht="27.75" customHeight="1">
      <c r="B2" s="553"/>
      <c r="C2" s="553"/>
      <c r="D2" s="553"/>
      <c r="E2" s="553"/>
      <c r="F2" s="553"/>
      <c r="G2" s="553"/>
      <c r="H2" s="553"/>
      <c r="I2" s="553"/>
      <c r="J2" s="553"/>
      <c r="K2" s="31"/>
      <c r="L2" s="31"/>
      <c r="M2" s="31"/>
      <c r="N2" s="29"/>
      <c r="O2" s="29"/>
      <c r="P2" s="29"/>
    </row>
    <row r="3" spans="2:17" ht="46.5" customHeight="1">
      <c r="B3" s="32" t="s">
        <v>2042</v>
      </c>
      <c r="C3" s="554" t="str">
        <f>TEXT('1028 4度C'!A2,"yyyy.mm.ddaaaa")</f>
        <v>2025.10.28星期二</v>
      </c>
      <c r="D3" s="555"/>
      <c r="E3" s="32" t="s">
        <v>2043</v>
      </c>
      <c r="F3" s="556">
        <f>'1028 4度C'!D1</f>
        <v>218719</v>
      </c>
      <c r="G3" s="557"/>
      <c r="H3" s="32" t="s">
        <v>2044</v>
      </c>
      <c r="I3" s="558">
        <f>'1028 4度C'!F1</f>
        <v>7298224.8100000005</v>
      </c>
      <c r="J3" s="559"/>
      <c r="K3" s="33"/>
      <c r="L3" s="34"/>
      <c r="M3" s="35"/>
      <c r="N3" s="35"/>
    </row>
    <row r="4" spans="2:17" ht="28.5" customHeight="1">
      <c r="B4" s="560" t="s">
        <v>2045</v>
      </c>
      <c r="C4" s="542" t="s">
        <v>2046</v>
      </c>
      <c r="D4" s="543"/>
      <c r="E4" s="563" t="s">
        <v>2047</v>
      </c>
      <c r="F4" s="564"/>
      <c r="G4" s="563" t="s">
        <v>2048</v>
      </c>
      <c r="H4" s="564"/>
      <c r="I4" s="563" t="s">
        <v>2049</v>
      </c>
      <c r="J4" s="564"/>
      <c r="L4" s="35"/>
      <c r="M4" s="35"/>
      <c r="N4" s="35"/>
    </row>
    <row r="5" spans="2:17" ht="28.5" customHeight="1">
      <c r="B5" s="561"/>
      <c r="C5" s="542" t="s">
        <v>2050</v>
      </c>
      <c r="D5" s="543"/>
      <c r="E5" s="542" t="s">
        <v>2051</v>
      </c>
      <c r="F5" s="543"/>
      <c r="G5" s="544" t="s">
        <v>2052</v>
      </c>
      <c r="H5" s="545"/>
      <c r="I5" s="546" t="s">
        <v>2053</v>
      </c>
      <c r="J5" s="547"/>
      <c r="K5" s="35"/>
      <c r="L5" s="35"/>
      <c r="M5" s="35"/>
      <c r="N5" s="35"/>
    </row>
    <row r="6" spans="2:17" ht="28.5" customHeight="1">
      <c r="B6" s="561"/>
      <c r="C6" s="542" t="s">
        <v>92</v>
      </c>
      <c r="D6" s="543"/>
      <c r="E6" s="548">
        <f>AVERAGE(D13:M13)</f>
        <v>149.9278344915912</v>
      </c>
      <c r="F6" s="549">
        <f>AVERAGE(D27:O27,D13:J13)</f>
        <v>155.1336736380199</v>
      </c>
      <c r="G6" s="550">
        <f>AVERAGE(D13:J13)</f>
        <v>155.1336736380199</v>
      </c>
      <c r="H6" s="551"/>
      <c r="I6" s="550">
        <f>AVERAGE(K13:M13)</f>
        <v>137.78087648325752</v>
      </c>
      <c r="J6" s="551"/>
      <c r="K6" s="35"/>
      <c r="L6" s="35"/>
      <c r="M6" s="35"/>
      <c r="N6" s="35"/>
    </row>
    <row r="7" spans="2:17" ht="28.5" customHeight="1">
      <c r="B7" s="561"/>
      <c r="C7" s="532" t="s">
        <v>93</v>
      </c>
      <c r="D7" s="533"/>
      <c r="E7" s="534">
        <f>AVERAGE(D14:M14)</f>
        <v>143.40892919651694</v>
      </c>
      <c r="F7" s="535">
        <f>AVERAGE(D28:O28,D14:J14)</f>
        <v>148.41221646345846</v>
      </c>
      <c r="G7" s="536">
        <f>AVERAGE(D14:J14)</f>
        <v>148.41221646345846</v>
      </c>
      <c r="H7" s="537"/>
      <c r="I7" s="536">
        <f>AVERAGE(K14:M14)</f>
        <v>131.7345922403201</v>
      </c>
      <c r="J7" s="537"/>
      <c r="K7" s="35"/>
      <c r="L7" s="35"/>
      <c r="M7" s="35"/>
      <c r="N7" s="35"/>
    </row>
    <row r="8" spans="2:17" ht="28.5" customHeight="1">
      <c r="B8" s="562"/>
      <c r="C8" s="532" t="s">
        <v>94</v>
      </c>
      <c r="D8" s="533"/>
      <c r="E8" s="538">
        <f>AVERAGE(D15:M15)</f>
        <v>0.9565183271753106</v>
      </c>
      <c r="F8" s="539">
        <f>AVERAGE(D15:J15,D29:O29)</f>
        <v>0.95669342181560035</v>
      </c>
      <c r="G8" s="540">
        <f>AVERAGE(D15:J15)</f>
        <v>0.95669342181560035</v>
      </c>
      <c r="H8" s="541"/>
      <c r="I8" s="540">
        <f>AVERAGE(K15:M15)</f>
        <v>0.95610977301463473</v>
      </c>
      <c r="J8" s="541"/>
      <c r="K8" s="36" t="s">
        <v>2054</v>
      </c>
      <c r="L8" s="35"/>
      <c r="M8" s="35"/>
      <c r="N8" s="35"/>
    </row>
    <row r="9" spans="2:17" ht="28.5" customHeight="1" thickBot="1">
      <c r="H9" s="38"/>
      <c r="N9" s="35"/>
      <c r="O9" s="35"/>
      <c r="P9" s="35"/>
      <c r="Q9" s="35"/>
    </row>
    <row r="10" spans="2:17" ht="30" customHeight="1">
      <c r="B10" s="515" t="s">
        <v>2055</v>
      </c>
      <c r="C10" s="516"/>
      <c r="D10" s="517" t="s">
        <v>2056</v>
      </c>
      <c r="E10" s="518"/>
      <c r="F10" s="518"/>
      <c r="G10" s="518"/>
      <c r="H10" s="518"/>
      <c r="I10" s="518"/>
      <c r="J10" s="519"/>
      <c r="K10" s="520" t="s">
        <v>2057</v>
      </c>
      <c r="L10" s="521"/>
      <c r="M10" s="522"/>
      <c r="P10" s="39"/>
      <c r="Q10" s="39"/>
    </row>
    <row r="11" spans="2:17" ht="17.25" customHeight="1">
      <c r="B11" s="523" t="s">
        <v>2058</v>
      </c>
      <c r="C11" s="524"/>
      <c r="D11" s="40">
        <v>1</v>
      </c>
      <c r="E11" s="41">
        <v>2</v>
      </c>
      <c r="F11" s="41">
        <v>3</v>
      </c>
      <c r="G11" s="41">
        <v>4</v>
      </c>
      <c r="H11" s="41">
        <v>5</v>
      </c>
      <c r="I11" s="41">
        <v>6</v>
      </c>
      <c r="J11" s="42">
        <v>7</v>
      </c>
      <c r="K11" s="40">
        <v>1</v>
      </c>
      <c r="L11" s="41">
        <v>2</v>
      </c>
      <c r="M11" s="42">
        <v>3</v>
      </c>
      <c r="P11" s="39"/>
      <c r="Q11" s="39"/>
    </row>
    <row r="12" spans="2:17" ht="34.15" customHeight="1">
      <c r="B12" s="525"/>
      <c r="C12" s="526"/>
      <c r="D12" s="43" t="s">
        <v>96</v>
      </c>
      <c r="E12" s="44" t="s">
        <v>97</v>
      </c>
      <c r="F12" s="44" t="s">
        <v>98</v>
      </c>
      <c r="G12" s="44" t="s">
        <v>99</v>
      </c>
      <c r="H12" s="44" t="s">
        <v>100</v>
      </c>
      <c r="I12" s="44" t="s">
        <v>101</v>
      </c>
      <c r="J12" s="45" t="s">
        <v>102</v>
      </c>
      <c r="K12" s="43" t="s">
        <v>103</v>
      </c>
      <c r="L12" s="44" t="s">
        <v>104</v>
      </c>
      <c r="M12" s="45" t="s">
        <v>105</v>
      </c>
    </row>
    <row r="13" spans="2:17" ht="40.15" customHeight="1">
      <c r="B13" s="527" t="s">
        <v>2059</v>
      </c>
      <c r="C13" s="46" t="s">
        <v>2060</v>
      </c>
      <c r="D13" s="47">
        <f>SUMIFS('1028 4度C'!$K:$K,'1028 4度C'!$A:$A,"新豐6線",'1028 4度C'!$B:$B,"平均")</f>
        <v>125</v>
      </c>
      <c r="E13" s="48">
        <f>SUMIFS('1028 4度C'!$K:$K,'1028 4度C'!$A:$A,"新豐2線",'1028 4度C'!$B:$B,"平均")</f>
        <v>81.081081081081081</v>
      </c>
      <c r="F13" s="49">
        <f>SUMIFS('1028 4度C'!$K:$K,'1028 4度C'!$A:$A,"新豐5線",'1028 4度C'!$B:$B,"平均")</f>
        <v>91.397849462365585</v>
      </c>
      <c r="G13" s="49">
        <f>SUMIFS('1028 4度C'!$K:$K,'1028 4度C'!$A:$A,"新豐7線",'1028 4度C'!$B:$B,"平均")</f>
        <v>123.71134020618555</v>
      </c>
      <c r="H13" s="49">
        <f>SUMIFS('1028 4度C'!$K:$K,'1028 4度C'!$A:$A,"新豐3線",'1028 4度C'!$B:$B,"平均")</f>
        <v>269.23076923076923</v>
      </c>
      <c r="I13" s="49">
        <f>SUMIFS('1028 4度C'!$K:$K,'1028 4度C'!$A:$A,"新豐1線",'1028 4度C'!$B:$B,"平均")</f>
        <v>115.85365853658537</v>
      </c>
      <c r="J13" s="50">
        <f>SUMIFS('1028 4度C'!$K:$K,'1028 4度C'!$A:$A,"新豐10線",'1028 4度C'!$B:$B,"平均")</f>
        <v>279.66101694915255</v>
      </c>
      <c r="K13" s="51">
        <f>SUMIFS('1028 4度C'!$K:$K,'1028 4度C'!$A:$A,"新豐8線",'1028 4度C'!$B:$B,"平均")</f>
        <v>135.48387096774192</v>
      </c>
      <c r="L13" s="52">
        <f>SUMIFS('1028 4度C'!$K:$K,'1028 4度C'!$A:$A,"新豐9線",'1028 4度C'!$B:$B,"平均")</f>
        <v>139.13043478260869</v>
      </c>
      <c r="M13" s="50">
        <f>SUMIFS('1028 4度C'!$K:$K,'1028 4度C'!$A:$A,"新豐4線",'1028 4度C'!$B:$B,"平均")</f>
        <v>138.72832369942196</v>
      </c>
    </row>
    <row r="14" spans="2:17" ht="39.6" customHeight="1">
      <c r="B14" s="528"/>
      <c r="C14" s="53" t="s">
        <v>2061</v>
      </c>
      <c r="D14" s="54">
        <f>SUMIFS('1028 4度C'!$N:$N,'1028 4度C'!$A:$A,"新豐6線",'1028 4度C'!$B:$B,"平均")</f>
        <v>119.79823373480089</v>
      </c>
      <c r="E14" s="55">
        <f>SUMIFS('1028 4度C'!$N:$N,'1028 4度C'!$A:$A,"新豐2線",'1028 4度C'!$B:$B,"平均")</f>
        <v>77.502027838162277</v>
      </c>
      <c r="F14" s="55">
        <f>SUMIFS('1028 4度C'!$N:$N,'1028 4度C'!$A:$A,"新豐5線",'1028 4度C'!$B:$B,"平均")</f>
        <v>87.344011364569369</v>
      </c>
      <c r="G14" s="55">
        <f>SUMIFS('1028 4度C'!$N:$N,'1028 4度C'!$A:$A,"新豐7線",'1028 4度C'!$B:$B,"平均")</f>
        <v>118.47331088831265</v>
      </c>
      <c r="H14" s="55">
        <f>SUMIFS('1028 4度C'!$N:$N,'1028 4度C'!$A:$A,"新豐3線",'1028 4度C'!$B:$B,"平均")</f>
        <v>257.51957796592853</v>
      </c>
      <c r="I14" s="55">
        <f>SUMIFS('1028 4度C'!$N:$N,'1028 4度C'!$A:$A,"新豐1線",'1028 4度C'!$B:$B,"平均")</f>
        <v>110.81849779616711</v>
      </c>
      <c r="J14" s="56">
        <f>SUMIFS('1028 4度C'!$N:$N,'1028 4度C'!$A:$A,"新豐10線",'1028 4度C'!$B:$B,"平均")</f>
        <v>267.4298556562685</v>
      </c>
      <c r="K14" s="57">
        <f>SUMIFS('1028 4度C'!$N:$N,'1028 4度C'!$A:$A,"新豐8線",'1028 4度C'!$B:$B,"平均")</f>
        <v>129.3962495180067</v>
      </c>
      <c r="L14" s="58">
        <f>SUMIFS('1028 4度C'!$N:$N,'1028 4度C'!$A:$A,"新豐9線",'1028 4度C'!$B:$B,"平均")</f>
        <v>132.83978449404395</v>
      </c>
      <c r="M14" s="56">
        <f>SUMIFS('1028 4度C'!$N:$N,'1028 4度C'!$A:$A,"新豐4線",'1028 4度C'!$B:$B,"平均")</f>
        <v>132.96774270890958</v>
      </c>
    </row>
    <row r="15" spans="2:17" ht="40.15" customHeight="1">
      <c r="B15" s="529"/>
      <c r="C15" s="59" t="s">
        <v>2062</v>
      </c>
      <c r="D15" s="60">
        <f t="shared" ref="D15:M15" si="0">D14/D13</f>
        <v>0.95838586987840713</v>
      </c>
      <c r="E15" s="61">
        <f t="shared" si="0"/>
        <v>0.95585834333733477</v>
      </c>
      <c r="F15" s="61">
        <f t="shared" si="0"/>
        <v>0.95564624198881787</v>
      </c>
      <c r="G15" s="61">
        <f t="shared" si="0"/>
        <v>0.95765926301386073</v>
      </c>
      <c r="H15" s="61">
        <f t="shared" si="0"/>
        <v>0.95650128958773462</v>
      </c>
      <c r="I15" s="61">
        <f t="shared" si="0"/>
        <v>0.95653861255638972</v>
      </c>
      <c r="J15" s="62">
        <f t="shared" si="0"/>
        <v>0.95626433234665698</v>
      </c>
      <c r="K15" s="60">
        <f t="shared" si="0"/>
        <v>0.95506755596624004</v>
      </c>
      <c r="L15" s="61">
        <f t="shared" si="0"/>
        <v>0.954785951050941</v>
      </c>
      <c r="M15" s="62">
        <f t="shared" si="0"/>
        <v>0.95847581202672327</v>
      </c>
    </row>
    <row r="16" spans="2:17" ht="17.25" customHeight="1">
      <c r="B16" s="530" t="s">
        <v>2063</v>
      </c>
      <c r="C16" s="63" t="s">
        <v>2064</v>
      </c>
      <c r="D16" s="284">
        <f>VLOOKUP("新豐6線",'1028 4度C'!$A:$T,19,0)</f>
        <v>0.70833333333333337</v>
      </c>
      <c r="E16" s="285">
        <f>VLOOKUP("新豐2線",'1028 4度C'!$A:$T,19,0)</f>
        <v>0.20833333333333334</v>
      </c>
      <c r="F16" s="285">
        <f>VLOOKUP("新豐5線",'1028 4度C'!$A:$T,19,0)</f>
        <v>0.125</v>
      </c>
      <c r="G16" s="285">
        <f>VLOOKUP("新豐7線",'1028 4度C'!$A:$T,19,0)</f>
        <v>0.20833333333333334</v>
      </c>
      <c r="H16" s="285">
        <f>VLOOKUP("新豐3線",'1028 4度C'!$A:$T,19,0)</f>
        <v>8.3333333333333329E-2</v>
      </c>
      <c r="I16" s="285">
        <f>VLOOKUP("新豐1線",'1028 4度C'!$A:$T,19,0)</f>
        <v>0.20833333333333334</v>
      </c>
      <c r="J16" s="286">
        <f>VLOOKUP("新豐10線",'1028 4度C'!$A:$T,19,0)</f>
        <v>0.20833333333333334</v>
      </c>
      <c r="K16" s="66">
        <f>VLOOKUP("新豐8線",'1028 4度C'!$A:$T,19,0)</f>
        <v>8.3333333333333329E-2</v>
      </c>
      <c r="L16" s="67">
        <f>VLOOKUP("新豐9線",'1028 4度C'!$A:$T,19,0)</f>
        <v>8.3333333333333329E-2</v>
      </c>
      <c r="M16" s="68">
        <f>VLOOKUP("新豐4線",'1028 4度C'!$A:$T,19,0)</f>
        <v>8.3333333333333329E-2</v>
      </c>
    </row>
    <row r="17" spans="2:13" ht="17.25" customHeight="1">
      <c r="B17" s="531"/>
      <c r="C17" s="63" t="s">
        <v>2065</v>
      </c>
      <c r="D17" s="66">
        <f>LOOKUP(2,1/(('1028 4度C'!$A:$A="新豐6線")*('1028 4度C'!$T:$T&lt;&gt;"")),'1028 4度C'!$T:$T)</f>
        <v>0.84375</v>
      </c>
      <c r="E17" s="285">
        <f>LOOKUP(2,1/(('1028 4度C'!$A:$A="新豐2線")*('1028 4度C'!$T:$T&lt;&gt;"")),'1028 4度C'!$T:$T)</f>
        <v>0.49375000000000002</v>
      </c>
      <c r="F17" s="285">
        <f>LOOKUP(2,1/(('1028 4度C'!$A:$A="新豐5線")*('1028 4度C'!$T:$T&lt;&gt;"")),'1028 4度C'!$T:$T)</f>
        <v>0.85416666666666663</v>
      </c>
      <c r="G17" s="285">
        <f>LOOKUP(2,1/(('1028 4度C'!$A:$A="新豐7線")*('1028 4度C'!$T:$T&lt;&gt;"")),'1028 4度C'!$T:$T)</f>
        <v>0.93611111111111112</v>
      </c>
      <c r="H17" s="285">
        <f>LOOKUP(2,1/(('1028 4度C'!$A:$A="新豐3線")*('1028 4度C'!$T:$T&lt;&gt;"")),'1028 4度C'!$T:$T)</f>
        <v>0.74583333333333302</v>
      </c>
      <c r="I17" s="285">
        <f>LOOKUP(2,1/(('1028 4度C'!$A:$A="新豐1線")*('1028 4度C'!$T:$T&lt;&gt;"")),'1028 4度C'!$T:$T)</f>
        <v>0.97986111111111107</v>
      </c>
      <c r="J17" s="286">
        <f>LOOKUP(2,1/(('1028 4度C'!$A:$A="新豐10線")*('1028 4度C'!$T:$T&lt;&gt;"")),'1028 4度C'!$T:$T)</f>
        <v>0.63124999999999987</v>
      </c>
      <c r="K17" s="284">
        <f>LOOKUP(2,1/(('1028 4度C'!$A:$A="新豐8線")*('1028 4度C'!$T:$T&lt;&gt;"")),'1028 4度C'!$T:$T)</f>
        <v>0.76388888888888884</v>
      </c>
      <c r="L17" s="285">
        <f>LOOKUP(2,1/(('1028 4度C'!$A:$A="新豐9線")*('1028 4度C'!$T:$T&lt;&gt;"")),'1028 4度C'!$T:$T)</f>
        <v>0.76597222222222217</v>
      </c>
      <c r="M17" s="286">
        <f>LOOKUP(2,1/(('1028 4度C'!$A:$A="新豐4線")*('1028 4度C'!$T:$T&lt;&gt;"")),'1028 4度C'!$T:$T)</f>
        <v>0.77361111111111092</v>
      </c>
    </row>
    <row r="18" spans="2:13" ht="17.25" customHeight="1">
      <c r="B18" s="509" t="s">
        <v>2066</v>
      </c>
      <c r="C18" s="510"/>
      <c r="D18" s="69">
        <f>SUMIFS('1028 4度C'!$I:$I,'1028 4度C'!$A:$A,"新豐6線",'1028 4度C'!$B:$B,"平均")</f>
        <v>16</v>
      </c>
      <c r="E18" s="70">
        <f>SUMIFS('1028 4度C'!$I:$I,'1028 4度C'!$A:$A,"新豐2線",'1028 4度C'!$B:$B,"平均")</f>
        <v>18.5</v>
      </c>
      <c r="F18" s="70">
        <f>SUMIFS('1028 4度C'!$I:$I,'1028 4度C'!$A:$A,"新豐5線",'1028 4度C'!$B:$B,"平均")</f>
        <v>18.600000000000001</v>
      </c>
      <c r="G18" s="70">
        <f>SUMIFS('1028 4度C'!$I:$I,'1028 4度C'!$A:$A,"新豐7線",'1028 4度C'!$B:$B,"平均")</f>
        <v>16.166666666666668</v>
      </c>
      <c r="H18" s="70">
        <f>SUMIFS('1028 4度C'!$I:$I,'1028 4度C'!$A:$A,"新豐3線",'1028 4度C'!$B:$B,"平均")</f>
        <v>10.4</v>
      </c>
      <c r="I18" s="70">
        <f>SUMIFS('1028 4度C'!$I:$I,'1028 4度C'!$A:$A,"新豐1線",'1028 4度C'!$B:$B,"平均")</f>
        <v>16.399999999999999</v>
      </c>
      <c r="J18" s="71">
        <f>SUMIFS('1028 4度C'!$I:$I,'1028 4度C'!$A:$A,"新豐10線",'1028 4度C'!$B:$B,"平均")</f>
        <v>9.8333333333333339</v>
      </c>
      <c r="K18" s="69">
        <f>SUMIFS('1028 4度C'!$I:$I,'1028 4度C'!$A:$A,"新豐8線",'1028 4度C'!$B:$B,"平均")</f>
        <v>17.714285714285715</v>
      </c>
      <c r="L18" s="70">
        <f>SUMIFS('1028 4度C'!$I:$I,'1028 4度C'!$A:$A,"新豐9線",'1028 4度C'!$B:$B,"平均")</f>
        <v>17.25</v>
      </c>
      <c r="M18" s="71">
        <f>SUMIFS('1028 4度C'!$I:$I,'1028 4度C'!$A:$A,"新豐4線",'1028 4度C'!$B:$B,"平均")</f>
        <v>17.3</v>
      </c>
    </row>
    <row r="19" spans="2:13" ht="17.25" customHeight="1">
      <c r="B19" s="509" t="s">
        <v>2067</v>
      </c>
      <c r="C19" s="510"/>
      <c r="D19" s="72" t="s">
        <v>109</v>
      </c>
      <c r="E19" s="73" t="s">
        <v>110</v>
      </c>
      <c r="F19" s="73" t="s">
        <v>2068</v>
      </c>
      <c r="G19" s="73" t="s">
        <v>2068</v>
      </c>
      <c r="H19" s="73" t="s">
        <v>111</v>
      </c>
      <c r="I19" s="73" t="s">
        <v>109</v>
      </c>
      <c r="J19" s="74" t="s">
        <v>111</v>
      </c>
      <c r="K19" s="72" t="s">
        <v>2069</v>
      </c>
      <c r="L19" s="73" t="s">
        <v>2069</v>
      </c>
      <c r="M19" s="74" t="s">
        <v>2069</v>
      </c>
    </row>
    <row r="20" spans="2:13" ht="17.25" customHeight="1">
      <c r="B20" s="509" t="s">
        <v>2070</v>
      </c>
      <c r="C20" s="510"/>
      <c r="D20" s="72"/>
      <c r="E20" s="73"/>
      <c r="F20" s="73" t="s">
        <v>2071</v>
      </c>
      <c r="G20" s="73" t="s">
        <v>109</v>
      </c>
      <c r="H20" s="73"/>
      <c r="I20" s="73"/>
      <c r="J20" s="74"/>
      <c r="K20" s="72"/>
      <c r="L20" s="73"/>
      <c r="M20" s="74"/>
    </row>
    <row r="21" spans="2:13" ht="17.25" customHeight="1" thickBot="1">
      <c r="B21" s="511" t="s">
        <v>2072</v>
      </c>
      <c r="C21" s="512"/>
      <c r="D21" s="75"/>
      <c r="E21" s="76" t="s">
        <v>2073</v>
      </c>
      <c r="F21" s="513" t="s">
        <v>2074</v>
      </c>
      <c r="G21" s="514"/>
      <c r="H21" s="76" t="s">
        <v>2075</v>
      </c>
      <c r="I21" s="76" t="s">
        <v>2076</v>
      </c>
      <c r="J21" s="77" t="s">
        <v>2075</v>
      </c>
      <c r="K21" s="78"/>
      <c r="L21" s="76"/>
      <c r="M21" s="77"/>
    </row>
    <row r="22" spans="2:13" ht="17.25" customHeight="1"/>
    <row r="23" spans="2:13" ht="17.25" customHeight="1"/>
    <row r="24" spans="2:13" ht="17.25" customHeight="1"/>
    <row r="25" spans="2:13" ht="37.5" customHeight="1"/>
    <row r="26" spans="2:13" ht="35.25" customHeight="1"/>
    <row r="27" spans="2:13" ht="35.25" customHeight="1"/>
    <row r="28" spans="2:13" ht="39.75" customHeight="1"/>
  </sheetData>
  <mergeCells count="36">
    <mergeCell ref="B20:C20"/>
    <mergeCell ref="B21:C21"/>
    <mergeCell ref="F21:G21"/>
    <mergeCell ref="K10:M10"/>
    <mergeCell ref="B11:C12"/>
    <mergeCell ref="B13:B15"/>
    <mergeCell ref="B18:C18"/>
    <mergeCell ref="B19:C19"/>
    <mergeCell ref="I6:J6"/>
    <mergeCell ref="B16:B17"/>
    <mergeCell ref="C7:D7"/>
    <mergeCell ref="E7:F7"/>
    <mergeCell ref="G7:H7"/>
    <mergeCell ref="I7:J7"/>
    <mergeCell ref="C8:D8"/>
    <mergeCell ref="E8:F8"/>
    <mergeCell ref="G8:H8"/>
    <mergeCell ref="I8:J8"/>
    <mergeCell ref="B10:C10"/>
    <mergeCell ref="D10:J10"/>
    <mergeCell ref="B1:J2"/>
    <mergeCell ref="C3:D3"/>
    <mergeCell ref="F3:G3"/>
    <mergeCell ref="I3:J3"/>
    <mergeCell ref="B4:B8"/>
    <mergeCell ref="C4:D4"/>
    <mergeCell ref="E4:F4"/>
    <mergeCell ref="G4:H4"/>
    <mergeCell ref="I4:J4"/>
    <mergeCell ref="C5:D5"/>
    <mergeCell ref="E5:F5"/>
    <mergeCell ref="G5:H5"/>
    <mergeCell ref="I5:J5"/>
    <mergeCell ref="C6:D6"/>
    <mergeCell ref="E6:F6"/>
    <mergeCell ref="G6:H6"/>
  </mergeCells>
  <phoneticPr fontId="3" type="noConversion"/>
  <conditionalFormatting sqref="D15:M15">
    <cfRule type="cellIs" dxfId="1772" priority="1" operator="lessThan">
      <formula>0.8</formula>
    </cfRule>
  </conditionalFormatting>
  <pageMargins left="0.7" right="0.7" top="0.75" bottom="0.75" header="0.3" footer="0.3"/>
  <pageSetup paperSize="9" orientation="portrait" horizontalDpi="300" verticalDpi="300"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工作表7">
    <pageSetUpPr fitToPage="1"/>
  </sheetPr>
  <dimension ref="A1:AC77"/>
  <sheetViews>
    <sheetView zoomScale="80" zoomScaleNormal="80" workbookViewId="0">
      <pane ySplit="4" topLeftCell="A5" activePane="bottomLeft" state="frozen"/>
      <selection activeCell="A9" sqref="A9"/>
      <selection pane="bottomLeft" activeCell="A3" sqref="A3:A4"/>
    </sheetView>
  </sheetViews>
  <sheetFormatPr defaultColWidth="8" defaultRowHeight="15.75"/>
  <cols>
    <col min="1" max="1" width="15.125" style="291" customWidth="1"/>
    <col min="2" max="2" width="19.375" style="291" customWidth="1"/>
    <col min="3" max="3" width="15.25" style="291" customWidth="1"/>
    <col min="4" max="4" width="17.5" style="291" customWidth="1"/>
    <col min="5" max="5" width="7.5" style="291" bestFit="1" customWidth="1"/>
    <col min="6" max="6" width="14.375" style="291" bestFit="1" customWidth="1"/>
    <col min="7" max="7" width="14.375" style="291" customWidth="1"/>
    <col min="8" max="8" width="8" style="291" customWidth="1"/>
    <col min="9" max="9" width="5.875" style="291" customWidth="1"/>
    <col min="10" max="10" width="10.625" style="291" customWidth="1"/>
    <col min="11" max="11" width="14.625" style="291" customWidth="1"/>
    <col min="12" max="12" width="7.25" style="291" bestFit="1" customWidth="1"/>
    <col min="13" max="13" width="8" style="291" customWidth="1"/>
    <col min="14" max="14" width="12" style="291" customWidth="1"/>
    <col min="15" max="15" width="6" style="291" customWidth="1"/>
    <col min="16" max="16" width="9.25" style="291" customWidth="1"/>
    <col min="17" max="17" width="11.5" style="291" customWidth="1"/>
    <col min="18" max="18" width="8.5" style="291" customWidth="1"/>
    <col min="19" max="19" width="10.125" style="291" bestFit="1" customWidth="1"/>
    <col min="20" max="20" width="7.625" style="291" bestFit="1" customWidth="1"/>
    <col min="21" max="21" width="10.25" style="291" bestFit="1" customWidth="1"/>
    <col min="22" max="22" width="8.75" style="325" customWidth="1"/>
    <col min="23" max="23" width="7.375" style="291" customWidth="1"/>
    <col min="24" max="24" width="6.875" style="291" bestFit="1" customWidth="1"/>
    <col min="25" max="25" width="12.75" style="291" customWidth="1"/>
    <col min="26" max="26" width="18.875" style="291" customWidth="1"/>
    <col min="27" max="27" width="13.125" style="291" bestFit="1" customWidth="1"/>
    <col min="28" max="28" width="10.375" style="291" customWidth="1"/>
    <col min="29" max="29" width="9.375" style="291" customWidth="1"/>
    <col min="30" max="30" width="8" style="291"/>
    <col min="31" max="31" width="24.625" style="291" bestFit="1" customWidth="1"/>
    <col min="32" max="16384" width="8" style="291"/>
  </cols>
  <sheetData>
    <row r="1" spans="1:29" ht="26.25" customHeight="1">
      <c r="A1" s="287" t="s">
        <v>2077</v>
      </c>
      <c r="B1" s="287"/>
      <c r="C1" s="288" t="s">
        <v>2078</v>
      </c>
      <c r="D1" s="289">
        <f>SUM(F5:F76)</f>
        <v>218719</v>
      </c>
      <c r="E1" s="457" t="s">
        <v>2079</v>
      </c>
      <c r="F1" s="287">
        <f>SUM(G5:G76)</f>
        <v>7298224.8100000005</v>
      </c>
      <c r="G1" s="287" t="s">
        <v>2080</v>
      </c>
      <c r="H1" s="290">
        <f>L8+L11+L52+L58+L17+L65+L32+L41+L24+L76</f>
        <v>158.16428571428571</v>
      </c>
      <c r="I1" s="611" t="s">
        <v>2081</v>
      </c>
      <c r="J1" s="611"/>
      <c r="K1" s="611"/>
      <c r="L1" s="611" t="s">
        <v>2082</v>
      </c>
      <c r="M1" s="611"/>
      <c r="N1" s="611"/>
      <c r="O1" s="611" t="s">
        <v>2083</v>
      </c>
      <c r="P1" s="611"/>
      <c r="Q1" s="611"/>
      <c r="R1" s="611"/>
      <c r="S1" s="611" t="s">
        <v>2084</v>
      </c>
      <c r="T1" s="611"/>
      <c r="U1" s="611"/>
      <c r="V1" s="611"/>
      <c r="W1" s="611"/>
      <c r="X1" s="611"/>
      <c r="Y1" s="611" t="s">
        <v>0</v>
      </c>
      <c r="Z1" s="611"/>
      <c r="AA1" s="611" t="s">
        <v>2085</v>
      </c>
      <c r="AB1" s="612"/>
      <c r="AC1" s="612"/>
    </row>
    <row r="2" spans="1:29" ht="26.25" customHeight="1">
      <c r="A2" s="292">
        <v>45958</v>
      </c>
      <c r="B2" s="293" t="s">
        <v>613</v>
      </c>
      <c r="C2" s="288" t="s">
        <v>1</v>
      </c>
      <c r="D2" s="294">
        <f>AVERAGE(N8,N11,N52,N58,N17,N65,N24,N32,N41,N76)</f>
        <v>143.40892919651694</v>
      </c>
      <c r="E2" s="295" t="s">
        <v>2</v>
      </c>
      <c r="F2" s="296">
        <f>F1/D1</f>
        <v>33.368042145401176</v>
      </c>
      <c r="G2" s="287" t="s">
        <v>2086</v>
      </c>
      <c r="H2" s="467">
        <f>COUNT(H5:H76)</f>
        <v>13</v>
      </c>
      <c r="I2" s="611"/>
      <c r="J2" s="611"/>
      <c r="K2" s="611"/>
      <c r="L2" s="611"/>
      <c r="M2" s="611"/>
      <c r="N2" s="611"/>
      <c r="O2" s="611"/>
      <c r="P2" s="611"/>
      <c r="Q2" s="611"/>
      <c r="R2" s="611"/>
      <c r="S2" s="611"/>
      <c r="T2" s="611"/>
      <c r="U2" s="611"/>
      <c r="V2" s="611"/>
      <c r="W2" s="611"/>
      <c r="X2" s="611"/>
      <c r="Y2" s="611"/>
      <c r="Z2" s="611"/>
      <c r="AA2" s="612"/>
      <c r="AB2" s="612"/>
      <c r="AC2" s="612"/>
    </row>
    <row r="3" spans="1:29" ht="23.25" customHeight="1">
      <c r="A3" s="570" t="s">
        <v>2087</v>
      </c>
      <c r="B3" s="570" t="s">
        <v>2088</v>
      </c>
      <c r="C3" s="570" t="s">
        <v>2089</v>
      </c>
      <c r="D3" s="570"/>
      <c r="E3" s="609" t="s">
        <v>2090</v>
      </c>
      <c r="F3" s="570" t="s">
        <v>2091</v>
      </c>
      <c r="G3" s="609" t="s">
        <v>2092</v>
      </c>
      <c r="H3" s="602" t="s">
        <v>2093</v>
      </c>
      <c r="I3" s="600" t="s">
        <v>2094</v>
      </c>
      <c r="J3" s="605" t="s">
        <v>2095</v>
      </c>
      <c r="K3" s="607" t="s">
        <v>2059</v>
      </c>
      <c r="L3" s="600" t="s">
        <v>10</v>
      </c>
      <c r="M3" s="605" t="s">
        <v>2096</v>
      </c>
      <c r="N3" s="607" t="s">
        <v>2059</v>
      </c>
      <c r="O3" s="600" t="s">
        <v>2097</v>
      </c>
      <c r="P3" s="607" t="s">
        <v>2059</v>
      </c>
      <c r="Q3" s="606" t="s">
        <v>2098</v>
      </c>
      <c r="R3" s="578" t="s">
        <v>13</v>
      </c>
      <c r="S3" s="570" t="s">
        <v>14</v>
      </c>
      <c r="T3" s="570"/>
      <c r="U3" s="602" t="s">
        <v>15</v>
      </c>
      <c r="V3" s="602" t="s">
        <v>2099</v>
      </c>
      <c r="W3" s="570" t="s">
        <v>2100</v>
      </c>
      <c r="X3" s="570"/>
      <c r="Y3" s="603" t="s">
        <v>2101</v>
      </c>
      <c r="Z3" s="604"/>
      <c r="AA3" s="605" t="s">
        <v>2102</v>
      </c>
      <c r="AB3" s="606" t="s">
        <v>12</v>
      </c>
      <c r="AC3" s="578" t="s">
        <v>2103</v>
      </c>
    </row>
    <row r="4" spans="1:29">
      <c r="A4" s="570"/>
      <c r="B4" s="570"/>
      <c r="C4" s="570"/>
      <c r="D4" s="570"/>
      <c r="E4" s="610"/>
      <c r="F4" s="570"/>
      <c r="G4" s="610"/>
      <c r="H4" s="602"/>
      <c r="I4" s="600"/>
      <c r="J4" s="605"/>
      <c r="K4" s="607"/>
      <c r="L4" s="600"/>
      <c r="M4" s="605"/>
      <c r="N4" s="607"/>
      <c r="O4" s="600"/>
      <c r="P4" s="607"/>
      <c r="Q4" s="606"/>
      <c r="R4" s="578"/>
      <c r="S4" s="457" t="s">
        <v>18</v>
      </c>
      <c r="T4" s="457" t="s">
        <v>19</v>
      </c>
      <c r="U4" s="602"/>
      <c r="V4" s="602"/>
      <c r="W4" s="457" t="s">
        <v>2104</v>
      </c>
      <c r="X4" s="457" t="s">
        <v>2105</v>
      </c>
      <c r="Y4" s="604"/>
      <c r="Z4" s="604"/>
      <c r="AA4" s="605"/>
      <c r="AB4" s="606"/>
      <c r="AC4" s="578"/>
    </row>
    <row r="5" spans="1:29">
      <c r="A5" s="599" t="s">
        <v>2106</v>
      </c>
      <c r="B5" s="300" t="s">
        <v>36</v>
      </c>
      <c r="C5" s="601" t="s">
        <v>37</v>
      </c>
      <c r="D5" s="601"/>
      <c r="E5" s="300">
        <v>46.93</v>
      </c>
      <c r="F5" s="466">
        <v>1180</v>
      </c>
      <c r="G5" s="457">
        <f t="shared" ref="G5:G7" si="0">E5*F5</f>
        <v>55377.4</v>
      </c>
      <c r="H5" s="468" t="s">
        <v>35</v>
      </c>
      <c r="I5" s="464">
        <v>16</v>
      </c>
      <c r="J5" s="303">
        <v>2000</v>
      </c>
      <c r="K5" s="304">
        <f t="shared" ref="K5:K68" si="1">J5/I5</f>
        <v>125</v>
      </c>
      <c r="L5" s="464">
        <v>16</v>
      </c>
      <c r="M5" s="305">
        <f t="shared" ref="M5:M7" si="2">F5/V5*60</f>
        <v>1913.513513513512</v>
      </c>
      <c r="N5" s="304">
        <f t="shared" ref="N5:N68" si="3">M5/L5</f>
        <v>119.5945945945945</v>
      </c>
      <c r="O5" s="306">
        <f t="shared" ref="O5:O68" si="4">L5-I5</f>
        <v>0</v>
      </c>
      <c r="P5" s="307">
        <f t="shared" ref="P5:P68" si="5">N5-K5</f>
        <v>-5.405405405405503</v>
      </c>
      <c r="Q5" s="460">
        <f t="shared" ref="Q5:Q68" si="6">N5/K5</f>
        <v>0.95675675675675598</v>
      </c>
      <c r="R5" s="571">
        <f>Q8</f>
        <v>0.95838586987840713</v>
      </c>
      <c r="S5" s="308">
        <v>0.70833333333333337</v>
      </c>
      <c r="T5" s="308">
        <v>0.73402777777777783</v>
      </c>
      <c r="U5" s="457"/>
      <c r="V5" s="465">
        <f t="shared" ref="V5:V7" si="7">(T5-S5)*24*60</f>
        <v>37.000000000000028</v>
      </c>
      <c r="W5" s="310"/>
      <c r="X5" s="311"/>
      <c r="Y5" s="570"/>
      <c r="Z5" s="570"/>
      <c r="AA5" s="306">
        <f t="shared" ref="AA5:AA68" si="8">M5-J5</f>
        <v>-86.486486486488047</v>
      </c>
      <c r="AB5" s="460">
        <f t="shared" ref="AB5:AB68" si="9">M5/J5</f>
        <v>0.95675675675675598</v>
      </c>
      <c r="AC5" s="571">
        <f>AB8</f>
        <v>0.95838586987840713</v>
      </c>
    </row>
    <row r="6" spans="1:29">
      <c r="A6" s="600" t="s">
        <v>21</v>
      </c>
      <c r="B6" s="300" t="s">
        <v>36</v>
      </c>
      <c r="C6" s="601" t="s">
        <v>38</v>
      </c>
      <c r="D6" s="601"/>
      <c r="E6" s="300">
        <v>50.49</v>
      </c>
      <c r="F6" s="466">
        <v>2453</v>
      </c>
      <c r="G6" s="457">
        <f t="shared" si="0"/>
        <v>123851.97</v>
      </c>
      <c r="H6" s="468" t="s">
        <v>35</v>
      </c>
      <c r="I6" s="464">
        <v>15</v>
      </c>
      <c r="J6" s="303">
        <v>2000</v>
      </c>
      <c r="K6" s="304">
        <f t="shared" si="1"/>
        <v>133.33333333333334</v>
      </c>
      <c r="L6" s="464">
        <v>15</v>
      </c>
      <c r="M6" s="305">
        <f t="shared" si="2"/>
        <v>1911.4285714285704</v>
      </c>
      <c r="N6" s="304">
        <f t="shared" si="3"/>
        <v>127.42857142857136</v>
      </c>
      <c r="O6" s="306">
        <f t="shared" si="4"/>
        <v>0</v>
      </c>
      <c r="P6" s="307">
        <f t="shared" si="5"/>
        <v>-5.9047619047619833</v>
      </c>
      <c r="Q6" s="460">
        <f t="shared" si="6"/>
        <v>0.95571428571428518</v>
      </c>
      <c r="R6" s="571"/>
      <c r="S6" s="308">
        <v>0.73888888888888893</v>
      </c>
      <c r="T6" s="308">
        <v>0.79236111111111118</v>
      </c>
      <c r="U6" s="457">
        <f t="shared" ref="U6:U7" si="10">IF(S6=TIME(17,0,0),"",(S6-T5)*24*60)</f>
        <v>6.9999999999999751</v>
      </c>
      <c r="V6" s="465">
        <f t="shared" si="7"/>
        <v>77.000000000000043</v>
      </c>
      <c r="W6" s="310"/>
      <c r="X6" s="310"/>
      <c r="Y6" s="570"/>
      <c r="Z6" s="570"/>
      <c r="AA6" s="306">
        <f t="shared" si="8"/>
        <v>-88.571428571429578</v>
      </c>
      <c r="AB6" s="460">
        <f t="shared" si="9"/>
        <v>0.95571428571428518</v>
      </c>
      <c r="AC6" s="571"/>
    </row>
    <row r="7" spans="1:29">
      <c r="A7" s="600" t="s">
        <v>21</v>
      </c>
      <c r="B7" s="300" t="s">
        <v>36</v>
      </c>
      <c r="C7" s="594" t="s">
        <v>39</v>
      </c>
      <c r="D7" s="595"/>
      <c r="E7" s="300">
        <v>50.67</v>
      </c>
      <c r="F7" s="466">
        <v>2150</v>
      </c>
      <c r="G7" s="457">
        <f t="shared" si="0"/>
        <v>108940.5</v>
      </c>
      <c r="H7" s="468" t="s">
        <v>35</v>
      </c>
      <c r="I7" s="464">
        <v>17</v>
      </c>
      <c r="J7" s="303">
        <v>2000</v>
      </c>
      <c r="K7" s="304">
        <f t="shared" si="1"/>
        <v>117.64705882352941</v>
      </c>
      <c r="L7" s="464">
        <v>17</v>
      </c>
      <c r="M7" s="305">
        <f t="shared" si="2"/>
        <v>1925.3731343283609</v>
      </c>
      <c r="N7" s="304">
        <f t="shared" si="3"/>
        <v>113.25724319578593</v>
      </c>
      <c r="O7" s="306">
        <f t="shared" si="4"/>
        <v>0</v>
      </c>
      <c r="P7" s="307">
        <f t="shared" si="5"/>
        <v>-4.3898156277434737</v>
      </c>
      <c r="Q7" s="460">
        <f t="shared" si="6"/>
        <v>0.96268656716418044</v>
      </c>
      <c r="R7" s="571"/>
      <c r="S7" s="308">
        <v>0.79722222222222228</v>
      </c>
      <c r="T7" s="308">
        <v>0.84375</v>
      </c>
      <c r="U7" s="457">
        <f t="shared" si="10"/>
        <v>6.9999999999999751</v>
      </c>
      <c r="V7" s="465">
        <f t="shared" si="7"/>
        <v>66.999999999999915</v>
      </c>
      <c r="W7" s="310"/>
      <c r="X7" s="310"/>
      <c r="Y7" s="566"/>
      <c r="Z7" s="567"/>
      <c r="AA7" s="306">
        <f t="shared" si="8"/>
        <v>-74.626865671639052</v>
      </c>
      <c r="AB7" s="460">
        <f t="shared" si="9"/>
        <v>0.96268656716418044</v>
      </c>
      <c r="AC7" s="571"/>
    </row>
    <row r="8" spans="1:29">
      <c r="A8" s="600" t="s">
        <v>2107</v>
      </c>
      <c r="B8" s="300" t="s">
        <v>2108</v>
      </c>
      <c r="C8" s="572"/>
      <c r="D8" s="572"/>
      <c r="E8" s="461"/>
      <c r="F8" s="313"/>
      <c r="G8" s="304"/>
      <c r="H8" s="466"/>
      <c r="I8" s="314">
        <v>16</v>
      </c>
      <c r="J8" s="303">
        <v>2000</v>
      </c>
      <c r="K8" s="304">
        <f t="shared" si="1"/>
        <v>125</v>
      </c>
      <c r="L8" s="314">
        <v>16</v>
      </c>
      <c r="M8" s="305">
        <f>AVERAGE(M5:M7)</f>
        <v>1916.7717397568142</v>
      </c>
      <c r="N8" s="304">
        <f t="shared" si="3"/>
        <v>119.79823373480089</v>
      </c>
      <c r="O8" s="306">
        <f t="shared" si="4"/>
        <v>0</v>
      </c>
      <c r="P8" s="307">
        <f t="shared" si="5"/>
        <v>-5.2017662651991117</v>
      </c>
      <c r="Q8" s="460">
        <f t="shared" si="6"/>
        <v>0.95838586987840713</v>
      </c>
      <c r="R8" s="571"/>
      <c r="S8" s="308"/>
      <c r="T8" s="308"/>
      <c r="U8" s="457"/>
      <c r="V8" s="465"/>
      <c r="W8" s="304"/>
      <c r="X8" s="304"/>
      <c r="Y8" s="570"/>
      <c r="Z8" s="570"/>
      <c r="AA8" s="306">
        <f t="shared" si="8"/>
        <v>-83.228260243185787</v>
      </c>
      <c r="AB8" s="460">
        <f t="shared" si="9"/>
        <v>0.95838586987840713</v>
      </c>
      <c r="AC8" s="571"/>
    </row>
    <row r="9" spans="1:29" ht="15.75" customHeight="1">
      <c r="A9" s="598" t="s">
        <v>2109</v>
      </c>
      <c r="B9" s="300" t="s">
        <v>40</v>
      </c>
      <c r="C9" s="594" t="s">
        <v>42</v>
      </c>
      <c r="D9" s="595"/>
      <c r="E9" s="300">
        <v>39.36</v>
      </c>
      <c r="F9" s="466">
        <v>2349</v>
      </c>
      <c r="G9" s="457">
        <f t="shared" ref="G9:G10" si="11">E9*F9</f>
        <v>92456.639999999999</v>
      </c>
      <c r="H9" s="468" t="s">
        <v>35</v>
      </c>
      <c r="I9" s="464">
        <v>20</v>
      </c>
      <c r="J9" s="303">
        <v>1500</v>
      </c>
      <c r="K9" s="304">
        <f t="shared" si="1"/>
        <v>75</v>
      </c>
      <c r="L9" s="464">
        <v>20</v>
      </c>
      <c r="M9" s="305">
        <f t="shared" ref="M9:M10" si="12">F9/V9*60</f>
        <v>1438.1632653061222</v>
      </c>
      <c r="N9" s="304">
        <f t="shared" si="3"/>
        <v>71.908163265306115</v>
      </c>
      <c r="O9" s="306">
        <f t="shared" si="4"/>
        <v>0</v>
      </c>
      <c r="P9" s="307">
        <f t="shared" si="5"/>
        <v>-3.0918367346938851</v>
      </c>
      <c r="Q9" s="460">
        <f t="shared" si="6"/>
        <v>0.95877551020408158</v>
      </c>
      <c r="R9" s="571">
        <f>Q11</f>
        <v>0.95585834333733477</v>
      </c>
      <c r="S9" s="308">
        <v>0.20833333333333334</v>
      </c>
      <c r="T9" s="308">
        <v>0.27638888888888891</v>
      </c>
      <c r="U9" s="457"/>
      <c r="V9" s="465">
        <f t="shared" ref="V9:V10" si="13">(T9-S9)*24*60</f>
        <v>98.000000000000014</v>
      </c>
      <c r="W9" s="310"/>
      <c r="X9" s="310"/>
      <c r="Y9" s="570"/>
      <c r="Z9" s="570"/>
      <c r="AA9" s="306">
        <f t="shared" si="8"/>
        <v>-61.836734693877816</v>
      </c>
      <c r="AB9" s="460">
        <f t="shared" si="9"/>
        <v>0.95877551020408147</v>
      </c>
      <c r="AC9" s="571">
        <f>AB11</f>
        <v>0.95585834333733477</v>
      </c>
    </row>
    <row r="10" spans="1:29" ht="15.75" customHeight="1">
      <c r="A10" s="598" t="s">
        <v>2110</v>
      </c>
      <c r="B10" s="300" t="s">
        <v>40</v>
      </c>
      <c r="C10" s="594" t="s">
        <v>41</v>
      </c>
      <c r="D10" s="595"/>
      <c r="E10" s="300">
        <v>39.799999999999997</v>
      </c>
      <c r="F10" s="466">
        <v>7290</v>
      </c>
      <c r="G10" s="457">
        <f t="shared" si="11"/>
        <v>290142</v>
      </c>
      <c r="H10" s="468" t="s">
        <v>35</v>
      </c>
      <c r="I10" s="464">
        <v>17</v>
      </c>
      <c r="J10" s="303">
        <v>1500</v>
      </c>
      <c r="K10" s="304">
        <f t="shared" si="1"/>
        <v>88.235294117647058</v>
      </c>
      <c r="L10" s="464">
        <v>17</v>
      </c>
      <c r="M10" s="305">
        <f t="shared" si="12"/>
        <v>1429.4117647058822</v>
      </c>
      <c r="N10" s="304">
        <f t="shared" si="3"/>
        <v>84.083044982698951</v>
      </c>
      <c r="O10" s="306">
        <f t="shared" si="4"/>
        <v>0</v>
      </c>
      <c r="P10" s="307">
        <f t="shared" si="5"/>
        <v>-4.1522491349481072</v>
      </c>
      <c r="Q10" s="460">
        <f t="shared" si="6"/>
        <v>0.95294117647058807</v>
      </c>
      <c r="R10" s="571"/>
      <c r="S10" s="308">
        <v>0.28125</v>
      </c>
      <c r="T10" s="308">
        <v>0.49375000000000002</v>
      </c>
      <c r="U10" s="457">
        <f t="shared" ref="U10" si="14">IF(S10=TIME(17,0,0),"",(S10-T9)*24*60)</f>
        <v>6.9999999999999751</v>
      </c>
      <c r="V10" s="465">
        <f t="shared" si="13"/>
        <v>306.00000000000006</v>
      </c>
      <c r="W10" s="310"/>
      <c r="X10" s="310"/>
      <c r="Y10" s="570"/>
      <c r="Z10" s="570"/>
      <c r="AA10" s="306">
        <f t="shared" si="8"/>
        <v>-70.588235294117794</v>
      </c>
      <c r="AB10" s="460">
        <f t="shared" si="9"/>
        <v>0.95294117647058818</v>
      </c>
      <c r="AC10" s="571"/>
    </row>
    <row r="11" spans="1:29" ht="16.5" customHeight="1">
      <c r="A11" s="598" t="s">
        <v>818</v>
      </c>
      <c r="B11" s="300" t="s">
        <v>22</v>
      </c>
      <c r="C11" s="572"/>
      <c r="D11" s="572"/>
      <c r="E11" s="461"/>
      <c r="F11" s="303"/>
      <c r="G11" s="305"/>
      <c r="H11" s="466"/>
      <c r="I11" s="314">
        <v>18.5</v>
      </c>
      <c r="J11" s="303">
        <v>1500</v>
      </c>
      <c r="K11" s="304">
        <f t="shared" si="1"/>
        <v>81.081081081081081</v>
      </c>
      <c r="L11" s="314">
        <v>18.5</v>
      </c>
      <c r="M11" s="305">
        <f>AVERAGE(M9:M10)</f>
        <v>1433.7875150060022</v>
      </c>
      <c r="N11" s="304">
        <f t="shared" si="3"/>
        <v>77.502027838162277</v>
      </c>
      <c r="O11" s="306">
        <f t="shared" si="4"/>
        <v>0</v>
      </c>
      <c r="P11" s="307">
        <f t="shared" si="5"/>
        <v>-3.5790532429188033</v>
      </c>
      <c r="Q11" s="460">
        <f t="shared" si="6"/>
        <v>0.95585834333733477</v>
      </c>
      <c r="R11" s="571"/>
      <c r="S11" s="308"/>
      <c r="T11" s="308"/>
      <c r="U11" s="304"/>
      <c r="V11" s="465"/>
      <c r="W11" s="304"/>
      <c r="X11" s="304"/>
      <c r="Y11" s="570"/>
      <c r="Z11" s="570"/>
      <c r="AA11" s="306">
        <f t="shared" si="8"/>
        <v>-66.212484993997805</v>
      </c>
      <c r="AB11" s="460">
        <f t="shared" si="9"/>
        <v>0.95585834333733477</v>
      </c>
      <c r="AC11" s="571"/>
    </row>
    <row r="12" spans="1:29" ht="16.5" customHeight="1">
      <c r="A12" s="596" t="s">
        <v>24</v>
      </c>
      <c r="B12" s="466" t="s">
        <v>43</v>
      </c>
      <c r="C12" s="590" t="s">
        <v>44</v>
      </c>
      <c r="D12" s="590"/>
      <c r="E12" s="300">
        <v>41</v>
      </c>
      <c r="F12" s="466">
        <v>2674</v>
      </c>
      <c r="G12" s="457">
        <f t="shared" ref="G12:G16" si="15">E12*F12</f>
        <v>109634</v>
      </c>
      <c r="H12" s="468" t="s">
        <v>35</v>
      </c>
      <c r="I12" s="464">
        <v>26</v>
      </c>
      <c r="J12" s="303">
        <v>1500</v>
      </c>
      <c r="K12" s="304">
        <f t="shared" si="1"/>
        <v>57.692307692307693</v>
      </c>
      <c r="L12" s="464">
        <v>26</v>
      </c>
      <c r="M12" s="305">
        <f t="shared" ref="M12:M16" si="16">F12/V12*60</f>
        <v>1432.5</v>
      </c>
      <c r="N12" s="304">
        <f t="shared" si="3"/>
        <v>55.096153846153847</v>
      </c>
      <c r="O12" s="306">
        <f t="shared" si="4"/>
        <v>0</v>
      </c>
      <c r="P12" s="307">
        <f t="shared" si="5"/>
        <v>-2.5961538461538467</v>
      </c>
      <c r="Q12" s="460">
        <f t="shared" si="6"/>
        <v>0.95499999999999996</v>
      </c>
      <c r="R12" s="571">
        <f>Q17</f>
        <v>0.95564624198881787</v>
      </c>
      <c r="S12" s="308">
        <v>0.125</v>
      </c>
      <c r="T12" s="308">
        <v>0.20277777777777778</v>
      </c>
      <c r="U12" s="457"/>
      <c r="V12" s="465">
        <f t="shared" ref="V12:V16" si="17">(T12-S12)*24*60</f>
        <v>112</v>
      </c>
      <c r="W12" s="310">
        <f>T12</f>
        <v>0.20277777777777778</v>
      </c>
      <c r="X12" s="310">
        <f>S13</f>
        <v>0.2215277777777778</v>
      </c>
      <c r="Y12" s="570"/>
      <c r="Z12" s="570"/>
      <c r="AA12" s="306">
        <f t="shared" si="8"/>
        <v>-67.5</v>
      </c>
      <c r="AB12" s="460">
        <f t="shared" si="9"/>
        <v>0.95499999999999996</v>
      </c>
      <c r="AC12" s="571">
        <f>AB17</f>
        <v>0.95564624198881787</v>
      </c>
    </row>
    <row r="13" spans="1:29" ht="16.5" customHeight="1">
      <c r="A13" s="597" t="s">
        <v>2111</v>
      </c>
      <c r="B13" s="466" t="s">
        <v>40</v>
      </c>
      <c r="C13" s="590" t="s">
        <v>45</v>
      </c>
      <c r="D13" s="590"/>
      <c r="E13" s="300">
        <v>39.619999999999997</v>
      </c>
      <c r="F13" s="466">
        <v>4835</v>
      </c>
      <c r="G13" s="457">
        <f t="shared" si="15"/>
        <v>191562.69999999998</v>
      </c>
      <c r="H13" s="468" t="s">
        <v>35</v>
      </c>
      <c r="I13" s="464">
        <v>19</v>
      </c>
      <c r="J13" s="303">
        <v>1500</v>
      </c>
      <c r="K13" s="304">
        <f t="shared" si="1"/>
        <v>78.94736842105263</v>
      </c>
      <c r="L13" s="464">
        <v>19</v>
      </c>
      <c r="M13" s="305">
        <f t="shared" si="16"/>
        <v>1429.0640394088668</v>
      </c>
      <c r="N13" s="304">
        <f t="shared" si="3"/>
        <v>75.213896810992992</v>
      </c>
      <c r="O13" s="306">
        <f t="shared" si="4"/>
        <v>0</v>
      </c>
      <c r="P13" s="307">
        <f t="shared" si="5"/>
        <v>-3.7334716100596381</v>
      </c>
      <c r="Q13" s="460">
        <f t="shared" si="6"/>
        <v>0.9527093596059113</v>
      </c>
      <c r="R13" s="571"/>
      <c r="S13" s="308">
        <v>0.2215277777777778</v>
      </c>
      <c r="T13" s="308">
        <v>0.36250000000000004</v>
      </c>
      <c r="U13" s="457">
        <f t="shared" ref="U13:U16" si="18">IF(S13=TIME(17,0,0),"",(S13-T12)*24*60)</f>
        <v>27.000000000000025</v>
      </c>
      <c r="V13" s="465">
        <f t="shared" si="17"/>
        <v>203.00000000000003</v>
      </c>
      <c r="W13" s="310"/>
      <c r="X13" s="310"/>
      <c r="Y13" s="570"/>
      <c r="Z13" s="570"/>
      <c r="AA13" s="306">
        <f t="shared" si="8"/>
        <v>-70.935960591133153</v>
      </c>
      <c r="AB13" s="460">
        <f t="shared" si="9"/>
        <v>0.95270935960591119</v>
      </c>
      <c r="AC13" s="571"/>
    </row>
    <row r="14" spans="1:29" ht="16.5" customHeight="1">
      <c r="A14" s="597" t="s">
        <v>2111</v>
      </c>
      <c r="B14" s="466" t="s">
        <v>1182</v>
      </c>
      <c r="C14" s="590" t="s">
        <v>1041</v>
      </c>
      <c r="D14" s="590"/>
      <c r="E14" s="300">
        <v>57.3</v>
      </c>
      <c r="F14" s="466">
        <v>1819</v>
      </c>
      <c r="G14" s="457">
        <f t="shared" si="15"/>
        <v>104228.7</v>
      </c>
      <c r="H14" s="468" t="s">
        <v>35</v>
      </c>
      <c r="I14" s="464">
        <v>17</v>
      </c>
      <c r="J14" s="303">
        <v>1500</v>
      </c>
      <c r="K14" s="304">
        <f t="shared" si="1"/>
        <v>88.235294117647058</v>
      </c>
      <c r="L14" s="464">
        <v>17</v>
      </c>
      <c r="M14" s="305">
        <f t="shared" si="16"/>
        <v>1436.052631578948</v>
      </c>
      <c r="N14" s="304">
        <f t="shared" si="3"/>
        <v>84.473684210526358</v>
      </c>
      <c r="O14" s="306">
        <f t="shared" si="4"/>
        <v>0</v>
      </c>
      <c r="P14" s="307">
        <f t="shared" si="5"/>
        <v>-3.7616099071207003</v>
      </c>
      <c r="Q14" s="460">
        <f t="shared" si="6"/>
        <v>0.95736842105263209</v>
      </c>
      <c r="R14" s="571"/>
      <c r="S14" s="308">
        <v>0.3666666666666667</v>
      </c>
      <c r="T14" s="308">
        <v>0.41944444444444445</v>
      </c>
      <c r="U14" s="457">
        <f t="shared" si="18"/>
        <v>5.9999999999999787</v>
      </c>
      <c r="V14" s="465">
        <f t="shared" si="17"/>
        <v>75.999999999999972</v>
      </c>
      <c r="W14" s="310"/>
      <c r="X14" s="310"/>
      <c r="Y14" s="570"/>
      <c r="Z14" s="570"/>
      <c r="AA14" s="306">
        <f t="shared" si="8"/>
        <v>-63.947368421052033</v>
      </c>
      <c r="AB14" s="460">
        <f t="shared" si="9"/>
        <v>0.95736842105263198</v>
      </c>
      <c r="AC14" s="571"/>
    </row>
    <row r="15" spans="1:29" ht="16.5" customHeight="1">
      <c r="A15" s="597" t="s">
        <v>2111</v>
      </c>
      <c r="B15" s="466" t="s">
        <v>36</v>
      </c>
      <c r="C15" s="590" t="s">
        <v>49</v>
      </c>
      <c r="D15" s="590"/>
      <c r="E15" s="300">
        <v>50.98</v>
      </c>
      <c r="F15" s="466">
        <v>3095</v>
      </c>
      <c r="G15" s="457">
        <f t="shared" si="15"/>
        <v>157783.09999999998</v>
      </c>
      <c r="H15" s="468" t="s">
        <v>35</v>
      </c>
      <c r="I15" s="464">
        <v>16</v>
      </c>
      <c r="J15" s="303">
        <v>2000</v>
      </c>
      <c r="K15" s="304">
        <f t="shared" si="1"/>
        <v>125</v>
      </c>
      <c r="L15" s="464">
        <v>16</v>
      </c>
      <c r="M15" s="305">
        <f t="shared" si="16"/>
        <v>1914.4329896907223</v>
      </c>
      <c r="N15" s="304">
        <f t="shared" si="3"/>
        <v>119.65206185567014</v>
      </c>
      <c r="O15" s="306">
        <f t="shared" si="4"/>
        <v>0</v>
      </c>
      <c r="P15" s="307">
        <f t="shared" si="5"/>
        <v>-5.3479381443298593</v>
      </c>
      <c r="Q15" s="460">
        <f t="shared" si="6"/>
        <v>0.95721649484536109</v>
      </c>
      <c r="R15" s="571"/>
      <c r="S15" s="308">
        <v>0.70833333333333337</v>
      </c>
      <c r="T15" s="308">
        <v>0.77569444444444446</v>
      </c>
      <c r="U15" s="457" t="str">
        <f t="shared" si="18"/>
        <v/>
      </c>
      <c r="V15" s="465">
        <f t="shared" si="17"/>
        <v>96.999999999999972</v>
      </c>
      <c r="W15" s="310"/>
      <c r="X15" s="310"/>
      <c r="Y15" s="570"/>
      <c r="Z15" s="570"/>
      <c r="AA15" s="306">
        <f t="shared" si="8"/>
        <v>-85.567010309277748</v>
      </c>
      <c r="AB15" s="460">
        <f t="shared" si="9"/>
        <v>0.95721649484536109</v>
      </c>
      <c r="AC15" s="571"/>
    </row>
    <row r="16" spans="1:29" ht="16.5" customHeight="1">
      <c r="A16" s="597" t="s">
        <v>2111</v>
      </c>
      <c r="B16" s="466" t="s">
        <v>36</v>
      </c>
      <c r="C16" s="590" t="s">
        <v>50</v>
      </c>
      <c r="D16" s="590"/>
      <c r="E16" s="300">
        <v>50.92</v>
      </c>
      <c r="F16" s="466">
        <v>3376</v>
      </c>
      <c r="G16" s="457">
        <f t="shared" si="15"/>
        <v>171905.92000000001</v>
      </c>
      <c r="H16" s="468" t="s">
        <v>35</v>
      </c>
      <c r="I16" s="464">
        <v>15</v>
      </c>
      <c r="J16" s="303">
        <v>2000</v>
      </c>
      <c r="K16" s="304">
        <f t="shared" si="1"/>
        <v>133.33333333333334</v>
      </c>
      <c r="L16" s="464">
        <v>15</v>
      </c>
      <c r="M16" s="305">
        <f t="shared" si="16"/>
        <v>1910.9433962264161</v>
      </c>
      <c r="N16" s="304">
        <f t="shared" si="3"/>
        <v>127.3962264150944</v>
      </c>
      <c r="O16" s="306">
        <f t="shared" si="4"/>
        <v>0</v>
      </c>
      <c r="P16" s="307">
        <f t="shared" si="5"/>
        <v>-5.9371069182389391</v>
      </c>
      <c r="Q16" s="460">
        <f t="shared" si="6"/>
        <v>0.95547169811320798</v>
      </c>
      <c r="R16" s="571"/>
      <c r="S16" s="308">
        <v>0.78055555555555556</v>
      </c>
      <c r="T16" s="308">
        <v>0.85416666666666663</v>
      </c>
      <c r="U16" s="457">
        <f t="shared" si="18"/>
        <v>6.9999999999999751</v>
      </c>
      <c r="V16" s="465">
        <f t="shared" si="17"/>
        <v>105.99999999999994</v>
      </c>
      <c r="W16" s="310"/>
      <c r="X16" s="310"/>
      <c r="Y16" s="570"/>
      <c r="Z16" s="570"/>
      <c r="AA16" s="306">
        <f t="shared" si="8"/>
        <v>-89.056603773583902</v>
      </c>
      <c r="AB16" s="460">
        <f t="shared" si="9"/>
        <v>0.95547169811320809</v>
      </c>
      <c r="AC16" s="571"/>
    </row>
    <row r="17" spans="1:29" ht="16.5" customHeight="1">
      <c r="A17" s="597" t="s">
        <v>2111</v>
      </c>
      <c r="B17" s="300" t="s">
        <v>2108</v>
      </c>
      <c r="C17" s="572"/>
      <c r="D17" s="572"/>
      <c r="E17" s="461"/>
      <c r="F17" s="313"/>
      <c r="G17" s="304"/>
      <c r="H17" s="466"/>
      <c r="I17" s="314">
        <v>18.600000000000001</v>
      </c>
      <c r="J17" s="303">
        <v>1700</v>
      </c>
      <c r="K17" s="304">
        <f t="shared" si="1"/>
        <v>91.397849462365585</v>
      </c>
      <c r="L17" s="314">
        <v>18.600000000000001</v>
      </c>
      <c r="M17" s="305">
        <f>AVERAGE(M12:M16)</f>
        <v>1624.5986113809904</v>
      </c>
      <c r="N17" s="304">
        <f t="shared" si="3"/>
        <v>87.344011364569369</v>
      </c>
      <c r="O17" s="306">
        <f t="shared" si="4"/>
        <v>0</v>
      </c>
      <c r="P17" s="307">
        <f t="shared" si="5"/>
        <v>-4.0538380977962163</v>
      </c>
      <c r="Q17" s="460">
        <f t="shared" si="6"/>
        <v>0.95564624198881787</v>
      </c>
      <c r="R17" s="571"/>
      <c r="S17" s="308"/>
      <c r="T17" s="308"/>
      <c r="U17" s="457"/>
      <c r="V17" s="465"/>
      <c r="W17" s="304"/>
      <c r="X17" s="304"/>
      <c r="Y17" s="570"/>
      <c r="Z17" s="570"/>
      <c r="AA17" s="306">
        <f t="shared" si="8"/>
        <v>-75.401388619009595</v>
      </c>
      <c r="AB17" s="460">
        <f t="shared" si="9"/>
        <v>0.95564624198881787</v>
      </c>
      <c r="AC17" s="571"/>
    </row>
    <row r="18" spans="1:29" ht="15.75" customHeight="1">
      <c r="A18" s="592" t="s">
        <v>2112</v>
      </c>
      <c r="B18" s="300" t="s">
        <v>43</v>
      </c>
      <c r="C18" s="590" t="s">
        <v>51</v>
      </c>
      <c r="D18" s="590"/>
      <c r="E18" s="300">
        <v>43.14</v>
      </c>
      <c r="F18" s="466">
        <v>1595</v>
      </c>
      <c r="G18" s="457">
        <f t="shared" ref="G18:G23" si="19">E18*F18</f>
        <v>68808.3</v>
      </c>
      <c r="H18" s="468" t="s">
        <v>35</v>
      </c>
      <c r="I18" s="464">
        <v>17</v>
      </c>
      <c r="J18" s="303">
        <v>2000</v>
      </c>
      <c r="K18" s="304">
        <f t="shared" si="1"/>
        <v>117.64705882352941</v>
      </c>
      <c r="L18" s="464">
        <v>17</v>
      </c>
      <c r="M18" s="305">
        <f t="shared" ref="M18:M23" si="20">F18/V18*60</f>
        <v>1913.9999999999993</v>
      </c>
      <c r="N18" s="304">
        <f t="shared" si="3"/>
        <v>112.58823529411761</v>
      </c>
      <c r="O18" s="306">
        <f t="shared" si="4"/>
        <v>0</v>
      </c>
      <c r="P18" s="307">
        <f t="shared" si="5"/>
        <v>-5.0588235294117965</v>
      </c>
      <c r="Q18" s="460">
        <f t="shared" si="6"/>
        <v>0.95699999999999974</v>
      </c>
      <c r="R18" s="571">
        <f>Q24</f>
        <v>0.95765926301386073</v>
      </c>
      <c r="S18" s="308">
        <v>0.20833333333333334</v>
      </c>
      <c r="T18" s="308">
        <v>0.24305555555555558</v>
      </c>
      <c r="U18" s="457"/>
      <c r="V18" s="465">
        <f t="shared" ref="V18:V23" si="21">(T18-S18)*24*60</f>
        <v>50.000000000000021</v>
      </c>
      <c r="W18" s="315"/>
      <c r="X18" s="315"/>
      <c r="Y18" s="570"/>
      <c r="Z18" s="570"/>
      <c r="AA18" s="306">
        <f t="shared" si="8"/>
        <v>-86.000000000000682</v>
      </c>
      <c r="AB18" s="460">
        <f t="shared" si="9"/>
        <v>0.95699999999999963</v>
      </c>
      <c r="AC18" s="571">
        <f>AB24</f>
        <v>0.95765926301386073</v>
      </c>
    </row>
    <row r="19" spans="1:29" ht="15.75" customHeight="1">
      <c r="A19" s="593" t="s">
        <v>2112</v>
      </c>
      <c r="B19" s="300" t="s">
        <v>36</v>
      </c>
      <c r="C19" s="590" t="s">
        <v>53</v>
      </c>
      <c r="D19" s="590"/>
      <c r="E19" s="300">
        <v>53.68</v>
      </c>
      <c r="F19" s="466">
        <v>2074</v>
      </c>
      <c r="G19" s="457">
        <f t="shared" si="19"/>
        <v>111332.31999999999</v>
      </c>
      <c r="H19" s="468" t="s">
        <v>35</v>
      </c>
      <c r="I19" s="464">
        <v>16</v>
      </c>
      <c r="J19" s="303">
        <v>2000</v>
      </c>
      <c r="K19" s="304">
        <f t="shared" si="1"/>
        <v>125</v>
      </c>
      <c r="L19" s="464">
        <v>16</v>
      </c>
      <c r="M19" s="305">
        <f t="shared" si="20"/>
        <v>1914.4615384615392</v>
      </c>
      <c r="N19" s="304">
        <f t="shared" si="3"/>
        <v>119.6538461538462</v>
      </c>
      <c r="O19" s="306">
        <f t="shared" si="4"/>
        <v>0</v>
      </c>
      <c r="P19" s="307">
        <f t="shared" si="5"/>
        <v>-5.346153846153797</v>
      </c>
      <c r="Q19" s="460">
        <f t="shared" si="6"/>
        <v>0.95723076923076966</v>
      </c>
      <c r="R19" s="571"/>
      <c r="S19" s="308">
        <v>0.2479166666666667</v>
      </c>
      <c r="T19" s="308">
        <v>0.29305555555555557</v>
      </c>
      <c r="U19" s="457">
        <f t="shared" ref="U19:U23" si="22">IF(S19=TIME(17,0,0),"",(S19-T18)*24*60)</f>
        <v>7.0000000000000151</v>
      </c>
      <c r="V19" s="465">
        <f t="shared" si="21"/>
        <v>64.999999999999972</v>
      </c>
      <c r="W19" s="310"/>
      <c r="X19" s="457"/>
      <c r="Y19" s="570"/>
      <c r="Z19" s="570"/>
      <c r="AA19" s="306">
        <f t="shared" si="8"/>
        <v>-85.538461538460751</v>
      </c>
      <c r="AB19" s="460">
        <f t="shared" si="9"/>
        <v>0.95723076923076966</v>
      </c>
      <c r="AC19" s="571"/>
    </row>
    <row r="20" spans="1:29" ht="15.75" customHeight="1">
      <c r="A20" s="593" t="s">
        <v>2112</v>
      </c>
      <c r="B20" s="300" t="s">
        <v>36</v>
      </c>
      <c r="C20" s="590" t="s">
        <v>52</v>
      </c>
      <c r="D20" s="590"/>
      <c r="E20" s="300">
        <v>57.73</v>
      </c>
      <c r="F20" s="466">
        <v>3403</v>
      </c>
      <c r="G20" s="457">
        <f t="shared" si="19"/>
        <v>196455.19</v>
      </c>
      <c r="H20" s="468" t="s">
        <v>35</v>
      </c>
      <c r="I20" s="464">
        <v>15</v>
      </c>
      <c r="J20" s="303">
        <v>2000</v>
      </c>
      <c r="K20" s="304">
        <f t="shared" si="1"/>
        <v>133.33333333333334</v>
      </c>
      <c r="L20" s="464">
        <v>15</v>
      </c>
      <c r="M20" s="305">
        <f t="shared" si="20"/>
        <v>1908.2242990654204</v>
      </c>
      <c r="N20" s="304">
        <f t="shared" si="3"/>
        <v>127.21495327102802</v>
      </c>
      <c r="O20" s="306">
        <f t="shared" si="4"/>
        <v>0</v>
      </c>
      <c r="P20" s="307">
        <f t="shared" si="5"/>
        <v>-6.1183800623053202</v>
      </c>
      <c r="Q20" s="460">
        <f t="shared" si="6"/>
        <v>0.95411214953271006</v>
      </c>
      <c r="R20" s="571"/>
      <c r="S20" s="308">
        <v>0.29791666666666666</v>
      </c>
      <c r="T20" s="308">
        <v>0.37222222222222223</v>
      </c>
      <c r="U20" s="457">
        <f t="shared" si="22"/>
        <v>6.9999999999999751</v>
      </c>
      <c r="V20" s="465">
        <f t="shared" si="21"/>
        <v>107.00000000000001</v>
      </c>
      <c r="W20" s="310"/>
      <c r="X20" s="457"/>
      <c r="Y20" s="570"/>
      <c r="Z20" s="570"/>
      <c r="AA20" s="306">
        <f t="shared" si="8"/>
        <v>-91.775700934579618</v>
      </c>
      <c r="AB20" s="460">
        <f t="shared" si="9"/>
        <v>0.95411214953271017</v>
      </c>
      <c r="AC20" s="571"/>
    </row>
    <row r="21" spans="1:29" ht="15.75" customHeight="1">
      <c r="A21" s="593" t="s">
        <v>2112</v>
      </c>
      <c r="B21" s="300" t="s">
        <v>36</v>
      </c>
      <c r="C21" s="590" t="s">
        <v>55</v>
      </c>
      <c r="D21" s="590"/>
      <c r="E21" s="300">
        <v>54.09</v>
      </c>
      <c r="F21" s="466">
        <v>2655</v>
      </c>
      <c r="G21" s="457">
        <f t="shared" si="19"/>
        <v>143608.95000000001</v>
      </c>
      <c r="H21" s="468" t="s">
        <v>35</v>
      </c>
      <c r="I21" s="464">
        <v>19</v>
      </c>
      <c r="J21" s="303">
        <v>2000</v>
      </c>
      <c r="K21" s="304">
        <f t="shared" si="1"/>
        <v>105.26315789473684</v>
      </c>
      <c r="L21" s="464">
        <v>19</v>
      </c>
      <c r="M21" s="305">
        <f t="shared" si="20"/>
        <v>1919.2771084337342</v>
      </c>
      <c r="N21" s="304">
        <f t="shared" si="3"/>
        <v>101.01458465440706</v>
      </c>
      <c r="O21" s="306">
        <f t="shared" si="4"/>
        <v>0</v>
      </c>
      <c r="P21" s="307">
        <f t="shared" si="5"/>
        <v>-4.248573240329776</v>
      </c>
      <c r="Q21" s="460">
        <f t="shared" si="6"/>
        <v>0.95963855421686717</v>
      </c>
      <c r="R21" s="571"/>
      <c r="S21" s="308">
        <v>0.70833333333333337</v>
      </c>
      <c r="T21" s="308">
        <v>0.76597222222222228</v>
      </c>
      <c r="U21" s="457" t="str">
        <f t="shared" si="22"/>
        <v/>
      </c>
      <c r="V21" s="465">
        <f t="shared" si="21"/>
        <v>83.000000000000028</v>
      </c>
      <c r="W21" s="310"/>
      <c r="X21" s="457"/>
      <c r="Y21" s="570"/>
      <c r="Z21" s="570"/>
      <c r="AA21" s="306">
        <f t="shared" si="8"/>
        <v>-80.722891566265844</v>
      </c>
      <c r="AB21" s="460">
        <f t="shared" si="9"/>
        <v>0.95963855421686706</v>
      </c>
      <c r="AC21" s="571"/>
    </row>
    <row r="22" spans="1:29" ht="15.75" customHeight="1">
      <c r="A22" s="593" t="s">
        <v>2112</v>
      </c>
      <c r="B22" s="300" t="s">
        <v>36</v>
      </c>
      <c r="C22" s="590" t="s">
        <v>1976</v>
      </c>
      <c r="D22" s="590"/>
      <c r="E22" s="300">
        <v>48.36</v>
      </c>
      <c r="F22" s="466">
        <v>2500</v>
      </c>
      <c r="G22" s="457">
        <f t="shared" si="19"/>
        <v>120900</v>
      </c>
      <c r="H22" s="468">
        <v>2</v>
      </c>
      <c r="I22" s="464">
        <v>15</v>
      </c>
      <c r="J22" s="303">
        <v>2000</v>
      </c>
      <c r="K22" s="304">
        <f t="shared" si="1"/>
        <v>133.33333333333334</v>
      </c>
      <c r="L22" s="464">
        <v>15</v>
      </c>
      <c r="M22" s="305">
        <f t="shared" si="20"/>
        <v>1923.0769230769222</v>
      </c>
      <c r="N22" s="304">
        <f t="shared" si="3"/>
        <v>128.20512820512815</v>
      </c>
      <c r="O22" s="306">
        <f t="shared" si="4"/>
        <v>0</v>
      </c>
      <c r="P22" s="307">
        <f t="shared" si="5"/>
        <v>-5.1282051282051953</v>
      </c>
      <c r="Q22" s="460">
        <f t="shared" si="6"/>
        <v>0.96153846153846101</v>
      </c>
      <c r="R22" s="571"/>
      <c r="S22" s="308">
        <v>0.77083333333333337</v>
      </c>
      <c r="T22" s="308">
        <v>0.82500000000000007</v>
      </c>
      <c r="U22" s="457">
        <f t="shared" si="22"/>
        <v>6.9999999999999751</v>
      </c>
      <c r="V22" s="465">
        <f t="shared" si="21"/>
        <v>78.000000000000043</v>
      </c>
      <c r="W22" s="310">
        <f>T22</f>
        <v>0.82500000000000007</v>
      </c>
      <c r="X22" s="310">
        <f>S23</f>
        <v>0.86597222222222225</v>
      </c>
      <c r="Y22" s="570"/>
      <c r="Z22" s="570"/>
      <c r="AA22" s="306">
        <f t="shared" si="8"/>
        <v>-76.923076923077815</v>
      </c>
      <c r="AB22" s="460">
        <f t="shared" si="9"/>
        <v>0.96153846153846112</v>
      </c>
      <c r="AC22" s="571"/>
    </row>
    <row r="23" spans="1:29" ht="15.75" customHeight="1">
      <c r="A23" s="593" t="s">
        <v>2112</v>
      </c>
      <c r="B23" s="300" t="s">
        <v>36</v>
      </c>
      <c r="C23" s="590" t="s">
        <v>1976</v>
      </c>
      <c r="D23" s="590"/>
      <c r="E23" s="300">
        <v>48.36</v>
      </c>
      <c r="F23" s="466">
        <v>3220</v>
      </c>
      <c r="G23" s="457">
        <f t="shared" si="19"/>
        <v>155719.20000000001</v>
      </c>
      <c r="H23" s="468" t="s">
        <v>35</v>
      </c>
      <c r="I23" s="464">
        <v>15</v>
      </c>
      <c r="J23" s="303">
        <v>2000</v>
      </c>
      <c r="K23" s="304">
        <f t="shared" si="1"/>
        <v>133.33333333333334</v>
      </c>
      <c r="L23" s="464">
        <v>15</v>
      </c>
      <c r="M23" s="305">
        <f t="shared" si="20"/>
        <v>1912.8712871287137</v>
      </c>
      <c r="N23" s="304">
        <f t="shared" si="3"/>
        <v>127.52475247524758</v>
      </c>
      <c r="O23" s="306">
        <f t="shared" si="4"/>
        <v>0</v>
      </c>
      <c r="P23" s="307">
        <f t="shared" si="5"/>
        <v>-5.8085808580857616</v>
      </c>
      <c r="Q23" s="460">
        <f t="shared" si="6"/>
        <v>0.95643564356435684</v>
      </c>
      <c r="R23" s="571"/>
      <c r="S23" s="308">
        <v>0.86597222222222225</v>
      </c>
      <c r="T23" s="308">
        <v>0.93611111111111112</v>
      </c>
      <c r="U23" s="457">
        <f t="shared" si="22"/>
        <v>58.99999999999995</v>
      </c>
      <c r="V23" s="465">
        <f t="shared" si="21"/>
        <v>100.99999999999996</v>
      </c>
      <c r="W23" s="310"/>
      <c r="X23" s="315"/>
      <c r="Y23" s="570"/>
      <c r="Z23" s="570"/>
      <c r="AA23" s="306">
        <f t="shared" si="8"/>
        <v>-87.128712871286325</v>
      </c>
      <c r="AB23" s="460">
        <f t="shared" si="9"/>
        <v>0.95643564356435684</v>
      </c>
      <c r="AC23" s="571"/>
    </row>
    <row r="24" spans="1:29" ht="15.75" customHeight="1">
      <c r="A24" s="593" t="s">
        <v>2112</v>
      </c>
      <c r="B24" s="300" t="s">
        <v>2108</v>
      </c>
      <c r="C24" s="572"/>
      <c r="D24" s="572"/>
      <c r="E24" s="461"/>
      <c r="F24" s="466"/>
      <c r="G24" s="457"/>
      <c r="H24" s="466"/>
      <c r="I24" s="314">
        <v>16.166666666666668</v>
      </c>
      <c r="J24" s="303">
        <v>2000</v>
      </c>
      <c r="K24" s="304">
        <f t="shared" si="1"/>
        <v>123.71134020618555</v>
      </c>
      <c r="L24" s="314">
        <v>16.166666666666668</v>
      </c>
      <c r="M24" s="305">
        <f>AVERAGE(M18:M23)</f>
        <v>1915.3185260277214</v>
      </c>
      <c r="N24" s="304">
        <f t="shared" si="3"/>
        <v>118.47331088831265</v>
      </c>
      <c r="O24" s="306">
        <f t="shared" si="4"/>
        <v>0</v>
      </c>
      <c r="P24" s="307">
        <f t="shared" si="5"/>
        <v>-5.2380293178729005</v>
      </c>
      <c r="Q24" s="460">
        <f t="shared" si="6"/>
        <v>0.95765926301386073</v>
      </c>
      <c r="R24" s="571"/>
      <c r="S24" s="308"/>
      <c r="T24" s="308"/>
      <c r="U24" s="304"/>
      <c r="V24" s="465"/>
      <c r="W24" s="304"/>
      <c r="X24" s="304"/>
      <c r="Y24" s="570"/>
      <c r="Z24" s="570"/>
      <c r="AA24" s="306">
        <f t="shared" si="8"/>
        <v>-84.681473972278582</v>
      </c>
      <c r="AB24" s="460">
        <f t="shared" si="9"/>
        <v>0.95765926301386073</v>
      </c>
      <c r="AC24" s="571"/>
    </row>
    <row r="25" spans="1:29" ht="15.75" customHeight="1">
      <c r="A25" s="591" t="s">
        <v>2113</v>
      </c>
      <c r="B25" s="300" t="s">
        <v>46</v>
      </c>
      <c r="C25" s="590" t="s">
        <v>61</v>
      </c>
      <c r="D25" s="590"/>
      <c r="E25" s="300">
        <v>31.29</v>
      </c>
      <c r="F25" s="466">
        <v>6200</v>
      </c>
      <c r="G25" s="457">
        <f t="shared" ref="G25:G31" si="23">E25*F25</f>
        <v>193998</v>
      </c>
      <c r="H25" s="468">
        <v>2</v>
      </c>
      <c r="I25" s="464">
        <v>18</v>
      </c>
      <c r="J25" s="303">
        <v>2400</v>
      </c>
      <c r="K25" s="304">
        <f t="shared" si="1"/>
        <v>133.33333333333334</v>
      </c>
      <c r="L25" s="464">
        <v>18</v>
      </c>
      <c r="M25" s="305">
        <f t="shared" ref="M25:M31" si="24">F25/V25*60</f>
        <v>2282.2085889570549</v>
      </c>
      <c r="N25" s="304">
        <f t="shared" si="3"/>
        <v>126.78936605316972</v>
      </c>
      <c r="O25" s="306">
        <f t="shared" si="4"/>
        <v>0</v>
      </c>
      <c r="P25" s="307">
        <f t="shared" si="5"/>
        <v>-6.5439672801636277</v>
      </c>
      <c r="Q25" s="460">
        <f t="shared" si="6"/>
        <v>0.95092024539877285</v>
      </c>
      <c r="R25" s="571">
        <f>Q32</f>
        <v>0.95506755596624004</v>
      </c>
      <c r="S25" s="308">
        <v>8.3333333333333329E-2</v>
      </c>
      <c r="T25" s="308">
        <v>0.19652777777777777</v>
      </c>
      <c r="U25" s="457"/>
      <c r="V25" s="465">
        <f t="shared" ref="V25:V31" si="25">(T25-S25)*24*60</f>
        <v>163</v>
      </c>
      <c r="W25" s="310">
        <f>T25</f>
        <v>0.19652777777777777</v>
      </c>
      <c r="X25" s="310">
        <f>S26</f>
        <v>0.2159722222222222</v>
      </c>
      <c r="Y25" s="570"/>
      <c r="Z25" s="570"/>
      <c r="AA25" s="306">
        <f t="shared" si="8"/>
        <v>-117.79141104294513</v>
      </c>
      <c r="AB25" s="460">
        <f t="shared" si="9"/>
        <v>0.95092024539877285</v>
      </c>
      <c r="AC25" s="571">
        <f>AB32</f>
        <v>0.95506755596623993</v>
      </c>
    </row>
    <row r="26" spans="1:29" ht="15.75" customHeight="1">
      <c r="A26" s="591" t="s">
        <v>2113</v>
      </c>
      <c r="B26" s="300" t="s">
        <v>46</v>
      </c>
      <c r="C26" s="590" t="s">
        <v>59</v>
      </c>
      <c r="D26" s="590"/>
      <c r="E26" s="300">
        <v>26.18</v>
      </c>
      <c r="F26" s="466">
        <v>3895</v>
      </c>
      <c r="G26" s="457">
        <f t="shared" si="23"/>
        <v>101971.1</v>
      </c>
      <c r="H26" s="468" t="s">
        <v>35</v>
      </c>
      <c r="I26" s="464">
        <v>19</v>
      </c>
      <c r="J26" s="303">
        <v>2400</v>
      </c>
      <c r="K26" s="304">
        <f t="shared" si="1"/>
        <v>126.31578947368421</v>
      </c>
      <c r="L26" s="464">
        <v>19</v>
      </c>
      <c r="M26" s="305">
        <f t="shared" si="24"/>
        <v>2291.1764705882351</v>
      </c>
      <c r="N26" s="304">
        <f t="shared" si="3"/>
        <v>120.58823529411764</v>
      </c>
      <c r="O26" s="306">
        <f t="shared" si="4"/>
        <v>0</v>
      </c>
      <c r="P26" s="307">
        <f t="shared" si="5"/>
        <v>-5.7275541795665674</v>
      </c>
      <c r="Q26" s="460">
        <f t="shared" si="6"/>
        <v>0.95465686274509798</v>
      </c>
      <c r="R26" s="571"/>
      <c r="S26" s="308">
        <v>0.2159722222222222</v>
      </c>
      <c r="T26" s="308">
        <v>0.28680555555555554</v>
      </c>
      <c r="U26" s="457">
        <f t="shared" ref="U26:U31" si="26">(S26-T25)*24*60</f>
        <v>27.999999999999979</v>
      </c>
      <c r="V26" s="465">
        <f t="shared" si="25"/>
        <v>102</v>
      </c>
      <c r="W26" s="310"/>
      <c r="X26" s="310"/>
      <c r="Y26" s="570"/>
      <c r="Z26" s="570"/>
      <c r="AA26" s="306">
        <f t="shared" si="8"/>
        <v>-108.82352941176487</v>
      </c>
      <c r="AB26" s="460">
        <f t="shared" si="9"/>
        <v>0.95465686274509798</v>
      </c>
      <c r="AC26" s="571"/>
    </row>
    <row r="27" spans="1:29" ht="15.75" customHeight="1">
      <c r="A27" s="591" t="s">
        <v>2113</v>
      </c>
      <c r="B27" s="300" t="s">
        <v>46</v>
      </c>
      <c r="C27" s="590" t="s">
        <v>60</v>
      </c>
      <c r="D27" s="590"/>
      <c r="E27" s="300">
        <v>26.2</v>
      </c>
      <c r="F27" s="466">
        <v>5130</v>
      </c>
      <c r="G27" s="457">
        <f t="shared" si="23"/>
        <v>134406</v>
      </c>
      <c r="H27" s="468" t="s">
        <v>35</v>
      </c>
      <c r="I27" s="464">
        <v>19</v>
      </c>
      <c r="J27" s="303">
        <v>2400</v>
      </c>
      <c r="K27" s="304">
        <f t="shared" si="1"/>
        <v>126.31578947368421</v>
      </c>
      <c r="L27" s="464">
        <v>19</v>
      </c>
      <c r="M27" s="305">
        <f t="shared" si="24"/>
        <v>2297.0149253731342</v>
      </c>
      <c r="N27" s="304">
        <f t="shared" si="3"/>
        <v>120.8955223880597</v>
      </c>
      <c r="O27" s="306">
        <f t="shared" si="4"/>
        <v>0</v>
      </c>
      <c r="P27" s="307">
        <f t="shared" si="5"/>
        <v>-5.4202670856245021</v>
      </c>
      <c r="Q27" s="460">
        <f t="shared" si="6"/>
        <v>0.95708955223880599</v>
      </c>
      <c r="R27" s="571"/>
      <c r="S27" s="308">
        <v>0.29236111111111107</v>
      </c>
      <c r="T27" s="308">
        <v>0.38541666666666663</v>
      </c>
      <c r="U27" s="457">
        <f t="shared" si="26"/>
        <v>7.9999999999999716</v>
      </c>
      <c r="V27" s="465">
        <f t="shared" si="25"/>
        <v>134</v>
      </c>
      <c r="W27" s="310"/>
      <c r="X27" s="310"/>
      <c r="Y27" s="570"/>
      <c r="Z27" s="570"/>
      <c r="AA27" s="306">
        <f t="shared" si="8"/>
        <v>-102.98507462686575</v>
      </c>
      <c r="AB27" s="460">
        <f t="shared" si="9"/>
        <v>0.95708955223880599</v>
      </c>
      <c r="AC27" s="571"/>
    </row>
    <row r="28" spans="1:29" ht="15.75" customHeight="1">
      <c r="A28" s="591" t="s">
        <v>2113</v>
      </c>
      <c r="B28" s="300" t="s">
        <v>46</v>
      </c>
      <c r="C28" s="590" t="s">
        <v>56</v>
      </c>
      <c r="D28" s="590"/>
      <c r="E28" s="300">
        <v>26.2</v>
      </c>
      <c r="F28" s="466">
        <v>3300</v>
      </c>
      <c r="G28" s="457">
        <f t="shared" si="23"/>
        <v>86460</v>
      </c>
      <c r="H28" s="468">
        <v>2</v>
      </c>
      <c r="I28" s="464">
        <v>20</v>
      </c>
      <c r="J28" s="303">
        <v>2400</v>
      </c>
      <c r="K28" s="304">
        <f t="shared" si="1"/>
        <v>120</v>
      </c>
      <c r="L28" s="464">
        <v>20</v>
      </c>
      <c r="M28" s="305">
        <f t="shared" si="24"/>
        <v>2302.3255813953483</v>
      </c>
      <c r="N28" s="304">
        <f t="shared" si="3"/>
        <v>115.11627906976742</v>
      </c>
      <c r="O28" s="306">
        <f t="shared" si="4"/>
        <v>0</v>
      </c>
      <c r="P28" s="307">
        <f t="shared" si="5"/>
        <v>-4.8837209302325846</v>
      </c>
      <c r="Q28" s="460">
        <f t="shared" si="6"/>
        <v>0.95930232558139517</v>
      </c>
      <c r="R28" s="571"/>
      <c r="S28" s="308">
        <v>0.38958333333333328</v>
      </c>
      <c r="T28" s="308">
        <v>0.44930555555555551</v>
      </c>
      <c r="U28" s="457">
        <f t="shared" si="26"/>
        <v>5.9999999999999787</v>
      </c>
      <c r="V28" s="465">
        <f t="shared" si="25"/>
        <v>86.000000000000014</v>
      </c>
      <c r="W28" s="310"/>
      <c r="X28" s="310"/>
      <c r="Y28" s="570"/>
      <c r="Z28" s="570"/>
      <c r="AA28" s="306">
        <f t="shared" si="8"/>
        <v>-97.674418604651692</v>
      </c>
      <c r="AB28" s="460">
        <f t="shared" si="9"/>
        <v>0.95930232558139517</v>
      </c>
      <c r="AC28" s="571"/>
    </row>
    <row r="29" spans="1:29" ht="15.75" customHeight="1">
      <c r="A29" s="591" t="s">
        <v>2113</v>
      </c>
      <c r="B29" s="300" t="s">
        <v>46</v>
      </c>
      <c r="C29" s="590" t="s">
        <v>2114</v>
      </c>
      <c r="D29" s="590"/>
      <c r="E29" s="300">
        <v>24.83</v>
      </c>
      <c r="F29" s="466">
        <v>4501</v>
      </c>
      <c r="G29" s="457">
        <f t="shared" si="23"/>
        <v>111759.82999999999</v>
      </c>
      <c r="H29" s="468">
        <v>2</v>
      </c>
      <c r="I29" s="464">
        <v>15</v>
      </c>
      <c r="J29" s="303">
        <v>2400</v>
      </c>
      <c r="K29" s="304">
        <f t="shared" si="1"/>
        <v>160</v>
      </c>
      <c r="L29" s="464">
        <v>15</v>
      </c>
      <c r="M29" s="305">
        <f t="shared" si="24"/>
        <v>2288.6440677966093</v>
      </c>
      <c r="N29" s="304">
        <f t="shared" si="3"/>
        <v>152.57627118644061</v>
      </c>
      <c r="O29" s="306">
        <f t="shared" si="4"/>
        <v>0</v>
      </c>
      <c r="P29" s="307">
        <f t="shared" si="5"/>
        <v>-7.4237288135593928</v>
      </c>
      <c r="Q29" s="460">
        <f t="shared" si="6"/>
        <v>0.95360169491525382</v>
      </c>
      <c r="R29" s="571"/>
      <c r="S29" s="308">
        <v>0.45277777777777772</v>
      </c>
      <c r="T29" s="308">
        <v>0.53472222222222221</v>
      </c>
      <c r="U29" s="457">
        <f t="shared" si="26"/>
        <v>4.9999999999999822</v>
      </c>
      <c r="V29" s="465">
        <f t="shared" si="25"/>
        <v>118.00000000000006</v>
      </c>
      <c r="W29" s="310">
        <f>T29</f>
        <v>0.53472222222222221</v>
      </c>
      <c r="X29" s="310">
        <f>S30</f>
        <v>0.57499999999999996</v>
      </c>
      <c r="Y29" s="570"/>
      <c r="Z29" s="570"/>
      <c r="AA29" s="306">
        <f t="shared" si="8"/>
        <v>-111.35593220339069</v>
      </c>
      <c r="AB29" s="460">
        <f t="shared" si="9"/>
        <v>0.95360169491525393</v>
      </c>
      <c r="AC29" s="571"/>
    </row>
    <row r="30" spans="1:29" ht="15.75" customHeight="1">
      <c r="A30" s="591" t="s">
        <v>2113</v>
      </c>
      <c r="B30" s="300" t="s">
        <v>46</v>
      </c>
      <c r="C30" s="590" t="s">
        <v>2114</v>
      </c>
      <c r="D30" s="590"/>
      <c r="E30" s="300">
        <v>24.83</v>
      </c>
      <c r="F30" s="466">
        <v>5594</v>
      </c>
      <c r="G30" s="457">
        <f t="shared" si="23"/>
        <v>138899.01999999999</v>
      </c>
      <c r="H30" s="468" t="s">
        <v>35</v>
      </c>
      <c r="I30" s="464">
        <v>15</v>
      </c>
      <c r="J30" s="303">
        <v>2400</v>
      </c>
      <c r="K30" s="304">
        <f t="shared" si="1"/>
        <v>160</v>
      </c>
      <c r="L30" s="464">
        <v>15</v>
      </c>
      <c r="M30" s="305">
        <f t="shared" si="24"/>
        <v>2283.2653061224501</v>
      </c>
      <c r="N30" s="304">
        <f t="shared" si="3"/>
        <v>152.21768707483</v>
      </c>
      <c r="O30" s="306">
        <f t="shared" si="4"/>
        <v>0</v>
      </c>
      <c r="P30" s="307">
        <f t="shared" si="5"/>
        <v>-7.7823129251700038</v>
      </c>
      <c r="Q30" s="460">
        <f t="shared" si="6"/>
        <v>0.95136054421768745</v>
      </c>
      <c r="R30" s="571"/>
      <c r="S30" s="308">
        <v>0.57499999999999996</v>
      </c>
      <c r="T30" s="308">
        <v>0.67708333333333326</v>
      </c>
      <c r="U30" s="457">
        <f t="shared" si="26"/>
        <v>57.999999999999957</v>
      </c>
      <c r="V30" s="465">
        <f t="shared" si="25"/>
        <v>146.99999999999994</v>
      </c>
      <c r="W30" s="310"/>
      <c r="X30" s="310"/>
      <c r="Y30" s="570"/>
      <c r="Z30" s="570"/>
      <c r="AA30" s="306">
        <f t="shared" si="8"/>
        <v>-116.73469387754994</v>
      </c>
      <c r="AB30" s="460">
        <f t="shared" si="9"/>
        <v>0.95136054421768756</v>
      </c>
      <c r="AC30" s="571"/>
    </row>
    <row r="31" spans="1:29" ht="15.75" customHeight="1">
      <c r="A31" s="591" t="s">
        <v>2113</v>
      </c>
      <c r="B31" s="300" t="s">
        <v>46</v>
      </c>
      <c r="C31" s="590" t="s">
        <v>61</v>
      </c>
      <c r="D31" s="590"/>
      <c r="E31" s="300">
        <v>31.29</v>
      </c>
      <c r="F31" s="466">
        <v>4601</v>
      </c>
      <c r="G31" s="457">
        <f t="shared" si="23"/>
        <v>143965.29</v>
      </c>
      <c r="H31" s="468" t="s">
        <v>35</v>
      </c>
      <c r="I31" s="464">
        <v>18</v>
      </c>
      <c r="J31" s="303">
        <v>2400</v>
      </c>
      <c r="K31" s="304">
        <f t="shared" si="1"/>
        <v>133.33333333333334</v>
      </c>
      <c r="L31" s="464">
        <v>18</v>
      </c>
      <c r="M31" s="305">
        <f t="shared" si="24"/>
        <v>2300.4999999999986</v>
      </c>
      <c r="N31" s="304">
        <f t="shared" si="3"/>
        <v>127.80555555555549</v>
      </c>
      <c r="O31" s="306">
        <f t="shared" si="4"/>
        <v>0</v>
      </c>
      <c r="P31" s="307">
        <f t="shared" si="5"/>
        <v>-5.5277777777778567</v>
      </c>
      <c r="Q31" s="460">
        <f t="shared" si="6"/>
        <v>0.95854166666666607</v>
      </c>
      <c r="R31" s="571"/>
      <c r="S31" s="308">
        <v>0.68055555555555547</v>
      </c>
      <c r="T31" s="308">
        <v>0.76388888888888884</v>
      </c>
      <c r="U31" s="457">
        <f t="shared" si="26"/>
        <v>4.9999999999999822</v>
      </c>
      <c r="V31" s="465">
        <f t="shared" si="25"/>
        <v>120.00000000000006</v>
      </c>
      <c r="W31" s="310"/>
      <c r="X31" s="310"/>
      <c r="Y31" s="570"/>
      <c r="Z31" s="570"/>
      <c r="AA31" s="306">
        <f t="shared" si="8"/>
        <v>-99.500000000001364</v>
      </c>
      <c r="AB31" s="460">
        <f t="shared" si="9"/>
        <v>0.95854166666666607</v>
      </c>
      <c r="AC31" s="571"/>
    </row>
    <row r="32" spans="1:29" ht="15.75" customHeight="1">
      <c r="A32" s="591" t="s">
        <v>2113</v>
      </c>
      <c r="B32" s="300" t="s">
        <v>2108</v>
      </c>
      <c r="C32" s="572"/>
      <c r="D32" s="572"/>
      <c r="E32" s="461"/>
      <c r="F32" s="466"/>
      <c r="G32" s="457"/>
      <c r="H32" s="466"/>
      <c r="I32" s="314">
        <v>17.714285714285715</v>
      </c>
      <c r="J32" s="303">
        <v>2400</v>
      </c>
      <c r="K32" s="304">
        <f t="shared" si="1"/>
        <v>135.48387096774192</v>
      </c>
      <c r="L32" s="314">
        <v>17.714285714285715</v>
      </c>
      <c r="M32" s="305">
        <f>AVERAGE(M25:M31)</f>
        <v>2292.1621343189759</v>
      </c>
      <c r="N32" s="304">
        <f t="shared" si="3"/>
        <v>129.3962495180067</v>
      </c>
      <c r="O32" s="306">
        <f t="shared" si="4"/>
        <v>0</v>
      </c>
      <c r="P32" s="307">
        <f t="shared" si="5"/>
        <v>-6.0876214497352237</v>
      </c>
      <c r="Q32" s="460">
        <f t="shared" si="6"/>
        <v>0.95506755596624004</v>
      </c>
      <c r="R32" s="571"/>
      <c r="S32" s="308"/>
      <c r="T32" s="308"/>
      <c r="U32" s="457"/>
      <c r="V32" s="465"/>
      <c r="W32" s="457"/>
      <c r="X32" s="457"/>
      <c r="Y32" s="570"/>
      <c r="Z32" s="570"/>
      <c r="AA32" s="306">
        <f t="shared" si="8"/>
        <v>-107.83786568102414</v>
      </c>
      <c r="AB32" s="460">
        <f t="shared" si="9"/>
        <v>0.95506755596623993</v>
      </c>
      <c r="AC32" s="571"/>
    </row>
    <row r="33" spans="1:29" ht="15.75" customHeight="1">
      <c r="A33" s="588" t="s">
        <v>2115</v>
      </c>
      <c r="B33" s="300" t="s">
        <v>46</v>
      </c>
      <c r="C33" s="565" t="s">
        <v>63</v>
      </c>
      <c r="D33" s="565"/>
      <c r="E33" s="300">
        <v>26.2</v>
      </c>
      <c r="F33" s="466">
        <v>5000</v>
      </c>
      <c r="G33" s="457">
        <f t="shared" ref="G33:G40" si="27">E33*F33</f>
        <v>131000</v>
      </c>
      <c r="H33" s="468">
        <v>2</v>
      </c>
      <c r="I33" s="464">
        <v>18</v>
      </c>
      <c r="J33" s="303">
        <v>2400</v>
      </c>
      <c r="K33" s="304">
        <f t="shared" si="1"/>
        <v>133.33333333333334</v>
      </c>
      <c r="L33" s="464">
        <v>18</v>
      </c>
      <c r="M33" s="305">
        <f t="shared" ref="M33:M40" si="28">F33/V33*60</f>
        <v>2290.0763358778627</v>
      </c>
      <c r="N33" s="304">
        <f t="shared" si="3"/>
        <v>127.2264631043257</v>
      </c>
      <c r="O33" s="306">
        <f t="shared" si="4"/>
        <v>0</v>
      </c>
      <c r="P33" s="307">
        <f t="shared" si="5"/>
        <v>-6.1068702290076402</v>
      </c>
      <c r="Q33" s="460">
        <f t="shared" si="6"/>
        <v>0.95419847328244267</v>
      </c>
      <c r="R33" s="571">
        <f>Q41</f>
        <v>0.954785951050941</v>
      </c>
      <c r="S33" s="308">
        <v>8.3333333333333329E-2</v>
      </c>
      <c r="T33" s="308">
        <v>0.17430555555555555</v>
      </c>
      <c r="U33" s="457"/>
      <c r="V33" s="465">
        <f t="shared" ref="V33:V40" si="29">(T33-S33)*24*60</f>
        <v>131</v>
      </c>
      <c r="W33" s="315">
        <f>T33</f>
        <v>0.17430555555555555</v>
      </c>
      <c r="X33" s="315">
        <f>S34</f>
        <v>0.19513888888888889</v>
      </c>
      <c r="Y33" s="570"/>
      <c r="Z33" s="570"/>
      <c r="AA33" s="306">
        <f t="shared" si="8"/>
        <v>-109.92366412213732</v>
      </c>
      <c r="AB33" s="460">
        <f t="shared" si="9"/>
        <v>0.95419847328244278</v>
      </c>
      <c r="AC33" s="571">
        <f>AB41</f>
        <v>0.95478595105094088</v>
      </c>
    </row>
    <row r="34" spans="1:29" ht="15.75" customHeight="1">
      <c r="A34" s="588" t="s">
        <v>2115</v>
      </c>
      <c r="B34" s="300" t="s">
        <v>46</v>
      </c>
      <c r="C34" s="565" t="s">
        <v>64</v>
      </c>
      <c r="D34" s="565"/>
      <c r="E34" s="300">
        <v>26.39</v>
      </c>
      <c r="F34" s="466">
        <v>4500</v>
      </c>
      <c r="G34" s="457">
        <f t="shared" si="27"/>
        <v>118755</v>
      </c>
      <c r="H34" s="468">
        <v>2</v>
      </c>
      <c r="I34" s="464">
        <v>19</v>
      </c>
      <c r="J34" s="303">
        <v>2400</v>
      </c>
      <c r="K34" s="304">
        <f t="shared" si="1"/>
        <v>126.31578947368421</v>
      </c>
      <c r="L34" s="464">
        <v>19</v>
      </c>
      <c r="M34" s="305">
        <f t="shared" si="28"/>
        <v>2288.1355932203387</v>
      </c>
      <c r="N34" s="304">
        <f t="shared" si="3"/>
        <v>120.42818911685993</v>
      </c>
      <c r="O34" s="306">
        <f t="shared" si="4"/>
        <v>0</v>
      </c>
      <c r="P34" s="307">
        <f t="shared" si="5"/>
        <v>-5.8876003568242794</v>
      </c>
      <c r="Q34" s="460">
        <f t="shared" si="6"/>
        <v>0.95338983050847448</v>
      </c>
      <c r="R34" s="571"/>
      <c r="S34" s="308">
        <v>0.19513888888888889</v>
      </c>
      <c r="T34" s="308">
        <v>0.27708333333333335</v>
      </c>
      <c r="U34" s="457">
        <f t="shared" ref="U34:U40" si="30">(S34-T33)*24*60</f>
        <v>30.000000000000014</v>
      </c>
      <c r="V34" s="465">
        <f t="shared" si="29"/>
        <v>118.00000000000001</v>
      </c>
      <c r="W34" s="457"/>
      <c r="X34" s="457"/>
      <c r="Y34" s="570"/>
      <c r="Z34" s="570"/>
      <c r="AA34" s="306">
        <f t="shared" si="8"/>
        <v>-111.86440677966129</v>
      </c>
      <c r="AB34" s="460">
        <f t="shared" si="9"/>
        <v>0.95338983050847448</v>
      </c>
      <c r="AC34" s="571"/>
    </row>
    <row r="35" spans="1:29">
      <c r="A35" s="589" t="s">
        <v>2115</v>
      </c>
      <c r="B35" s="300" t="s">
        <v>46</v>
      </c>
      <c r="C35" s="565" t="s">
        <v>87</v>
      </c>
      <c r="D35" s="565"/>
      <c r="E35" s="300">
        <v>20.52</v>
      </c>
      <c r="F35" s="466">
        <v>5757</v>
      </c>
      <c r="G35" s="457">
        <f t="shared" si="27"/>
        <v>118133.64</v>
      </c>
      <c r="H35" s="468" t="s">
        <v>35</v>
      </c>
      <c r="I35" s="464">
        <v>18</v>
      </c>
      <c r="J35" s="303">
        <v>2400</v>
      </c>
      <c r="K35" s="304">
        <f t="shared" si="1"/>
        <v>133.33333333333334</v>
      </c>
      <c r="L35" s="464">
        <v>18</v>
      </c>
      <c r="M35" s="305">
        <f t="shared" si="28"/>
        <v>2287.5496688741714</v>
      </c>
      <c r="N35" s="304">
        <f t="shared" si="3"/>
        <v>127.08609271523174</v>
      </c>
      <c r="O35" s="306">
        <f t="shared" si="4"/>
        <v>0</v>
      </c>
      <c r="P35" s="307">
        <f t="shared" si="5"/>
        <v>-6.2472406181015998</v>
      </c>
      <c r="Q35" s="460">
        <f t="shared" si="6"/>
        <v>0.95314569536423799</v>
      </c>
      <c r="R35" s="571"/>
      <c r="S35" s="308">
        <v>0.28055555555555556</v>
      </c>
      <c r="T35" s="308">
        <v>0.38541666666666669</v>
      </c>
      <c r="U35" s="457">
        <f t="shared" si="30"/>
        <v>4.9999999999999822</v>
      </c>
      <c r="V35" s="465">
        <f t="shared" si="29"/>
        <v>151.00000000000003</v>
      </c>
      <c r="W35" s="457"/>
      <c r="X35" s="457"/>
      <c r="Y35" s="570"/>
      <c r="Z35" s="570"/>
      <c r="AA35" s="306">
        <f t="shared" si="8"/>
        <v>-112.4503311258286</v>
      </c>
      <c r="AB35" s="460">
        <f t="shared" si="9"/>
        <v>0.9531456953642381</v>
      </c>
      <c r="AC35" s="571"/>
    </row>
    <row r="36" spans="1:29">
      <c r="A36" s="589" t="s">
        <v>2115</v>
      </c>
      <c r="B36" s="300" t="s">
        <v>46</v>
      </c>
      <c r="C36" s="565" t="s">
        <v>48</v>
      </c>
      <c r="D36" s="565"/>
      <c r="E36" s="300">
        <v>22.35</v>
      </c>
      <c r="F36" s="466">
        <v>2193</v>
      </c>
      <c r="G36" s="457">
        <f t="shared" si="27"/>
        <v>49013.55</v>
      </c>
      <c r="H36" s="468" t="s">
        <v>35</v>
      </c>
      <c r="I36" s="464">
        <v>16</v>
      </c>
      <c r="J36" s="303">
        <v>2400</v>
      </c>
      <c r="K36" s="304">
        <f t="shared" si="1"/>
        <v>150</v>
      </c>
      <c r="L36" s="464">
        <v>16</v>
      </c>
      <c r="M36" s="305">
        <f t="shared" si="28"/>
        <v>2308.4210526315778</v>
      </c>
      <c r="N36" s="304">
        <f t="shared" si="3"/>
        <v>144.27631578947361</v>
      </c>
      <c r="O36" s="306">
        <f t="shared" si="4"/>
        <v>0</v>
      </c>
      <c r="P36" s="307">
        <f t="shared" si="5"/>
        <v>-5.7236842105263861</v>
      </c>
      <c r="Q36" s="460">
        <f t="shared" si="6"/>
        <v>0.96184210526315739</v>
      </c>
      <c r="R36" s="571"/>
      <c r="S36" s="308">
        <v>0.39027777777777778</v>
      </c>
      <c r="T36" s="308">
        <v>0.42986111111111114</v>
      </c>
      <c r="U36" s="457">
        <f t="shared" si="30"/>
        <v>6.9999999999999751</v>
      </c>
      <c r="V36" s="465">
        <f t="shared" si="29"/>
        <v>57.000000000000036</v>
      </c>
      <c r="W36" s="310"/>
      <c r="X36" s="310"/>
      <c r="Y36" s="570"/>
      <c r="Z36" s="570"/>
      <c r="AA36" s="306">
        <f t="shared" si="8"/>
        <v>-91.578947368422178</v>
      </c>
      <c r="AB36" s="460">
        <f t="shared" si="9"/>
        <v>0.96184210526315739</v>
      </c>
      <c r="AC36" s="571"/>
    </row>
    <row r="37" spans="1:29">
      <c r="A37" s="589" t="s">
        <v>2115</v>
      </c>
      <c r="B37" s="300" t="s">
        <v>46</v>
      </c>
      <c r="C37" s="565" t="s">
        <v>65</v>
      </c>
      <c r="D37" s="565"/>
      <c r="E37" s="300">
        <v>24.43</v>
      </c>
      <c r="F37" s="466">
        <v>4000</v>
      </c>
      <c r="G37" s="457">
        <f t="shared" si="27"/>
        <v>97720</v>
      </c>
      <c r="H37" s="468">
        <v>2</v>
      </c>
      <c r="I37" s="464">
        <v>15</v>
      </c>
      <c r="J37" s="303">
        <v>2400</v>
      </c>
      <c r="K37" s="304">
        <f t="shared" si="1"/>
        <v>160</v>
      </c>
      <c r="L37" s="464">
        <v>15</v>
      </c>
      <c r="M37" s="305">
        <f t="shared" si="28"/>
        <v>2285.7142857142871</v>
      </c>
      <c r="N37" s="304">
        <f t="shared" si="3"/>
        <v>152.38095238095246</v>
      </c>
      <c r="O37" s="306">
        <f t="shared" si="4"/>
        <v>0</v>
      </c>
      <c r="P37" s="307">
        <f t="shared" si="5"/>
        <v>-7.6190476190475351</v>
      </c>
      <c r="Q37" s="460">
        <f t="shared" si="6"/>
        <v>0.95238095238095288</v>
      </c>
      <c r="R37" s="571"/>
      <c r="S37" s="308">
        <v>0.43333333333333335</v>
      </c>
      <c r="T37" s="308">
        <v>0.50624999999999998</v>
      </c>
      <c r="U37" s="457">
        <f t="shared" si="30"/>
        <v>4.9999999999999822</v>
      </c>
      <c r="V37" s="465">
        <f t="shared" si="29"/>
        <v>104.99999999999994</v>
      </c>
      <c r="W37" s="310">
        <f>T37</f>
        <v>0.50624999999999998</v>
      </c>
      <c r="X37" s="310">
        <f>S38</f>
        <v>0.54513888888888884</v>
      </c>
      <c r="Y37" s="570"/>
      <c r="Z37" s="570"/>
      <c r="AA37" s="306">
        <f t="shared" si="8"/>
        <v>-114.28571428571286</v>
      </c>
      <c r="AB37" s="460">
        <f t="shared" si="9"/>
        <v>0.95238095238095299</v>
      </c>
      <c r="AC37" s="571"/>
    </row>
    <row r="38" spans="1:29">
      <c r="A38" s="589" t="s">
        <v>2115</v>
      </c>
      <c r="B38" s="300" t="s">
        <v>46</v>
      </c>
      <c r="C38" s="565" t="s">
        <v>65</v>
      </c>
      <c r="D38" s="565"/>
      <c r="E38" s="300">
        <v>24.43</v>
      </c>
      <c r="F38" s="466">
        <v>5761</v>
      </c>
      <c r="G38" s="457">
        <f t="shared" si="27"/>
        <v>140741.23000000001</v>
      </c>
      <c r="H38" s="468" t="s">
        <v>35</v>
      </c>
      <c r="I38" s="464">
        <v>15</v>
      </c>
      <c r="J38" s="303">
        <v>2400</v>
      </c>
      <c r="K38" s="304">
        <f t="shared" si="1"/>
        <v>160</v>
      </c>
      <c r="L38" s="464">
        <v>15</v>
      </c>
      <c r="M38" s="305">
        <f t="shared" si="28"/>
        <v>2289.1390728476831</v>
      </c>
      <c r="N38" s="304">
        <f t="shared" si="3"/>
        <v>152.60927152317888</v>
      </c>
      <c r="O38" s="306">
        <f t="shared" si="4"/>
        <v>0</v>
      </c>
      <c r="P38" s="307">
        <f t="shared" si="5"/>
        <v>-7.3907284768211241</v>
      </c>
      <c r="Q38" s="460">
        <f t="shared" si="6"/>
        <v>0.95380794701986793</v>
      </c>
      <c r="R38" s="571"/>
      <c r="S38" s="308">
        <v>0.54513888888888884</v>
      </c>
      <c r="T38" s="308">
        <v>0.64999999999999991</v>
      </c>
      <c r="U38" s="457">
        <f t="shared" si="30"/>
        <v>55.999999999999957</v>
      </c>
      <c r="V38" s="465">
        <f t="shared" si="29"/>
        <v>150.99999999999994</v>
      </c>
      <c r="W38" s="310"/>
      <c r="X38" s="310"/>
      <c r="Y38" s="570"/>
      <c r="Z38" s="570"/>
      <c r="AA38" s="306">
        <f t="shared" si="8"/>
        <v>-110.86092715231689</v>
      </c>
      <c r="AB38" s="460">
        <f t="shared" si="9"/>
        <v>0.95380794701986793</v>
      </c>
      <c r="AC38" s="571"/>
    </row>
    <row r="39" spans="1:29">
      <c r="A39" s="589" t="s">
        <v>2115</v>
      </c>
      <c r="B39" s="300" t="s">
        <v>46</v>
      </c>
      <c r="C39" s="565" t="s">
        <v>63</v>
      </c>
      <c r="D39" s="565"/>
      <c r="E39" s="300">
        <v>26.2</v>
      </c>
      <c r="F39" s="466">
        <v>2915</v>
      </c>
      <c r="G39" s="457">
        <f t="shared" si="27"/>
        <v>76373</v>
      </c>
      <c r="H39" s="468" t="s">
        <v>35</v>
      </c>
      <c r="I39" s="464">
        <v>18</v>
      </c>
      <c r="J39" s="303">
        <v>2400</v>
      </c>
      <c r="K39" s="304">
        <f t="shared" si="1"/>
        <v>133.33333333333334</v>
      </c>
      <c r="L39" s="464">
        <v>18</v>
      </c>
      <c r="M39" s="305">
        <f t="shared" si="28"/>
        <v>2301.3157894736828</v>
      </c>
      <c r="N39" s="304">
        <f t="shared" si="3"/>
        <v>127.85087719298238</v>
      </c>
      <c r="O39" s="306">
        <f t="shared" si="4"/>
        <v>0</v>
      </c>
      <c r="P39" s="307">
        <f t="shared" si="5"/>
        <v>-5.482456140350962</v>
      </c>
      <c r="Q39" s="460">
        <f t="shared" si="6"/>
        <v>0.95888157894736781</v>
      </c>
      <c r="R39" s="571"/>
      <c r="S39" s="308">
        <v>0.65555555555555545</v>
      </c>
      <c r="T39" s="308">
        <v>0.70833333333333326</v>
      </c>
      <c r="U39" s="457">
        <f t="shared" si="30"/>
        <v>7.9999999999999716</v>
      </c>
      <c r="V39" s="465">
        <f t="shared" si="29"/>
        <v>76.000000000000057</v>
      </c>
      <c r="W39" s="310"/>
      <c r="X39" s="310"/>
      <c r="Y39" s="566"/>
      <c r="Z39" s="567"/>
      <c r="AA39" s="306">
        <f t="shared" si="8"/>
        <v>-98.684210526317202</v>
      </c>
      <c r="AB39" s="460">
        <f t="shared" si="9"/>
        <v>0.95888157894736781</v>
      </c>
      <c r="AC39" s="571"/>
    </row>
    <row r="40" spans="1:29">
      <c r="A40" s="589" t="s">
        <v>2115</v>
      </c>
      <c r="B40" s="300" t="s">
        <v>46</v>
      </c>
      <c r="C40" s="565" t="s">
        <v>64</v>
      </c>
      <c r="D40" s="565"/>
      <c r="E40" s="300">
        <v>26.39</v>
      </c>
      <c r="F40" s="466">
        <v>2966</v>
      </c>
      <c r="G40" s="457">
        <f t="shared" si="27"/>
        <v>78272.740000000005</v>
      </c>
      <c r="H40" s="468" t="s">
        <v>35</v>
      </c>
      <c r="I40" s="464">
        <v>19</v>
      </c>
      <c r="J40" s="303">
        <v>2400</v>
      </c>
      <c r="K40" s="304">
        <f t="shared" si="1"/>
        <v>126.31578947368421</v>
      </c>
      <c r="L40" s="464">
        <v>19</v>
      </c>
      <c r="M40" s="305">
        <f t="shared" si="28"/>
        <v>2281.5384615384605</v>
      </c>
      <c r="N40" s="304">
        <f t="shared" si="3"/>
        <v>120.08097165991897</v>
      </c>
      <c r="O40" s="306">
        <f t="shared" si="4"/>
        <v>0</v>
      </c>
      <c r="P40" s="307">
        <f t="shared" si="5"/>
        <v>-6.2348178137652326</v>
      </c>
      <c r="Q40" s="460">
        <f t="shared" si="6"/>
        <v>0.95064102564102526</v>
      </c>
      <c r="R40" s="571"/>
      <c r="S40" s="308">
        <v>0.71180555555555547</v>
      </c>
      <c r="T40" s="308">
        <v>0.76597222222222217</v>
      </c>
      <c r="U40" s="457">
        <f t="shared" si="30"/>
        <v>4.9999999999999822</v>
      </c>
      <c r="V40" s="465">
        <f t="shared" si="29"/>
        <v>78.000000000000043</v>
      </c>
      <c r="W40" s="310"/>
      <c r="X40" s="310"/>
      <c r="Y40" s="566"/>
      <c r="Z40" s="567"/>
      <c r="AA40" s="306">
        <f t="shared" si="8"/>
        <v>-118.46153846153948</v>
      </c>
      <c r="AB40" s="460">
        <f t="shared" si="9"/>
        <v>0.95064102564102526</v>
      </c>
      <c r="AC40" s="571"/>
    </row>
    <row r="41" spans="1:29">
      <c r="A41" s="589" t="s">
        <v>2115</v>
      </c>
      <c r="B41" s="313" t="s">
        <v>2108</v>
      </c>
      <c r="C41" s="572"/>
      <c r="D41" s="572"/>
      <c r="E41" s="461"/>
      <c r="F41" s="313"/>
      <c r="G41" s="304"/>
      <c r="H41" s="466"/>
      <c r="I41" s="314">
        <v>17.25</v>
      </c>
      <c r="J41" s="303">
        <v>2400</v>
      </c>
      <c r="K41" s="304">
        <f t="shared" si="1"/>
        <v>139.13043478260869</v>
      </c>
      <c r="L41" s="314">
        <v>17.25</v>
      </c>
      <c r="M41" s="305">
        <f>AVERAGE(M33:M40)</f>
        <v>2291.4862825222581</v>
      </c>
      <c r="N41" s="304">
        <f t="shared" si="3"/>
        <v>132.83978449404395</v>
      </c>
      <c r="O41" s="306">
        <f t="shared" si="4"/>
        <v>0</v>
      </c>
      <c r="P41" s="307">
        <f t="shared" si="5"/>
        <v>-6.2906502885647342</v>
      </c>
      <c r="Q41" s="460">
        <f t="shared" si="6"/>
        <v>0.954785951050941</v>
      </c>
      <c r="R41" s="571"/>
      <c r="S41" s="308"/>
      <c r="T41" s="308"/>
      <c r="U41" s="304"/>
      <c r="V41" s="465"/>
      <c r="W41" s="304"/>
      <c r="X41" s="304"/>
      <c r="Y41" s="570"/>
      <c r="Z41" s="570"/>
      <c r="AA41" s="306">
        <f t="shared" si="8"/>
        <v>-108.51371747774192</v>
      </c>
      <c r="AB41" s="460">
        <f t="shared" si="9"/>
        <v>0.95478595105094088</v>
      </c>
      <c r="AC41" s="571"/>
    </row>
    <row r="42" spans="1:29" ht="15.75" customHeight="1">
      <c r="A42" s="585" t="s">
        <v>2116</v>
      </c>
      <c r="B42" s="300" t="s">
        <v>67</v>
      </c>
      <c r="C42" s="580" t="s">
        <v>68</v>
      </c>
      <c r="D42" s="581"/>
      <c r="E42" s="300">
        <v>21.13</v>
      </c>
      <c r="F42" s="466">
        <v>3100</v>
      </c>
      <c r="G42" s="457">
        <f t="shared" ref="G42:G51" si="31">E42*F42</f>
        <v>65503</v>
      </c>
      <c r="H42" s="468">
        <v>2</v>
      </c>
      <c r="I42" s="464">
        <v>10</v>
      </c>
      <c r="J42" s="303">
        <v>3000</v>
      </c>
      <c r="K42" s="304">
        <f t="shared" si="1"/>
        <v>300</v>
      </c>
      <c r="L42" s="464">
        <v>10</v>
      </c>
      <c r="M42" s="305">
        <f t="shared" ref="M42:M51" si="32">F42/V42*60</f>
        <v>2861.5384615384619</v>
      </c>
      <c r="N42" s="305">
        <f t="shared" si="3"/>
        <v>286.15384615384619</v>
      </c>
      <c r="O42" s="306">
        <f t="shared" si="4"/>
        <v>0</v>
      </c>
      <c r="P42" s="307">
        <f t="shared" si="5"/>
        <v>-13.846153846153811</v>
      </c>
      <c r="Q42" s="460">
        <f t="shared" si="6"/>
        <v>0.95384615384615401</v>
      </c>
      <c r="R42" s="582">
        <f>Q52</f>
        <v>0.95650128958773462</v>
      </c>
      <c r="S42" s="308">
        <v>8.3333333333333329E-2</v>
      </c>
      <c r="T42" s="308">
        <v>0.12847222222222221</v>
      </c>
      <c r="U42" s="315"/>
      <c r="V42" s="465">
        <f t="shared" ref="V42:V51" si="33">(T42-S42)*24*60</f>
        <v>64.999999999999986</v>
      </c>
      <c r="W42" s="310">
        <f>T42</f>
        <v>0.12847222222222221</v>
      </c>
      <c r="X42" s="310">
        <f>S43</f>
        <v>0.14930555555555555</v>
      </c>
      <c r="Y42" s="566"/>
      <c r="Z42" s="567"/>
      <c r="AA42" s="306">
        <f t="shared" si="8"/>
        <v>-138.46153846153811</v>
      </c>
      <c r="AB42" s="460">
        <f t="shared" si="9"/>
        <v>0.95384615384615401</v>
      </c>
      <c r="AC42" s="582">
        <f>AB52</f>
        <v>0.95650128958773462</v>
      </c>
    </row>
    <row r="43" spans="1:29" ht="15.75" customHeight="1">
      <c r="A43" s="586" t="s">
        <v>2116</v>
      </c>
      <c r="B43" s="300" t="s">
        <v>67</v>
      </c>
      <c r="C43" s="580" t="s">
        <v>69</v>
      </c>
      <c r="D43" s="581"/>
      <c r="E43" s="300">
        <v>27.17</v>
      </c>
      <c r="F43" s="466">
        <v>4000</v>
      </c>
      <c r="G43" s="457">
        <f t="shared" si="31"/>
        <v>108680</v>
      </c>
      <c r="H43" s="468">
        <v>2</v>
      </c>
      <c r="I43" s="464">
        <v>10</v>
      </c>
      <c r="J43" s="303">
        <v>3000</v>
      </c>
      <c r="K43" s="304">
        <f t="shared" si="1"/>
        <v>300</v>
      </c>
      <c r="L43" s="464">
        <v>10</v>
      </c>
      <c r="M43" s="305">
        <f t="shared" si="32"/>
        <v>2857.1428571428578</v>
      </c>
      <c r="N43" s="305">
        <f t="shared" si="3"/>
        <v>285.71428571428578</v>
      </c>
      <c r="O43" s="306">
        <f t="shared" si="4"/>
        <v>0</v>
      </c>
      <c r="P43" s="307">
        <f t="shared" si="5"/>
        <v>-14.285714285714221</v>
      </c>
      <c r="Q43" s="460">
        <f t="shared" si="6"/>
        <v>0.95238095238095255</v>
      </c>
      <c r="R43" s="583"/>
      <c r="S43" s="308">
        <v>0.14930555555555555</v>
      </c>
      <c r="T43" s="308">
        <v>0.20763888888888887</v>
      </c>
      <c r="U43" s="457">
        <f t="shared" ref="U43:U51" si="34">(S43-T42)*24*60</f>
        <v>30.000000000000014</v>
      </c>
      <c r="V43" s="465">
        <f t="shared" si="33"/>
        <v>83.999999999999986</v>
      </c>
      <c r="W43" s="310"/>
      <c r="X43" s="310"/>
      <c r="Y43" s="566"/>
      <c r="Z43" s="567"/>
      <c r="AA43" s="306">
        <f t="shared" si="8"/>
        <v>-142.85714285714221</v>
      </c>
      <c r="AB43" s="460">
        <f t="shared" si="9"/>
        <v>0.95238095238095255</v>
      </c>
      <c r="AC43" s="583"/>
    </row>
    <row r="44" spans="1:29" ht="15.75" customHeight="1">
      <c r="A44" s="586" t="s">
        <v>2116</v>
      </c>
      <c r="B44" s="300" t="s">
        <v>67</v>
      </c>
      <c r="C44" s="580" t="s">
        <v>70</v>
      </c>
      <c r="D44" s="581"/>
      <c r="E44" s="300">
        <v>35.119999999999997</v>
      </c>
      <c r="F44" s="466">
        <v>5110</v>
      </c>
      <c r="G44" s="457">
        <f t="shared" si="31"/>
        <v>179463.19999999998</v>
      </c>
      <c r="H44" s="468" t="s">
        <v>35</v>
      </c>
      <c r="I44" s="464">
        <v>10</v>
      </c>
      <c r="J44" s="303">
        <v>3000</v>
      </c>
      <c r="K44" s="304">
        <f t="shared" si="1"/>
        <v>300</v>
      </c>
      <c r="L44" s="464">
        <v>10</v>
      </c>
      <c r="M44" s="305">
        <f t="shared" si="32"/>
        <v>2865.4205607476633</v>
      </c>
      <c r="N44" s="305">
        <f t="shared" si="3"/>
        <v>286.54205607476632</v>
      </c>
      <c r="O44" s="306">
        <f t="shared" si="4"/>
        <v>0</v>
      </c>
      <c r="P44" s="307">
        <f t="shared" si="5"/>
        <v>-13.457943925233678</v>
      </c>
      <c r="Q44" s="460">
        <f t="shared" si="6"/>
        <v>0.95514018691588776</v>
      </c>
      <c r="R44" s="583"/>
      <c r="S44" s="308">
        <v>0.21111111111111108</v>
      </c>
      <c r="T44" s="308">
        <v>0.28541666666666665</v>
      </c>
      <c r="U44" s="457">
        <f t="shared" si="34"/>
        <v>4.9999999999999822</v>
      </c>
      <c r="V44" s="465">
        <f t="shared" si="33"/>
        <v>107.00000000000001</v>
      </c>
      <c r="W44" s="310"/>
      <c r="X44" s="310"/>
      <c r="Y44" s="566"/>
      <c r="Z44" s="567"/>
      <c r="AA44" s="306">
        <f t="shared" si="8"/>
        <v>-134.57943925233667</v>
      </c>
      <c r="AB44" s="460">
        <f t="shared" si="9"/>
        <v>0.95514018691588776</v>
      </c>
      <c r="AC44" s="583"/>
    </row>
    <row r="45" spans="1:29" ht="15.75" customHeight="1">
      <c r="A45" s="586" t="s">
        <v>2116</v>
      </c>
      <c r="B45" s="300" t="s">
        <v>67</v>
      </c>
      <c r="C45" s="580" t="s">
        <v>71</v>
      </c>
      <c r="D45" s="581"/>
      <c r="E45" s="300">
        <v>35.869999999999997</v>
      </c>
      <c r="F45" s="466">
        <v>3048</v>
      </c>
      <c r="G45" s="457">
        <f t="shared" si="31"/>
        <v>109331.76</v>
      </c>
      <c r="H45" s="468" t="s">
        <v>35</v>
      </c>
      <c r="I45" s="464">
        <v>10</v>
      </c>
      <c r="J45" s="303">
        <v>3000</v>
      </c>
      <c r="K45" s="304">
        <f t="shared" si="1"/>
        <v>300</v>
      </c>
      <c r="L45" s="464">
        <v>10</v>
      </c>
      <c r="M45" s="305">
        <f t="shared" si="32"/>
        <v>2857.4999999999995</v>
      </c>
      <c r="N45" s="305">
        <f t="shared" si="3"/>
        <v>285.74999999999994</v>
      </c>
      <c r="O45" s="306">
        <f t="shared" si="4"/>
        <v>0</v>
      </c>
      <c r="P45" s="307">
        <f t="shared" si="5"/>
        <v>-14.250000000000057</v>
      </c>
      <c r="Q45" s="460">
        <f t="shared" si="6"/>
        <v>0.95249999999999979</v>
      </c>
      <c r="R45" s="583"/>
      <c r="S45" s="308">
        <v>0.29027777777777775</v>
      </c>
      <c r="T45" s="308">
        <v>0.3347222222222222</v>
      </c>
      <c r="U45" s="457">
        <f t="shared" si="34"/>
        <v>6.9999999999999751</v>
      </c>
      <c r="V45" s="465">
        <f t="shared" si="33"/>
        <v>64.000000000000014</v>
      </c>
      <c r="W45" s="310"/>
      <c r="X45" s="310"/>
      <c r="Y45" s="566"/>
      <c r="Z45" s="567"/>
      <c r="AA45" s="306">
        <f t="shared" si="8"/>
        <v>-142.50000000000045</v>
      </c>
      <c r="AB45" s="460">
        <f t="shared" si="9"/>
        <v>0.9524999999999999</v>
      </c>
      <c r="AC45" s="583"/>
    </row>
    <row r="46" spans="1:29" ht="15.75" customHeight="1">
      <c r="A46" s="586" t="s">
        <v>2116</v>
      </c>
      <c r="B46" s="300" t="s">
        <v>67</v>
      </c>
      <c r="C46" s="580" t="s">
        <v>72</v>
      </c>
      <c r="D46" s="581"/>
      <c r="E46" s="300">
        <v>36.14</v>
      </c>
      <c r="F46" s="466">
        <v>1654</v>
      </c>
      <c r="G46" s="457">
        <f t="shared" si="31"/>
        <v>59775.56</v>
      </c>
      <c r="H46" s="468" t="s">
        <v>35</v>
      </c>
      <c r="I46" s="464">
        <v>8</v>
      </c>
      <c r="J46" s="303">
        <v>3000</v>
      </c>
      <c r="K46" s="304">
        <f t="shared" si="1"/>
        <v>375</v>
      </c>
      <c r="L46" s="464">
        <v>8</v>
      </c>
      <c r="M46" s="305">
        <f t="shared" si="32"/>
        <v>2918.823529411768</v>
      </c>
      <c r="N46" s="305">
        <f t="shared" si="3"/>
        <v>364.85294117647101</v>
      </c>
      <c r="O46" s="306">
        <f t="shared" si="4"/>
        <v>0</v>
      </c>
      <c r="P46" s="307">
        <f t="shared" si="5"/>
        <v>-10.147058823528994</v>
      </c>
      <c r="Q46" s="460">
        <f t="shared" si="6"/>
        <v>0.97294117647058931</v>
      </c>
      <c r="R46" s="583"/>
      <c r="S46" s="308">
        <v>0.33819444444444441</v>
      </c>
      <c r="T46" s="308">
        <v>0.36180555555555549</v>
      </c>
      <c r="U46" s="457">
        <f t="shared" si="34"/>
        <v>4.9999999999999822</v>
      </c>
      <c r="V46" s="465">
        <f t="shared" si="33"/>
        <v>33.999999999999957</v>
      </c>
      <c r="W46" s="310"/>
      <c r="X46" s="310"/>
      <c r="Y46" s="566"/>
      <c r="Z46" s="567"/>
      <c r="AA46" s="306">
        <f t="shared" si="8"/>
        <v>-81.17647058823195</v>
      </c>
      <c r="AB46" s="460">
        <f t="shared" si="9"/>
        <v>0.97294117647058931</v>
      </c>
      <c r="AC46" s="583"/>
    </row>
    <row r="47" spans="1:29" ht="15.75" customHeight="1">
      <c r="A47" s="586" t="s">
        <v>2116</v>
      </c>
      <c r="B47" s="300" t="s">
        <v>67</v>
      </c>
      <c r="C47" s="580" t="s">
        <v>664</v>
      </c>
      <c r="D47" s="581"/>
      <c r="E47" s="300">
        <v>34.36</v>
      </c>
      <c r="F47" s="466">
        <v>3323</v>
      </c>
      <c r="G47" s="457">
        <f t="shared" si="31"/>
        <v>114178.28</v>
      </c>
      <c r="H47" s="468" t="s">
        <v>35</v>
      </c>
      <c r="I47" s="464">
        <v>10</v>
      </c>
      <c r="J47" s="303">
        <v>3000</v>
      </c>
      <c r="K47" s="304">
        <f t="shared" si="1"/>
        <v>300</v>
      </c>
      <c r="L47" s="464">
        <v>10</v>
      </c>
      <c r="M47" s="305">
        <f t="shared" si="32"/>
        <v>2889.565217391304</v>
      </c>
      <c r="N47" s="305">
        <f t="shared" si="3"/>
        <v>288.95652173913038</v>
      </c>
      <c r="O47" s="306">
        <f t="shared" si="4"/>
        <v>0</v>
      </c>
      <c r="P47" s="307">
        <f t="shared" si="5"/>
        <v>-11.04347826086962</v>
      </c>
      <c r="Q47" s="460">
        <f t="shared" si="6"/>
        <v>0.9631884057971013</v>
      </c>
      <c r="R47" s="583"/>
      <c r="S47" s="308">
        <v>0.36597222222222214</v>
      </c>
      <c r="T47" s="308">
        <v>0.41388888888888881</v>
      </c>
      <c r="U47" s="457">
        <f t="shared" si="34"/>
        <v>5.9999999999999787</v>
      </c>
      <c r="V47" s="465">
        <f t="shared" si="33"/>
        <v>69</v>
      </c>
      <c r="W47" s="310"/>
      <c r="X47" s="310"/>
      <c r="Y47" s="566"/>
      <c r="Z47" s="567"/>
      <c r="AA47" s="306">
        <f t="shared" si="8"/>
        <v>-110.43478260869597</v>
      </c>
      <c r="AB47" s="460">
        <f t="shared" si="9"/>
        <v>0.9631884057971013</v>
      </c>
      <c r="AC47" s="583"/>
    </row>
    <row r="48" spans="1:29" ht="15.75" customHeight="1">
      <c r="A48" s="586" t="s">
        <v>2116</v>
      </c>
      <c r="B48" s="300" t="s">
        <v>67</v>
      </c>
      <c r="C48" s="580" t="s">
        <v>2117</v>
      </c>
      <c r="D48" s="581"/>
      <c r="E48" s="300">
        <v>31</v>
      </c>
      <c r="F48" s="466">
        <v>4200</v>
      </c>
      <c r="G48" s="457">
        <f t="shared" si="31"/>
        <v>130200</v>
      </c>
      <c r="H48" s="468">
        <v>2</v>
      </c>
      <c r="I48" s="464">
        <v>13</v>
      </c>
      <c r="J48" s="303">
        <v>2000</v>
      </c>
      <c r="K48" s="304">
        <f t="shared" si="1"/>
        <v>153.84615384615384</v>
      </c>
      <c r="L48" s="464">
        <v>13</v>
      </c>
      <c r="M48" s="305">
        <f t="shared" si="32"/>
        <v>1909.0909090909099</v>
      </c>
      <c r="N48" s="305">
        <f t="shared" si="3"/>
        <v>146.85314685314691</v>
      </c>
      <c r="O48" s="306">
        <f t="shared" si="4"/>
        <v>0</v>
      </c>
      <c r="P48" s="307">
        <f t="shared" si="5"/>
        <v>-6.9930069930069294</v>
      </c>
      <c r="Q48" s="460">
        <f t="shared" si="6"/>
        <v>0.95454545454545492</v>
      </c>
      <c r="R48" s="583"/>
      <c r="S48" s="308">
        <v>0.41736111111111102</v>
      </c>
      <c r="T48" s="308">
        <v>0.50902777777777763</v>
      </c>
      <c r="U48" s="457">
        <f t="shared" si="34"/>
        <v>4.9999999999999822</v>
      </c>
      <c r="V48" s="465">
        <f t="shared" si="33"/>
        <v>131.99999999999994</v>
      </c>
      <c r="W48" s="310">
        <f>T48</f>
        <v>0.50902777777777763</v>
      </c>
      <c r="X48" s="310">
        <f>S49</f>
        <v>0.54722222222222205</v>
      </c>
      <c r="Y48" s="566"/>
      <c r="Z48" s="567"/>
      <c r="AA48" s="306">
        <f t="shared" si="8"/>
        <v>-90.909090909090082</v>
      </c>
      <c r="AB48" s="460">
        <f t="shared" si="9"/>
        <v>0.95454545454545492</v>
      </c>
      <c r="AC48" s="583"/>
    </row>
    <row r="49" spans="1:29" ht="15.75" customHeight="1">
      <c r="A49" s="586" t="s">
        <v>2116</v>
      </c>
      <c r="B49" s="300" t="s">
        <v>67</v>
      </c>
      <c r="C49" s="580" t="s">
        <v>2117</v>
      </c>
      <c r="D49" s="581"/>
      <c r="E49" s="300">
        <v>31</v>
      </c>
      <c r="F49" s="466">
        <v>5124</v>
      </c>
      <c r="G49" s="457">
        <f t="shared" si="31"/>
        <v>158844</v>
      </c>
      <c r="H49" s="468" t="s">
        <v>35</v>
      </c>
      <c r="I49" s="464">
        <v>13</v>
      </c>
      <c r="J49" s="303">
        <v>2000</v>
      </c>
      <c r="K49" s="304">
        <f t="shared" si="1"/>
        <v>153.84615384615384</v>
      </c>
      <c r="L49" s="464">
        <v>13</v>
      </c>
      <c r="M49" s="305">
        <f t="shared" si="32"/>
        <v>1909.5652173913054</v>
      </c>
      <c r="N49" s="305">
        <f t="shared" si="3"/>
        <v>146.88963210702349</v>
      </c>
      <c r="O49" s="306">
        <f t="shared" si="4"/>
        <v>0</v>
      </c>
      <c r="P49" s="307">
        <f t="shared" si="5"/>
        <v>-6.956521739130352</v>
      </c>
      <c r="Q49" s="460">
        <f t="shared" si="6"/>
        <v>0.95478260869565268</v>
      </c>
      <c r="R49" s="583"/>
      <c r="S49" s="308">
        <v>0.54722222222222205</v>
      </c>
      <c r="T49" s="308">
        <v>0.65902777777777755</v>
      </c>
      <c r="U49" s="457">
        <f t="shared" si="34"/>
        <v>54.999999999999964</v>
      </c>
      <c r="V49" s="465">
        <f t="shared" si="33"/>
        <v>160.99999999999991</v>
      </c>
      <c r="W49" s="310"/>
      <c r="X49" s="310"/>
      <c r="Y49" s="566"/>
      <c r="Z49" s="567"/>
      <c r="AA49" s="306">
        <f t="shared" si="8"/>
        <v>-90.434782608694604</v>
      </c>
      <c r="AB49" s="460">
        <f t="shared" si="9"/>
        <v>0.95478260869565268</v>
      </c>
      <c r="AC49" s="583"/>
    </row>
    <row r="50" spans="1:29" ht="15.75" customHeight="1">
      <c r="A50" s="586" t="s">
        <v>2116</v>
      </c>
      <c r="B50" s="300" t="s">
        <v>67</v>
      </c>
      <c r="C50" s="580" t="s">
        <v>69</v>
      </c>
      <c r="D50" s="581"/>
      <c r="E50" s="300">
        <v>27.17</v>
      </c>
      <c r="F50" s="466">
        <v>3001</v>
      </c>
      <c r="G50" s="457">
        <f t="shared" si="31"/>
        <v>81537.17</v>
      </c>
      <c r="H50" s="468" t="s">
        <v>35</v>
      </c>
      <c r="I50" s="464">
        <v>10</v>
      </c>
      <c r="J50" s="303">
        <v>3000</v>
      </c>
      <c r="K50" s="304">
        <f t="shared" si="1"/>
        <v>300</v>
      </c>
      <c r="L50" s="464">
        <v>10</v>
      </c>
      <c r="M50" s="305">
        <f t="shared" si="32"/>
        <v>2858.0952380952408</v>
      </c>
      <c r="N50" s="305">
        <f t="shared" si="3"/>
        <v>285.80952380952408</v>
      </c>
      <c r="O50" s="306">
        <f t="shared" si="4"/>
        <v>0</v>
      </c>
      <c r="P50" s="307">
        <f t="shared" si="5"/>
        <v>-14.19047619047592</v>
      </c>
      <c r="Q50" s="460">
        <f t="shared" si="6"/>
        <v>0.9526984126984136</v>
      </c>
      <c r="R50" s="583"/>
      <c r="S50" s="308">
        <v>0.66249999999999976</v>
      </c>
      <c r="T50" s="308">
        <v>0.70624999999999971</v>
      </c>
      <c r="U50" s="457">
        <f t="shared" si="34"/>
        <v>4.9999999999999822</v>
      </c>
      <c r="V50" s="465">
        <f t="shared" si="33"/>
        <v>62.999999999999936</v>
      </c>
      <c r="W50" s="310"/>
      <c r="X50" s="310"/>
      <c r="Y50" s="566"/>
      <c r="Z50" s="567"/>
      <c r="AA50" s="306">
        <f t="shared" si="8"/>
        <v>-141.9047619047592</v>
      </c>
      <c r="AB50" s="460">
        <f t="shared" si="9"/>
        <v>0.9526984126984136</v>
      </c>
      <c r="AC50" s="583"/>
    </row>
    <row r="51" spans="1:29" ht="15.75" customHeight="1">
      <c r="A51" s="586" t="s">
        <v>2116</v>
      </c>
      <c r="B51" s="300" t="s">
        <v>67</v>
      </c>
      <c r="C51" s="580" t="s">
        <v>68</v>
      </c>
      <c r="D51" s="581"/>
      <c r="E51" s="300">
        <v>21.13</v>
      </c>
      <c r="F51" s="466">
        <v>2427</v>
      </c>
      <c r="G51" s="457">
        <f t="shared" si="31"/>
        <v>51282.509999999995</v>
      </c>
      <c r="H51" s="468" t="s">
        <v>35</v>
      </c>
      <c r="I51" s="464">
        <v>10</v>
      </c>
      <c r="J51" s="303">
        <v>3000</v>
      </c>
      <c r="K51" s="304">
        <f t="shared" si="1"/>
        <v>300</v>
      </c>
      <c r="L51" s="464">
        <v>10</v>
      </c>
      <c r="M51" s="305">
        <f t="shared" si="32"/>
        <v>2855.2941176470599</v>
      </c>
      <c r="N51" s="305">
        <f t="shared" si="3"/>
        <v>285.52941176470597</v>
      </c>
      <c r="O51" s="306">
        <f t="shared" si="4"/>
        <v>0</v>
      </c>
      <c r="P51" s="307">
        <f t="shared" si="5"/>
        <v>-14.470588235294031</v>
      </c>
      <c r="Q51" s="460">
        <f t="shared" si="6"/>
        <v>0.95176470588235318</v>
      </c>
      <c r="R51" s="583"/>
      <c r="S51" s="308">
        <v>0.71041666666666636</v>
      </c>
      <c r="T51" s="308">
        <v>0.74583333333333302</v>
      </c>
      <c r="U51" s="457">
        <f t="shared" si="34"/>
        <v>5.9999999999999787</v>
      </c>
      <c r="V51" s="465">
        <f t="shared" si="33"/>
        <v>50.999999999999979</v>
      </c>
      <c r="W51" s="310"/>
      <c r="X51" s="310"/>
      <c r="Y51" s="566"/>
      <c r="Z51" s="567"/>
      <c r="AA51" s="306">
        <f t="shared" si="8"/>
        <v>-144.70588235294008</v>
      </c>
      <c r="AB51" s="460">
        <f t="shared" si="9"/>
        <v>0.95176470588235329</v>
      </c>
      <c r="AC51" s="583"/>
    </row>
    <row r="52" spans="1:29" ht="15.75" customHeight="1">
      <c r="A52" s="587" t="s">
        <v>2116</v>
      </c>
      <c r="B52" s="300" t="s">
        <v>2108</v>
      </c>
      <c r="C52" s="568"/>
      <c r="D52" s="569"/>
      <c r="E52" s="456"/>
      <c r="F52" s="466"/>
      <c r="G52" s="457"/>
      <c r="H52" s="466"/>
      <c r="I52" s="314">
        <v>10.4</v>
      </c>
      <c r="J52" s="303">
        <v>2800</v>
      </c>
      <c r="K52" s="304">
        <f t="shared" si="1"/>
        <v>269.23076923076923</v>
      </c>
      <c r="L52" s="314">
        <v>10.4</v>
      </c>
      <c r="M52" s="305">
        <f>AVERAGE(M42:M51)</f>
        <v>2678.2036108456568</v>
      </c>
      <c r="N52" s="304">
        <f t="shared" si="3"/>
        <v>257.51957796592853</v>
      </c>
      <c r="O52" s="306">
        <f t="shared" si="4"/>
        <v>0</v>
      </c>
      <c r="P52" s="307">
        <f t="shared" si="5"/>
        <v>-11.711191264840693</v>
      </c>
      <c r="Q52" s="460">
        <f t="shared" si="6"/>
        <v>0.95650128958773462</v>
      </c>
      <c r="R52" s="584"/>
      <c r="S52" s="308"/>
      <c r="T52" s="308"/>
      <c r="U52" s="457"/>
      <c r="V52" s="465"/>
      <c r="W52" s="310"/>
      <c r="X52" s="310"/>
      <c r="Y52" s="566"/>
      <c r="Z52" s="567"/>
      <c r="AA52" s="306">
        <f t="shared" si="8"/>
        <v>-121.79638915434316</v>
      </c>
      <c r="AB52" s="460">
        <f t="shared" si="9"/>
        <v>0.95650128958773462</v>
      </c>
      <c r="AC52" s="584"/>
    </row>
    <row r="53" spans="1:29" ht="15.75" customHeight="1">
      <c r="A53" s="578" t="s">
        <v>2118</v>
      </c>
      <c r="B53" s="300" t="s">
        <v>40</v>
      </c>
      <c r="C53" s="565" t="s">
        <v>73</v>
      </c>
      <c r="D53" s="565"/>
      <c r="E53" s="300">
        <v>46</v>
      </c>
      <c r="F53" s="317">
        <v>3010</v>
      </c>
      <c r="G53" s="457">
        <f t="shared" ref="G53:G57" si="35">E53*F53</f>
        <v>138460</v>
      </c>
      <c r="H53" s="468" t="s">
        <v>35</v>
      </c>
      <c r="I53" s="464">
        <v>17</v>
      </c>
      <c r="J53" s="303">
        <v>2000</v>
      </c>
      <c r="K53" s="304">
        <f t="shared" si="1"/>
        <v>117.64705882352941</v>
      </c>
      <c r="L53" s="464">
        <v>17</v>
      </c>
      <c r="M53" s="305">
        <f t="shared" ref="M53:M57" si="36">F53/V53*60</f>
        <v>1921.2765957446804</v>
      </c>
      <c r="N53" s="305">
        <f t="shared" si="3"/>
        <v>113.01627033792238</v>
      </c>
      <c r="O53" s="306">
        <f t="shared" si="4"/>
        <v>0</v>
      </c>
      <c r="P53" s="307">
        <f t="shared" si="5"/>
        <v>-4.6307884856070274</v>
      </c>
      <c r="Q53" s="460">
        <f t="shared" si="6"/>
        <v>0.96063829787234023</v>
      </c>
      <c r="R53" s="571">
        <f>Q58</f>
        <v>0.95653861255638972</v>
      </c>
      <c r="S53" s="308">
        <v>0.20833333333333334</v>
      </c>
      <c r="T53" s="308">
        <v>0.27361111111111114</v>
      </c>
      <c r="U53" s="315"/>
      <c r="V53" s="465">
        <f t="shared" ref="V53:V57" si="37">(T53-S53)*24*60</f>
        <v>94.000000000000028</v>
      </c>
      <c r="W53" s="315"/>
      <c r="X53" s="315"/>
      <c r="Y53" s="570"/>
      <c r="Z53" s="570"/>
      <c r="AA53" s="306">
        <f t="shared" si="8"/>
        <v>-78.723404255319565</v>
      </c>
      <c r="AB53" s="460">
        <f t="shared" si="9"/>
        <v>0.96063829787234023</v>
      </c>
      <c r="AC53" s="571">
        <f>AB58</f>
        <v>0.95653861255638972</v>
      </c>
    </row>
    <row r="54" spans="1:29" ht="15.75" customHeight="1">
      <c r="A54" s="578" t="s">
        <v>2118</v>
      </c>
      <c r="B54" s="300" t="s">
        <v>40</v>
      </c>
      <c r="C54" s="565" t="s">
        <v>74</v>
      </c>
      <c r="D54" s="565"/>
      <c r="E54" s="300">
        <v>46</v>
      </c>
      <c r="F54" s="317">
        <v>3119</v>
      </c>
      <c r="G54" s="457">
        <f t="shared" si="35"/>
        <v>143474</v>
      </c>
      <c r="H54" s="468" t="s">
        <v>35</v>
      </c>
      <c r="I54" s="464">
        <v>17</v>
      </c>
      <c r="J54" s="303">
        <v>2000</v>
      </c>
      <c r="K54" s="304">
        <f t="shared" si="1"/>
        <v>117.64705882352941</v>
      </c>
      <c r="L54" s="464">
        <v>17</v>
      </c>
      <c r="M54" s="305">
        <f t="shared" si="36"/>
        <v>1909.5918367346944</v>
      </c>
      <c r="N54" s="305">
        <f t="shared" si="3"/>
        <v>112.32893157262909</v>
      </c>
      <c r="O54" s="306">
        <f t="shared" si="4"/>
        <v>0</v>
      </c>
      <c r="P54" s="307">
        <f t="shared" si="5"/>
        <v>-5.3181272509003179</v>
      </c>
      <c r="Q54" s="460">
        <f t="shared" si="6"/>
        <v>0.95479591836734734</v>
      </c>
      <c r="R54" s="571"/>
      <c r="S54" s="308">
        <v>0.27777777777777779</v>
      </c>
      <c r="T54" s="308">
        <v>0.34583333333333333</v>
      </c>
      <c r="U54" s="457">
        <f t="shared" ref="U54:U57" si="38">IF(S54=TIME(17,0,0),"",(S54-T53)*24*60)</f>
        <v>5.9999999999999787</v>
      </c>
      <c r="V54" s="465">
        <f t="shared" si="37"/>
        <v>97.999999999999972</v>
      </c>
      <c r="W54" s="310"/>
      <c r="X54" s="310"/>
      <c r="Y54" s="570"/>
      <c r="Z54" s="570"/>
      <c r="AA54" s="306">
        <f t="shared" si="8"/>
        <v>-90.408163265305575</v>
      </c>
      <c r="AB54" s="460">
        <f t="shared" si="9"/>
        <v>0.95479591836734723</v>
      </c>
      <c r="AC54" s="571"/>
    </row>
    <row r="55" spans="1:29" ht="15.75" customHeight="1">
      <c r="A55" s="578" t="s">
        <v>2118</v>
      </c>
      <c r="B55" s="300" t="s">
        <v>36</v>
      </c>
      <c r="C55" s="580" t="s">
        <v>76</v>
      </c>
      <c r="D55" s="581"/>
      <c r="E55" s="300">
        <v>55.56</v>
      </c>
      <c r="F55" s="317">
        <v>2486</v>
      </c>
      <c r="G55" s="457">
        <f t="shared" si="35"/>
        <v>138122.16</v>
      </c>
      <c r="H55" s="468" t="s">
        <v>35</v>
      </c>
      <c r="I55" s="464">
        <v>17</v>
      </c>
      <c r="J55" s="303">
        <v>2000</v>
      </c>
      <c r="K55" s="304">
        <f t="shared" si="1"/>
        <v>117.64705882352941</v>
      </c>
      <c r="L55" s="464">
        <v>17</v>
      </c>
      <c r="M55" s="305">
        <f t="shared" si="36"/>
        <v>1912.3076923076912</v>
      </c>
      <c r="N55" s="305">
        <f t="shared" si="3"/>
        <v>112.48868778280537</v>
      </c>
      <c r="O55" s="306">
        <f t="shared" si="4"/>
        <v>0</v>
      </c>
      <c r="P55" s="307">
        <f t="shared" si="5"/>
        <v>-5.1583710407240346</v>
      </c>
      <c r="Q55" s="460">
        <f t="shared" si="6"/>
        <v>0.95615384615384569</v>
      </c>
      <c r="R55" s="571"/>
      <c r="S55" s="308">
        <v>0.70833333333333337</v>
      </c>
      <c r="T55" s="308">
        <v>0.76250000000000007</v>
      </c>
      <c r="U55" s="457" t="str">
        <f t="shared" si="38"/>
        <v/>
      </c>
      <c r="V55" s="465">
        <f t="shared" si="37"/>
        <v>78.000000000000043</v>
      </c>
      <c r="W55" s="310"/>
      <c r="X55" s="310"/>
      <c r="Y55" s="458"/>
      <c r="Z55" s="459"/>
      <c r="AA55" s="306">
        <f t="shared" si="8"/>
        <v>-87.692307692308759</v>
      </c>
      <c r="AB55" s="460">
        <f t="shared" si="9"/>
        <v>0.95615384615384558</v>
      </c>
      <c r="AC55" s="571"/>
    </row>
    <row r="56" spans="1:29" ht="15.75" customHeight="1">
      <c r="A56" s="578" t="s">
        <v>2118</v>
      </c>
      <c r="B56" s="300" t="s">
        <v>36</v>
      </c>
      <c r="C56" s="462" t="s">
        <v>77</v>
      </c>
      <c r="D56" s="463"/>
      <c r="E56" s="300">
        <v>55.32</v>
      </c>
      <c r="F56" s="317">
        <v>2100</v>
      </c>
      <c r="G56" s="457">
        <f t="shared" si="35"/>
        <v>116172</v>
      </c>
      <c r="H56" s="468" t="s">
        <v>35</v>
      </c>
      <c r="I56" s="464">
        <v>15</v>
      </c>
      <c r="J56" s="303">
        <v>2000</v>
      </c>
      <c r="K56" s="304">
        <f t="shared" si="1"/>
        <v>133.33333333333334</v>
      </c>
      <c r="L56" s="464">
        <v>15</v>
      </c>
      <c r="M56" s="305">
        <f t="shared" si="36"/>
        <v>1909.0909090909111</v>
      </c>
      <c r="N56" s="305">
        <f t="shared" si="3"/>
        <v>127.27272727272741</v>
      </c>
      <c r="O56" s="306">
        <f t="shared" si="4"/>
        <v>0</v>
      </c>
      <c r="P56" s="307">
        <f t="shared" si="5"/>
        <v>-6.0606060606059344</v>
      </c>
      <c r="Q56" s="460">
        <f t="shared" si="6"/>
        <v>0.95454545454545547</v>
      </c>
      <c r="R56" s="571"/>
      <c r="S56" s="308">
        <v>0.7680555555555556</v>
      </c>
      <c r="T56" s="308">
        <v>0.81388888888888888</v>
      </c>
      <c r="U56" s="457">
        <f t="shared" si="38"/>
        <v>7.9999999999999716</v>
      </c>
      <c r="V56" s="465">
        <f t="shared" si="37"/>
        <v>65.999999999999929</v>
      </c>
      <c r="W56" s="310"/>
      <c r="X56" s="310"/>
      <c r="Y56" s="458"/>
      <c r="Z56" s="459"/>
      <c r="AA56" s="306">
        <f t="shared" si="8"/>
        <v>-90.909090909088945</v>
      </c>
      <c r="AB56" s="460">
        <f t="shared" si="9"/>
        <v>0.95454545454545547</v>
      </c>
      <c r="AC56" s="571"/>
    </row>
    <row r="57" spans="1:29" ht="15.75" customHeight="1">
      <c r="A57" s="578" t="s">
        <v>2118</v>
      </c>
      <c r="B57" s="300" t="s">
        <v>36</v>
      </c>
      <c r="C57" s="462" t="s">
        <v>1977</v>
      </c>
      <c r="D57" s="463"/>
      <c r="E57" s="300">
        <v>55.12</v>
      </c>
      <c r="F57" s="317">
        <v>5572</v>
      </c>
      <c r="G57" s="457">
        <f t="shared" si="35"/>
        <v>307128.64</v>
      </c>
      <c r="H57" s="468" t="s">
        <v>35</v>
      </c>
      <c r="I57" s="464">
        <v>16</v>
      </c>
      <c r="J57" s="303">
        <v>1500</v>
      </c>
      <c r="K57" s="304">
        <f t="shared" si="1"/>
        <v>93.75</v>
      </c>
      <c r="L57" s="464">
        <v>16</v>
      </c>
      <c r="M57" s="305">
        <f t="shared" si="36"/>
        <v>1434.8497854077257</v>
      </c>
      <c r="N57" s="305">
        <f t="shared" si="3"/>
        <v>89.678111587982855</v>
      </c>
      <c r="O57" s="306">
        <f t="shared" si="4"/>
        <v>0</v>
      </c>
      <c r="P57" s="307">
        <f t="shared" si="5"/>
        <v>-4.0718884120171452</v>
      </c>
      <c r="Q57" s="460">
        <f t="shared" si="6"/>
        <v>0.95656652360515049</v>
      </c>
      <c r="R57" s="571"/>
      <c r="S57" s="308">
        <v>0.81805555555555554</v>
      </c>
      <c r="T57" s="308">
        <v>0.97986111111111107</v>
      </c>
      <c r="U57" s="457">
        <f t="shared" si="38"/>
        <v>5.9999999999999787</v>
      </c>
      <c r="V57" s="465">
        <f t="shared" si="37"/>
        <v>232.99999999999997</v>
      </c>
      <c r="W57" s="310"/>
      <c r="X57" s="310"/>
      <c r="Y57" s="458"/>
      <c r="Z57" s="459"/>
      <c r="AA57" s="306">
        <f t="shared" si="8"/>
        <v>-65.150214592274324</v>
      </c>
      <c r="AB57" s="460">
        <f t="shared" si="9"/>
        <v>0.95656652360515049</v>
      </c>
      <c r="AC57" s="571"/>
    </row>
    <row r="58" spans="1:29">
      <c r="A58" s="579" t="s">
        <v>2118</v>
      </c>
      <c r="B58" s="300" t="s">
        <v>2108</v>
      </c>
      <c r="C58" s="572"/>
      <c r="D58" s="572"/>
      <c r="E58" s="461"/>
      <c r="F58" s="313"/>
      <c r="G58" s="304"/>
      <c r="H58" s="466"/>
      <c r="I58" s="314">
        <v>16.399999999999999</v>
      </c>
      <c r="J58" s="303">
        <v>1900</v>
      </c>
      <c r="K58" s="304">
        <f t="shared" si="1"/>
        <v>115.85365853658537</v>
      </c>
      <c r="L58" s="314">
        <v>16.399999999999999</v>
      </c>
      <c r="M58" s="305">
        <f>AVERAGE(M53:M57)</f>
        <v>1817.4233638571404</v>
      </c>
      <c r="N58" s="304">
        <f t="shared" si="3"/>
        <v>110.81849779616711</v>
      </c>
      <c r="O58" s="306">
        <f t="shared" si="4"/>
        <v>0</v>
      </c>
      <c r="P58" s="307">
        <f t="shared" si="5"/>
        <v>-5.035160740418263</v>
      </c>
      <c r="Q58" s="460">
        <f t="shared" si="6"/>
        <v>0.95653861255638972</v>
      </c>
      <c r="R58" s="571"/>
      <c r="S58" s="322"/>
      <c r="T58" s="308"/>
      <c r="U58" s="304"/>
      <c r="V58" s="465"/>
      <c r="W58" s="304"/>
      <c r="X58" s="304"/>
      <c r="Y58" s="570"/>
      <c r="Z58" s="570"/>
      <c r="AA58" s="306">
        <f t="shared" si="8"/>
        <v>-82.57663614285957</v>
      </c>
      <c r="AB58" s="460">
        <f t="shared" si="9"/>
        <v>0.95653861255638972</v>
      </c>
      <c r="AC58" s="571"/>
    </row>
    <row r="59" spans="1:29" ht="15.75" customHeight="1">
      <c r="A59" s="576" t="s">
        <v>2119</v>
      </c>
      <c r="B59" s="466" t="s">
        <v>40</v>
      </c>
      <c r="C59" s="565" t="s">
        <v>82</v>
      </c>
      <c r="D59" s="565"/>
      <c r="E59" s="300">
        <v>26.97</v>
      </c>
      <c r="F59" s="317">
        <v>3459</v>
      </c>
      <c r="G59" s="457">
        <f t="shared" ref="G59:G64" si="39">E59*F59</f>
        <v>93289.23</v>
      </c>
      <c r="H59" s="468" t="s">
        <v>35</v>
      </c>
      <c r="I59" s="464">
        <v>8</v>
      </c>
      <c r="J59" s="303">
        <v>1500</v>
      </c>
      <c r="K59" s="304">
        <f t="shared" si="1"/>
        <v>187.5</v>
      </c>
      <c r="L59" s="464">
        <v>8</v>
      </c>
      <c r="M59" s="305">
        <f t="shared" ref="M59:M64" si="40">F59/V59*60</f>
        <v>1431.3103448275861</v>
      </c>
      <c r="N59" s="304">
        <f t="shared" si="3"/>
        <v>178.91379310344826</v>
      </c>
      <c r="O59" s="306">
        <f t="shared" si="4"/>
        <v>0</v>
      </c>
      <c r="P59" s="307">
        <f t="shared" si="5"/>
        <v>-8.5862068965517437</v>
      </c>
      <c r="Q59" s="460">
        <f t="shared" si="6"/>
        <v>0.95420689655172408</v>
      </c>
      <c r="R59" s="571">
        <f>Q65</f>
        <v>0.95626433234665698</v>
      </c>
      <c r="S59" s="308">
        <v>0.20833333333333334</v>
      </c>
      <c r="T59" s="308">
        <v>0.30902777777777779</v>
      </c>
      <c r="U59" s="457"/>
      <c r="V59" s="465">
        <f t="shared" ref="V59:V64" si="41">(T59-S59)*24*60</f>
        <v>145.00000000000003</v>
      </c>
      <c r="W59" s="315"/>
      <c r="X59" s="315"/>
      <c r="Y59" s="570"/>
      <c r="Z59" s="570"/>
      <c r="AA59" s="306">
        <f t="shared" si="8"/>
        <v>-68.68965517241395</v>
      </c>
      <c r="AB59" s="460">
        <f t="shared" si="9"/>
        <v>0.95420689655172408</v>
      </c>
      <c r="AC59" s="571">
        <f>AB65</f>
        <v>0.9562643323466572</v>
      </c>
    </row>
    <row r="60" spans="1:29" ht="15.75" customHeight="1">
      <c r="A60" s="576" t="s">
        <v>2120</v>
      </c>
      <c r="B60" s="466" t="s">
        <v>67</v>
      </c>
      <c r="C60" s="565" t="s">
        <v>79</v>
      </c>
      <c r="D60" s="565"/>
      <c r="E60" s="300">
        <v>26.78</v>
      </c>
      <c r="F60" s="317">
        <v>2863</v>
      </c>
      <c r="G60" s="457">
        <f t="shared" si="39"/>
        <v>76671.14</v>
      </c>
      <c r="H60" s="468" t="s">
        <v>35</v>
      </c>
      <c r="I60" s="464">
        <v>10</v>
      </c>
      <c r="J60" s="303">
        <v>3000</v>
      </c>
      <c r="K60" s="304">
        <f t="shared" si="1"/>
        <v>300</v>
      </c>
      <c r="L60" s="464">
        <v>10</v>
      </c>
      <c r="M60" s="305">
        <f t="shared" si="40"/>
        <v>2862.9999999999986</v>
      </c>
      <c r="N60" s="304">
        <f t="shared" si="3"/>
        <v>286.29999999999984</v>
      </c>
      <c r="O60" s="306">
        <f t="shared" si="4"/>
        <v>0</v>
      </c>
      <c r="P60" s="307">
        <f t="shared" si="5"/>
        <v>-13.700000000000159</v>
      </c>
      <c r="Q60" s="460">
        <f t="shared" si="6"/>
        <v>0.95433333333333281</v>
      </c>
      <c r="R60" s="571"/>
      <c r="S60" s="308">
        <v>0.3125</v>
      </c>
      <c r="T60" s="308">
        <v>0.35416666666666669</v>
      </c>
      <c r="U60" s="457">
        <f t="shared" ref="U60:U64" si="42">(S60-T59)*24*60</f>
        <v>4.9999999999999822</v>
      </c>
      <c r="V60" s="465">
        <f t="shared" si="41"/>
        <v>60.000000000000028</v>
      </c>
      <c r="W60" s="457"/>
      <c r="X60" s="457"/>
      <c r="Y60" s="570"/>
      <c r="Z60" s="570"/>
      <c r="AA60" s="306">
        <f t="shared" si="8"/>
        <v>-137.00000000000136</v>
      </c>
      <c r="AB60" s="460">
        <f t="shared" si="9"/>
        <v>0.95433333333333292</v>
      </c>
      <c r="AC60" s="571"/>
    </row>
    <row r="61" spans="1:29" ht="15.75" customHeight="1">
      <c r="A61" s="576" t="s">
        <v>2120</v>
      </c>
      <c r="B61" s="466" t="s">
        <v>67</v>
      </c>
      <c r="C61" s="565" t="s">
        <v>83</v>
      </c>
      <c r="D61" s="565"/>
      <c r="E61" s="300">
        <v>35.369999999999997</v>
      </c>
      <c r="F61" s="317">
        <v>1684</v>
      </c>
      <c r="G61" s="457">
        <f t="shared" si="39"/>
        <v>59563.079999999994</v>
      </c>
      <c r="H61" s="468" t="s">
        <v>35</v>
      </c>
      <c r="I61" s="464">
        <v>10</v>
      </c>
      <c r="J61" s="303">
        <v>3000</v>
      </c>
      <c r="K61" s="304">
        <f t="shared" si="1"/>
        <v>300</v>
      </c>
      <c r="L61" s="464">
        <v>10</v>
      </c>
      <c r="M61" s="305">
        <f t="shared" si="40"/>
        <v>2886.8571428571399</v>
      </c>
      <c r="N61" s="304">
        <f t="shared" si="3"/>
        <v>288.68571428571397</v>
      </c>
      <c r="O61" s="306">
        <f t="shared" si="4"/>
        <v>0</v>
      </c>
      <c r="P61" s="307">
        <f t="shared" si="5"/>
        <v>-11.314285714286029</v>
      </c>
      <c r="Q61" s="460">
        <f t="shared" si="6"/>
        <v>0.96228571428571319</v>
      </c>
      <c r="R61" s="571"/>
      <c r="S61" s="308">
        <v>0.35833333333333334</v>
      </c>
      <c r="T61" s="308">
        <v>0.38263888888888892</v>
      </c>
      <c r="U61" s="457">
        <f t="shared" si="42"/>
        <v>5.9999999999999787</v>
      </c>
      <c r="V61" s="465">
        <f t="shared" si="41"/>
        <v>35.000000000000036</v>
      </c>
      <c r="W61" s="457"/>
      <c r="X61" s="457"/>
      <c r="Y61" s="570"/>
      <c r="Z61" s="570"/>
      <c r="AA61" s="306">
        <f t="shared" si="8"/>
        <v>-113.14285714286007</v>
      </c>
      <c r="AB61" s="460">
        <f t="shared" si="9"/>
        <v>0.9622857142857133</v>
      </c>
      <c r="AC61" s="571"/>
    </row>
    <row r="62" spans="1:29" ht="15.75" customHeight="1">
      <c r="A62" s="576" t="s">
        <v>2120</v>
      </c>
      <c r="B62" s="466" t="s">
        <v>67</v>
      </c>
      <c r="C62" s="565" t="s">
        <v>666</v>
      </c>
      <c r="D62" s="565"/>
      <c r="E62" s="300">
        <v>37.880000000000003</v>
      </c>
      <c r="F62" s="317">
        <v>4298</v>
      </c>
      <c r="G62" s="457">
        <f t="shared" si="39"/>
        <v>162808.24000000002</v>
      </c>
      <c r="H62" s="468" t="s">
        <v>35</v>
      </c>
      <c r="I62" s="464">
        <v>11</v>
      </c>
      <c r="J62" s="303">
        <v>3000</v>
      </c>
      <c r="K62" s="304">
        <f t="shared" si="1"/>
        <v>272.72727272727275</v>
      </c>
      <c r="L62" s="464">
        <v>11</v>
      </c>
      <c r="M62" s="305">
        <f t="shared" si="40"/>
        <v>2865.333333333333</v>
      </c>
      <c r="N62" s="304">
        <f t="shared" si="3"/>
        <v>260.48484848484844</v>
      </c>
      <c r="O62" s="306">
        <f t="shared" si="4"/>
        <v>0</v>
      </c>
      <c r="P62" s="307">
        <f t="shared" si="5"/>
        <v>-12.242424242424306</v>
      </c>
      <c r="Q62" s="460">
        <f t="shared" si="6"/>
        <v>0.95511111111111091</v>
      </c>
      <c r="R62" s="571"/>
      <c r="S62" s="308">
        <v>0.38680555555555557</v>
      </c>
      <c r="T62" s="308">
        <v>0.44930555555555557</v>
      </c>
      <c r="U62" s="457">
        <f t="shared" si="42"/>
        <v>5.9999999999999787</v>
      </c>
      <c r="V62" s="465">
        <f t="shared" si="41"/>
        <v>90</v>
      </c>
      <c r="W62" s="457"/>
      <c r="X62" s="457"/>
      <c r="Y62" s="570"/>
      <c r="Z62" s="570"/>
      <c r="AA62" s="306">
        <f t="shared" si="8"/>
        <v>-134.66666666666697</v>
      </c>
      <c r="AB62" s="460">
        <f t="shared" si="9"/>
        <v>0.95511111111111102</v>
      </c>
      <c r="AC62" s="571"/>
    </row>
    <row r="63" spans="1:29">
      <c r="A63" s="577" t="s">
        <v>825</v>
      </c>
      <c r="B63" s="466" t="s">
        <v>67</v>
      </c>
      <c r="C63" s="565" t="s">
        <v>2121</v>
      </c>
      <c r="D63" s="565"/>
      <c r="E63" s="300">
        <v>38.72</v>
      </c>
      <c r="F63" s="317">
        <v>4200</v>
      </c>
      <c r="G63" s="457">
        <f t="shared" si="39"/>
        <v>162624</v>
      </c>
      <c r="H63" s="468">
        <v>2</v>
      </c>
      <c r="I63" s="464">
        <v>10</v>
      </c>
      <c r="J63" s="303">
        <v>3000</v>
      </c>
      <c r="K63" s="304">
        <f t="shared" si="1"/>
        <v>300</v>
      </c>
      <c r="L63" s="464">
        <v>10</v>
      </c>
      <c r="M63" s="305">
        <f t="shared" si="40"/>
        <v>2863.6363636363662</v>
      </c>
      <c r="N63" s="304">
        <f t="shared" si="3"/>
        <v>286.3636363636366</v>
      </c>
      <c r="O63" s="306">
        <f t="shared" si="4"/>
        <v>0</v>
      </c>
      <c r="P63" s="307">
        <f t="shared" si="5"/>
        <v>-13.636363636363399</v>
      </c>
      <c r="Q63" s="460">
        <f t="shared" si="6"/>
        <v>0.95454545454545536</v>
      </c>
      <c r="R63" s="571"/>
      <c r="S63" s="308">
        <v>0.45416666666666666</v>
      </c>
      <c r="T63" s="308">
        <v>0.51527777777777772</v>
      </c>
      <c r="U63" s="457">
        <f t="shared" si="42"/>
        <v>6.9999999999999751</v>
      </c>
      <c r="V63" s="465">
        <f t="shared" si="41"/>
        <v>87.999999999999929</v>
      </c>
      <c r="W63" s="310">
        <f>T63</f>
        <v>0.51527777777777772</v>
      </c>
      <c r="X63" s="310">
        <f>S64</f>
        <v>0.55694444444444435</v>
      </c>
      <c r="Y63" s="570"/>
      <c r="Z63" s="570"/>
      <c r="AA63" s="306">
        <f t="shared" si="8"/>
        <v>-136.36363636363376</v>
      </c>
      <c r="AB63" s="460">
        <f t="shared" si="9"/>
        <v>0.95454545454545536</v>
      </c>
      <c r="AC63" s="571"/>
    </row>
    <row r="64" spans="1:29" ht="15" customHeight="1">
      <c r="A64" s="577" t="s">
        <v>2120</v>
      </c>
      <c r="B64" s="466" t="s">
        <v>67</v>
      </c>
      <c r="C64" s="580" t="s">
        <v>2121</v>
      </c>
      <c r="D64" s="581"/>
      <c r="E64" s="300">
        <v>38.72</v>
      </c>
      <c r="F64" s="317">
        <v>5115</v>
      </c>
      <c r="G64" s="457">
        <f t="shared" si="39"/>
        <v>198052.8</v>
      </c>
      <c r="H64" s="468" t="s">
        <v>35</v>
      </c>
      <c r="I64" s="464">
        <v>10</v>
      </c>
      <c r="J64" s="303">
        <v>3000</v>
      </c>
      <c r="K64" s="304">
        <f t="shared" si="1"/>
        <v>300</v>
      </c>
      <c r="L64" s="464">
        <v>10</v>
      </c>
      <c r="M64" s="305">
        <f t="shared" si="40"/>
        <v>2868.2242990654222</v>
      </c>
      <c r="N64" s="304">
        <f t="shared" si="3"/>
        <v>286.8224299065422</v>
      </c>
      <c r="O64" s="306">
        <f t="shared" si="4"/>
        <v>0</v>
      </c>
      <c r="P64" s="307">
        <f t="shared" si="5"/>
        <v>-13.177570093457803</v>
      </c>
      <c r="Q64" s="460">
        <f t="shared" si="6"/>
        <v>0.95607476635514066</v>
      </c>
      <c r="R64" s="571"/>
      <c r="S64" s="308">
        <v>0.55694444444444435</v>
      </c>
      <c r="T64" s="308">
        <v>0.63124999999999987</v>
      </c>
      <c r="U64" s="457">
        <f t="shared" si="42"/>
        <v>59.999999999999943</v>
      </c>
      <c r="V64" s="465">
        <f t="shared" si="41"/>
        <v>106.99999999999994</v>
      </c>
      <c r="W64" s="457"/>
      <c r="X64" s="457"/>
      <c r="Y64" s="566"/>
      <c r="Z64" s="567"/>
      <c r="AA64" s="306">
        <f t="shared" si="8"/>
        <v>-131.7757009345778</v>
      </c>
      <c r="AB64" s="460">
        <f t="shared" si="9"/>
        <v>0.95607476635514077</v>
      </c>
      <c r="AC64" s="571"/>
    </row>
    <row r="65" spans="1:29">
      <c r="A65" s="577" t="s">
        <v>2120</v>
      </c>
      <c r="B65" s="300" t="s">
        <v>2122</v>
      </c>
      <c r="C65" s="572"/>
      <c r="D65" s="572"/>
      <c r="E65" s="461"/>
      <c r="F65" s="313"/>
      <c r="G65" s="304"/>
      <c r="H65" s="466"/>
      <c r="I65" s="314">
        <v>9.8333333333333339</v>
      </c>
      <c r="J65" s="303">
        <v>2750</v>
      </c>
      <c r="K65" s="304">
        <f t="shared" si="1"/>
        <v>279.66101694915255</v>
      </c>
      <c r="L65" s="314">
        <v>9.8333333333333339</v>
      </c>
      <c r="M65" s="305">
        <f>AVERAGE(M59:M64)</f>
        <v>2629.7269139533073</v>
      </c>
      <c r="N65" s="304">
        <f t="shared" si="3"/>
        <v>267.4298556562685</v>
      </c>
      <c r="O65" s="306">
        <f t="shared" si="4"/>
        <v>0</v>
      </c>
      <c r="P65" s="307">
        <f t="shared" si="5"/>
        <v>-12.231161292884053</v>
      </c>
      <c r="Q65" s="460">
        <f t="shared" si="6"/>
        <v>0.95626433234665698</v>
      </c>
      <c r="R65" s="571"/>
      <c r="S65" s="308"/>
      <c r="T65" s="308"/>
      <c r="U65" s="304"/>
      <c r="V65" s="465"/>
      <c r="W65" s="304"/>
      <c r="X65" s="304"/>
      <c r="Y65" s="570"/>
      <c r="Z65" s="570"/>
      <c r="AA65" s="306">
        <f t="shared" si="8"/>
        <v>-120.2730860466927</v>
      </c>
      <c r="AB65" s="460">
        <f t="shared" si="9"/>
        <v>0.9562643323466572</v>
      </c>
      <c r="AC65" s="571"/>
    </row>
    <row r="66" spans="1:29" ht="15.75" customHeight="1">
      <c r="A66" s="573" t="s">
        <v>2123</v>
      </c>
      <c r="B66" s="466" t="s">
        <v>46</v>
      </c>
      <c r="C66" s="565" t="s">
        <v>84</v>
      </c>
      <c r="D66" s="565"/>
      <c r="E66" s="300">
        <v>20.2</v>
      </c>
      <c r="F66" s="466">
        <v>2875</v>
      </c>
      <c r="G66" s="457">
        <f t="shared" ref="G66:G75" si="43">E66*F66</f>
        <v>58075</v>
      </c>
      <c r="H66" s="468" t="s">
        <v>35</v>
      </c>
      <c r="I66" s="464">
        <v>19</v>
      </c>
      <c r="J66" s="303">
        <v>2400</v>
      </c>
      <c r="K66" s="304">
        <f t="shared" si="1"/>
        <v>126.31578947368421</v>
      </c>
      <c r="L66" s="464">
        <v>19</v>
      </c>
      <c r="M66" s="305">
        <f t="shared" ref="M66:M75" si="44">F66/V66*60</f>
        <v>2300</v>
      </c>
      <c r="N66" s="304">
        <f t="shared" si="3"/>
        <v>121.05263157894737</v>
      </c>
      <c r="O66" s="306">
        <f t="shared" si="4"/>
        <v>0</v>
      </c>
      <c r="P66" s="307">
        <f t="shared" si="5"/>
        <v>-5.2631578947368354</v>
      </c>
      <c r="Q66" s="460">
        <f t="shared" si="6"/>
        <v>0.95833333333333337</v>
      </c>
      <c r="R66" s="571">
        <f>Q76</f>
        <v>0.95847581202672327</v>
      </c>
      <c r="S66" s="308">
        <v>8.3333333333333329E-2</v>
      </c>
      <c r="T66" s="308">
        <v>0.13541666666666666</v>
      </c>
      <c r="U66" s="315"/>
      <c r="V66" s="465">
        <f t="shared" ref="V66:V75" si="45">(T66-S66)*24*60</f>
        <v>75</v>
      </c>
      <c r="W66" s="310">
        <f>T66</f>
        <v>0.13541666666666666</v>
      </c>
      <c r="X66" s="310">
        <f>S67</f>
        <v>0.15694444444444444</v>
      </c>
      <c r="Y66" s="570"/>
      <c r="Z66" s="570"/>
      <c r="AA66" s="306">
        <f t="shared" si="8"/>
        <v>-100</v>
      </c>
      <c r="AB66" s="460">
        <f t="shared" si="9"/>
        <v>0.95833333333333337</v>
      </c>
      <c r="AC66" s="571">
        <f>AB76</f>
        <v>0.95847581202672316</v>
      </c>
    </row>
    <row r="67" spans="1:29" ht="15.75" customHeight="1">
      <c r="A67" s="574" t="s">
        <v>2123</v>
      </c>
      <c r="B67" s="466" t="s">
        <v>46</v>
      </c>
      <c r="C67" s="565" t="s">
        <v>58</v>
      </c>
      <c r="D67" s="565"/>
      <c r="E67" s="300">
        <v>25.98</v>
      </c>
      <c r="F67" s="466">
        <v>1532</v>
      </c>
      <c r="G67" s="457">
        <f t="shared" si="43"/>
        <v>39801.360000000001</v>
      </c>
      <c r="H67" s="468" t="s">
        <v>35</v>
      </c>
      <c r="I67" s="464">
        <v>17</v>
      </c>
      <c r="J67" s="303">
        <v>2400</v>
      </c>
      <c r="K67" s="304">
        <f t="shared" si="1"/>
        <v>141.1764705882353</v>
      </c>
      <c r="L67" s="464">
        <v>17</v>
      </c>
      <c r="M67" s="305">
        <f t="shared" si="44"/>
        <v>2297.9999999999991</v>
      </c>
      <c r="N67" s="304">
        <f t="shared" si="3"/>
        <v>135.17647058823525</v>
      </c>
      <c r="O67" s="306">
        <f t="shared" si="4"/>
        <v>0</v>
      </c>
      <c r="P67" s="307">
        <f t="shared" si="5"/>
        <v>-6.0000000000000568</v>
      </c>
      <c r="Q67" s="460">
        <f t="shared" si="6"/>
        <v>0.95749999999999957</v>
      </c>
      <c r="R67" s="571"/>
      <c r="S67" s="308">
        <v>0.15694444444444444</v>
      </c>
      <c r="T67" s="308">
        <v>0.18472222222222223</v>
      </c>
      <c r="U67" s="457">
        <f t="shared" ref="U67:U75" si="46">(S67-T66)*24*60</f>
        <v>31.000000000000011</v>
      </c>
      <c r="V67" s="465">
        <f t="shared" si="45"/>
        <v>40.000000000000014</v>
      </c>
      <c r="W67" s="310"/>
      <c r="X67" s="310"/>
      <c r="Y67" s="570"/>
      <c r="Z67" s="570"/>
      <c r="AA67" s="306">
        <f t="shared" si="8"/>
        <v>-102.00000000000091</v>
      </c>
      <c r="AB67" s="460">
        <f t="shared" si="9"/>
        <v>0.95749999999999957</v>
      </c>
      <c r="AC67" s="571"/>
    </row>
    <row r="68" spans="1:29" ht="15.75" customHeight="1">
      <c r="A68" s="574" t="s">
        <v>2123</v>
      </c>
      <c r="B68" s="466" t="s">
        <v>46</v>
      </c>
      <c r="C68" s="565" t="s">
        <v>88</v>
      </c>
      <c r="D68" s="565"/>
      <c r="E68" s="300">
        <v>24.25</v>
      </c>
      <c r="F68" s="466">
        <v>3143</v>
      </c>
      <c r="G68" s="457">
        <f t="shared" si="43"/>
        <v>76217.75</v>
      </c>
      <c r="H68" s="468" t="s">
        <v>35</v>
      </c>
      <c r="I68" s="464">
        <v>17</v>
      </c>
      <c r="J68" s="303">
        <v>2400</v>
      </c>
      <c r="K68" s="304">
        <f t="shared" si="1"/>
        <v>141.1764705882353</v>
      </c>
      <c r="L68" s="464">
        <v>17</v>
      </c>
      <c r="M68" s="305">
        <f t="shared" si="44"/>
        <v>2299.7560975609758</v>
      </c>
      <c r="N68" s="304">
        <f t="shared" si="3"/>
        <v>135.27977044476327</v>
      </c>
      <c r="O68" s="306">
        <f t="shared" si="4"/>
        <v>0</v>
      </c>
      <c r="P68" s="307">
        <f t="shared" si="5"/>
        <v>-5.8967001434720316</v>
      </c>
      <c r="Q68" s="460">
        <f t="shared" si="6"/>
        <v>0.95823170731707308</v>
      </c>
      <c r="R68" s="571"/>
      <c r="S68" s="308">
        <v>0.18819444444444444</v>
      </c>
      <c r="T68" s="308">
        <v>0.24513888888888888</v>
      </c>
      <c r="U68" s="457">
        <f t="shared" si="46"/>
        <v>4.9999999999999822</v>
      </c>
      <c r="V68" s="465">
        <f t="shared" si="45"/>
        <v>81.999999999999986</v>
      </c>
      <c r="W68" s="310"/>
      <c r="X68" s="310"/>
      <c r="Y68" s="570"/>
      <c r="Z68" s="570"/>
      <c r="AA68" s="306">
        <f t="shared" si="8"/>
        <v>-100.24390243902417</v>
      </c>
      <c r="AB68" s="460">
        <f t="shared" si="9"/>
        <v>0.9582317073170733</v>
      </c>
      <c r="AC68" s="571"/>
    </row>
    <row r="69" spans="1:29" ht="15.75" customHeight="1">
      <c r="A69" s="574" t="s">
        <v>2123</v>
      </c>
      <c r="B69" s="466" t="s">
        <v>46</v>
      </c>
      <c r="C69" s="565" t="s">
        <v>47</v>
      </c>
      <c r="D69" s="565"/>
      <c r="E69" s="300">
        <v>24.45</v>
      </c>
      <c r="F69" s="466">
        <v>2672</v>
      </c>
      <c r="G69" s="457">
        <f t="shared" si="43"/>
        <v>65330.400000000001</v>
      </c>
      <c r="H69" s="468" t="s">
        <v>35</v>
      </c>
      <c r="I69" s="464">
        <v>20</v>
      </c>
      <c r="J69" s="303">
        <v>2400</v>
      </c>
      <c r="K69" s="304">
        <f t="shared" ref="K69:K76" si="47">J69/I69</f>
        <v>120</v>
      </c>
      <c r="L69" s="464">
        <v>20</v>
      </c>
      <c r="M69" s="305">
        <f t="shared" si="44"/>
        <v>2290.2857142857147</v>
      </c>
      <c r="N69" s="304">
        <f t="shared" ref="N69:N76" si="48">M69/L69</f>
        <v>114.51428571428573</v>
      </c>
      <c r="O69" s="306">
        <f t="shared" ref="O69:O76" si="49">L69-I69</f>
        <v>0</v>
      </c>
      <c r="P69" s="307">
        <f t="shared" ref="P69:P76" si="50">N69-K69</f>
        <v>-5.4857142857142662</v>
      </c>
      <c r="Q69" s="460">
        <f t="shared" ref="Q69:Q76" si="51">N69/K69</f>
        <v>0.9542857142857144</v>
      </c>
      <c r="R69" s="571"/>
      <c r="S69" s="308">
        <v>0.25069444444444444</v>
      </c>
      <c r="T69" s="308">
        <v>0.29930555555555555</v>
      </c>
      <c r="U69" s="457">
        <f t="shared" si="46"/>
        <v>8.0000000000000107</v>
      </c>
      <c r="V69" s="465">
        <f t="shared" si="45"/>
        <v>69.999999999999986</v>
      </c>
      <c r="W69" s="310"/>
      <c r="X69" s="310"/>
      <c r="Y69" s="570"/>
      <c r="Z69" s="570"/>
      <c r="AA69" s="306">
        <f t="shared" ref="AA69:AA76" si="52">M69-J69</f>
        <v>-109.71428571428532</v>
      </c>
      <c r="AB69" s="460">
        <f t="shared" ref="AB69:AB76" si="53">M69/J69</f>
        <v>0.9542857142857144</v>
      </c>
      <c r="AC69" s="571"/>
    </row>
    <row r="70" spans="1:29" ht="15.75" customHeight="1">
      <c r="A70" s="574" t="s">
        <v>2123</v>
      </c>
      <c r="B70" s="466" t="s">
        <v>46</v>
      </c>
      <c r="C70" s="565" t="s">
        <v>66</v>
      </c>
      <c r="D70" s="565"/>
      <c r="E70" s="300">
        <v>24.25</v>
      </c>
      <c r="F70" s="466">
        <v>4956</v>
      </c>
      <c r="G70" s="457">
        <f t="shared" si="43"/>
        <v>120183</v>
      </c>
      <c r="H70" s="468" t="s">
        <v>35</v>
      </c>
      <c r="I70" s="464">
        <v>14</v>
      </c>
      <c r="J70" s="303">
        <v>2400</v>
      </c>
      <c r="K70" s="304">
        <f t="shared" si="47"/>
        <v>171.42857142857142</v>
      </c>
      <c r="L70" s="464">
        <v>14</v>
      </c>
      <c r="M70" s="305">
        <f t="shared" si="44"/>
        <v>2287.3846153846148</v>
      </c>
      <c r="N70" s="304">
        <f t="shared" si="48"/>
        <v>163.38461538461533</v>
      </c>
      <c r="O70" s="306">
        <f t="shared" si="49"/>
        <v>0</v>
      </c>
      <c r="P70" s="307">
        <f t="shared" si="50"/>
        <v>-8.0439560439560864</v>
      </c>
      <c r="Q70" s="460">
        <f t="shared" si="51"/>
        <v>0.95307692307692282</v>
      </c>
      <c r="R70" s="571"/>
      <c r="S70" s="308">
        <v>0.3034722222222222</v>
      </c>
      <c r="T70" s="308">
        <v>0.39374999999999999</v>
      </c>
      <c r="U70" s="457">
        <f t="shared" si="46"/>
        <v>5.9999999999999787</v>
      </c>
      <c r="V70" s="465">
        <f t="shared" si="45"/>
        <v>130.00000000000003</v>
      </c>
      <c r="W70" s="310"/>
      <c r="X70" s="310"/>
      <c r="Y70" s="570"/>
      <c r="Z70" s="570"/>
      <c r="AA70" s="306">
        <f t="shared" si="52"/>
        <v>-112.61538461538521</v>
      </c>
      <c r="AB70" s="460">
        <f t="shared" si="53"/>
        <v>0.95307692307692282</v>
      </c>
      <c r="AC70" s="571"/>
    </row>
    <row r="71" spans="1:29" ht="15.75" customHeight="1">
      <c r="A71" s="574" t="s">
        <v>2123</v>
      </c>
      <c r="B71" s="466" t="s">
        <v>46</v>
      </c>
      <c r="C71" s="565" t="s">
        <v>85</v>
      </c>
      <c r="D71" s="565"/>
      <c r="E71" s="300">
        <v>19.02</v>
      </c>
      <c r="F71" s="466">
        <v>4500</v>
      </c>
      <c r="G71" s="457">
        <f t="shared" si="43"/>
        <v>85590</v>
      </c>
      <c r="H71" s="468">
        <v>2</v>
      </c>
      <c r="I71" s="464">
        <v>15</v>
      </c>
      <c r="J71" s="303">
        <v>2400</v>
      </c>
      <c r="K71" s="304">
        <f t="shared" si="47"/>
        <v>160</v>
      </c>
      <c r="L71" s="464">
        <v>15</v>
      </c>
      <c r="M71" s="305">
        <f t="shared" si="44"/>
        <v>2288.1355932203396</v>
      </c>
      <c r="N71" s="304">
        <f t="shared" si="48"/>
        <v>152.54237288135599</v>
      </c>
      <c r="O71" s="306">
        <f t="shared" si="49"/>
        <v>0</v>
      </c>
      <c r="P71" s="307">
        <f t="shared" si="50"/>
        <v>-7.4576271186440124</v>
      </c>
      <c r="Q71" s="460">
        <f t="shared" si="51"/>
        <v>0.95338983050847492</v>
      </c>
      <c r="R71" s="571"/>
      <c r="S71" s="308">
        <v>0.39861111111111108</v>
      </c>
      <c r="T71" s="308">
        <v>0.48055555555555551</v>
      </c>
      <c r="U71" s="457">
        <f t="shared" si="46"/>
        <v>6.9999999999999751</v>
      </c>
      <c r="V71" s="465">
        <f t="shared" si="45"/>
        <v>117.99999999999999</v>
      </c>
      <c r="W71" s="310"/>
      <c r="X71" s="310"/>
      <c r="Y71" s="570"/>
      <c r="Z71" s="570"/>
      <c r="AA71" s="306">
        <f t="shared" si="52"/>
        <v>-111.86440677966038</v>
      </c>
      <c r="AB71" s="460">
        <f t="shared" si="53"/>
        <v>0.95338983050847481</v>
      </c>
      <c r="AC71" s="571"/>
    </row>
    <row r="72" spans="1:29" ht="15.75" customHeight="1">
      <c r="A72" s="574" t="s">
        <v>2123</v>
      </c>
      <c r="B72" s="466" t="s">
        <v>46</v>
      </c>
      <c r="C72" s="565" t="s">
        <v>57</v>
      </c>
      <c r="D72" s="565"/>
      <c r="E72" s="300">
        <v>20.52</v>
      </c>
      <c r="F72" s="466">
        <v>2200</v>
      </c>
      <c r="G72" s="457">
        <f t="shared" si="43"/>
        <v>45144</v>
      </c>
      <c r="H72" s="468">
        <v>2</v>
      </c>
      <c r="I72" s="464">
        <v>18</v>
      </c>
      <c r="J72" s="303">
        <v>2400</v>
      </c>
      <c r="K72" s="304">
        <f t="shared" si="47"/>
        <v>133.33333333333334</v>
      </c>
      <c r="L72" s="464">
        <v>18</v>
      </c>
      <c r="M72" s="305">
        <f t="shared" si="44"/>
        <v>2315.7894736842122</v>
      </c>
      <c r="N72" s="304">
        <f t="shared" si="48"/>
        <v>128.65497076023402</v>
      </c>
      <c r="O72" s="306">
        <f t="shared" si="49"/>
        <v>0</v>
      </c>
      <c r="P72" s="307">
        <f t="shared" si="50"/>
        <v>-4.6783625730993208</v>
      </c>
      <c r="Q72" s="460">
        <f t="shared" si="51"/>
        <v>0.96491228070175505</v>
      </c>
      <c r="R72" s="571"/>
      <c r="S72" s="308">
        <v>0.48611111111111105</v>
      </c>
      <c r="T72" s="308">
        <v>0.52569444444444435</v>
      </c>
      <c r="U72" s="457">
        <f t="shared" si="46"/>
        <v>7.9999999999999716</v>
      </c>
      <c r="V72" s="465">
        <f t="shared" si="45"/>
        <v>56.999999999999957</v>
      </c>
      <c r="W72" s="310">
        <f>T72</f>
        <v>0.52569444444444435</v>
      </c>
      <c r="X72" s="310">
        <f>S73</f>
        <v>0.56666666666666654</v>
      </c>
      <c r="Y72" s="566"/>
      <c r="Z72" s="567"/>
      <c r="AA72" s="306">
        <f t="shared" si="52"/>
        <v>-84.210526315787774</v>
      </c>
      <c r="AB72" s="460">
        <f t="shared" si="53"/>
        <v>0.96491228070175505</v>
      </c>
      <c r="AC72" s="571"/>
    </row>
    <row r="73" spans="1:29" ht="15.75" customHeight="1">
      <c r="A73" s="574" t="s">
        <v>2123</v>
      </c>
      <c r="B73" s="466" t="s">
        <v>46</v>
      </c>
      <c r="C73" s="565" t="s">
        <v>85</v>
      </c>
      <c r="D73" s="565"/>
      <c r="E73" s="300">
        <v>19.02</v>
      </c>
      <c r="F73" s="466">
        <v>6960</v>
      </c>
      <c r="G73" s="457">
        <f t="shared" si="43"/>
        <v>132379.19999999998</v>
      </c>
      <c r="H73" s="468" t="s">
        <v>35</v>
      </c>
      <c r="I73" s="464">
        <v>15</v>
      </c>
      <c r="J73" s="303">
        <v>2400</v>
      </c>
      <c r="K73" s="304">
        <f t="shared" si="47"/>
        <v>160</v>
      </c>
      <c r="L73" s="464">
        <v>15</v>
      </c>
      <c r="M73" s="305">
        <f t="shared" si="44"/>
        <v>2294.5054945054944</v>
      </c>
      <c r="N73" s="304">
        <f t="shared" si="48"/>
        <v>152.96703296703296</v>
      </c>
      <c r="O73" s="306">
        <f t="shared" si="49"/>
        <v>0</v>
      </c>
      <c r="P73" s="307">
        <f t="shared" si="50"/>
        <v>-7.0329670329670364</v>
      </c>
      <c r="Q73" s="460">
        <f t="shared" si="51"/>
        <v>0.95604395604395598</v>
      </c>
      <c r="R73" s="571"/>
      <c r="S73" s="308">
        <v>0.56666666666666654</v>
      </c>
      <c r="T73" s="308">
        <v>0.69305555555555542</v>
      </c>
      <c r="U73" s="457">
        <f t="shared" si="46"/>
        <v>58.99999999999995</v>
      </c>
      <c r="V73" s="465">
        <f t="shared" si="45"/>
        <v>182</v>
      </c>
      <c r="W73" s="310"/>
      <c r="X73" s="310"/>
      <c r="Y73" s="566"/>
      <c r="Z73" s="567"/>
      <c r="AA73" s="306">
        <f t="shared" si="52"/>
        <v>-105.49450549450557</v>
      </c>
      <c r="AB73" s="460">
        <f t="shared" si="53"/>
        <v>0.95604395604395598</v>
      </c>
      <c r="AC73" s="571"/>
    </row>
    <row r="74" spans="1:29" ht="15.75" customHeight="1">
      <c r="A74" s="574" t="s">
        <v>2123</v>
      </c>
      <c r="B74" s="466" t="s">
        <v>46</v>
      </c>
      <c r="C74" s="565" t="s">
        <v>57</v>
      </c>
      <c r="D74" s="565"/>
      <c r="E74" s="300">
        <v>20.52</v>
      </c>
      <c r="F74" s="466">
        <v>1552</v>
      </c>
      <c r="G74" s="457">
        <f t="shared" si="43"/>
        <v>31847.040000000001</v>
      </c>
      <c r="H74" s="468" t="s">
        <v>35</v>
      </c>
      <c r="I74" s="464">
        <v>18</v>
      </c>
      <c r="J74" s="303">
        <v>2400</v>
      </c>
      <c r="K74" s="304">
        <f t="shared" si="47"/>
        <v>133.33333333333334</v>
      </c>
      <c r="L74" s="464">
        <v>18</v>
      </c>
      <c r="M74" s="305">
        <f t="shared" si="44"/>
        <v>2327.9999999999991</v>
      </c>
      <c r="N74" s="304">
        <f t="shared" si="48"/>
        <v>129.33333333333329</v>
      </c>
      <c r="O74" s="306">
        <f t="shared" si="49"/>
        <v>0</v>
      </c>
      <c r="P74" s="307">
        <f t="shared" si="50"/>
        <v>-4.0000000000000568</v>
      </c>
      <c r="Q74" s="460">
        <f t="shared" si="51"/>
        <v>0.96999999999999953</v>
      </c>
      <c r="R74" s="571"/>
      <c r="S74" s="308">
        <v>0.69722222222222208</v>
      </c>
      <c r="T74" s="308">
        <v>0.72499999999999987</v>
      </c>
      <c r="U74" s="457">
        <f t="shared" si="46"/>
        <v>5.9999999999999787</v>
      </c>
      <c r="V74" s="465">
        <f t="shared" si="45"/>
        <v>40.000000000000014</v>
      </c>
      <c r="W74" s="310"/>
      <c r="X74" s="310"/>
      <c r="Y74" s="566"/>
      <c r="Z74" s="567"/>
      <c r="AA74" s="306">
        <f t="shared" si="52"/>
        <v>-72.000000000000909</v>
      </c>
      <c r="AB74" s="460">
        <f t="shared" si="53"/>
        <v>0.96999999999999964</v>
      </c>
      <c r="AC74" s="571"/>
    </row>
    <row r="75" spans="1:29" ht="15.75" customHeight="1">
      <c r="A75" s="574" t="s">
        <v>2123</v>
      </c>
      <c r="B75" s="466" t="s">
        <v>46</v>
      </c>
      <c r="C75" s="565" t="s">
        <v>56</v>
      </c>
      <c r="D75" s="565"/>
      <c r="E75" s="300">
        <v>26.2</v>
      </c>
      <c r="F75" s="466">
        <v>2455</v>
      </c>
      <c r="G75" s="457">
        <f t="shared" si="43"/>
        <v>64321</v>
      </c>
      <c r="H75" s="468" t="s">
        <v>35</v>
      </c>
      <c r="I75" s="464">
        <v>20</v>
      </c>
      <c r="J75" s="303">
        <v>2400</v>
      </c>
      <c r="K75" s="304">
        <f t="shared" si="47"/>
        <v>120</v>
      </c>
      <c r="L75" s="464">
        <v>20</v>
      </c>
      <c r="M75" s="305">
        <f t="shared" si="44"/>
        <v>2301.5625000000027</v>
      </c>
      <c r="N75" s="304">
        <f t="shared" si="48"/>
        <v>115.07812500000014</v>
      </c>
      <c r="O75" s="306">
        <f t="shared" si="49"/>
        <v>0</v>
      </c>
      <c r="P75" s="307">
        <f t="shared" si="50"/>
        <v>-4.9218749999998579</v>
      </c>
      <c r="Q75" s="460">
        <f t="shared" si="51"/>
        <v>0.95898437500000122</v>
      </c>
      <c r="R75" s="571"/>
      <c r="S75" s="308">
        <v>0.72916666666666652</v>
      </c>
      <c r="T75" s="308">
        <v>0.77361111111111092</v>
      </c>
      <c r="U75" s="457">
        <f t="shared" si="46"/>
        <v>5.9999999999999787</v>
      </c>
      <c r="V75" s="465">
        <f t="shared" si="45"/>
        <v>63.999999999999929</v>
      </c>
      <c r="W75" s="310"/>
      <c r="X75" s="310"/>
      <c r="Y75" s="566"/>
      <c r="Z75" s="567"/>
      <c r="AA75" s="306">
        <f t="shared" si="52"/>
        <v>-98.437499999997272</v>
      </c>
      <c r="AB75" s="460">
        <f t="shared" si="53"/>
        <v>0.95898437500000111</v>
      </c>
      <c r="AC75" s="571"/>
    </row>
    <row r="76" spans="1:29" ht="16.5" customHeight="1">
      <c r="A76" s="575" t="s">
        <v>2123</v>
      </c>
      <c r="B76" s="300" t="s">
        <v>2122</v>
      </c>
      <c r="C76" s="568"/>
      <c r="D76" s="569"/>
      <c r="E76" s="461"/>
      <c r="F76" s="313"/>
      <c r="G76" s="304"/>
      <c r="H76" s="466"/>
      <c r="I76" s="314">
        <v>17.3</v>
      </c>
      <c r="J76" s="303">
        <v>2400</v>
      </c>
      <c r="K76" s="304">
        <f t="shared" si="47"/>
        <v>138.72832369942196</v>
      </c>
      <c r="L76" s="314">
        <v>17.3</v>
      </c>
      <c r="M76" s="305">
        <f>AVERAGE(M66:M75)</f>
        <v>2300.3419488641357</v>
      </c>
      <c r="N76" s="304">
        <f t="shared" si="48"/>
        <v>132.96774270890958</v>
      </c>
      <c r="O76" s="306">
        <f t="shared" si="49"/>
        <v>0</v>
      </c>
      <c r="P76" s="307">
        <f t="shared" si="50"/>
        <v>-5.7605809905123806</v>
      </c>
      <c r="Q76" s="460">
        <f t="shared" si="51"/>
        <v>0.95847581202672327</v>
      </c>
      <c r="R76" s="571"/>
      <c r="S76" s="308"/>
      <c r="T76" s="308"/>
      <c r="U76" s="304"/>
      <c r="V76" s="465"/>
      <c r="W76" s="304"/>
      <c r="X76" s="304"/>
      <c r="Y76" s="570"/>
      <c r="Z76" s="570"/>
      <c r="AA76" s="306">
        <f t="shared" si="52"/>
        <v>-99.658051135864298</v>
      </c>
      <c r="AB76" s="460">
        <f t="shared" si="53"/>
        <v>0.95847581202672316</v>
      </c>
      <c r="AC76" s="571"/>
    </row>
    <row r="77" spans="1:29">
      <c r="D77" s="323"/>
      <c r="E77" s="323"/>
    </row>
  </sheetData>
  <mergeCells count="200">
    <mergeCell ref="A59:A65"/>
    <mergeCell ref="C59:D59"/>
    <mergeCell ref="R59:R65"/>
    <mergeCell ref="Y59:Z59"/>
    <mergeCell ref="A66:A76"/>
    <mergeCell ref="C66:D66"/>
    <mergeCell ref="R66:R76"/>
    <mergeCell ref="Y66:Z66"/>
    <mergeCell ref="AC66:AC76"/>
    <mergeCell ref="C67:D67"/>
    <mergeCell ref="Y67:Z67"/>
    <mergeCell ref="C68:D68"/>
    <mergeCell ref="Y68:Z68"/>
    <mergeCell ref="C69:D69"/>
    <mergeCell ref="C76:D76"/>
    <mergeCell ref="Y76:Z76"/>
    <mergeCell ref="C73:D73"/>
    <mergeCell ref="Y73:Z73"/>
    <mergeCell ref="C74:D74"/>
    <mergeCell ref="Y74:Z74"/>
    <mergeCell ref="C75:D75"/>
    <mergeCell ref="Y75:Z75"/>
    <mergeCell ref="Y69:Z69"/>
    <mergeCell ref="C70:D70"/>
    <mergeCell ref="Y70:Z70"/>
    <mergeCell ref="C71:D71"/>
    <mergeCell ref="Y71:Z71"/>
    <mergeCell ref="C72:D72"/>
    <mergeCell ref="Y72:Z72"/>
    <mergeCell ref="AC59:AC65"/>
    <mergeCell ref="C60:D60"/>
    <mergeCell ref="Y60:Z60"/>
    <mergeCell ref="C61:D61"/>
    <mergeCell ref="Y61:Z61"/>
    <mergeCell ref="C62:D62"/>
    <mergeCell ref="C64:D64"/>
    <mergeCell ref="Y64:Z64"/>
    <mergeCell ref="C65:D65"/>
    <mergeCell ref="Y65:Z65"/>
    <mergeCell ref="AC53:AC58"/>
    <mergeCell ref="C54:D54"/>
    <mergeCell ref="Y54:Z54"/>
    <mergeCell ref="C55:D55"/>
    <mergeCell ref="C58:D58"/>
    <mergeCell ref="Y58:Z58"/>
    <mergeCell ref="Y62:Z62"/>
    <mergeCell ref="C63:D63"/>
    <mergeCell ref="Y63:Z63"/>
    <mergeCell ref="A53:A58"/>
    <mergeCell ref="C53:D53"/>
    <mergeCell ref="R53:R58"/>
    <mergeCell ref="Y53:Z53"/>
    <mergeCell ref="C48:D48"/>
    <mergeCell ref="Y48:Z48"/>
    <mergeCell ref="C49:D49"/>
    <mergeCell ref="Y49:Z49"/>
    <mergeCell ref="C50:D50"/>
    <mergeCell ref="Y50:Z50"/>
    <mergeCell ref="A42:A52"/>
    <mergeCell ref="C42:D42"/>
    <mergeCell ref="R42:R52"/>
    <mergeCell ref="Y42:Z42"/>
    <mergeCell ref="Y47:Z47"/>
    <mergeCell ref="AC42:AC52"/>
    <mergeCell ref="C43:D43"/>
    <mergeCell ref="Y43:Z43"/>
    <mergeCell ref="C44:D44"/>
    <mergeCell ref="Y44:Z44"/>
    <mergeCell ref="C45:D45"/>
    <mergeCell ref="Y45:Z45"/>
    <mergeCell ref="C46:D46"/>
    <mergeCell ref="Y46:Z46"/>
    <mergeCell ref="C47:D47"/>
    <mergeCell ref="C51:D51"/>
    <mergeCell ref="Y51:Z51"/>
    <mergeCell ref="C52:D52"/>
    <mergeCell ref="Y52:Z52"/>
    <mergeCell ref="A33:A41"/>
    <mergeCell ref="C33:D33"/>
    <mergeCell ref="R33:R41"/>
    <mergeCell ref="Y33:Z33"/>
    <mergeCell ref="Y38:Z38"/>
    <mergeCell ref="C39:D39"/>
    <mergeCell ref="AC33:AC41"/>
    <mergeCell ref="C34:D34"/>
    <mergeCell ref="Y34:Z34"/>
    <mergeCell ref="C35:D35"/>
    <mergeCell ref="Y35:Z35"/>
    <mergeCell ref="C36:D36"/>
    <mergeCell ref="Y36:Z36"/>
    <mergeCell ref="C37:D37"/>
    <mergeCell ref="Y37:Z37"/>
    <mergeCell ref="C38:D38"/>
    <mergeCell ref="Y39:Z39"/>
    <mergeCell ref="C40:D40"/>
    <mergeCell ref="Y40:Z40"/>
    <mergeCell ref="C41:D41"/>
    <mergeCell ref="Y41:Z41"/>
    <mergeCell ref="C29:D29"/>
    <mergeCell ref="Y29:Z29"/>
    <mergeCell ref="C30:D30"/>
    <mergeCell ref="Y30:Z30"/>
    <mergeCell ref="Y24:Z24"/>
    <mergeCell ref="A25:A32"/>
    <mergeCell ref="C25:D25"/>
    <mergeCell ref="R25:R32"/>
    <mergeCell ref="Y25:Z25"/>
    <mergeCell ref="C31:D31"/>
    <mergeCell ref="Y31:Z31"/>
    <mergeCell ref="C32:D32"/>
    <mergeCell ref="Y32:Z32"/>
    <mergeCell ref="A18:A24"/>
    <mergeCell ref="C18:D18"/>
    <mergeCell ref="R18:R24"/>
    <mergeCell ref="Y18:Z18"/>
    <mergeCell ref="Y23:Z23"/>
    <mergeCell ref="C24:D24"/>
    <mergeCell ref="A12:A17"/>
    <mergeCell ref="AC25:AC32"/>
    <mergeCell ref="C26:D26"/>
    <mergeCell ref="Y26:Z26"/>
    <mergeCell ref="C27:D27"/>
    <mergeCell ref="Y27:Z27"/>
    <mergeCell ref="AC18:AC24"/>
    <mergeCell ref="C19:D19"/>
    <mergeCell ref="Y19:Z19"/>
    <mergeCell ref="C20:D20"/>
    <mergeCell ref="Y20:Z20"/>
    <mergeCell ref="C21:D21"/>
    <mergeCell ref="Y21:Z21"/>
    <mergeCell ref="C22:D22"/>
    <mergeCell ref="Y22:Z22"/>
    <mergeCell ref="C23:D23"/>
    <mergeCell ref="C28:D28"/>
    <mergeCell ref="Y28:Z28"/>
    <mergeCell ref="C13:D13"/>
    <mergeCell ref="Y13:Z13"/>
    <mergeCell ref="C14:D14"/>
    <mergeCell ref="Y14:Z14"/>
    <mergeCell ref="C15:D15"/>
    <mergeCell ref="Y15:Z15"/>
    <mergeCell ref="AC9:AC11"/>
    <mergeCell ref="C10:D10"/>
    <mergeCell ref="Y10:Z10"/>
    <mergeCell ref="C11:D11"/>
    <mergeCell ref="Y11:Z11"/>
    <mergeCell ref="C12:D12"/>
    <mergeCell ref="R12:R17"/>
    <mergeCell ref="Y12:Z12"/>
    <mergeCell ref="AC12:AC17"/>
    <mergeCell ref="C16:D16"/>
    <mergeCell ref="Y16:Z16"/>
    <mergeCell ref="C17:D17"/>
    <mergeCell ref="Y17:Z17"/>
    <mergeCell ref="C8:D8"/>
    <mergeCell ref="Y8:Z8"/>
    <mergeCell ref="A9:A11"/>
    <mergeCell ref="C9:D9"/>
    <mergeCell ref="R9:R11"/>
    <mergeCell ref="Y9:Z9"/>
    <mergeCell ref="AC3:AC4"/>
    <mergeCell ref="A5:A8"/>
    <mergeCell ref="C5:D5"/>
    <mergeCell ref="R5:R8"/>
    <mergeCell ref="Y5:Z5"/>
    <mergeCell ref="AC5:AC8"/>
    <mergeCell ref="C6:D6"/>
    <mergeCell ref="Y6:Z6"/>
    <mergeCell ref="C7:D7"/>
    <mergeCell ref="Y7:Z7"/>
    <mergeCell ref="U3:U4"/>
    <mergeCell ref="V3:V4"/>
    <mergeCell ref="W3:X3"/>
    <mergeCell ref="Y3:Z4"/>
    <mergeCell ref="AA3:AA4"/>
    <mergeCell ref="AB3:AB4"/>
    <mergeCell ref="N3:N4"/>
    <mergeCell ref="O3:O4"/>
    <mergeCell ref="S1:X2"/>
    <mergeCell ref="Y1:Z2"/>
    <mergeCell ref="AA1:AC2"/>
    <mergeCell ref="A3:A4"/>
    <mergeCell ref="B3:B4"/>
    <mergeCell ref="C3:D4"/>
    <mergeCell ref="E3:E4"/>
    <mergeCell ref="F3:F4"/>
    <mergeCell ref="G3:G4"/>
    <mergeCell ref="I1:K2"/>
    <mergeCell ref="L1:N2"/>
    <mergeCell ref="O1:R2"/>
    <mergeCell ref="P3:P4"/>
    <mergeCell ref="Q3:Q4"/>
    <mergeCell ref="R3:R4"/>
    <mergeCell ref="S3:T3"/>
    <mergeCell ref="H3:H4"/>
    <mergeCell ref="I3:I4"/>
    <mergeCell ref="J3:J4"/>
    <mergeCell ref="K3:K4"/>
    <mergeCell ref="L3:L4"/>
    <mergeCell ref="M3:M4"/>
  </mergeCells>
  <phoneticPr fontId="3" type="noConversion"/>
  <conditionalFormatting sqref="O62:O71 O76 O5:O9 O11:O13 O52:O59 O17:O47">
    <cfRule type="cellIs" dxfId="1771" priority="80" operator="greaterThan">
      <formula>0</formula>
    </cfRule>
  </conditionalFormatting>
  <conditionalFormatting sqref="P5:P7 P62:P64 AA62:AA64 P66:P71 P25:P31 P59 P9 P11:P13 P18:P23 P53:P57 P33:P47 AA5:AA59 AA66:AA76">
    <cfRule type="cellIs" dxfId="1770" priority="84" operator="lessThan">
      <formula>0</formula>
    </cfRule>
  </conditionalFormatting>
  <conditionalFormatting sqref="AB62:AB64 Q62:Q71 Q76 Q5:Q9 Q11:Q13 Q52:Q59 Q17:Q47 AB5:AB59 AB66:AB76">
    <cfRule type="cellIs" dxfId="1769" priority="81" operator="greaterThan">
      <formula>1</formula>
    </cfRule>
    <cfRule type="cellIs" dxfId="1768" priority="82" operator="lessThan">
      <formula>0.8</formula>
    </cfRule>
  </conditionalFormatting>
  <conditionalFormatting sqref="AC12:AC13 R12:R13 AC62 R62:R71 R76 AC5:AC9 R5:R9 R17:R47 AC17:AC47 AC52:AC59 R52:R59">
    <cfRule type="cellIs" dxfId="1767" priority="86" operator="lessThan">
      <formula>0.8</formula>
    </cfRule>
  </conditionalFormatting>
  <conditionalFormatting sqref="AC42">
    <cfRule type="cellIs" dxfId="1766" priority="88" operator="lessThan">
      <formula>0.8</formula>
    </cfRule>
  </conditionalFormatting>
  <conditionalFormatting sqref="AC18:AC23">
    <cfRule type="cellIs" dxfId="1765" priority="85" operator="lessThan">
      <formula>0.8</formula>
    </cfRule>
  </conditionalFormatting>
  <conditionalFormatting sqref="AC25">
    <cfRule type="cellIs" dxfId="1764" priority="87" operator="lessThan">
      <formula>0.8</formula>
    </cfRule>
  </conditionalFormatting>
  <conditionalFormatting sqref="AC33:AC40">
    <cfRule type="cellIs" dxfId="1763" priority="83" operator="lessThan">
      <formula>0.8</formula>
    </cfRule>
  </conditionalFormatting>
  <conditionalFormatting sqref="AA65">
    <cfRule type="cellIs" dxfId="1762" priority="79" operator="lessThan">
      <formula>0</formula>
    </cfRule>
  </conditionalFormatting>
  <conditionalFormatting sqref="AB65">
    <cfRule type="cellIs" dxfId="1761" priority="77" operator="greaterThan">
      <formula>1</formula>
    </cfRule>
    <cfRule type="cellIs" dxfId="1760" priority="78" operator="lessThan">
      <formula>0.8</formula>
    </cfRule>
  </conditionalFormatting>
  <conditionalFormatting sqref="O14:O15">
    <cfRule type="cellIs" dxfId="1759" priority="72" operator="greaterThan">
      <formula>0</formula>
    </cfRule>
  </conditionalFormatting>
  <conditionalFormatting sqref="P14:P15">
    <cfRule type="cellIs" dxfId="1758" priority="75" operator="lessThan">
      <formula>0</formula>
    </cfRule>
  </conditionalFormatting>
  <conditionalFormatting sqref="Q14:Q15">
    <cfRule type="cellIs" dxfId="1757" priority="73" operator="greaterThan">
      <formula>1</formula>
    </cfRule>
    <cfRule type="cellIs" dxfId="1756" priority="74" operator="lessThan">
      <formula>0.8</formula>
    </cfRule>
  </conditionalFormatting>
  <conditionalFormatting sqref="R14:R15 AC14:AC15">
    <cfRule type="cellIs" dxfId="1755" priority="76" operator="lessThan">
      <formula>0.8</formula>
    </cfRule>
  </conditionalFormatting>
  <conditionalFormatting sqref="O10">
    <cfRule type="cellIs" dxfId="1754" priority="68" operator="greaterThan">
      <formula>0</formula>
    </cfRule>
  </conditionalFormatting>
  <conditionalFormatting sqref="P10">
    <cfRule type="cellIs" dxfId="1753" priority="71" operator="lessThan">
      <formula>0</formula>
    </cfRule>
  </conditionalFormatting>
  <conditionalFormatting sqref="Q10">
    <cfRule type="cellIs" dxfId="1752" priority="69" operator="greaterThan">
      <formula>1</formula>
    </cfRule>
    <cfRule type="cellIs" dxfId="1751" priority="70" operator="lessThan">
      <formula>0.8</formula>
    </cfRule>
  </conditionalFormatting>
  <conditionalFormatting sqref="O61">
    <cfRule type="cellIs" dxfId="1750" priority="63" operator="greaterThan">
      <formula>0</formula>
    </cfRule>
  </conditionalFormatting>
  <conditionalFormatting sqref="P61 AA61">
    <cfRule type="cellIs" dxfId="1749" priority="66" operator="lessThan">
      <formula>0</formula>
    </cfRule>
  </conditionalFormatting>
  <conditionalFormatting sqref="Q61 AB61">
    <cfRule type="cellIs" dxfId="1748" priority="64" operator="greaterThan">
      <formula>1</formula>
    </cfRule>
    <cfRule type="cellIs" dxfId="1747" priority="65" operator="lessThan">
      <formula>0.8</formula>
    </cfRule>
  </conditionalFormatting>
  <conditionalFormatting sqref="R61 AC61">
    <cfRule type="cellIs" dxfId="1746" priority="67" operator="lessThan">
      <formula>0.8</formula>
    </cfRule>
  </conditionalFormatting>
  <conditionalFormatting sqref="O72">
    <cfRule type="cellIs" dxfId="1745" priority="58" operator="greaterThan">
      <formula>0</formula>
    </cfRule>
  </conditionalFormatting>
  <conditionalFormatting sqref="P72">
    <cfRule type="cellIs" dxfId="1744" priority="61" operator="lessThan">
      <formula>0</formula>
    </cfRule>
  </conditionalFormatting>
  <conditionalFormatting sqref="Q72">
    <cfRule type="cellIs" dxfId="1743" priority="59" operator="greaterThan">
      <formula>1</formula>
    </cfRule>
    <cfRule type="cellIs" dxfId="1742" priority="60" operator="lessThan">
      <formula>0.8</formula>
    </cfRule>
  </conditionalFormatting>
  <conditionalFormatting sqref="R72">
    <cfRule type="cellIs" dxfId="1741" priority="62" operator="lessThan">
      <formula>0.8</formula>
    </cfRule>
  </conditionalFormatting>
  <conditionalFormatting sqref="O16">
    <cfRule type="cellIs" dxfId="1740" priority="53" operator="greaterThan">
      <formula>0</formula>
    </cfRule>
  </conditionalFormatting>
  <conditionalFormatting sqref="P16">
    <cfRule type="cellIs" dxfId="1739" priority="56" operator="lessThan">
      <formula>0</formula>
    </cfRule>
  </conditionalFormatting>
  <conditionalFormatting sqref="Q16">
    <cfRule type="cellIs" dxfId="1738" priority="54" operator="greaterThan">
      <formula>1</formula>
    </cfRule>
    <cfRule type="cellIs" dxfId="1737" priority="55" operator="lessThan">
      <formula>0.8</formula>
    </cfRule>
  </conditionalFormatting>
  <conditionalFormatting sqref="R16 AC16">
    <cfRule type="cellIs" dxfId="1736" priority="57" operator="lessThan">
      <formula>0.8</formula>
    </cfRule>
  </conditionalFormatting>
  <conditionalFormatting sqref="O48">
    <cfRule type="cellIs" dxfId="1735" priority="47" operator="greaterThan">
      <formula>0</formula>
    </cfRule>
  </conditionalFormatting>
  <conditionalFormatting sqref="P48">
    <cfRule type="cellIs" dxfId="1734" priority="51" operator="lessThan">
      <formula>0</formula>
    </cfRule>
  </conditionalFormatting>
  <conditionalFormatting sqref="Q48">
    <cfRule type="cellIs" dxfId="1733" priority="48" operator="greaterThan">
      <formula>1</formula>
    </cfRule>
    <cfRule type="cellIs" dxfId="1732" priority="49" operator="lessThan">
      <formula>0.8</formula>
    </cfRule>
  </conditionalFormatting>
  <conditionalFormatting sqref="R48 AC48">
    <cfRule type="cellIs" dxfId="1731" priority="52" operator="lessThan">
      <formula>0.8</formula>
    </cfRule>
  </conditionalFormatting>
  <conditionalFormatting sqref="AC48">
    <cfRule type="cellIs" dxfId="1730" priority="50" operator="lessThan">
      <formula>0.8</formula>
    </cfRule>
  </conditionalFormatting>
  <conditionalFormatting sqref="O49">
    <cfRule type="cellIs" dxfId="1729" priority="41" operator="greaterThan">
      <formula>0</formula>
    </cfRule>
  </conditionalFormatting>
  <conditionalFormatting sqref="P49">
    <cfRule type="cellIs" dxfId="1728" priority="45" operator="lessThan">
      <formula>0</formula>
    </cfRule>
  </conditionalFormatting>
  <conditionalFormatting sqref="Q49">
    <cfRule type="cellIs" dxfId="1727" priority="42" operator="greaterThan">
      <formula>1</formula>
    </cfRule>
    <cfRule type="cellIs" dxfId="1726" priority="43" operator="lessThan">
      <formula>0.8</formula>
    </cfRule>
  </conditionalFormatting>
  <conditionalFormatting sqref="R49 AC49">
    <cfRule type="cellIs" dxfId="1725" priority="46" operator="lessThan">
      <formula>0.8</formula>
    </cfRule>
  </conditionalFormatting>
  <conditionalFormatting sqref="AC49">
    <cfRule type="cellIs" dxfId="1724" priority="44" operator="lessThan">
      <formula>0.8</formula>
    </cfRule>
  </conditionalFormatting>
  <conditionalFormatting sqref="O50">
    <cfRule type="cellIs" dxfId="1723" priority="35" operator="greaterThan">
      <formula>0</formula>
    </cfRule>
  </conditionalFormatting>
  <conditionalFormatting sqref="P50">
    <cfRule type="cellIs" dxfId="1722" priority="39" operator="lessThan">
      <formula>0</formula>
    </cfRule>
  </conditionalFormatting>
  <conditionalFormatting sqref="Q50">
    <cfRule type="cellIs" dxfId="1721" priority="36" operator="greaterThan">
      <formula>1</formula>
    </cfRule>
    <cfRule type="cellIs" dxfId="1720" priority="37" operator="lessThan">
      <formula>0.8</formula>
    </cfRule>
  </conditionalFormatting>
  <conditionalFormatting sqref="R50 AC50">
    <cfRule type="cellIs" dxfId="1719" priority="40" operator="lessThan">
      <formula>0.8</formula>
    </cfRule>
  </conditionalFormatting>
  <conditionalFormatting sqref="AC50">
    <cfRule type="cellIs" dxfId="1718" priority="38" operator="lessThan">
      <formula>0.8</formula>
    </cfRule>
  </conditionalFormatting>
  <conditionalFormatting sqref="O51">
    <cfRule type="cellIs" dxfId="1717" priority="29" operator="greaterThan">
      <formula>0</formula>
    </cfRule>
  </conditionalFormatting>
  <conditionalFormatting sqref="P51">
    <cfRule type="cellIs" dxfId="1716" priority="33" operator="lessThan">
      <formula>0</formula>
    </cfRule>
  </conditionalFormatting>
  <conditionalFormatting sqref="Q51">
    <cfRule type="cellIs" dxfId="1715" priority="30" operator="greaterThan">
      <formula>1</formula>
    </cfRule>
    <cfRule type="cellIs" dxfId="1714" priority="31" operator="lessThan">
      <formula>0.8</formula>
    </cfRule>
  </conditionalFormatting>
  <conditionalFormatting sqref="R51 AC51">
    <cfRule type="cellIs" dxfId="1713" priority="34" operator="lessThan">
      <formula>0.8</formula>
    </cfRule>
  </conditionalFormatting>
  <conditionalFormatting sqref="AC51">
    <cfRule type="cellIs" dxfId="1712" priority="32" operator="lessThan">
      <formula>0.8</formula>
    </cfRule>
  </conditionalFormatting>
  <conditionalFormatting sqref="O60">
    <cfRule type="cellIs" dxfId="1711" priority="24" operator="greaterThan">
      <formula>0</formula>
    </cfRule>
  </conditionalFormatting>
  <conditionalFormatting sqref="P60 AA60">
    <cfRule type="cellIs" dxfId="1710" priority="27" operator="lessThan">
      <formula>0</formula>
    </cfRule>
  </conditionalFormatting>
  <conditionalFormatting sqref="Q60 AB60">
    <cfRule type="cellIs" dxfId="1709" priority="25" operator="greaterThan">
      <formula>1</formula>
    </cfRule>
    <cfRule type="cellIs" dxfId="1708" priority="26" operator="lessThan">
      <formula>0.8</formula>
    </cfRule>
  </conditionalFormatting>
  <conditionalFormatting sqref="R60 AC60">
    <cfRule type="cellIs" dxfId="1707" priority="28" operator="lessThan">
      <formula>0.8</formula>
    </cfRule>
  </conditionalFormatting>
  <conditionalFormatting sqref="P8">
    <cfRule type="cellIs" dxfId="1706" priority="23" operator="lessThan">
      <formula>0</formula>
    </cfRule>
  </conditionalFormatting>
  <conditionalFormatting sqref="P17">
    <cfRule type="cellIs" dxfId="1705" priority="22" operator="lessThan">
      <formula>0</formula>
    </cfRule>
  </conditionalFormatting>
  <conditionalFormatting sqref="P24">
    <cfRule type="cellIs" dxfId="1704" priority="21" operator="lessThan">
      <formula>0</formula>
    </cfRule>
  </conditionalFormatting>
  <conditionalFormatting sqref="P32">
    <cfRule type="cellIs" dxfId="1703" priority="20" operator="lessThan">
      <formula>0</formula>
    </cfRule>
  </conditionalFormatting>
  <conditionalFormatting sqref="P52">
    <cfRule type="cellIs" dxfId="1702" priority="19" operator="lessThan">
      <formula>0</formula>
    </cfRule>
  </conditionalFormatting>
  <conditionalFormatting sqref="P58">
    <cfRule type="cellIs" dxfId="1701" priority="18" operator="lessThan">
      <formula>0</formula>
    </cfRule>
  </conditionalFormatting>
  <conditionalFormatting sqref="P65">
    <cfRule type="cellIs" dxfId="1700" priority="17" operator="lessThan">
      <formula>0</formula>
    </cfRule>
  </conditionalFormatting>
  <conditionalFormatting sqref="P76">
    <cfRule type="cellIs" dxfId="1699" priority="16" operator="lessThan">
      <formula>0</formula>
    </cfRule>
  </conditionalFormatting>
  <conditionalFormatting sqref="O73">
    <cfRule type="cellIs" dxfId="1698" priority="11" operator="greaterThan">
      <formula>0</formula>
    </cfRule>
  </conditionalFormatting>
  <conditionalFormatting sqref="P73">
    <cfRule type="cellIs" dxfId="1697" priority="14" operator="lessThan">
      <formula>0</formula>
    </cfRule>
  </conditionalFormatting>
  <conditionalFormatting sqref="Q73">
    <cfRule type="cellIs" dxfId="1696" priority="12" operator="greaterThan">
      <formula>1</formula>
    </cfRule>
    <cfRule type="cellIs" dxfId="1695" priority="13" operator="lessThan">
      <formula>0.8</formula>
    </cfRule>
  </conditionalFormatting>
  <conditionalFormatting sqref="R73">
    <cfRule type="cellIs" dxfId="1694" priority="15" operator="lessThan">
      <formula>0.8</formula>
    </cfRule>
  </conditionalFormatting>
  <conditionalFormatting sqref="O74">
    <cfRule type="cellIs" dxfId="1693" priority="6" operator="greaterThan">
      <formula>0</formula>
    </cfRule>
  </conditionalFormatting>
  <conditionalFormatting sqref="P74">
    <cfRule type="cellIs" dxfId="1692" priority="9" operator="lessThan">
      <formula>0</formula>
    </cfRule>
  </conditionalFormatting>
  <conditionalFormatting sqref="Q74">
    <cfRule type="cellIs" dxfId="1691" priority="7" operator="greaterThan">
      <formula>1</formula>
    </cfRule>
    <cfRule type="cellIs" dxfId="1690" priority="8" operator="lessThan">
      <formula>0.8</formula>
    </cfRule>
  </conditionalFormatting>
  <conditionalFormatting sqref="R74">
    <cfRule type="cellIs" dxfId="1689" priority="10" operator="lessThan">
      <formula>0.8</formula>
    </cfRule>
  </conditionalFormatting>
  <conditionalFormatting sqref="O75">
    <cfRule type="cellIs" dxfId="1688" priority="1" operator="greaterThan">
      <formula>0</formula>
    </cfRule>
  </conditionalFormatting>
  <conditionalFormatting sqref="P75">
    <cfRule type="cellIs" dxfId="1687" priority="4" operator="lessThan">
      <formula>0</formula>
    </cfRule>
  </conditionalFormatting>
  <conditionalFormatting sqref="Q75">
    <cfRule type="cellIs" dxfId="1686" priority="2" operator="greaterThan">
      <formula>1</formula>
    </cfRule>
    <cfRule type="cellIs" dxfId="1685" priority="3" operator="lessThan">
      <formula>0.8</formula>
    </cfRule>
  </conditionalFormatting>
  <conditionalFormatting sqref="R75">
    <cfRule type="cellIs" dxfId="1684" priority="5" operator="lessThan">
      <formula>0.8</formula>
    </cfRule>
  </conditionalFormatting>
  <dataValidations count="1">
    <dataValidation type="list" allowBlank="1" showInputMessage="1" showErrorMessage="1" sqref="Z8 Z63:Z64 Y5:Z7 Y8:Y64 Z10:Z59 Y65:Z76">
      <formula1>#REF!</formula1>
    </dataValidation>
  </dataValidations>
  <pageMargins left="0" right="0" top="0" bottom="0" header="0" footer="0"/>
  <pageSetup paperSize="9" scale="11" orientation="landscape" horizontalDpi="300" verticalDpi="300" r:id="rId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工作表8"/>
  <dimension ref="B1:Q28"/>
  <sheetViews>
    <sheetView zoomScale="85" zoomScaleNormal="85" workbookViewId="0">
      <selection activeCell="I3" sqref="I3:J3"/>
    </sheetView>
  </sheetViews>
  <sheetFormatPr defaultColWidth="8.75" defaultRowHeight="15.75"/>
  <cols>
    <col min="1" max="1" width="8.75" style="30"/>
    <col min="2" max="2" width="17.875" style="30" customWidth="1"/>
    <col min="3" max="3" width="9.25" style="37" customWidth="1"/>
    <col min="4" max="13" width="12.625" style="30" customWidth="1"/>
    <col min="14" max="14" width="11" style="30" bestFit="1" customWidth="1"/>
    <col min="15" max="15" width="17.75" style="30" bestFit="1" customWidth="1"/>
    <col min="16" max="16" width="12.25" style="30" bestFit="1" customWidth="1"/>
    <col min="17" max="22" width="9.25" style="30" customWidth="1"/>
    <col min="23" max="23" width="10.75" style="30" customWidth="1"/>
    <col min="24" max="24" width="11" style="30" customWidth="1"/>
    <col min="25" max="16384" width="8.75" style="30"/>
  </cols>
  <sheetData>
    <row r="1" spans="2:17" ht="27.75" customHeight="1">
      <c r="B1" s="552" t="s">
        <v>1978</v>
      </c>
      <c r="C1" s="552"/>
      <c r="D1" s="552"/>
      <c r="E1" s="552"/>
      <c r="F1" s="552"/>
      <c r="G1" s="552"/>
      <c r="H1" s="552"/>
      <c r="I1" s="552"/>
      <c r="J1" s="552"/>
      <c r="K1" s="29"/>
      <c r="L1" s="29"/>
      <c r="M1" s="29"/>
      <c r="N1" s="29"/>
      <c r="O1" s="29"/>
      <c r="P1" s="29"/>
    </row>
    <row r="2" spans="2:17" ht="27.75" customHeight="1">
      <c r="B2" s="553"/>
      <c r="C2" s="553"/>
      <c r="D2" s="553"/>
      <c r="E2" s="553"/>
      <c r="F2" s="553"/>
      <c r="G2" s="553"/>
      <c r="H2" s="553"/>
      <c r="I2" s="553"/>
      <c r="J2" s="553"/>
      <c r="K2" s="31"/>
      <c r="L2" s="31"/>
      <c r="M2" s="31"/>
      <c r="N2" s="29"/>
      <c r="O2" s="29"/>
      <c r="P2" s="29"/>
    </row>
    <row r="3" spans="2:17" ht="46.5" customHeight="1">
      <c r="B3" s="32" t="s">
        <v>1979</v>
      </c>
      <c r="C3" s="554" t="str">
        <f>TEXT('1027 4度C'!A2,"yyyy.mm.ddaaaa")</f>
        <v>2025.10.27星期一</v>
      </c>
      <c r="D3" s="555"/>
      <c r="E3" s="32" t="s">
        <v>1980</v>
      </c>
      <c r="F3" s="556">
        <f>'1027 4度C'!D1</f>
        <v>194335</v>
      </c>
      <c r="G3" s="557"/>
      <c r="H3" s="32" t="s">
        <v>1981</v>
      </c>
      <c r="I3" s="558">
        <f>'1027 4度C'!F1</f>
        <v>6494392.6599999992</v>
      </c>
      <c r="J3" s="559"/>
      <c r="K3" s="33"/>
      <c r="L3" s="34"/>
      <c r="M3" s="35"/>
      <c r="N3" s="35"/>
    </row>
    <row r="4" spans="2:17" ht="28.5" customHeight="1">
      <c r="B4" s="560" t="s">
        <v>1982</v>
      </c>
      <c r="C4" s="542" t="s">
        <v>1983</v>
      </c>
      <c r="D4" s="543"/>
      <c r="E4" s="563" t="s">
        <v>1984</v>
      </c>
      <c r="F4" s="564"/>
      <c r="G4" s="563" t="s">
        <v>1985</v>
      </c>
      <c r="H4" s="564"/>
      <c r="I4" s="563" t="s">
        <v>1986</v>
      </c>
      <c r="J4" s="564"/>
      <c r="L4" s="35"/>
      <c r="M4" s="35"/>
      <c r="N4" s="35"/>
    </row>
    <row r="5" spans="2:17" ht="28.5" customHeight="1">
      <c r="B5" s="561"/>
      <c r="C5" s="542" t="s">
        <v>1987</v>
      </c>
      <c r="D5" s="543"/>
      <c r="E5" s="542" t="s">
        <v>1988</v>
      </c>
      <c r="F5" s="543"/>
      <c r="G5" s="544" t="s">
        <v>1989</v>
      </c>
      <c r="H5" s="545"/>
      <c r="I5" s="546" t="s">
        <v>1990</v>
      </c>
      <c r="J5" s="547"/>
      <c r="K5" s="35"/>
      <c r="L5" s="35"/>
      <c r="M5" s="35"/>
      <c r="N5" s="35"/>
    </row>
    <row r="6" spans="2:17" ht="28.5" customHeight="1">
      <c r="B6" s="561"/>
      <c r="C6" s="542" t="s">
        <v>92</v>
      </c>
      <c r="D6" s="543"/>
      <c r="E6" s="548">
        <f>AVERAGE(D13:M13)</f>
        <v>153.56294651059017</v>
      </c>
      <c r="F6" s="549">
        <f>AVERAGE(D27:O27,D13:J13)</f>
        <v>160.4723987641118</v>
      </c>
      <c r="G6" s="550">
        <f>AVERAGE(D13:J13)</f>
        <v>160.4723987641118</v>
      </c>
      <c r="H6" s="551"/>
      <c r="I6" s="550">
        <f>AVERAGE(K13:M13)</f>
        <v>137.44089125237295</v>
      </c>
      <c r="J6" s="551"/>
      <c r="K6" s="35"/>
      <c r="L6" s="35"/>
      <c r="M6" s="35"/>
      <c r="N6" s="35"/>
    </row>
    <row r="7" spans="2:17" ht="28.5" customHeight="1">
      <c r="B7" s="561"/>
      <c r="C7" s="532" t="s">
        <v>93</v>
      </c>
      <c r="D7" s="533"/>
      <c r="E7" s="534">
        <f>AVERAGE(D14:M14)</f>
        <v>147.04922813807156</v>
      </c>
      <c r="F7" s="535">
        <f>AVERAGE(D28:O28,D14:J14)</f>
        <v>153.75345436127341</v>
      </c>
      <c r="G7" s="536">
        <f>AVERAGE(D14:J14)</f>
        <v>153.75345436127341</v>
      </c>
      <c r="H7" s="537"/>
      <c r="I7" s="536">
        <f>AVERAGE(K14:M14)</f>
        <v>131.40603361726724</v>
      </c>
      <c r="J7" s="537"/>
      <c r="K7" s="35"/>
      <c r="L7" s="35"/>
      <c r="M7" s="35"/>
      <c r="N7" s="35"/>
    </row>
    <row r="8" spans="2:17" ht="28.5" customHeight="1">
      <c r="B8" s="562"/>
      <c r="C8" s="532" t="s">
        <v>94</v>
      </c>
      <c r="D8" s="533"/>
      <c r="E8" s="538">
        <f>AVERAGE(D15:M15)</f>
        <v>0.9568760993013431</v>
      </c>
      <c r="F8" s="539">
        <f>AVERAGE(D15:J15,D29:O29)</f>
        <v>0.95724765857104621</v>
      </c>
      <c r="G8" s="540">
        <f>AVERAGE(D15:J15)</f>
        <v>0.95724765857104621</v>
      </c>
      <c r="H8" s="541"/>
      <c r="I8" s="540">
        <f>AVERAGE(K15:M15)</f>
        <v>0.95600912767203583</v>
      </c>
      <c r="J8" s="541"/>
      <c r="K8" s="36" t="s">
        <v>1991</v>
      </c>
      <c r="L8" s="35"/>
      <c r="M8" s="35"/>
      <c r="N8" s="35"/>
    </row>
    <row r="9" spans="2:17" ht="28.5" customHeight="1" thickBot="1">
      <c r="H9" s="38"/>
      <c r="N9" s="35"/>
      <c r="O9" s="35"/>
      <c r="P9" s="35"/>
      <c r="Q9" s="35"/>
    </row>
    <row r="10" spans="2:17" ht="30" customHeight="1">
      <c r="B10" s="515" t="s">
        <v>1992</v>
      </c>
      <c r="C10" s="516"/>
      <c r="D10" s="517" t="s">
        <v>1993</v>
      </c>
      <c r="E10" s="518"/>
      <c r="F10" s="518"/>
      <c r="G10" s="518"/>
      <c r="H10" s="518"/>
      <c r="I10" s="518"/>
      <c r="J10" s="519"/>
      <c r="K10" s="520" t="s">
        <v>1994</v>
      </c>
      <c r="L10" s="521"/>
      <c r="M10" s="522"/>
      <c r="P10" s="39"/>
      <c r="Q10" s="39"/>
    </row>
    <row r="11" spans="2:17" ht="17.25" customHeight="1">
      <c r="B11" s="523" t="s">
        <v>1995</v>
      </c>
      <c r="C11" s="524"/>
      <c r="D11" s="40">
        <v>1</v>
      </c>
      <c r="E11" s="41">
        <v>2</v>
      </c>
      <c r="F11" s="41">
        <v>3</v>
      </c>
      <c r="G11" s="41">
        <v>4</v>
      </c>
      <c r="H11" s="41">
        <v>5</v>
      </c>
      <c r="I11" s="41">
        <v>6</v>
      </c>
      <c r="J11" s="42">
        <v>7</v>
      </c>
      <c r="K11" s="40">
        <v>1</v>
      </c>
      <c r="L11" s="41">
        <v>2</v>
      </c>
      <c r="M11" s="42">
        <v>3</v>
      </c>
      <c r="P11" s="39"/>
      <c r="Q11" s="39"/>
    </row>
    <row r="12" spans="2:17" ht="34.15" customHeight="1">
      <c r="B12" s="525"/>
      <c r="C12" s="526"/>
      <c r="D12" s="43" t="s">
        <v>96</v>
      </c>
      <c r="E12" s="44" t="s">
        <v>97</v>
      </c>
      <c r="F12" s="44" t="s">
        <v>98</v>
      </c>
      <c r="G12" s="44" t="s">
        <v>99</v>
      </c>
      <c r="H12" s="44" t="s">
        <v>100</v>
      </c>
      <c r="I12" s="44" t="s">
        <v>101</v>
      </c>
      <c r="J12" s="45" t="s">
        <v>102</v>
      </c>
      <c r="K12" s="43" t="s">
        <v>103</v>
      </c>
      <c r="L12" s="44" t="s">
        <v>104</v>
      </c>
      <c r="M12" s="45" t="s">
        <v>105</v>
      </c>
    </row>
    <row r="13" spans="2:17" ht="40.15" customHeight="1">
      <c r="B13" s="527" t="s">
        <v>1996</v>
      </c>
      <c r="C13" s="46" t="s">
        <v>1997</v>
      </c>
      <c r="D13" s="47">
        <f>SUMIFS('1027 4度C'!$K:$K,'1027 4度C'!$A:$A,"新豐6線",'1027 4度C'!$B:$B,"平均")</f>
        <v>123.07692307692308</v>
      </c>
      <c r="E13" s="48">
        <f>SUMIFS('1027 4度C'!$K:$K,'1027 4度C'!$A:$A,"新豐2線",'1027 4度C'!$B:$B,"平均")</f>
        <v>81.081081081081081</v>
      </c>
      <c r="F13" s="49">
        <f>SUMIFS('1027 4度C'!$K:$K,'1027 4度C'!$A:$A,"新豐5線",'1027 4度C'!$B:$B,"平均")</f>
        <v>104.31654676258992</v>
      </c>
      <c r="G13" s="49">
        <f>SUMIFS('1027 4度C'!$K:$K,'1027 4度C'!$A:$A,"新豐7線",'1027 4度C'!$B:$B,"平均")</f>
        <v>119.40298507462687</v>
      </c>
      <c r="H13" s="49">
        <f>SUMIFS('1027 4度C'!$K:$K,'1027 4度C'!$A:$A,"新豐3線",'1027 4度C'!$B:$B,"平均")</f>
        <v>310.34482758620692</v>
      </c>
      <c r="I13" s="49">
        <f>SUMIFS('1027 4度C'!$K:$K,'1027 4度C'!$A:$A,"新豐1線",'1027 4度C'!$B:$B,"平均")</f>
        <v>115.85365853658537</v>
      </c>
      <c r="J13" s="50">
        <f>SUMIFS('1027 4度C'!$K:$K,'1027 4度C'!$A:$A,"新豐10線",'1027 4度C'!$B:$B,"平均")</f>
        <v>269.23076923076923</v>
      </c>
      <c r="K13" s="51">
        <f>SUMIFS('1027 4度C'!$K:$K,'1027 4度C'!$A:$A,"新豐8線",'1027 4度C'!$B:$B,"平均")</f>
        <v>127.43362831858408</v>
      </c>
      <c r="L13" s="52">
        <f>SUMIFS('1027 4度C'!$K:$K,'1027 4度C'!$A:$A,"新豐9線",'1027 4度C'!$B:$B,"平均")</f>
        <v>141.1764705882353</v>
      </c>
      <c r="M13" s="50">
        <f>SUMIFS('1027 4度C'!$K:$K,'1027 4度C'!$A:$A,"新豐4線",'1027 4度C'!$B:$B,"平均")</f>
        <v>143.7125748502994</v>
      </c>
    </row>
    <row r="14" spans="2:17" ht="39.6" customHeight="1">
      <c r="B14" s="528"/>
      <c r="C14" s="53" t="s">
        <v>1998</v>
      </c>
      <c r="D14" s="54">
        <f>SUMIFS('1027 4度C'!$N:$N,'1027 4度C'!$A:$A,"新豐6線",'1027 4度C'!$B:$B,"平均")</f>
        <v>117.98421037501066</v>
      </c>
      <c r="E14" s="55">
        <f>SUMIFS('1027 4度C'!$N:$N,'1027 4度C'!$A:$A,"新豐2線",'1027 4度C'!$B:$B,"平均")</f>
        <v>77.281017140889759</v>
      </c>
      <c r="F14" s="55">
        <f>SUMIFS('1027 4度C'!$N:$N,'1027 4度C'!$A:$A,"新豐5線",'1027 4度C'!$B:$B,"平均")</f>
        <v>99.789755066726684</v>
      </c>
      <c r="G14" s="55">
        <f>SUMIFS('1027 4度C'!$N:$N,'1027 4度C'!$A:$A,"新豐7線",'1027 4度C'!$B:$B,"平均")</f>
        <v>114.43132911156363</v>
      </c>
      <c r="H14" s="55">
        <f>SUMIFS('1027 4度C'!$N:$N,'1027 4度C'!$A:$A,"新豐3線",'1027 4度C'!$B:$B,"平均")</f>
        <v>297.59071933025416</v>
      </c>
      <c r="I14" s="55">
        <f>SUMIFS('1027 4度C'!$N:$N,'1027 4度C'!$A:$A,"新豐1線",'1027 4度C'!$B:$B,"平均")</f>
        <v>110.59023400442982</v>
      </c>
      <c r="J14" s="56">
        <f>SUMIFS('1027 4度C'!$N:$N,'1027 4度C'!$A:$A,"新豐10線",'1027 4度C'!$B:$B,"平均")</f>
        <v>258.60691550003907</v>
      </c>
      <c r="K14" s="57">
        <f>SUMIFS('1027 4度C'!$N:$N,'1027 4度C'!$A:$A,"新豐8線",'1027 4度C'!$B:$B,"平均")</f>
        <v>121.58370676845608</v>
      </c>
      <c r="L14" s="58">
        <f>SUMIFS('1027 4度C'!$N:$N,'1027 4度C'!$A:$A,"新豐9線",'1027 4度C'!$B:$B,"平均")</f>
        <v>134.81620191398352</v>
      </c>
      <c r="M14" s="56">
        <f>SUMIFS('1027 4度C'!$N:$N,'1027 4度C'!$A:$A,"新豐4線",'1027 4度C'!$B:$B,"平均")</f>
        <v>137.81819216936216</v>
      </c>
    </row>
    <row r="15" spans="2:17" ht="40.15" customHeight="1">
      <c r="B15" s="529"/>
      <c r="C15" s="59" t="s">
        <v>1999</v>
      </c>
      <c r="D15" s="60">
        <f t="shared" ref="D15:M15" si="0">D14/D13</f>
        <v>0.95862170929696155</v>
      </c>
      <c r="E15" s="61">
        <f t="shared" si="0"/>
        <v>0.95313254473764031</v>
      </c>
      <c r="F15" s="61">
        <f t="shared" si="0"/>
        <v>0.95660523822586274</v>
      </c>
      <c r="G15" s="61">
        <f t="shared" si="0"/>
        <v>0.95836238130934537</v>
      </c>
      <c r="H15" s="61">
        <f t="shared" si="0"/>
        <v>0.95890342895304115</v>
      </c>
      <c r="I15" s="61">
        <f t="shared" si="0"/>
        <v>0.95456833561718368</v>
      </c>
      <c r="J15" s="62">
        <f t="shared" si="0"/>
        <v>0.96053997185728801</v>
      </c>
      <c r="K15" s="60">
        <f t="shared" si="0"/>
        <v>0.95409436561357885</v>
      </c>
      <c r="L15" s="61">
        <f t="shared" si="0"/>
        <v>0.95494809689071658</v>
      </c>
      <c r="M15" s="62">
        <f t="shared" si="0"/>
        <v>0.95898492051181172</v>
      </c>
    </row>
    <row r="16" spans="2:17" ht="17.25" customHeight="1">
      <c r="B16" s="530" t="s">
        <v>2000</v>
      </c>
      <c r="C16" s="63" t="s">
        <v>2001</v>
      </c>
      <c r="D16" s="284">
        <f>VLOOKUP("新豐6線",'1027 4度C'!$A:$T,19,0)</f>
        <v>0.70833333333333337</v>
      </c>
      <c r="E16" s="285">
        <f>VLOOKUP("新豐2線",'1027 4度C'!$A:$T,19,0)</f>
        <v>0.20833333333333334</v>
      </c>
      <c r="F16" s="285">
        <f>VLOOKUP("新豐5線",'1027 4度C'!$A:$T,19,0)</f>
        <v>0.125</v>
      </c>
      <c r="G16" s="285">
        <f>VLOOKUP("新豐7線",'1027 4度C'!$A:$T,19,0)</f>
        <v>0.20833333333333334</v>
      </c>
      <c r="H16" s="285">
        <f>VLOOKUP("新豐3線",'1027 4度C'!$A:$T,19,0)</f>
        <v>8.3333333333333329E-2</v>
      </c>
      <c r="I16" s="285">
        <f>VLOOKUP("新豐1線",'1027 4度C'!$A:$T,19,0)</f>
        <v>0.20833333333333334</v>
      </c>
      <c r="J16" s="286">
        <f>VLOOKUP("新豐10線",'1027 4度C'!$A:$T,19,0)</f>
        <v>0.20833333333333334</v>
      </c>
      <c r="K16" s="66">
        <f>VLOOKUP("新豐8線",'1027 4度C'!$A:$T,19,0)</f>
        <v>8.3333333333333329E-2</v>
      </c>
      <c r="L16" s="67">
        <f>VLOOKUP("新豐9線",'1027 4度C'!$A:$T,19,0)</f>
        <v>8.3333333333333329E-2</v>
      </c>
      <c r="M16" s="68">
        <f>VLOOKUP("新豐4線",'1027 4度C'!$A:$T,19,0)</f>
        <v>8.3333333333333329E-2</v>
      </c>
    </row>
    <row r="17" spans="2:13" ht="17.25" customHeight="1">
      <c r="B17" s="531"/>
      <c r="C17" s="63" t="s">
        <v>2002</v>
      </c>
      <c r="D17" s="66">
        <f>LOOKUP(2,1/(('1027 4度C'!$A:$A="新豐6線")*('1027 4度C'!$T:$T&lt;&gt;"")),'1027 4度C'!$T:$T)</f>
        <v>0.9652777777777779</v>
      </c>
      <c r="E17" s="285">
        <f>LOOKUP(2,1/(('1027 4度C'!$A:$A="新豐2線")*('1027 4度C'!$T:$T&lt;&gt;"")),'1027 4度C'!$T:$T)</f>
        <v>0.50277777777777777</v>
      </c>
      <c r="F17" s="285">
        <f>LOOKUP(2,1/(('1027 4度C'!$A:$A="新豐5線")*('1027 4度C'!$T:$T&lt;&gt;"")),'1027 4度C'!$T:$T)</f>
        <v>0.96458333333333346</v>
      </c>
      <c r="G17" s="285">
        <f>LOOKUP(2,1/(('1027 4度C'!$A:$A="新豐7線")*('1027 4度C'!$T:$T&lt;&gt;"")),'1027 4度C'!$T:$T)</f>
        <v>0.77083333333333337</v>
      </c>
      <c r="H17" s="285">
        <f>LOOKUP(2,1/(('1027 4度C'!$A:$A="新豐3線")*('1027 4度C'!$T:$T&lt;&gt;"")),'1027 4度C'!$T:$T)</f>
        <v>0.52222222222222214</v>
      </c>
      <c r="I17" s="285">
        <f>LOOKUP(2,1/(('1027 4度C'!$A:$A="新豐1線")*('1027 4度C'!$T:$T&lt;&gt;"")),'1027 4度C'!$T:$T)</f>
        <v>0.93194444444444446</v>
      </c>
      <c r="J17" s="286">
        <f>LOOKUP(2,1/(('1027 4度C'!$A:$A="新豐10線")*('1027 4度C'!$T:$T&lt;&gt;"")),'1027 4度C'!$T:$T)</f>
        <v>0.4590277777777777</v>
      </c>
      <c r="K17" s="284">
        <f>LOOKUP(2,1/(('1027 4度C'!$A:$A="新豐8線")*('1027 4度C'!$T:$T&lt;&gt;"")),'1027 4度C'!$T:$T)</f>
        <v>0.72499999999999998</v>
      </c>
      <c r="L17" s="285">
        <f>LOOKUP(2,1/(('1027 4度C'!$A:$A="新豐9線")*('1027 4度C'!$T:$T&lt;&gt;"")),'1027 4度C'!$T:$T)</f>
        <v>0.70416666666666661</v>
      </c>
      <c r="M17" s="286">
        <f>LOOKUP(2,1/(('1027 4度C'!$A:$A="新豐4線")*('1027 4度C'!$T:$T&lt;&gt;"")),'1027 4度C'!$T:$T)</f>
        <v>0.7354166666666665</v>
      </c>
    </row>
    <row r="18" spans="2:13" ht="17.25" customHeight="1">
      <c r="B18" s="509" t="s">
        <v>2003</v>
      </c>
      <c r="C18" s="510"/>
      <c r="D18" s="69">
        <f>SUMIFS('1027 4度C'!$I:$I,'1027 4度C'!$A:$A,"新豐6線",'1027 4度C'!$B:$B,"平均")</f>
        <v>16.25</v>
      </c>
      <c r="E18" s="70">
        <f>SUMIFS('1027 4度C'!$I:$I,'1027 4度C'!$A:$A,"新豐2線",'1027 4度C'!$B:$B,"平均")</f>
        <v>18.5</v>
      </c>
      <c r="F18" s="70">
        <f>SUMIFS('1027 4度C'!$I:$I,'1027 4度C'!$A:$A,"新豐5線",'1027 4度C'!$B:$B,"平均")</f>
        <v>17.375</v>
      </c>
      <c r="G18" s="70">
        <f>SUMIFS('1027 4度C'!$I:$I,'1027 4度C'!$A:$A,"新豐7線",'1027 4度C'!$B:$B,"平均")</f>
        <v>16.75</v>
      </c>
      <c r="H18" s="70">
        <f>SUMIFS('1027 4度C'!$I:$I,'1027 4度C'!$A:$A,"新豐3線",'1027 4度C'!$B:$B,"平均")</f>
        <v>9.6666666666666661</v>
      </c>
      <c r="I18" s="70">
        <f>SUMIFS('1027 4度C'!$I:$I,'1027 4度C'!$A:$A,"新豐1線",'1027 4度C'!$B:$B,"平均")</f>
        <v>16.399999999999999</v>
      </c>
      <c r="J18" s="71">
        <f>SUMIFS('1027 4度C'!$I:$I,'1027 4度C'!$A:$A,"新豐10線",'1027 4度C'!$B:$B,"平均")</f>
        <v>9.75</v>
      </c>
      <c r="K18" s="69">
        <f>SUMIFS('1027 4度C'!$I:$I,'1027 4度C'!$A:$A,"新豐8線",'1027 4度C'!$B:$B,"平均")</f>
        <v>18.833333333333332</v>
      </c>
      <c r="L18" s="70">
        <f>SUMIFS('1027 4度C'!$I:$I,'1027 4度C'!$A:$A,"新豐9線",'1027 4度C'!$B:$B,"平均")</f>
        <v>17</v>
      </c>
      <c r="M18" s="71">
        <f>SUMIFS('1027 4度C'!$I:$I,'1027 4度C'!$A:$A,"新豐4線",'1027 4度C'!$B:$B,"平均")</f>
        <v>16.7</v>
      </c>
    </row>
    <row r="19" spans="2:13" ht="17.25" customHeight="1">
      <c r="B19" s="509" t="s">
        <v>2004</v>
      </c>
      <c r="C19" s="510"/>
      <c r="D19" s="72" t="s">
        <v>109</v>
      </c>
      <c r="E19" s="73" t="s">
        <v>110</v>
      </c>
      <c r="F19" s="73" t="s">
        <v>2005</v>
      </c>
      <c r="G19" s="73" t="s">
        <v>2005</v>
      </c>
      <c r="H19" s="73" t="s">
        <v>111</v>
      </c>
      <c r="I19" s="73" t="s">
        <v>109</v>
      </c>
      <c r="J19" s="74" t="s">
        <v>111</v>
      </c>
      <c r="K19" s="72" t="s">
        <v>226</v>
      </c>
      <c r="L19" s="73" t="s">
        <v>2006</v>
      </c>
      <c r="M19" s="74" t="s">
        <v>2006</v>
      </c>
    </row>
    <row r="20" spans="2:13" ht="17.25" customHeight="1">
      <c r="B20" s="509" t="s">
        <v>2007</v>
      </c>
      <c r="C20" s="510"/>
      <c r="D20" s="72"/>
      <c r="E20" s="73"/>
      <c r="F20" s="73" t="s">
        <v>2008</v>
      </c>
      <c r="G20" s="73" t="s">
        <v>109</v>
      </c>
      <c r="H20" s="73"/>
      <c r="I20" s="73"/>
      <c r="J20" s="74"/>
      <c r="K20" s="72"/>
      <c r="L20" s="73"/>
      <c r="M20" s="74"/>
    </row>
    <row r="21" spans="2:13" ht="17.25" customHeight="1" thickBot="1">
      <c r="B21" s="511" t="s">
        <v>2009</v>
      </c>
      <c r="C21" s="512"/>
      <c r="D21" s="75"/>
      <c r="E21" s="76" t="s">
        <v>2010</v>
      </c>
      <c r="F21" s="513" t="s">
        <v>2011</v>
      </c>
      <c r="G21" s="514"/>
      <c r="H21" s="76" t="s">
        <v>2012</v>
      </c>
      <c r="I21" s="76" t="s">
        <v>2013</v>
      </c>
      <c r="J21" s="77" t="s">
        <v>2014</v>
      </c>
      <c r="K21" s="78"/>
      <c r="L21" s="76"/>
      <c r="M21" s="77"/>
    </row>
    <row r="22" spans="2:13" ht="17.25" customHeight="1"/>
    <row r="23" spans="2:13" ht="17.25" customHeight="1"/>
    <row r="24" spans="2:13" ht="17.25" customHeight="1"/>
    <row r="25" spans="2:13" ht="37.5" customHeight="1"/>
    <row r="26" spans="2:13" ht="35.25" customHeight="1"/>
    <row r="27" spans="2:13" ht="35.25" customHeight="1"/>
    <row r="28" spans="2:13" ht="39.75" customHeight="1"/>
  </sheetData>
  <mergeCells count="36">
    <mergeCell ref="B1:J2"/>
    <mergeCell ref="C3:D3"/>
    <mergeCell ref="F3:G3"/>
    <mergeCell ref="I3:J3"/>
    <mergeCell ref="B4:B8"/>
    <mergeCell ref="C4:D4"/>
    <mergeCell ref="E4:F4"/>
    <mergeCell ref="G4:H4"/>
    <mergeCell ref="I4:J4"/>
    <mergeCell ref="C5:D5"/>
    <mergeCell ref="E5:F5"/>
    <mergeCell ref="G5:H5"/>
    <mergeCell ref="I5:J5"/>
    <mergeCell ref="C6:D6"/>
    <mergeCell ref="E6:F6"/>
    <mergeCell ref="G6:H6"/>
    <mergeCell ref="I6:J6"/>
    <mergeCell ref="B16:B17"/>
    <mergeCell ref="C7:D7"/>
    <mergeCell ref="E7:F7"/>
    <mergeCell ref="G7:H7"/>
    <mergeCell ref="I7:J7"/>
    <mergeCell ref="C8:D8"/>
    <mergeCell ref="E8:F8"/>
    <mergeCell ref="G8:H8"/>
    <mergeCell ref="I8:J8"/>
    <mergeCell ref="B10:C10"/>
    <mergeCell ref="D10:J10"/>
    <mergeCell ref="B20:C20"/>
    <mergeCell ref="B21:C21"/>
    <mergeCell ref="F21:G21"/>
    <mergeCell ref="K10:M10"/>
    <mergeCell ref="B11:C12"/>
    <mergeCell ref="B13:B15"/>
    <mergeCell ref="B18:C18"/>
    <mergeCell ref="B19:C19"/>
  </mergeCells>
  <phoneticPr fontId="3" type="noConversion"/>
  <conditionalFormatting sqref="D15:M15">
    <cfRule type="cellIs" dxfId="1683" priority="1" operator="lessThan">
      <formula>0.8</formula>
    </cfRule>
  </conditionalFormatting>
  <pageMargins left="0.7" right="0.7" top="0.75" bottom="0.75" header="0.3" footer="0.3"/>
  <pageSetup paperSize="9" orientation="portrait" horizontalDpi="300" verticalDpi="300" r:id="rId1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工作表131">
    <pageSetUpPr fitToPage="1"/>
  </sheetPr>
  <dimension ref="A1:AC71"/>
  <sheetViews>
    <sheetView topLeftCell="G1" zoomScale="80" zoomScaleNormal="80" workbookViewId="0">
      <pane ySplit="4" topLeftCell="A5" activePane="bottomLeft" state="frozen"/>
      <selection activeCell="D10" sqref="D10:J10"/>
      <selection pane="bottomLeft" activeCell="W13" sqref="W13:X13"/>
    </sheetView>
  </sheetViews>
  <sheetFormatPr defaultColWidth="8" defaultRowHeight="15.75"/>
  <cols>
    <col min="1" max="1" width="15.125" style="291" customWidth="1"/>
    <col min="2" max="2" width="19.375" style="291" customWidth="1"/>
    <col min="3" max="3" width="15.25" style="291" customWidth="1"/>
    <col min="4" max="4" width="17.5" style="291" customWidth="1"/>
    <col min="5" max="5" width="7.5" style="291" bestFit="1" customWidth="1"/>
    <col min="6" max="6" width="14.375" style="291" bestFit="1" customWidth="1"/>
    <col min="7" max="7" width="14.375" style="291" customWidth="1"/>
    <col min="8" max="8" width="8" style="291" customWidth="1"/>
    <col min="9" max="9" width="5.875" style="291" customWidth="1"/>
    <col min="10" max="10" width="10.625" style="291" customWidth="1"/>
    <col min="11" max="11" width="14.625" style="291" customWidth="1"/>
    <col min="12" max="12" width="7.25" style="291" bestFit="1" customWidth="1"/>
    <col min="13" max="13" width="8" style="291" customWidth="1"/>
    <col min="14" max="14" width="12" style="291" customWidth="1"/>
    <col min="15" max="15" width="6" style="291" customWidth="1"/>
    <col min="16" max="16" width="9.25" style="291" customWidth="1"/>
    <col min="17" max="17" width="11.5" style="291" customWidth="1"/>
    <col min="18" max="18" width="8.5" style="291" customWidth="1"/>
    <col min="19" max="19" width="10.125" style="324" bestFit="1" customWidth="1"/>
    <col min="20" max="20" width="7.625" style="324" bestFit="1" customWidth="1"/>
    <col min="21" max="21" width="10.25" style="291" bestFit="1" customWidth="1"/>
    <col min="22" max="22" width="8.75" style="325" customWidth="1"/>
    <col min="23" max="23" width="7.375" style="291" customWidth="1"/>
    <col min="24" max="24" width="6.875" style="291" bestFit="1" customWidth="1"/>
    <col min="25" max="25" width="12.75" style="291" customWidth="1"/>
    <col min="26" max="26" width="18.875" style="291" customWidth="1"/>
    <col min="27" max="27" width="13.125" style="291" bestFit="1" customWidth="1"/>
    <col min="28" max="28" width="10.375" style="291" customWidth="1"/>
    <col min="29" max="29" width="9.375" style="291" customWidth="1"/>
    <col min="30" max="30" width="8" style="291"/>
    <col min="31" max="31" width="24.625" style="291" bestFit="1" customWidth="1"/>
    <col min="32" max="16384" width="8" style="291"/>
  </cols>
  <sheetData>
    <row r="1" spans="1:29" ht="26.25" customHeight="1">
      <c r="A1" s="287" t="s">
        <v>234</v>
      </c>
      <c r="B1" s="287"/>
      <c r="C1" s="288" t="s">
        <v>147</v>
      </c>
      <c r="D1" s="289">
        <f>SUM(F5:F70)</f>
        <v>194335</v>
      </c>
      <c r="E1" s="442" t="s">
        <v>2015</v>
      </c>
      <c r="F1" s="287">
        <f>SUM(G5:G70)</f>
        <v>6494392.6599999992</v>
      </c>
      <c r="G1" s="287" t="s">
        <v>2016</v>
      </c>
      <c r="H1" s="290">
        <f>L9+L12+L48+L54+L21+L59+L33+L41+L26+L70</f>
        <v>157.22499999999997</v>
      </c>
      <c r="I1" s="611" t="s">
        <v>2017</v>
      </c>
      <c r="J1" s="611"/>
      <c r="K1" s="611"/>
      <c r="L1" s="611" t="s">
        <v>2018</v>
      </c>
      <c r="M1" s="611"/>
      <c r="N1" s="611"/>
      <c r="O1" s="611" t="s">
        <v>311</v>
      </c>
      <c r="P1" s="611"/>
      <c r="Q1" s="611"/>
      <c r="R1" s="611"/>
      <c r="S1" s="611" t="s">
        <v>2019</v>
      </c>
      <c r="T1" s="611"/>
      <c r="U1" s="611"/>
      <c r="V1" s="611"/>
      <c r="W1" s="611"/>
      <c r="X1" s="611"/>
      <c r="Y1" s="611" t="s">
        <v>0</v>
      </c>
      <c r="Z1" s="611"/>
      <c r="AA1" s="611" t="s">
        <v>154</v>
      </c>
      <c r="AB1" s="612"/>
      <c r="AC1" s="612"/>
    </row>
    <row r="2" spans="1:29" ht="26.25" customHeight="1">
      <c r="A2" s="292">
        <v>45957</v>
      </c>
      <c r="B2" s="293" t="s">
        <v>540</v>
      </c>
      <c r="C2" s="288" t="s">
        <v>1</v>
      </c>
      <c r="D2" s="294">
        <f>AVERAGE(N9,N12,N48,N54,N21,N59,N26,N33,N41,N70)</f>
        <v>147.04922813807156</v>
      </c>
      <c r="E2" s="295" t="s">
        <v>2</v>
      </c>
      <c r="F2" s="296">
        <f>F1/D1</f>
        <v>33.418543545938711</v>
      </c>
      <c r="G2" s="287" t="s">
        <v>2020</v>
      </c>
      <c r="H2" s="454">
        <f>COUNT(H5:H70)</f>
        <v>10</v>
      </c>
      <c r="I2" s="611"/>
      <c r="J2" s="611"/>
      <c r="K2" s="611"/>
      <c r="L2" s="611"/>
      <c r="M2" s="611"/>
      <c r="N2" s="611"/>
      <c r="O2" s="611"/>
      <c r="P2" s="611"/>
      <c r="Q2" s="611"/>
      <c r="R2" s="611"/>
      <c r="S2" s="611"/>
      <c r="T2" s="611"/>
      <c r="U2" s="611"/>
      <c r="V2" s="611"/>
      <c r="W2" s="611"/>
      <c r="X2" s="611"/>
      <c r="Y2" s="611"/>
      <c r="Z2" s="611"/>
      <c r="AA2" s="612"/>
      <c r="AB2" s="612"/>
      <c r="AC2" s="612"/>
    </row>
    <row r="3" spans="1:29" ht="23.25" customHeight="1">
      <c r="A3" s="570" t="s">
        <v>3</v>
      </c>
      <c r="B3" s="570" t="s">
        <v>4</v>
      </c>
      <c r="C3" s="570" t="s">
        <v>5</v>
      </c>
      <c r="D3" s="570"/>
      <c r="E3" s="609" t="s">
        <v>2021</v>
      </c>
      <c r="F3" s="570" t="s">
        <v>7</v>
      </c>
      <c r="G3" s="609" t="s">
        <v>2022</v>
      </c>
      <c r="H3" s="602" t="s">
        <v>9</v>
      </c>
      <c r="I3" s="600" t="s">
        <v>10</v>
      </c>
      <c r="J3" s="605" t="s">
        <v>11</v>
      </c>
      <c r="K3" s="607" t="s">
        <v>2023</v>
      </c>
      <c r="L3" s="600" t="s">
        <v>10</v>
      </c>
      <c r="M3" s="605" t="s">
        <v>11</v>
      </c>
      <c r="N3" s="607" t="s">
        <v>1</v>
      </c>
      <c r="O3" s="600" t="s">
        <v>2024</v>
      </c>
      <c r="P3" s="607" t="s">
        <v>1</v>
      </c>
      <c r="Q3" s="606" t="s">
        <v>2025</v>
      </c>
      <c r="R3" s="578" t="s">
        <v>2026</v>
      </c>
      <c r="S3" s="608" t="s">
        <v>14</v>
      </c>
      <c r="T3" s="608"/>
      <c r="U3" s="602" t="s">
        <v>15</v>
      </c>
      <c r="V3" s="602" t="s">
        <v>164</v>
      </c>
      <c r="W3" s="570" t="s">
        <v>16</v>
      </c>
      <c r="X3" s="570"/>
      <c r="Y3" s="603" t="s">
        <v>17</v>
      </c>
      <c r="Z3" s="604"/>
      <c r="AA3" s="605" t="s">
        <v>2027</v>
      </c>
      <c r="AB3" s="606" t="s">
        <v>2025</v>
      </c>
      <c r="AC3" s="578" t="s">
        <v>13</v>
      </c>
    </row>
    <row r="4" spans="1:29">
      <c r="A4" s="570"/>
      <c r="B4" s="570"/>
      <c r="C4" s="570"/>
      <c r="D4" s="570"/>
      <c r="E4" s="610"/>
      <c r="F4" s="570"/>
      <c r="G4" s="610"/>
      <c r="H4" s="602"/>
      <c r="I4" s="600"/>
      <c r="J4" s="605"/>
      <c r="K4" s="607"/>
      <c r="L4" s="600"/>
      <c r="M4" s="605"/>
      <c r="N4" s="607"/>
      <c r="O4" s="600"/>
      <c r="P4" s="607"/>
      <c r="Q4" s="606"/>
      <c r="R4" s="578"/>
      <c r="S4" s="453" t="s">
        <v>18</v>
      </c>
      <c r="T4" s="453" t="s">
        <v>19</v>
      </c>
      <c r="U4" s="602"/>
      <c r="V4" s="602"/>
      <c r="W4" s="442" t="s">
        <v>255</v>
      </c>
      <c r="X4" s="442" t="s">
        <v>2028</v>
      </c>
      <c r="Y4" s="604"/>
      <c r="Z4" s="604"/>
      <c r="AA4" s="605"/>
      <c r="AB4" s="606"/>
      <c r="AC4" s="578"/>
    </row>
    <row r="5" spans="1:29">
      <c r="A5" s="599" t="s">
        <v>2029</v>
      </c>
      <c r="B5" s="300" t="s">
        <v>36</v>
      </c>
      <c r="C5" s="601" t="s">
        <v>37</v>
      </c>
      <c r="D5" s="601"/>
      <c r="E5" s="300">
        <v>46.93</v>
      </c>
      <c r="F5" s="453">
        <v>1059</v>
      </c>
      <c r="G5" s="442">
        <f t="shared" ref="G5:G8" si="0">E5*F5</f>
        <v>49698.87</v>
      </c>
      <c r="H5" s="455" t="s">
        <v>35</v>
      </c>
      <c r="I5" s="451">
        <v>16</v>
      </c>
      <c r="J5" s="303">
        <v>2000</v>
      </c>
      <c r="K5" s="304">
        <f t="shared" ref="K5:K68" si="1">J5/I5</f>
        <v>125</v>
      </c>
      <c r="L5" s="451">
        <v>16</v>
      </c>
      <c r="M5" s="305">
        <f t="shared" ref="M5:M8" si="2">F5/V5*60</f>
        <v>1925.454545454543</v>
      </c>
      <c r="N5" s="304">
        <f t="shared" ref="N5:N68" si="3">M5/L5</f>
        <v>120.34090909090894</v>
      </c>
      <c r="O5" s="306">
        <f t="shared" ref="O5:O68" si="4">L5-I5</f>
        <v>0</v>
      </c>
      <c r="P5" s="307">
        <f t="shared" ref="P5:P68" si="5">N5-K5</f>
        <v>-4.6590909090910628</v>
      </c>
      <c r="Q5" s="445">
        <f t="shared" ref="Q5:Q68" si="6">N5/K5</f>
        <v>0.96272727272727154</v>
      </c>
      <c r="R5" s="571">
        <f>Q9</f>
        <v>0.95862170929696155</v>
      </c>
      <c r="S5" s="308">
        <v>0.70833333333333337</v>
      </c>
      <c r="T5" s="308">
        <v>0.73125000000000007</v>
      </c>
      <c r="U5" s="442"/>
      <c r="V5" s="452">
        <f t="shared" ref="V5:V8" si="7">(T5-S5)*24*60</f>
        <v>33.000000000000043</v>
      </c>
      <c r="W5" s="310"/>
      <c r="X5" s="311"/>
      <c r="Y5" s="570"/>
      <c r="Z5" s="570"/>
      <c r="AA5" s="306">
        <f t="shared" ref="AA5:AA68" si="8">M5-J5</f>
        <v>-74.545454545457005</v>
      </c>
      <c r="AB5" s="445">
        <f t="shared" ref="AB5:AB68" si="9">M5/J5</f>
        <v>0.96272727272727154</v>
      </c>
      <c r="AC5" s="571">
        <f>AB9</f>
        <v>0.95862170929696167</v>
      </c>
    </row>
    <row r="6" spans="1:29">
      <c r="A6" s="600" t="s">
        <v>2030</v>
      </c>
      <c r="B6" s="300" t="s">
        <v>36</v>
      </c>
      <c r="C6" s="601" t="s">
        <v>38</v>
      </c>
      <c r="D6" s="601"/>
      <c r="E6" s="300">
        <v>50.49</v>
      </c>
      <c r="F6" s="453">
        <v>2492</v>
      </c>
      <c r="G6" s="442">
        <f t="shared" si="0"/>
        <v>125821.08</v>
      </c>
      <c r="H6" s="455" t="s">
        <v>35</v>
      </c>
      <c r="I6" s="451">
        <v>15</v>
      </c>
      <c r="J6" s="303">
        <v>2000</v>
      </c>
      <c r="K6" s="304">
        <f t="shared" si="1"/>
        <v>133.33333333333334</v>
      </c>
      <c r="L6" s="451">
        <v>15</v>
      </c>
      <c r="M6" s="305">
        <f t="shared" si="2"/>
        <v>1916.9230769230758</v>
      </c>
      <c r="N6" s="304">
        <f t="shared" si="3"/>
        <v>127.79487179487172</v>
      </c>
      <c r="O6" s="306">
        <f t="shared" si="4"/>
        <v>0</v>
      </c>
      <c r="P6" s="307">
        <f t="shared" si="5"/>
        <v>-5.5384615384616183</v>
      </c>
      <c r="Q6" s="445">
        <f t="shared" si="6"/>
        <v>0.95846153846153792</v>
      </c>
      <c r="R6" s="571"/>
      <c r="S6" s="308">
        <v>0.73472222222222228</v>
      </c>
      <c r="T6" s="308">
        <v>0.78888888888888897</v>
      </c>
      <c r="U6" s="442">
        <f t="shared" ref="U6:U8" si="10">IF(S6=TIME(17,0,0),"",(S6-T5)*24*60)</f>
        <v>4.9999999999999822</v>
      </c>
      <c r="V6" s="452">
        <f t="shared" si="7"/>
        <v>78.000000000000043</v>
      </c>
      <c r="W6" s="310"/>
      <c r="X6" s="310"/>
      <c r="Y6" s="570"/>
      <c r="Z6" s="570"/>
      <c r="AA6" s="306">
        <f t="shared" si="8"/>
        <v>-83.076923076924231</v>
      </c>
      <c r="AB6" s="445">
        <f t="shared" si="9"/>
        <v>0.95846153846153792</v>
      </c>
      <c r="AC6" s="571"/>
    </row>
    <row r="7" spans="1:29">
      <c r="A7" s="600" t="s">
        <v>167</v>
      </c>
      <c r="B7" s="300" t="s">
        <v>36</v>
      </c>
      <c r="C7" s="594" t="s">
        <v>39</v>
      </c>
      <c r="D7" s="595"/>
      <c r="E7" s="300">
        <v>50.67</v>
      </c>
      <c r="F7" s="453">
        <v>2142</v>
      </c>
      <c r="G7" s="442">
        <f t="shared" si="0"/>
        <v>108535.14</v>
      </c>
      <c r="H7" s="455" t="s">
        <v>35</v>
      </c>
      <c r="I7" s="451">
        <v>17</v>
      </c>
      <c r="J7" s="303">
        <v>2000</v>
      </c>
      <c r="K7" s="304">
        <f t="shared" si="1"/>
        <v>117.64705882352941</v>
      </c>
      <c r="L7" s="451">
        <v>17</v>
      </c>
      <c r="M7" s="305">
        <f t="shared" si="2"/>
        <v>1918.2089552238783</v>
      </c>
      <c r="N7" s="304">
        <f t="shared" si="3"/>
        <v>112.83582089552226</v>
      </c>
      <c r="O7" s="306">
        <f t="shared" si="4"/>
        <v>0</v>
      </c>
      <c r="P7" s="307">
        <f t="shared" si="5"/>
        <v>-4.8112379280071451</v>
      </c>
      <c r="Q7" s="445">
        <f t="shared" si="6"/>
        <v>0.95910447761193929</v>
      </c>
      <c r="R7" s="571"/>
      <c r="S7" s="308">
        <v>0.79375000000000007</v>
      </c>
      <c r="T7" s="308">
        <v>0.8402777777777779</v>
      </c>
      <c r="U7" s="442">
        <f t="shared" si="10"/>
        <v>6.9999999999999751</v>
      </c>
      <c r="V7" s="452">
        <f t="shared" si="7"/>
        <v>67.000000000000085</v>
      </c>
      <c r="W7" s="310">
        <f>T7</f>
        <v>0.8402777777777779</v>
      </c>
      <c r="X7" s="310">
        <f>S8</f>
        <v>0.92222222222222239</v>
      </c>
      <c r="Y7" s="566"/>
      <c r="Z7" s="567"/>
      <c r="AA7" s="306">
        <f t="shared" si="8"/>
        <v>-81.79104477612168</v>
      </c>
      <c r="AB7" s="445">
        <f t="shared" si="9"/>
        <v>0.95910447761193918</v>
      </c>
      <c r="AC7" s="571"/>
    </row>
    <row r="8" spans="1:29">
      <c r="A8" s="600" t="s">
        <v>2030</v>
      </c>
      <c r="B8" s="300" t="s">
        <v>36</v>
      </c>
      <c r="C8" s="594" t="s">
        <v>76</v>
      </c>
      <c r="D8" s="595"/>
      <c r="E8" s="300">
        <v>55.56</v>
      </c>
      <c r="F8" s="453">
        <v>1972</v>
      </c>
      <c r="G8" s="442">
        <f t="shared" si="0"/>
        <v>109564.32</v>
      </c>
      <c r="H8" s="455" t="s">
        <v>35</v>
      </c>
      <c r="I8" s="451">
        <v>17</v>
      </c>
      <c r="J8" s="303">
        <v>2000</v>
      </c>
      <c r="K8" s="304">
        <f t="shared" si="1"/>
        <v>117.64705882352941</v>
      </c>
      <c r="L8" s="451">
        <v>17</v>
      </c>
      <c r="M8" s="305">
        <f t="shared" si="2"/>
        <v>1908.3870967741955</v>
      </c>
      <c r="N8" s="304">
        <f t="shared" si="3"/>
        <v>112.25806451612914</v>
      </c>
      <c r="O8" s="306">
        <f t="shared" si="4"/>
        <v>0</v>
      </c>
      <c r="P8" s="307">
        <f t="shared" si="5"/>
        <v>-5.3889943074002673</v>
      </c>
      <c r="Q8" s="445">
        <f t="shared" si="6"/>
        <v>0.95419354838709769</v>
      </c>
      <c r="R8" s="571"/>
      <c r="S8" s="308">
        <v>0.92222222222222239</v>
      </c>
      <c r="T8" s="308">
        <v>0.9652777777777779</v>
      </c>
      <c r="U8" s="442">
        <f t="shared" si="10"/>
        <v>118.00000000000006</v>
      </c>
      <c r="V8" s="452">
        <f t="shared" si="7"/>
        <v>61.999999999999943</v>
      </c>
      <c r="W8" s="315"/>
      <c r="X8" s="315"/>
      <c r="Y8" s="566"/>
      <c r="Z8" s="567"/>
      <c r="AA8" s="306">
        <f t="shared" si="8"/>
        <v>-91.61290322580453</v>
      </c>
      <c r="AB8" s="445">
        <f t="shared" si="9"/>
        <v>0.95419354838709769</v>
      </c>
      <c r="AC8" s="571"/>
    </row>
    <row r="9" spans="1:29">
      <c r="A9" s="600" t="s">
        <v>167</v>
      </c>
      <c r="B9" s="300" t="s">
        <v>25</v>
      </c>
      <c r="C9" s="572"/>
      <c r="D9" s="572"/>
      <c r="E9" s="446"/>
      <c r="F9" s="313"/>
      <c r="G9" s="304"/>
      <c r="H9" s="453"/>
      <c r="I9" s="314">
        <v>16.25</v>
      </c>
      <c r="J9" s="303">
        <v>2000</v>
      </c>
      <c r="K9" s="304">
        <f t="shared" si="1"/>
        <v>123.07692307692308</v>
      </c>
      <c r="L9" s="314">
        <v>16.25</v>
      </c>
      <c r="M9" s="305">
        <f>AVERAGE(M5:M8)</f>
        <v>1917.2434185939233</v>
      </c>
      <c r="N9" s="304">
        <f t="shared" si="3"/>
        <v>117.98421037501066</v>
      </c>
      <c r="O9" s="306">
        <f t="shared" si="4"/>
        <v>0</v>
      </c>
      <c r="P9" s="307">
        <f t="shared" si="5"/>
        <v>-5.0927127019124185</v>
      </c>
      <c r="Q9" s="445">
        <f t="shared" si="6"/>
        <v>0.95862170929696155</v>
      </c>
      <c r="R9" s="571"/>
      <c r="S9" s="308"/>
      <c r="T9" s="308"/>
      <c r="U9" s="442"/>
      <c r="V9" s="452"/>
      <c r="W9" s="304"/>
      <c r="X9" s="304"/>
      <c r="Y9" s="570"/>
      <c r="Z9" s="570"/>
      <c r="AA9" s="306">
        <f t="shared" si="8"/>
        <v>-82.756581406076748</v>
      </c>
      <c r="AB9" s="445">
        <f t="shared" si="9"/>
        <v>0.95862170929696167</v>
      </c>
      <c r="AC9" s="571"/>
    </row>
    <row r="10" spans="1:29" ht="15.75" customHeight="1">
      <c r="A10" s="598" t="s">
        <v>2031</v>
      </c>
      <c r="B10" s="300" t="s">
        <v>40</v>
      </c>
      <c r="C10" s="594" t="s">
        <v>42</v>
      </c>
      <c r="D10" s="595"/>
      <c r="E10" s="300">
        <v>39.36</v>
      </c>
      <c r="F10" s="453">
        <v>2501</v>
      </c>
      <c r="G10" s="442">
        <f t="shared" ref="G10:G11" si="11">E10*F10</f>
        <v>98439.360000000001</v>
      </c>
      <c r="H10" s="455" t="s">
        <v>35</v>
      </c>
      <c r="I10" s="451">
        <v>20</v>
      </c>
      <c r="J10" s="303">
        <v>1500</v>
      </c>
      <c r="K10" s="304">
        <f t="shared" si="1"/>
        <v>75</v>
      </c>
      <c r="L10" s="451">
        <v>20</v>
      </c>
      <c r="M10" s="305">
        <f t="shared" ref="M10:M11" si="12">F10/V10*60</f>
        <v>1429.1428571428573</v>
      </c>
      <c r="N10" s="304">
        <f t="shared" si="3"/>
        <v>71.45714285714287</v>
      </c>
      <c r="O10" s="306">
        <f t="shared" si="4"/>
        <v>0</v>
      </c>
      <c r="P10" s="307">
        <f t="shared" si="5"/>
        <v>-3.5428571428571303</v>
      </c>
      <c r="Q10" s="445">
        <f t="shared" si="6"/>
        <v>0.95276190476190492</v>
      </c>
      <c r="R10" s="571">
        <f>Q12</f>
        <v>0.95313254473764031</v>
      </c>
      <c r="S10" s="308">
        <v>0.20833333333333334</v>
      </c>
      <c r="T10" s="308">
        <v>0.28125</v>
      </c>
      <c r="U10" s="442"/>
      <c r="V10" s="452">
        <f t="shared" ref="V10:V11" si="13">(T10-S10)*24*60</f>
        <v>104.99999999999999</v>
      </c>
      <c r="W10" s="310"/>
      <c r="X10" s="310"/>
      <c r="Y10" s="570"/>
      <c r="Z10" s="570"/>
      <c r="AA10" s="306">
        <f t="shared" si="8"/>
        <v>-70.857142857142662</v>
      </c>
      <c r="AB10" s="445">
        <f t="shared" si="9"/>
        <v>0.95276190476190492</v>
      </c>
      <c r="AC10" s="571">
        <f>AB12</f>
        <v>0.95313254473764031</v>
      </c>
    </row>
    <row r="11" spans="1:29" ht="15.75" customHeight="1">
      <c r="A11" s="598" t="s">
        <v>2031</v>
      </c>
      <c r="B11" s="300" t="s">
        <v>40</v>
      </c>
      <c r="C11" s="594" t="s">
        <v>41</v>
      </c>
      <c r="D11" s="595"/>
      <c r="E11" s="300">
        <v>39.799999999999997</v>
      </c>
      <c r="F11" s="453">
        <v>7485</v>
      </c>
      <c r="G11" s="442">
        <f t="shared" si="11"/>
        <v>297903</v>
      </c>
      <c r="H11" s="455" t="s">
        <v>35</v>
      </c>
      <c r="I11" s="451">
        <v>17</v>
      </c>
      <c r="J11" s="303">
        <v>1500</v>
      </c>
      <c r="K11" s="304">
        <f t="shared" si="1"/>
        <v>88.235294117647058</v>
      </c>
      <c r="L11" s="451">
        <v>17</v>
      </c>
      <c r="M11" s="305">
        <f t="shared" si="12"/>
        <v>1430.2547770700635</v>
      </c>
      <c r="N11" s="304">
        <f t="shared" si="3"/>
        <v>84.132633945297854</v>
      </c>
      <c r="O11" s="306">
        <f t="shared" si="4"/>
        <v>0</v>
      </c>
      <c r="P11" s="307">
        <f t="shared" si="5"/>
        <v>-4.1026601723492035</v>
      </c>
      <c r="Q11" s="445">
        <f t="shared" si="6"/>
        <v>0.9535031847133757</v>
      </c>
      <c r="R11" s="571"/>
      <c r="S11" s="308">
        <v>0.28472222222222221</v>
      </c>
      <c r="T11" s="308">
        <v>0.50277777777777777</v>
      </c>
      <c r="U11" s="442">
        <f t="shared" ref="U11" si="14">IF(S11=TIME(17,0,0),"",(S11-T10)*24*60)</f>
        <v>4.9999999999999822</v>
      </c>
      <c r="V11" s="452">
        <f t="shared" si="13"/>
        <v>314</v>
      </c>
      <c r="W11" s="310"/>
      <c r="X11" s="310"/>
      <c r="Y11" s="570"/>
      <c r="Z11" s="570"/>
      <c r="AA11" s="306">
        <f t="shared" si="8"/>
        <v>-69.745222929936517</v>
      </c>
      <c r="AB11" s="445">
        <f t="shared" si="9"/>
        <v>0.9535031847133757</v>
      </c>
      <c r="AC11" s="571"/>
    </row>
    <row r="12" spans="1:29" ht="16.5" customHeight="1">
      <c r="A12" s="598" t="s">
        <v>2031</v>
      </c>
      <c r="B12" s="300" t="s">
        <v>2032</v>
      </c>
      <c r="C12" s="572"/>
      <c r="D12" s="572"/>
      <c r="E12" s="446"/>
      <c r="F12" s="303"/>
      <c r="G12" s="305"/>
      <c r="H12" s="453"/>
      <c r="I12" s="314">
        <v>18.5</v>
      </c>
      <c r="J12" s="303">
        <v>1500</v>
      </c>
      <c r="K12" s="304">
        <f t="shared" si="1"/>
        <v>81.081081081081081</v>
      </c>
      <c r="L12" s="314">
        <v>18.5</v>
      </c>
      <c r="M12" s="305">
        <f>AVERAGE(M10:M11)</f>
        <v>1429.6988171064604</v>
      </c>
      <c r="N12" s="304">
        <f t="shared" si="3"/>
        <v>77.281017140889759</v>
      </c>
      <c r="O12" s="306">
        <f t="shared" si="4"/>
        <v>0</v>
      </c>
      <c r="P12" s="307">
        <f t="shared" si="5"/>
        <v>-3.8000639401913219</v>
      </c>
      <c r="Q12" s="445">
        <f t="shared" si="6"/>
        <v>0.95313254473764031</v>
      </c>
      <c r="R12" s="571"/>
      <c r="S12" s="308"/>
      <c r="T12" s="308"/>
      <c r="U12" s="304"/>
      <c r="V12" s="452"/>
      <c r="W12" s="304"/>
      <c r="X12" s="304"/>
      <c r="Y12" s="570"/>
      <c r="Z12" s="570"/>
      <c r="AA12" s="306">
        <f t="shared" si="8"/>
        <v>-70.30118289353959</v>
      </c>
      <c r="AB12" s="445">
        <f t="shared" si="9"/>
        <v>0.95313254473764031</v>
      </c>
      <c r="AC12" s="571"/>
    </row>
    <row r="13" spans="1:29" ht="16.5" customHeight="1">
      <c r="A13" s="596" t="s">
        <v>2033</v>
      </c>
      <c r="B13" s="453" t="s">
        <v>43</v>
      </c>
      <c r="C13" s="590" t="s">
        <v>44</v>
      </c>
      <c r="D13" s="590"/>
      <c r="E13" s="300">
        <v>41</v>
      </c>
      <c r="F13" s="453">
        <v>2605</v>
      </c>
      <c r="G13" s="442">
        <f t="shared" ref="G13:G20" si="15">E13*F13</f>
        <v>106805</v>
      </c>
      <c r="H13" s="455" t="s">
        <v>35</v>
      </c>
      <c r="I13" s="451">
        <v>26</v>
      </c>
      <c r="J13" s="303">
        <v>1500</v>
      </c>
      <c r="K13" s="304">
        <f t="shared" si="1"/>
        <v>57.692307692307693</v>
      </c>
      <c r="L13" s="451">
        <v>26</v>
      </c>
      <c r="M13" s="305">
        <f t="shared" ref="M13:M20" si="16">F13/V13*60</f>
        <v>1433.9449541284403</v>
      </c>
      <c r="N13" s="304">
        <f t="shared" si="3"/>
        <v>55.151729004940009</v>
      </c>
      <c r="O13" s="306">
        <f t="shared" si="4"/>
        <v>0</v>
      </c>
      <c r="P13" s="307">
        <f t="shared" si="5"/>
        <v>-2.5405786873676846</v>
      </c>
      <c r="Q13" s="445">
        <f t="shared" si="6"/>
        <v>0.95596330275229346</v>
      </c>
      <c r="R13" s="571">
        <f>Q21</f>
        <v>0.95660523822586274</v>
      </c>
      <c r="S13" s="308">
        <v>0.125</v>
      </c>
      <c r="T13" s="308">
        <v>0.20069444444444445</v>
      </c>
      <c r="U13" s="442"/>
      <c r="V13" s="452">
        <f t="shared" ref="V13:V20" si="17">(T13-S13)*24*60</f>
        <v>109.00000000000001</v>
      </c>
      <c r="W13" s="310">
        <f>T13</f>
        <v>0.20069444444444445</v>
      </c>
      <c r="X13" s="310">
        <f>S14</f>
        <v>0.21944444444444444</v>
      </c>
      <c r="Y13" s="570"/>
      <c r="Z13" s="570"/>
      <c r="AA13" s="306">
        <f t="shared" si="8"/>
        <v>-66.055045871559741</v>
      </c>
      <c r="AB13" s="445">
        <f t="shared" si="9"/>
        <v>0.95596330275229346</v>
      </c>
      <c r="AC13" s="571">
        <f>AB21</f>
        <v>0.95660523822586274</v>
      </c>
    </row>
    <row r="14" spans="1:29" ht="16.5" customHeight="1">
      <c r="A14" s="597" t="s">
        <v>2033</v>
      </c>
      <c r="B14" s="453" t="s">
        <v>40</v>
      </c>
      <c r="C14" s="590" t="s">
        <v>45</v>
      </c>
      <c r="D14" s="590"/>
      <c r="E14" s="300">
        <v>39.619999999999997</v>
      </c>
      <c r="F14" s="453">
        <v>5053</v>
      </c>
      <c r="G14" s="442">
        <f t="shared" si="15"/>
        <v>200199.86</v>
      </c>
      <c r="H14" s="455" t="s">
        <v>35</v>
      </c>
      <c r="I14" s="451">
        <v>19</v>
      </c>
      <c r="J14" s="303">
        <v>1500</v>
      </c>
      <c r="K14" s="304">
        <f t="shared" si="1"/>
        <v>78.94736842105263</v>
      </c>
      <c r="L14" s="451">
        <v>19</v>
      </c>
      <c r="M14" s="305">
        <f t="shared" si="16"/>
        <v>1430.0943396226412</v>
      </c>
      <c r="N14" s="304">
        <f t="shared" si="3"/>
        <v>75.268123138033744</v>
      </c>
      <c r="O14" s="306">
        <f t="shared" si="4"/>
        <v>0</v>
      </c>
      <c r="P14" s="307">
        <f t="shared" si="5"/>
        <v>-3.6792452830188864</v>
      </c>
      <c r="Q14" s="445">
        <f t="shared" si="6"/>
        <v>0.95339622641509414</v>
      </c>
      <c r="R14" s="571"/>
      <c r="S14" s="308">
        <v>0.21944444444444444</v>
      </c>
      <c r="T14" s="308">
        <v>0.3666666666666667</v>
      </c>
      <c r="U14" s="442">
        <f t="shared" ref="U14:U20" si="18">IF(S14=TIME(17,0,0),"",(S14-T13)*24*60)</f>
        <v>26.999999999999986</v>
      </c>
      <c r="V14" s="452">
        <f t="shared" si="17"/>
        <v>212.00000000000006</v>
      </c>
      <c r="W14" s="310"/>
      <c r="X14" s="310"/>
      <c r="Y14" s="570"/>
      <c r="Z14" s="570"/>
      <c r="AA14" s="306">
        <f t="shared" si="8"/>
        <v>-69.905660377358799</v>
      </c>
      <c r="AB14" s="445">
        <f t="shared" si="9"/>
        <v>0.95339622641509414</v>
      </c>
      <c r="AC14" s="571"/>
    </row>
    <row r="15" spans="1:29" ht="16.5" customHeight="1">
      <c r="A15" s="597" t="s">
        <v>2034</v>
      </c>
      <c r="B15" s="453" t="s">
        <v>1182</v>
      </c>
      <c r="C15" s="590" t="s">
        <v>1041</v>
      </c>
      <c r="D15" s="590"/>
      <c r="E15" s="300">
        <v>57.3</v>
      </c>
      <c r="F15" s="453">
        <v>2269</v>
      </c>
      <c r="G15" s="442">
        <f t="shared" si="15"/>
        <v>130013.7</v>
      </c>
      <c r="H15" s="455" t="s">
        <v>35</v>
      </c>
      <c r="I15" s="451">
        <v>17</v>
      </c>
      <c r="J15" s="303">
        <v>1500</v>
      </c>
      <c r="K15" s="304">
        <f t="shared" si="1"/>
        <v>88.235294117647058</v>
      </c>
      <c r="L15" s="451">
        <v>17</v>
      </c>
      <c r="M15" s="305">
        <f t="shared" si="16"/>
        <v>1433.0526315789477</v>
      </c>
      <c r="N15" s="304">
        <f t="shared" si="3"/>
        <v>84.297213622291039</v>
      </c>
      <c r="O15" s="306">
        <f t="shared" si="4"/>
        <v>0</v>
      </c>
      <c r="P15" s="307">
        <f t="shared" si="5"/>
        <v>-3.9380804953560187</v>
      </c>
      <c r="Q15" s="445">
        <f t="shared" si="6"/>
        <v>0.95536842105263176</v>
      </c>
      <c r="R15" s="571"/>
      <c r="S15" s="308">
        <v>0.37013888888888891</v>
      </c>
      <c r="T15" s="308">
        <v>0.43611111111111112</v>
      </c>
      <c r="U15" s="442">
        <f t="shared" si="18"/>
        <v>4.9999999999999822</v>
      </c>
      <c r="V15" s="452">
        <f t="shared" si="17"/>
        <v>94.999999999999986</v>
      </c>
      <c r="W15" s="310"/>
      <c r="X15" s="310"/>
      <c r="Y15" s="570"/>
      <c r="Z15" s="570"/>
      <c r="AA15" s="306">
        <f t="shared" si="8"/>
        <v>-66.947368421052261</v>
      </c>
      <c r="AB15" s="445">
        <f t="shared" si="9"/>
        <v>0.95536842105263187</v>
      </c>
      <c r="AC15" s="571"/>
    </row>
    <row r="16" spans="1:29" ht="16.5" customHeight="1">
      <c r="A16" s="597" t="s">
        <v>2034</v>
      </c>
      <c r="B16" s="453" t="s">
        <v>36</v>
      </c>
      <c r="C16" s="590" t="s">
        <v>49</v>
      </c>
      <c r="D16" s="590"/>
      <c r="E16" s="300">
        <v>50.98</v>
      </c>
      <c r="F16" s="453">
        <v>1000</v>
      </c>
      <c r="G16" s="442">
        <f t="shared" si="15"/>
        <v>50980</v>
      </c>
      <c r="H16" s="455">
        <v>2</v>
      </c>
      <c r="I16" s="451">
        <v>16</v>
      </c>
      <c r="J16" s="303">
        <v>2000</v>
      </c>
      <c r="K16" s="304">
        <f t="shared" si="1"/>
        <v>125</v>
      </c>
      <c r="L16" s="451">
        <v>16</v>
      </c>
      <c r="M16" s="305">
        <f t="shared" si="16"/>
        <v>1935.483870967739</v>
      </c>
      <c r="N16" s="304">
        <f t="shared" si="3"/>
        <v>120.96774193548369</v>
      </c>
      <c r="O16" s="306">
        <f t="shared" si="4"/>
        <v>0</v>
      </c>
      <c r="P16" s="307">
        <f t="shared" si="5"/>
        <v>-4.0322580645163129</v>
      </c>
      <c r="Q16" s="445">
        <f t="shared" si="6"/>
        <v>0.96774193548386944</v>
      </c>
      <c r="R16" s="571"/>
      <c r="S16" s="308">
        <v>0.70833333333333337</v>
      </c>
      <c r="T16" s="308">
        <v>0.72986111111111118</v>
      </c>
      <c r="U16" s="442" t="str">
        <f t="shared" si="18"/>
        <v/>
      </c>
      <c r="V16" s="452">
        <f t="shared" si="17"/>
        <v>31.00000000000005</v>
      </c>
      <c r="W16" s="310"/>
      <c r="X16" s="310"/>
      <c r="Y16" s="570"/>
      <c r="Z16" s="570"/>
      <c r="AA16" s="306">
        <f t="shared" si="8"/>
        <v>-64.516129032261006</v>
      </c>
      <c r="AB16" s="445">
        <f t="shared" si="9"/>
        <v>0.96774193548386944</v>
      </c>
      <c r="AC16" s="571"/>
    </row>
    <row r="17" spans="1:29" ht="16.5" customHeight="1">
      <c r="A17" s="597" t="s">
        <v>24</v>
      </c>
      <c r="B17" s="453" t="s">
        <v>36</v>
      </c>
      <c r="C17" s="590" t="s">
        <v>50</v>
      </c>
      <c r="D17" s="590"/>
      <c r="E17" s="300">
        <v>50.92</v>
      </c>
      <c r="F17" s="453">
        <v>1050</v>
      </c>
      <c r="G17" s="442">
        <f t="shared" si="15"/>
        <v>53466</v>
      </c>
      <c r="H17" s="455">
        <v>2</v>
      </c>
      <c r="I17" s="451">
        <v>15</v>
      </c>
      <c r="J17" s="303">
        <v>2000</v>
      </c>
      <c r="K17" s="304">
        <f t="shared" si="1"/>
        <v>133.33333333333334</v>
      </c>
      <c r="L17" s="451">
        <v>15</v>
      </c>
      <c r="M17" s="305">
        <f t="shared" si="16"/>
        <v>1909.0909090909067</v>
      </c>
      <c r="N17" s="304">
        <f t="shared" si="3"/>
        <v>127.27272727272711</v>
      </c>
      <c r="O17" s="306">
        <f t="shared" si="4"/>
        <v>0</v>
      </c>
      <c r="P17" s="307">
        <f t="shared" si="5"/>
        <v>-6.0606060606062329</v>
      </c>
      <c r="Q17" s="445">
        <f t="shared" si="6"/>
        <v>0.95454545454545325</v>
      </c>
      <c r="R17" s="571"/>
      <c r="S17" s="308">
        <v>0.73402777777777783</v>
      </c>
      <c r="T17" s="308">
        <v>0.75694444444444453</v>
      </c>
      <c r="U17" s="442">
        <f t="shared" si="18"/>
        <v>5.9999999999999787</v>
      </c>
      <c r="V17" s="452">
        <f t="shared" si="17"/>
        <v>33.000000000000043</v>
      </c>
      <c r="W17" s="310"/>
      <c r="X17" s="310"/>
      <c r="Y17" s="570"/>
      <c r="Z17" s="570"/>
      <c r="AA17" s="306">
        <f t="shared" si="8"/>
        <v>-90.909090909093266</v>
      </c>
      <c r="AB17" s="445">
        <f t="shared" si="9"/>
        <v>0.95454545454545336</v>
      </c>
      <c r="AC17" s="571"/>
    </row>
    <row r="18" spans="1:29" ht="16.5" customHeight="1">
      <c r="A18" s="597" t="s">
        <v>2033</v>
      </c>
      <c r="B18" s="453" t="s">
        <v>36</v>
      </c>
      <c r="C18" s="613" t="s">
        <v>1976</v>
      </c>
      <c r="D18" s="614"/>
      <c r="E18" s="300">
        <v>48.36</v>
      </c>
      <c r="F18" s="453">
        <v>2514</v>
      </c>
      <c r="G18" s="442">
        <f t="shared" si="15"/>
        <v>121577.04</v>
      </c>
      <c r="H18" s="455" t="s">
        <v>35</v>
      </c>
      <c r="I18" s="451">
        <v>15</v>
      </c>
      <c r="J18" s="303">
        <v>2000</v>
      </c>
      <c r="K18" s="304">
        <f t="shared" si="1"/>
        <v>133.33333333333334</v>
      </c>
      <c r="L18" s="451">
        <v>15</v>
      </c>
      <c r="M18" s="305">
        <f t="shared" si="16"/>
        <v>1909.3670886075938</v>
      </c>
      <c r="N18" s="304">
        <f t="shared" si="3"/>
        <v>127.29113924050625</v>
      </c>
      <c r="O18" s="306">
        <f t="shared" si="4"/>
        <v>0</v>
      </c>
      <c r="P18" s="307">
        <f t="shared" si="5"/>
        <v>-6.0421940928270885</v>
      </c>
      <c r="Q18" s="445">
        <f t="shared" si="6"/>
        <v>0.95468354430379687</v>
      </c>
      <c r="R18" s="571"/>
      <c r="S18" s="308">
        <v>0.76041666666666674</v>
      </c>
      <c r="T18" s="308">
        <v>0.81527777777777788</v>
      </c>
      <c r="U18" s="442">
        <f t="shared" si="18"/>
        <v>4.9999999999999822</v>
      </c>
      <c r="V18" s="452">
        <f t="shared" si="17"/>
        <v>79.000000000000043</v>
      </c>
      <c r="W18" s="310">
        <f>T18</f>
        <v>0.81527777777777788</v>
      </c>
      <c r="X18" s="310">
        <f>S19</f>
        <v>0.85555555555555562</v>
      </c>
      <c r="Y18" s="566"/>
      <c r="Z18" s="567"/>
      <c r="AA18" s="306">
        <f t="shared" si="8"/>
        <v>-90.632911392406186</v>
      </c>
      <c r="AB18" s="445">
        <f t="shared" si="9"/>
        <v>0.95468354430379687</v>
      </c>
      <c r="AC18" s="571"/>
    </row>
    <row r="19" spans="1:29" ht="16.5" customHeight="1">
      <c r="A19" s="597" t="s">
        <v>24</v>
      </c>
      <c r="B19" s="453" t="s">
        <v>36</v>
      </c>
      <c r="C19" s="449" t="s">
        <v>49</v>
      </c>
      <c r="D19" s="450"/>
      <c r="E19" s="300">
        <v>50.98</v>
      </c>
      <c r="F19" s="453">
        <v>2236</v>
      </c>
      <c r="G19" s="442">
        <f t="shared" si="15"/>
        <v>113991.28</v>
      </c>
      <c r="H19" s="455" t="s">
        <v>35</v>
      </c>
      <c r="I19" s="451">
        <v>16</v>
      </c>
      <c r="J19" s="303">
        <v>2000</v>
      </c>
      <c r="K19" s="304">
        <f t="shared" si="1"/>
        <v>125</v>
      </c>
      <c r="L19" s="451">
        <v>16</v>
      </c>
      <c r="M19" s="305">
        <f t="shared" si="16"/>
        <v>1916.5714285714266</v>
      </c>
      <c r="N19" s="304">
        <f t="shared" si="3"/>
        <v>119.78571428571416</v>
      </c>
      <c r="O19" s="306">
        <f t="shared" si="4"/>
        <v>0</v>
      </c>
      <c r="P19" s="307">
        <f t="shared" si="5"/>
        <v>-5.2142857142858361</v>
      </c>
      <c r="Q19" s="445">
        <f t="shared" si="6"/>
        <v>0.9582857142857133</v>
      </c>
      <c r="R19" s="571"/>
      <c r="S19" s="308">
        <v>0.85555555555555562</v>
      </c>
      <c r="T19" s="308">
        <v>0.90416666666666679</v>
      </c>
      <c r="U19" s="442">
        <f t="shared" si="18"/>
        <v>57.999999999999957</v>
      </c>
      <c r="V19" s="452">
        <f t="shared" si="17"/>
        <v>70.000000000000071</v>
      </c>
      <c r="W19" s="310"/>
      <c r="X19" s="310"/>
      <c r="Y19" s="566"/>
      <c r="Z19" s="567"/>
      <c r="AA19" s="306">
        <f t="shared" si="8"/>
        <v>-83.428571428573377</v>
      </c>
      <c r="AB19" s="445">
        <f t="shared" si="9"/>
        <v>0.9582857142857133</v>
      </c>
      <c r="AC19" s="571"/>
    </row>
    <row r="20" spans="1:29" ht="16.5" customHeight="1">
      <c r="A20" s="597" t="s">
        <v>24</v>
      </c>
      <c r="B20" s="453" t="s">
        <v>36</v>
      </c>
      <c r="C20" s="449" t="s">
        <v>50</v>
      </c>
      <c r="D20" s="450"/>
      <c r="E20" s="300">
        <v>50.92</v>
      </c>
      <c r="F20" s="453">
        <v>2601</v>
      </c>
      <c r="G20" s="442">
        <f t="shared" si="15"/>
        <v>132442.92000000001</v>
      </c>
      <c r="H20" s="455" t="s">
        <v>35</v>
      </c>
      <c r="I20" s="451">
        <v>15</v>
      </c>
      <c r="J20" s="303">
        <v>2000</v>
      </c>
      <c r="K20" s="304">
        <f t="shared" si="1"/>
        <v>133.33333333333334</v>
      </c>
      <c r="L20" s="451">
        <v>15</v>
      </c>
      <c r="M20" s="305">
        <f t="shared" si="16"/>
        <v>1903.1707317073165</v>
      </c>
      <c r="N20" s="304">
        <f t="shared" si="3"/>
        <v>126.87804878048776</v>
      </c>
      <c r="O20" s="306">
        <f t="shared" si="4"/>
        <v>0</v>
      </c>
      <c r="P20" s="307">
        <f t="shared" si="5"/>
        <v>-6.4552845528455833</v>
      </c>
      <c r="Q20" s="445">
        <f t="shared" si="6"/>
        <v>0.95158536585365816</v>
      </c>
      <c r="R20" s="571"/>
      <c r="S20" s="308">
        <v>0.90763888888888899</v>
      </c>
      <c r="T20" s="308">
        <v>0.96458333333333346</v>
      </c>
      <c r="U20" s="442">
        <f t="shared" si="18"/>
        <v>4.9999999999999822</v>
      </c>
      <c r="V20" s="452">
        <f t="shared" si="17"/>
        <v>82.000000000000028</v>
      </c>
      <c r="W20" s="310"/>
      <c r="X20" s="310"/>
      <c r="Y20" s="566"/>
      <c r="Z20" s="567"/>
      <c r="AA20" s="306">
        <f t="shared" si="8"/>
        <v>-96.829268292683537</v>
      </c>
      <c r="AB20" s="445">
        <f t="shared" si="9"/>
        <v>0.95158536585365827</v>
      </c>
      <c r="AC20" s="571"/>
    </row>
    <row r="21" spans="1:29" ht="16.5" customHeight="1">
      <c r="A21" s="597" t="s">
        <v>24</v>
      </c>
      <c r="B21" s="300" t="s">
        <v>25</v>
      </c>
      <c r="C21" s="572"/>
      <c r="D21" s="572"/>
      <c r="E21" s="446"/>
      <c r="F21" s="313"/>
      <c r="G21" s="304"/>
      <c r="H21" s="453"/>
      <c r="I21" s="314">
        <v>17.375</v>
      </c>
      <c r="J21" s="303">
        <v>1812.5</v>
      </c>
      <c r="K21" s="304">
        <f t="shared" si="1"/>
        <v>104.31654676258992</v>
      </c>
      <c r="L21" s="314">
        <v>17.375</v>
      </c>
      <c r="M21" s="305">
        <f>AVERAGE(M13:M20)</f>
        <v>1733.8469942843763</v>
      </c>
      <c r="N21" s="304">
        <f t="shared" si="3"/>
        <v>99.789755066726684</v>
      </c>
      <c r="O21" s="306">
        <f t="shared" si="4"/>
        <v>0</v>
      </c>
      <c r="P21" s="307">
        <f t="shared" si="5"/>
        <v>-4.5267916958632384</v>
      </c>
      <c r="Q21" s="445">
        <f t="shared" si="6"/>
        <v>0.95660523822586274</v>
      </c>
      <c r="R21" s="571"/>
      <c r="S21" s="308"/>
      <c r="T21" s="308"/>
      <c r="U21" s="442"/>
      <c r="V21" s="452"/>
      <c r="W21" s="304"/>
      <c r="X21" s="304"/>
      <c r="Y21" s="570"/>
      <c r="Z21" s="570"/>
      <c r="AA21" s="306">
        <f t="shared" si="8"/>
        <v>-78.653005715623749</v>
      </c>
      <c r="AB21" s="445">
        <f t="shared" si="9"/>
        <v>0.95660523822586274</v>
      </c>
      <c r="AC21" s="571"/>
    </row>
    <row r="22" spans="1:29" ht="15.75" customHeight="1">
      <c r="A22" s="592" t="s">
        <v>2035</v>
      </c>
      <c r="B22" s="300" t="s">
        <v>43</v>
      </c>
      <c r="C22" s="590" t="s">
        <v>51</v>
      </c>
      <c r="D22" s="590"/>
      <c r="E22" s="300">
        <v>43.14</v>
      </c>
      <c r="F22" s="453">
        <v>1504</v>
      </c>
      <c r="G22" s="442">
        <f t="shared" ref="G22:G25" si="19">E22*F22</f>
        <v>64882.559999999998</v>
      </c>
      <c r="H22" s="455" t="s">
        <v>35</v>
      </c>
      <c r="I22" s="451">
        <v>17</v>
      </c>
      <c r="J22" s="303">
        <v>2000</v>
      </c>
      <c r="K22" s="304">
        <f t="shared" si="1"/>
        <v>117.64705882352941</v>
      </c>
      <c r="L22" s="451">
        <v>17</v>
      </c>
      <c r="M22" s="305">
        <f t="shared" ref="M22:M25" si="20">F22/V22*60</f>
        <v>1920.0000000000005</v>
      </c>
      <c r="N22" s="304">
        <f t="shared" si="3"/>
        <v>112.94117647058826</v>
      </c>
      <c r="O22" s="306">
        <f t="shared" si="4"/>
        <v>0</v>
      </c>
      <c r="P22" s="307">
        <f t="shared" si="5"/>
        <v>-4.7058823529411455</v>
      </c>
      <c r="Q22" s="445">
        <f t="shared" si="6"/>
        <v>0.9600000000000003</v>
      </c>
      <c r="R22" s="571">
        <f>Q26</f>
        <v>0.95836238130934537</v>
      </c>
      <c r="S22" s="308">
        <v>0.20833333333333334</v>
      </c>
      <c r="T22" s="308">
        <v>0.24097222222222223</v>
      </c>
      <c r="U22" s="442"/>
      <c r="V22" s="452">
        <f t="shared" ref="V22:V25" si="21">(T22-S22)*24*60</f>
        <v>46.999999999999993</v>
      </c>
      <c r="W22" s="315"/>
      <c r="X22" s="315"/>
      <c r="Y22" s="570"/>
      <c r="Z22" s="570"/>
      <c r="AA22" s="306">
        <f t="shared" si="8"/>
        <v>-79.999999999999545</v>
      </c>
      <c r="AB22" s="445">
        <f t="shared" si="9"/>
        <v>0.96000000000000019</v>
      </c>
      <c r="AC22" s="571">
        <f>AB26</f>
        <v>0.95836238130934548</v>
      </c>
    </row>
    <row r="23" spans="1:29" ht="15.75" customHeight="1">
      <c r="A23" s="593" t="s">
        <v>26</v>
      </c>
      <c r="B23" s="300" t="s">
        <v>36</v>
      </c>
      <c r="C23" s="590" t="s">
        <v>53</v>
      </c>
      <c r="D23" s="590"/>
      <c r="E23" s="300">
        <v>53.68</v>
      </c>
      <c r="F23" s="453">
        <v>2216</v>
      </c>
      <c r="G23" s="442">
        <f t="shared" si="19"/>
        <v>118954.88</v>
      </c>
      <c r="H23" s="455" t="s">
        <v>35</v>
      </c>
      <c r="I23" s="451">
        <v>16</v>
      </c>
      <c r="J23" s="303">
        <v>2000</v>
      </c>
      <c r="K23" s="304">
        <f t="shared" si="1"/>
        <v>125</v>
      </c>
      <c r="L23" s="451">
        <v>16</v>
      </c>
      <c r="M23" s="305">
        <f t="shared" si="20"/>
        <v>1926.9565217391305</v>
      </c>
      <c r="N23" s="304">
        <f t="shared" si="3"/>
        <v>120.43478260869566</v>
      </c>
      <c r="O23" s="306">
        <f t="shared" si="4"/>
        <v>0</v>
      </c>
      <c r="P23" s="307">
        <f t="shared" si="5"/>
        <v>-4.5652173913043441</v>
      </c>
      <c r="Q23" s="445">
        <f t="shared" si="6"/>
        <v>0.96347826086956523</v>
      </c>
      <c r="R23" s="571"/>
      <c r="S23" s="308">
        <v>0.24513888888888891</v>
      </c>
      <c r="T23" s="308">
        <v>0.29305555555555557</v>
      </c>
      <c r="U23" s="442">
        <f t="shared" ref="U23:U25" si="22">IF(S23=TIME(17,0,0),"",(S23-T22)*24*60)</f>
        <v>6.0000000000000187</v>
      </c>
      <c r="V23" s="452">
        <f t="shared" si="21"/>
        <v>69</v>
      </c>
      <c r="W23" s="310"/>
      <c r="X23" s="442"/>
      <c r="Y23" s="570"/>
      <c r="Z23" s="570"/>
      <c r="AA23" s="306">
        <f t="shared" si="8"/>
        <v>-73.043478260869506</v>
      </c>
      <c r="AB23" s="445">
        <f t="shared" si="9"/>
        <v>0.96347826086956523</v>
      </c>
      <c r="AC23" s="571"/>
    </row>
    <row r="24" spans="1:29" ht="15.75" customHeight="1">
      <c r="A24" s="593" t="s">
        <v>2035</v>
      </c>
      <c r="B24" s="300" t="s">
        <v>36</v>
      </c>
      <c r="C24" s="590" t="s">
        <v>52</v>
      </c>
      <c r="D24" s="590"/>
      <c r="E24" s="300">
        <v>57.73</v>
      </c>
      <c r="F24" s="453">
        <v>3699</v>
      </c>
      <c r="G24" s="442">
        <f t="shared" si="19"/>
        <v>213543.27</v>
      </c>
      <c r="H24" s="455" t="s">
        <v>35</v>
      </c>
      <c r="I24" s="451">
        <v>15</v>
      </c>
      <c r="J24" s="303">
        <v>2000</v>
      </c>
      <c r="K24" s="304">
        <f t="shared" si="1"/>
        <v>133.33333333333334</v>
      </c>
      <c r="L24" s="451">
        <v>15</v>
      </c>
      <c r="M24" s="305">
        <f t="shared" si="20"/>
        <v>1913.2758620689656</v>
      </c>
      <c r="N24" s="304">
        <f t="shared" si="3"/>
        <v>127.55172413793103</v>
      </c>
      <c r="O24" s="306">
        <f t="shared" si="4"/>
        <v>0</v>
      </c>
      <c r="P24" s="307">
        <f t="shared" si="5"/>
        <v>-5.7816091954023108</v>
      </c>
      <c r="Q24" s="445">
        <f t="shared" si="6"/>
        <v>0.95663793103448269</v>
      </c>
      <c r="R24" s="571"/>
      <c r="S24" s="308">
        <v>0.2986111111111111</v>
      </c>
      <c r="T24" s="308">
        <v>0.37916666666666665</v>
      </c>
      <c r="U24" s="442">
        <f t="shared" si="22"/>
        <v>7.9999999999999716</v>
      </c>
      <c r="V24" s="452">
        <f t="shared" si="21"/>
        <v>115.99999999999999</v>
      </c>
      <c r="W24" s="310"/>
      <c r="X24" s="442"/>
      <c r="Y24" s="570"/>
      <c r="Z24" s="570"/>
      <c r="AA24" s="306">
        <f t="shared" si="8"/>
        <v>-86.72413793103442</v>
      </c>
      <c r="AB24" s="445">
        <f t="shared" si="9"/>
        <v>0.9566379310344828</v>
      </c>
      <c r="AC24" s="571"/>
    </row>
    <row r="25" spans="1:29" ht="15.75" customHeight="1">
      <c r="A25" s="593" t="s">
        <v>2035</v>
      </c>
      <c r="B25" s="300" t="s">
        <v>36</v>
      </c>
      <c r="C25" s="590" t="s">
        <v>55</v>
      </c>
      <c r="D25" s="590"/>
      <c r="E25" s="300">
        <v>54.09</v>
      </c>
      <c r="F25" s="453">
        <v>2860</v>
      </c>
      <c r="G25" s="442">
        <f t="shared" si="19"/>
        <v>154697.40000000002</v>
      </c>
      <c r="H25" s="455" t="s">
        <v>35</v>
      </c>
      <c r="I25" s="451">
        <v>19</v>
      </c>
      <c r="J25" s="303">
        <v>2000</v>
      </c>
      <c r="K25" s="304">
        <f t="shared" si="1"/>
        <v>105.26315789473684</v>
      </c>
      <c r="L25" s="451">
        <v>19</v>
      </c>
      <c r="M25" s="305">
        <f t="shared" si="20"/>
        <v>1906.6666666666667</v>
      </c>
      <c r="N25" s="304">
        <f t="shared" si="3"/>
        <v>100.35087719298247</v>
      </c>
      <c r="O25" s="306">
        <f t="shared" si="4"/>
        <v>0</v>
      </c>
      <c r="P25" s="307">
        <f t="shared" si="5"/>
        <v>-4.9122807017543693</v>
      </c>
      <c r="Q25" s="445">
        <f t="shared" si="6"/>
        <v>0.95333333333333348</v>
      </c>
      <c r="R25" s="571"/>
      <c r="S25" s="308">
        <v>0.70833333333333337</v>
      </c>
      <c r="T25" s="308">
        <v>0.77083333333333337</v>
      </c>
      <c r="U25" s="442" t="str">
        <f t="shared" si="22"/>
        <v/>
      </c>
      <c r="V25" s="452">
        <f t="shared" si="21"/>
        <v>90</v>
      </c>
      <c r="W25" s="310"/>
      <c r="X25" s="442"/>
      <c r="Y25" s="570"/>
      <c r="Z25" s="570"/>
      <c r="AA25" s="306">
        <f t="shared" si="8"/>
        <v>-93.333333333333258</v>
      </c>
      <c r="AB25" s="445">
        <f t="shared" si="9"/>
        <v>0.95333333333333337</v>
      </c>
      <c r="AC25" s="571"/>
    </row>
    <row r="26" spans="1:29" ht="15.75" customHeight="1">
      <c r="A26" s="593" t="s">
        <v>26</v>
      </c>
      <c r="B26" s="300" t="s">
        <v>2032</v>
      </c>
      <c r="C26" s="572"/>
      <c r="D26" s="572"/>
      <c r="E26" s="446"/>
      <c r="F26" s="453"/>
      <c r="G26" s="442"/>
      <c r="H26" s="453"/>
      <c r="I26" s="314">
        <v>16.75</v>
      </c>
      <c r="J26" s="303">
        <v>2000</v>
      </c>
      <c r="K26" s="304">
        <f t="shared" si="1"/>
        <v>119.40298507462687</v>
      </c>
      <c r="L26" s="314">
        <v>16.75</v>
      </c>
      <c r="M26" s="305">
        <f>AVERAGE(M22:M25)</f>
        <v>1916.7247626186909</v>
      </c>
      <c r="N26" s="304">
        <f t="shared" si="3"/>
        <v>114.43132911156363</v>
      </c>
      <c r="O26" s="306">
        <f t="shared" si="4"/>
        <v>0</v>
      </c>
      <c r="P26" s="307">
        <f t="shared" si="5"/>
        <v>-4.9716559630632418</v>
      </c>
      <c r="Q26" s="445">
        <f t="shared" si="6"/>
        <v>0.95836238130934537</v>
      </c>
      <c r="R26" s="571"/>
      <c r="S26" s="308"/>
      <c r="T26" s="308"/>
      <c r="U26" s="304"/>
      <c r="V26" s="452"/>
      <c r="W26" s="304"/>
      <c r="X26" s="304"/>
      <c r="Y26" s="570"/>
      <c r="Z26" s="570"/>
      <c r="AA26" s="306">
        <f t="shared" si="8"/>
        <v>-83.275237381309125</v>
      </c>
      <c r="AB26" s="445">
        <f t="shared" si="9"/>
        <v>0.95836238130934548</v>
      </c>
      <c r="AC26" s="571"/>
    </row>
    <row r="27" spans="1:29" ht="15.75" customHeight="1">
      <c r="A27" s="591" t="s">
        <v>2036</v>
      </c>
      <c r="B27" s="300" t="s">
        <v>46</v>
      </c>
      <c r="C27" s="590" t="s">
        <v>61</v>
      </c>
      <c r="D27" s="590"/>
      <c r="E27" s="300">
        <v>31.29</v>
      </c>
      <c r="F27" s="453">
        <v>6200</v>
      </c>
      <c r="G27" s="442">
        <f t="shared" ref="G27:G32" si="23">E27*F27</f>
        <v>193998</v>
      </c>
      <c r="H27" s="455">
        <v>2</v>
      </c>
      <c r="I27" s="451">
        <v>18</v>
      </c>
      <c r="J27" s="303">
        <v>2400</v>
      </c>
      <c r="K27" s="304">
        <f t="shared" si="1"/>
        <v>133.33333333333334</v>
      </c>
      <c r="L27" s="451">
        <v>18</v>
      </c>
      <c r="M27" s="305">
        <f t="shared" ref="M27:M32" si="24">F27/V27*60</f>
        <v>2282.2085889570549</v>
      </c>
      <c r="N27" s="304">
        <f t="shared" si="3"/>
        <v>126.78936605316972</v>
      </c>
      <c r="O27" s="306">
        <f t="shared" si="4"/>
        <v>0</v>
      </c>
      <c r="P27" s="307">
        <f t="shared" si="5"/>
        <v>-6.5439672801636277</v>
      </c>
      <c r="Q27" s="445">
        <f t="shared" si="6"/>
        <v>0.95092024539877285</v>
      </c>
      <c r="R27" s="571">
        <f>Q33</f>
        <v>0.95409436561357885</v>
      </c>
      <c r="S27" s="308">
        <v>8.3333333333333329E-2</v>
      </c>
      <c r="T27" s="308">
        <v>0.19652777777777777</v>
      </c>
      <c r="U27" s="442"/>
      <c r="V27" s="452">
        <f t="shared" ref="V27:V32" si="25">(T27-S27)*24*60</f>
        <v>163</v>
      </c>
      <c r="W27" s="310">
        <f>T27</f>
        <v>0.19652777777777777</v>
      </c>
      <c r="X27" s="310">
        <f>S28</f>
        <v>0.21597222222222223</v>
      </c>
      <c r="Y27" s="570"/>
      <c r="Z27" s="570"/>
      <c r="AA27" s="306">
        <f t="shared" si="8"/>
        <v>-117.79141104294513</v>
      </c>
      <c r="AB27" s="445">
        <f t="shared" si="9"/>
        <v>0.95092024539877285</v>
      </c>
      <c r="AC27" s="571">
        <f>AB33</f>
        <v>0.95409436561357897</v>
      </c>
    </row>
    <row r="28" spans="1:29" ht="15.75" customHeight="1">
      <c r="A28" s="591" t="s">
        <v>2036</v>
      </c>
      <c r="B28" s="300" t="s">
        <v>46</v>
      </c>
      <c r="C28" s="590" t="s">
        <v>59</v>
      </c>
      <c r="D28" s="590"/>
      <c r="E28" s="300">
        <v>26.18</v>
      </c>
      <c r="F28" s="453">
        <v>4148</v>
      </c>
      <c r="G28" s="442">
        <f t="shared" si="23"/>
        <v>108594.64</v>
      </c>
      <c r="H28" s="455" t="s">
        <v>35</v>
      </c>
      <c r="I28" s="451">
        <v>19</v>
      </c>
      <c r="J28" s="303">
        <v>2400</v>
      </c>
      <c r="K28" s="304">
        <f t="shared" si="1"/>
        <v>126.31578947368421</v>
      </c>
      <c r="L28" s="451">
        <v>19</v>
      </c>
      <c r="M28" s="305">
        <f t="shared" si="24"/>
        <v>2283.3027522935777</v>
      </c>
      <c r="N28" s="304">
        <f t="shared" si="3"/>
        <v>120.17382906808304</v>
      </c>
      <c r="O28" s="306">
        <f t="shared" si="4"/>
        <v>0</v>
      </c>
      <c r="P28" s="307">
        <f t="shared" si="5"/>
        <v>-6.1419604056011678</v>
      </c>
      <c r="Q28" s="445">
        <f t="shared" si="6"/>
        <v>0.95137614678899074</v>
      </c>
      <c r="R28" s="571"/>
      <c r="S28" s="308">
        <v>0.21597222222222223</v>
      </c>
      <c r="T28" s="308">
        <v>0.29166666666666669</v>
      </c>
      <c r="U28" s="442">
        <f t="shared" ref="U28:U32" si="26">(S28-T27)*24*60</f>
        <v>28.000000000000021</v>
      </c>
      <c r="V28" s="452">
        <f t="shared" si="25"/>
        <v>109.00000000000001</v>
      </c>
      <c r="W28" s="310"/>
      <c r="X28" s="310"/>
      <c r="Y28" s="570"/>
      <c r="Z28" s="570"/>
      <c r="AA28" s="306">
        <f t="shared" si="8"/>
        <v>-116.69724770642233</v>
      </c>
      <c r="AB28" s="445">
        <f t="shared" si="9"/>
        <v>0.95137614678899074</v>
      </c>
      <c r="AC28" s="571"/>
    </row>
    <row r="29" spans="1:29" ht="15.75" customHeight="1">
      <c r="A29" s="591" t="s">
        <v>28</v>
      </c>
      <c r="B29" s="300" t="s">
        <v>46</v>
      </c>
      <c r="C29" s="590" t="s">
        <v>60</v>
      </c>
      <c r="D29" s="590"/>
      <c r="E29" s="300">
        <v>26.2</v>
      </c>
      <c r="F29" s="453">
        <v>5348</v>
      </c>
      <c r="G29" s="442">
        <f t="shared" si="23"/>
        <v>140117.6</v>
      </c>
      <c r="H29" s="455" t="s">
        <v>35</v>
      </c>
      <c r="I29" s="451">
        <v>19</v>
      </c>
      <c r="J29" s="303">
        <v>2400</v>
      </c>
      <c r="K29" s="304">
        <f t="shared" si="1"/>
        <v>126.31578947368421</v>
      </c>
      <c r="L29" s="451">
        <v>19</v>
      </c>
      <c r="M29" s="305">
        <f t="shared" si="24"/>
        <v>2292.0000000000005</v>
      </c>
      <c r="N29" s="304">
        <f t="shared" si="3"/>
        <v>120.63157894736844</v>
      </c>
      <c r="O29" s="306">
        <f t="shared" si="4"/>
        <v>0</v>
      </c>
      <c r="P29" s="307">
        <f t="shared" si="5"/>
        <v>-5.6842105263157663</v>
      </c>
      <c r="Q29" s="445">
        <f t="shared" si="6"/>
        <v>0.95500000000000018</v>
      </c>
      <c r="R29" s="571"/>
      <c r="S29" s="308">
        <v>0.29652777777777778</v>
      </c>
      <c r="T29" s="308">
        <v>0.39374999999999999</v>
      </c>
      <c r="U29" s="442">
        <f t="shared" si="26"/>
        <v>6.9999999999999751</v>
      </c>
      <c r="V29" s="452">
        <f t="shared" si="25"/>
        <v>139.99999999999997</v>
      </c>
      <c r="W29" s="310"/>
      <c r="X29" s="310"/>
      <c r="Y29" s="570"/>
      <c r="Z29" s="570"/>
      <c r="AA29" s="306">
        <f t="shared" si="8"/>
        <v>-107.99999999999955</v>
      </c>
      <c r="AB29" s="445">
        <f t="shared" si="9"/>
        <v>0.95500000000000018</v>
      </c>
      <c r="AC29" s="571"/>
    </row>
    <row r="30" spans="1:29" ht="15.75" customHeight="1">
      <c r="A30" s="591" t="s">
        <v>2036</v>
      </c>
      <c r="B30" s="300" t="s">
        <v>46</v>
      </c>
      <c r="C30" s="590" t="s">
        <v>56</v>
      </c>
      <c r="D30" s="590"/>
      <c r="E30" s="300">
        <v>26.2</v>
      </c>
      <c r="F30" s="453">
        <v>6086</v>
      </c>
      <c r="G30" s="442">
        <f t="shared" si="23"/>
        <v>159453.19999999998</v>
      </c>
      <c r="H30" s="455" t="s">
        <v>35</v>
      </c>
      <c r="I30" s="451">
        <v>20</v>
      </c>
      <c r="J30" s="303">
        <v>2400</v>
      </c>
      <c r="K30" s="304">
        <f t="shared" si="1"/>
        <v>120</v>
      </c>
      <c r="L30" s="451">
        <v>20</v>
      </c>
      <c r="M30" s="305">
        <f t="shared" si="24"/>
        <v>2296.6037735849054</v>
      </c>
      <c r="N30" s="304">
        <f t="shared" si="3"/>
        <v>114.83018867924527</v>
      </c>
      <c r="O30" s="306">
        <f t="shared" si="4"/>
        <v>0</v>
      </c>
      <c r="P30" s="307">
        <f t="shared" si="5"/>
        <v>-5.1698113207547323</v>
      </c>
      <c r="Q30" s="445">
        <f t="shared" si="6"/>
        <v>0.95691823899371053</v>
      </c>
      <c r="R30" s="571"/>
      <c r="S30" s="308">
        <v>0.39791666666666664</v>
      </c>
      <c r="T30" s="308">
        <v>0.5083333333333333</v>
      </c>
      <c r="U30" s="442">
        <f t="shared" si="26"/>
        <v>5.9999999999999787</v>
      </c>
      <c r="V30" s="452">
        <f t="shared" si="25"/>
        <v>159</v>
      </c>
      <c r="W30" s="310">
        <f>T30</f>
        <v>0.5083333333333333</v>
      </c>
      <c r="X30" s="310">
        <f>S31</f>
        <v>0.54861111111111105</v>
      </c>
      <c r="Y30" s="570"/>
      <c r="Z30" s="570"/>
      <c r="AA30" s="306">
        <f t="shared" si="8"/>
        <v>-103.39622641509459</v>
      </c>
      <c r="AB30" s="445">
        <f t="shared" si="9"/>
        <v>0.95691823899371053</v>
      </c>
      <c r="AC30" s="571"/>
    </row>
    <row r="31" spans="1:29" ht="15.75" customHeight="1">
      <c r="A31" s="591" t="s">
        <v>2036</v>
      </c>
      <c r="B31" s="300" t="s">
        <v>46</v>
      </c>
      <c r="C31" s="590" t="s">
        <v>61</v>
      </c>
      <c r="D31" s="590"/>
      <c r="E31" s="300">
        <v>31.29</v>
      </c>
      <c r="F31" s="453">
        <v>4885</v>
      </c>
      <c r="G31" s="442">
        <f t="shared" si="23"/>
        <v>152851.65</v>
      </c>
      <c r="H31" s="455" t="s">
        <v>35</v>
      </c>
      <c r="I31" s="451">
        <v>18</v>
      </c>
      <c r="J31" s="303">
        <v>2400</v>
      </c>
      <c r="K31" s="304">
        <f t="shared" si="1"/>
        <v>133.33333333333334</v>
      </c>
      <c r="L31" s="451">
        <v>18</v>
      </c>
      <c r="M31" s="305">
        <f t="shared" si="24"/>
        <v>2289.8437499999995</v>
      </c>
      <c r="N31" s="304">
        <f t="shared" si="3"/>
        <v>127.21354166666664</v>
      </c>
      <c r="O31" s="306">
        <f t="shared" si="4"/>
        <v>0</v>
      </c>
      <c r="P31" s="307">
        <f t="shared" si="5"/>
        <v>-6.1197916666666998</v>
      </c>
      <c r="Q31" s="445">
        <f t="shared" si="6"/>
        <v>0.95410156249999978</v>
      </c>
      <c r="R31" s="571"/>
      <c r="S31" s="308">
        <v>0.54861111111111105</v>
      </c>
      <c r="T31" s="308">
        <v>0.63749999999999996</v>
      </c>
      <c r="U31" s="442">
        <f t="shared" si="26"/>
        <v>57.999999999999957</v>
      </c>
      <c r="V31" s="452">
        <f t="shared" si="25"/>
        <v>128.00000000000003</v>
      </c>
      <c r="W31" s="310"/>
      <c r="X31" s="310"/>
      <c r="Y31" s="570"/>
      <c r="Z31" s="570"/>
      <c r="AA31" s="306">
        <f t="shared" si="8"/>
        <v>-110.15625000000045</v>
      </c>
      <c r="AB31" s="445">
        <f t="shared" si="9"/>
        <v>0.95410156249999978</v>
      </c>
      <c r="AC31" s="571"/>
    </row>
    <row r="32" spans="1:29" ht="15.75" customHeight="1">
      <c r="A32" s="591" t="s">
        <v>2036</v>
      </c>
      <c r="B32" s="300" t="s">
        <v>46</v>
      </c>
      <c r="C32" s="590" t="s">
        <v>64</v>
      </c>
      <c r="D32" s="590"/>
      <c r="E32" s="300">
        <v>26.39</v>
      </c>
      <c r="F32" s="453">
        <v>4590</v>
      </c>
      <c r="G32" s="442">
        <f t="shared" si="23"/>
        <v>121130.1</v>
      </c>
      <c r="H32" s="455" t="s">
        <v>35</v>
      </c>
      <c r="I32" s="451">
        <v>19</v>
      </c>
      <c r="J32" s="303">
        <v>2400</v>
      </c>
      <c r="K32" s="304">
        <f t="shared" si="1"/>
        <v>126.31578947368421</v>
      </c>
      <c r="L32" s="451">
        <v>19</v>
      </c>
      <c r="M32" s="305">
        <f t="shared" si="24"/>
        <v>2294.9999999999986</v>
      </c>
      <c r="N32" s="304">
        <f t="shared" si="3"/>
        <v>120.78947368421045</v>
      </c>
      <c r="O32" s="306">
        <f t="shared" si="4"/>
        <v>0</v>
      </c>
      <c r="P32" s="307">
        <f t="shared" si="5"/>
        <v>-5.526315789473756</v>
      </c>
      <c r="Q32" s="445">
        <f t="shared" si="6"/>
        <v>0.95624999999999938</v>
      </c>
      <c r="R32" s="571"/>
      <c r="S32" s="308">
        <v>0.64166666666666661</v>
      </c>
      <c r="T32" s="308">
        <v>0.72499999999999998</v>
      </c>
      <c r="U32" s="442">
        <f t="shared" si="26"/>
        <v>5.9999999999999787</v>
      </c>
      <c r="V32" s="452">
        <f t="shared" si="25"/>
        <v>120.00000000000006</v>
      </c>
      <c r="W32" s="310"/>
      <c r="X32" s="310"/>
      <c r="Y32" s="570"/>
      <c r="Z32" s="570"/>
      <c r="AA32" s="306">
        <f t="shared" si="8"/>
        <v>-105.00000000000136</v>
      </c>
      <c r="AB32" s="445">
        <f t="shared" si="9"/>
        <v>0.95624999999999938</v>
      </c>
      <c r="AC32" s="571"/>
    </row>
    <row r="33" spans="1:29" ht="15.75" customHeight="1">
      <c r="A33" s="591" t="s">
        <v>2036</v>
      </c>
      <c r="B33" s="300" t="s">
        <v>2032</v>
      </c>
      <c r="C33" s="572"/>
      <c r="D33" s="572"/>
      <c r="E33" s="446"/>
      <c r="F33" s="453"/>
      <c r="G33" s="442"/>
      <c r="H33" s="453"/>
      <c r="I33" s="314">
        <v>18.833333333333332</v>
      </c>
      <c r="J33" s="303">
        <v>2400</v>
      </c>
      <c r="K33" s="304">
        <f t="shared" si="1"/>
        <v>127.43362831858408</v>
      </c>
      <c r="L33" s="314">
        <v>18.833333333333332</v>
      </c>
      <c r="M33" s="305">
        <f>AVERAGE(M27:M32)</f>
        <v>2289.8264774725894</v>
      </c>
      <c r="N33" s="304">
        <f t="shared" si="3"/>
        <v>121.58370676845608</v>
      </c>
      <c r="O33" s="306">
        <f t="shared" si="4"/>
        <v>0</v>
      </c>
      <c r="P33" s="307">
        <f t="shared" si="5"/>
        <v>-5.849921550128002</v>
      </c>
      <c r="Q33" s="445">
        <f t="shared" si="6"/>
        <v>0.95409436561357885</v>
      </c>
      <c r="R33" s="571"/>
      <c r="S33" s="308"/>
      <c r="T33" s="308"/>
      <c r="U33" s="442"/>
      <c r="V33" s="452"/>
      <c r="W33" s="442"/>
      <c r="X33" s="442"/>
      <c r="Y33" s="570"/>
      <c r="Z33" s="570"/>
      <c r="AA33" s="306">
        <f t="shared" si="8"/>
        <v>-110.17352252741057</v>
      </c>
      <c r="AB33" s="445">
        <f t="shared" si="9"/>
        <v>0.95409436561357897</v>
      </c>
      <c r="AC33" s="571"/>
    </row>
    <row r="34" spans="1:29" ht="15.75" customHeight="1">
      <c r="A34" s="588" t="s">
        <v>2037</v>
      </c>
      <c r="B34" s="300" t="s">
        <v>46</v>
      </c>
      <c r="C34" s="565" t="s">
        <v>63</v>
      </c>
      <c r="D34" s="565"/>
      <c r="E34" s="300">
        <v>26.2</v>
      </c>
      <c r="F34" s="453">
        <v>4500</v>
      </c>
      <c r="G34" s="442">
        <f t="shared" ref="G34:G40" si="27">E34*F34</f>
        <v>117900</v>
      </c>
      <c r="H34" s="455">
        <v>2</v>
      </c>
      <c r="I34" s="451">
        <v>18</v>
      </c>
      <c r="J34" s="303">
        <v>2400</v>
      </c>
      <c r="K34" s="304">
        <f t="shared" si="1"/>
        <v>133.33333333333334</v>
      </c>
      <c r="L34" s="451">
        <v>18</v>
      </c>
      <c r="M34" s="305">
        <f t="shared" ref="M34:M40" si="28">F34/V34*60</f>
        <v>2288.1355932203392</v>
      </c>
      <c r="N34" s="304">
        <f t="shared" si="3"/>
        <v>127.11864406779662</v>
      </c>
      <c r="O34" s="306">
        <f t="shared" si="4"/>
        <v>0</v>
      </c>
      <c r="P34" s="307">
        <f t="shared" si="5"/>
        <v>-6.2146892655367196</v>
      </c>
      <c r="Q34" s="445">
        <f t="shared" si="6"/>
        <v>0.95338983050847459</v>
      </c>
      <c r="R34" s="571">
        <f>Q41</f>
        <v>0.95494809689071658</v>
      </c>
      <c r="S34" s="308">
        <v>8.3333333333333329E-2</v>
      </c>
      <c r="T34" s="308">
        <v>0.16527777777777777</v>
      </c>
      <c r="U34" s="442"/>
      <c r="V34" s="452">
        <f t="shared" ref="V34:V40" si="29">(T34-S34)*24*60</f>
        <v>118</v>
      </c>
      <c r="W34" s="315">
        <f>T34</f>
        <v>0.16527777777777777</v>
      </c>
      <c r="X34" s="315">
        <f>S35</f>
        <v>0.18611111111111112</v>
      </c>
      <c r="Y34" s="570"/>
      <c r="Z34" s="570"/>
      <c r="AA34" s="306">
        <f t="shared" si="8"/>
        <v>-111.86440677966084</v>
      </c>
      <c r="AB34" s="445">
        <f t="shared" si="9"/>
        <v>0.9533898305084747</v>
      </c>
      <c r="AC34" s="571">
        <f>AB41</f>
        <v>0.95494809689071658</v>
      </c>
    </row>
    <row r="35" spans="1:29" ht="15.75" customHeight="1">
      <c r="A35" s="588" t="s">
        <v>29</v>
      </c>
      <c r="B35" s="300" t="s">
        <v>46</v>
      </c>
      <c r="C35" s="565" t="s">
        <v>64</v>
      </c>
      <c r="D35" s="565"/>
      <c r="E35" s="300">
        <v>26.39</v>
      </c>
      <c r="F35" s="453">
        <v>3400</v>
      </c>
      <c r="G35" s="442">
        <f t="shared" si="27"/>
        <v>89726</v>
      </c>
      <c r="H35" s="455">
        <v>2</v>
      </c>
      <c r="I35" s="451">
        <v>19</v>
      </c>
      <c r="J35" s="303">
        <v>2400</v>
      </c>
      <c r="K35" s="304">
        <f t="shared" si="1"/>
        <v>126.31578947368421</v>
      </c>
      <c r="L35" s="451">
        <v>19</v>
      </c>
      <c r="M35" s="305">
        <f t="shared" si="28"/>
        <v>2292.1348314606744</v>
      </c>
      <c r="N35" s="304">
        <f t="shared" si="3"/>
        <v>120.63867534003549</v>
      </c>
      <c r="O35" s="306">
        <f t="shared" si="4"/>
        <v>0</v>
      </c>
      <c r="P35" s="307">
        <f t="shared" si="5"/>
        <v>-5.6771141336487148</v>
      </c>
      <c r="Q35" s="445">
        <f t="shared" si="6"/>
        <v>0.95505617977528101</v>
      </c>
      <c r="R35" s="571"/>
      <c r="S35" s="308">
        <v>0.18611111111111112</v>
      </c>
      <c r="T35" s="308">
        <v>0.24791666666666667</v>
      </c>
      <c r="U35" s="442">
        <f t="shared" ref="U35:U40" si="30">(S35-T34)*24*60</f>
        <v>30.000000000000014</v>
      </c>
      <c r="V35" s="452">
        <f t="shared" si="29"/>
        <v>89</v>
      </c>
      <c r="W35" s="442"/>
      <c r="X35" s="442"/>
      <c r="Y35" s="570"/>
      <c r="Z35" s="570"/>
      <c r="AA35" s="306">
        <f t="shared" si="8"/>
        <v>-107.86516853932562</v>
      </c>
      <c r="AB35" s="445">
        <f t="shared" si="9"/>
        <v>0.95505617977528101</v>
      </c>
      <c r="AC35" s="571"/>
    </row>
    <row r="36" spans="1:29">
      <c r="A36" s="589" t="s">
        <v>2037</v>
      </c>
      <c r="B36" s="300" t="s">
        <v>46</v>
      </c>
      <c r="C36" s="565" t="s">
        <v>87</v>
      </c>
      <c r="D36" s="565"/>
      <c r="E36" s="300">
        <v>20.52</v>
      </c>
      <c r="F36" s="453">
        <v>5920</v>
      </c>
      <c r="G36" s="442">
        <f t="shared" si="27"/>
        <v>121478.39999999999</v>
      </c>
      <c r="H36" s="455" t="s">
        <v>35</v>
      </c>
      <c r="I36" s="451">
        <v>18</v>
      </c>
      <c r="J36" s="303">
        <v>2400</v>
      </c>
      <c r="K36" s="304">
        <f t="shared" si="1"/>
        <v>133.33333333333334</v>
      </c>
      <c r="L36" s="451">
        <v>18</v>
      </c>
      <c r="M36" s="305">
        <f t="shared" si="28"/>
        <v>2291.6129032258063</v>
      </c>
      <c r="N36" s="304">
        <f t="shared" si="3"/>
        <v>127.31182795698925</v>
      </c>
      <c r="O36" s="306">
        <f t="shared" si="4"/>
        <v>0</v>
      </c>
      <c r="P36" s="307">
        <f t="shared" si="5"/>
        <v>-6.0215053763440949</v>
      </c>
      <c r="Q36" s="445">
        <f t="shared" si="6"/>
        <v>0.95483870967741924</v>
      </c>
      <c r="R36" s="571"/>
      <c r="S36" s="308">
        <v>0.25347222222222221</v>
      </c>
      <c r="T36" s="308">
        <v>0.3611111111111111</v>
      </c>
      <c r="U36" s="442">
        <f t="shared" si="30"/>
        <v>7.9999999999999716</v>
      </c>
      <c r="V36" s="452">
        <f t="shared" si="29"/>
        <v>155</v>
      </c>
      <c r="W36" s="442"/>
      <c r="X36" s="442"/>
      <c r="Y36" s="570"/>
      <c r="Z36" s="570"/>
      <c r="AA36" s="306">
        <f t="shared" si="8"/>
        <v>-108.38709677419365</v>
      </c>
      <c r="AB36" s="445">
        <f t="shared" si="9"/>
        <v>0.95483870967741935</v>
      </c>
      <c r="AC36" s="571"/>
    </row>
    <row r="37" spans="1:29">
      <c r="A37" s="589" t="s">
        <v>2037</v>
      </c>
      <c r="B37" s="300" t="s">
        <v>46</v>
      </c>
      <c r="C37" s="565" t="s">
        <v>48</v>
      </c>
      <c r="D37" s="565"/>
      <c r="E37" s="300">
        <v>22.35</v>
      </c>
      <c r="F37" s="453">
        <v>2245</v>
      </c>
      <c r="G37" s="442">
        <f t="shared" si="27"/>
        <v>50175.75</v>
      </c>
      <c r="H37" s="455" t="s">
        <v>35</v>
      </c>
      <c r="I37" s="451">
        <v>16</v>
      </c>
      <c r="J37" s="303">
        <v>2400</v>
      </c>
      <c r="K37" s="304">
        <f t="shared" si="1"/>
        <v>150</v>
      </c>
      <c r="L37" s="451">
        <v>16</v>
      </c>
      <c r="M37" s="305">
        <f t="shared" si="28"/>
        <v>2283.0508474576259</v>
      </c>
      <c r="N37" s="304">
        <f t="shared" si="3"/>
        <v>142.69067796610162</v>
      </c>
      <c r="O37" s="306">
        <f t="shared" si="4"/>
        <v>0</v>
      </c>
      <c r="P37" s="307">
        <f t="shared" si="5"/>
        <v>-7.3093220338983826</v>
      </c>
      <c r="Q37" s="445">
        <f t="shared" si="6"/>
        <v>0.95127118644067743</v>
      </c>
      <c r="R37" s="571"/>
      <c r="S37" s="308">
        <v>0.36527777777777776</v>
      </c>
      <c r="T37" s="308">
        <v>0.40625</v>
      </c>
      <c r="U37" s="442">
        <f t="shared" si="30"/>
        <v>5.9999999999999787</v>
      </c>
      <c r="V37" s="452">
        <f t="shared" si="29"/>
        <v>59.000000000000028</v>
      </c>
      <c r="W37" s="310"/>
      <c r="X37" s="310"/>
      <c r="Y37" s="570"/>
      <c r="Z37" s="570"/>
      <c r="AA37" s="306">
        <f t="shared" si="8"/>
        <v>-116.94915254237412</v>
      </c>
      <c r="AB37" s="445">
        <f t="shared" si="9"/>
        <v>0.95127118644067743</v>
      </c>
      <c r="AC37" s="571"/>
    </row>
    <row r="38" spans="1:29">
      <c r="A38" s="589" t="s">
        <v>2037</v>
      </c>
      <c r="B38" s="300" t="s">
        <v>46</v>
      </c>
      <c r="C38" s="565" t="s">
        <v>65</v>
      </c>
      <c r="D38" s="565"/>
      <c r="E38" s="300">
        <v>24.43</v>
      </c>
      <c r="F38" s="453">
        <v>5500</v>
      </c>
      <c r="G38" s="442">
        <f t="shared" si="27"/>
        <v>134365</v>
      </c>
      <c r="H38" s="455">
        <v>2</v>
      </c>
      <c r="I38" s="451">
        <v>15</v>
      </c>
      <c r="J38" s="303">
        <v>2400</v>
      </c>
      <c r="K38" s="304">
        <f t="shared" si="1"/>
        <v>160</v>
      </c>
      <c r="L38" s="451">
        <v>15</v>
      </c>
      <c r="M38" s="305">
        <f t="shared" si="28"/>
        <v>2291.666666666667</v>
      </c>
      <c r="N38" s="304">
        <f t="shared" si="3"/>
        <v>152.7777777777778</v>
      </c>
      <c r="O38" s="306">
        <f t="shared" si="4"/>
        <v>0</v>
      </c>
      <c r="P38" s="307">
        <f t="shared" si="5"/>
        <v>-7.2222222222222001</v>
      </c>
      <c r="Q38" s="445">
        <f t="shared" si="6"/>
        <v>0.95486111111111127</v>
      </c>
      <c r="R38" s="571"/>
      <c r="S38" s="308">
        <v>0.41180555555555554</v>
      </c>
      <c r="T38" s="308">
        <v>0.51180555555555551</v>
      </c>
      <c r="U38" s="442">
        <f t="shared" si="30"/>
        <v>7.9999999999999716</v>
      </c>
      <c r="V38" s="452">
        <f t="shared" si="29"/>
        <v>143.99999999999997</v>
      </c>
      <c r="W38" s="310">
        <f>T38</f>
        <v>0.51180555555555551</v>
      </c>
      <c r="X38" s="310">
        <f>S39</f>
        <v>0.54999999999999993</v>
      </c>
      <c r="Y38" s="570"/>
      <c r="Z38" s="570"/>
      <c r="AA38" s="306">
        <f t="shared" si="8"/>
        <v>-108.33333333333303</v>
      </c>
      <c r="AB38" s="445">
        <f t="shared" si="9"/>
        <v>0.95486111111111127</v>
      </c>
      <c r="AC38" s="571"/>
    </row>
    <row r="39" spans="1:29">
      <c r="A39" s="589" t="s">
        <v>2037</v>
      </c>
      <c r="B39" s="300" t="s">
        <v>46</v>
      </c>
      <c r="C39" s="565" t="s">
        <v>65</v>
      </c>
      <c r="D39" s="565"/>
      <c r="E39" s="300">
        <v>24.43</v>
      </c>
      <c r="F39" s="453">
        <v>4636</v>
      </c>
      <c r="G39" s="442">
        <f t="shared" si="27"/>
        <v>113257.48</v>
      </c>
      <c r="H39" s="455" t="s">
        <v>35</v>
      </c>
      <c r="I39" s="451">
        <v>15</v>
      </c>
      <c r="J39" s="303">
        <v>2400</v>
      </c>
      <c r="K39" s="304">
        <f t="shared" si="1"/>
        <v>160</v>
      </c>
      <c r="L39" s="451">
        <v>15</v>
      </c>
      <c r="M39" s="305">
        <f t="shared" si="28"/>
        <v>2298.8429752066104</v>
      </c>
      <c r="N39" s="304">
        <f t="shared" si="3"/>
        <v>153.25619834710736</v>
      </c>
      <c r="O39" s="306">
        <f t="shared" si="4"/>
        <v>0</v>
      </c>
      <c r="P39" s="307">
        <f t="shared" si="5"/>
        <v>-6.7438016528926426</v>
      </c>
      <c r="Q39" s="445">
        <f t="shared" si="6"/>
        <v>0.95785123966942098</v>
      </c>
      <c r="R39" s="571"/>
      <c r="S39" s="308">
        <v>0.54999999999999993</v>
      </c>
      <c r="T39" s="308">
        <v>0.63402777777777775</v>
      </c>
      <c r="U39" s="442">
        <f t="shared" si="30"/>
        <v>54.999999999999964</v>
      </c>
      <c r="V39" s="452">
        <f t="shared" si="29"/>
        <v>121.00000000000006</v>
      </c>
      <c r="W39" s="310"/>
      <c r="X39" s="310"/>
      <c r="Y39" s="570"/>
      <c r="Z39" s="570"/>
      <c r="AA39" s="306">
        <f t="shared" si="8"/>
        <v>-101.15702479338961</v>
      </c>
      <c r="AB39" s="445">
        <f t="shared" si="9"/>
        <v>0.95785123966942098</v>
      </c>
      <c r="AC39" s="571"/>
    </row>
    <row r="40" spans="1:29">
      <c r="A40" s="589" t="s">
        <v>2037</v>
      </c>
      <c r="B40" s="300" t="s">
        <v>46</v>
      </c>
      <c r="C40" s="565" t="s">
        <v>63</v>
      </c>
      <c r="D40" s="565"/>
      <c r="E40" s="300">
        <v>26.2</v>
      </c>
      <c r="F40" s="453">
        <v>3638</v>
      </c>
      <c r="G40" s="442">
        <f t="shared" si="27"/>
        <v>95315.599999999991</v>
      </c>
      <c r="H40" s="455" t="s">
        <v>35</v>
      </c>
      <c r="I40" s="451">
        <v>18</v>
      </c>
      <c r="J40" s="303">
        <v>2400</v>
      </c>
      <c r="K40" s="304">
        <f t="shared" si="1"/>
        <v>133.33333333333334</v>
      </c>
      <c r="L40" s="451">
        <v>18</v>
      </c>
      <c r="M40" s="305">
        <f t="shared" si="28"/>
        <v>2297.6842105263158</v>
      </c>
      <c r="N40" s="304">
        <f t="shared" si="3"/>
        <v>127.64912280701755</v>
      </c>
      <c r="O40" s="306">
        <f t="shared" si="4"/>
        <v>0</v>
      </c>
      <c r="P40" s="307">
        <f t="shared" si="5"/>
        <v>-5.6842105263157947</v>
      </c>
      <c r="Q40" s="445">
        <f t="shared" si="6"/>
        <v>0.95736842105263154</v>
      </c>
      <c r="R40" s="571"/>
      <c r="S40" s="308">
        <v>0.6381944444444444</v>
      </c>
      <c r="T40" s="308">
        <v>0.70416666666666661</v>
      </c>
      <c r="U40" s="442">
        <f t="shared" si="30"/>
        <v>5.9999999999999787</v>
      </c>
      <c r="V40" s="452">
        <f t="shared" si="29"/>
        <v>94.999999999999986</v>
      </c>
      <c r="W40" s="310"/>
      <c r="X40" s="310"/>
      <c r="Y40" s="566"/>
      <c r="Z40" s="567"/>
      <c r="AA40" s="306">
        <f t="shared" si="8"/>
        <v>-102.31578947368416</v>
      </c>
      <c r="AB40" s="445">
        <f t="shared" si="9"/>
        <v>0.95736842105263165</v>
      </c>
      <c r="AC40" s="571"/>
    </row>
    <row r="41" spans="1:29">
      <c r="A41" s="589" t="s">
        <v>29</v>
      </c>
      <c r="B41" s="313" t="s">
        <v>25</v>
      </c>
      <c r="C41" s="572"/>
      <c r="D41" s="572"/>
      <c r="E41" s="446"/>
      <c r="F41" s="313"/>
      <c r="G41" s="304"/>
      <c r="H41" s="453"/>
      <c r="I41" s="314">
        <v>17</v>
      </c>
      <c r="J41" s="303">
        <v>2400</v>
      </c>
      <c r="K41" s="304">
        <f t="shared" si="1"/>
        <v>141.1764705882353</v>
      </c>
      <c r="L41" s="314">
        <v>17</v>
      </c>
      <c r="M41" s="305">
        <f>AVERAGE(M34:M40)</f>
        <v>2291.8754325377199</v>
      </c>
      <c r="N41" s="304">
        <f t="shared" si="3"/>
        <v>134.81620191398352</v>
      </c>
      <c r="O41" s="306">
        <f t="shared" si="4"/>
        <v>0</v>
      </c>
      <c r="P41" s="307">
        <f t="shared" si="5"/>
        <v>-6.3602686742517847</v>
      </c>
      <c r="Q41" s="445">
        <f t="shared" si="6"/>
        <v>0.95494809689071658</v>
      </c>
      <c r="R41" s="571"/>
      <c r="S41" s="308"/>
      <c r="T41" s="308"/>
      <c r="U41" s="304"/>
      <c r="V41" s="452"/>
      <c r="W41" s="304"/>
      <c r="X41" s="304"/>
      <c r="Y41" s="570"/>
      <c r="Z41" s="570"/>
      <c r="AA41" s="306">
        <f t="shared" si="8"/>
        <v>-108.12456746228008</v>
      </c>
      <c r="AB41" s="445">
        <f t="shared" si="9"/>
        <v>0.95494809689071658</v>
      </c>
      <c r="AC41" s="571"/>
    </row>
    <row r="42" spans="1:29" ht="15.75" customHeight="1">
      <c r="A42" s="585" t="s">
        <v>30</v>
      </c>
      <c r="B42" s="300" t="s">
        <v>67</v>
      </c>
      <c r="C42" s="580" t="s">
        <v>68</v>
      </c>
      <c r="D42" s="581"/>
      <c r="E42" s="300">
        <v>21.13</v>
      </c>
      <c r="F42" s="453">
        <v>5844</v>
      </c>
      <c r="G42" s="442">
        <f t="shared" ref="G42:G47" si="31">E42*F42</f>
        <v>123483.72</v>
      </c>
      <c r="H42" s="455" t="s">
        <v>35</v>
      </c>
      <c r="I42" s="451">
        <v>10</v>
      </c>
      <c r="J42" s="303">
        <v>3000</v>
      </c>
      <c r="K42" s="304">
        <f t="shared" si="1"/>
        <v>300</v>
      </c>
      <c r="L42" s="451">
        <v>10</v>
      </c>
      <c r="M42" s="305">
        <f t="shared" ref="M42:M47" si="32">F42/V42*60</f>
        <v>2874.0983606557375</v>
      </c>
      <c r="N42" s="305">
        <f t="shared" si="3"/>
        <v>287.40983606557376</v>
      </c>
      <c r="O42" s="306">
        <f t="shared" si="4"/>
        <v>0</v>
      </c>
      <c r="P42" s="307">
        <f t="shared" si="5"/>
        <v>-12.590163934426243</v>
      </c>
      <c r="Q42" s="445">
        <f t="shared" si="6"/>
        <v>0.95803278688524585</v>
      </c>
      <c r="R42" s="582">
        <f>Q48</f>
        <v>0.95890342895304115</v>
      </c>
      <c r="S42" s="308">
        <v>8.3333333333333329E-2</v>
      </c>
      <c r="T42" s="308">
        <v>0.16805555555555554</v>
      </c>
      <c r="U42" s="315"/>
      <c r="V42" s="452">
        <f t="shared" ref="V42:V47" si="33">(T42-S42)*24*60</f>
        <v>122</v>
      </c>
      <c r="W42" s="310">
        <f>T42</f>
        <v>0.16805555555555554</v>
      </c>
      <c r="X42" s="310">
        <f>S43</f>
        <v>0.18680555555555553</v>
      </c>
      <c r="Y42" s="566"/>
      <c r="Z42" s="567"/>
      <c r="AA42" s="306">
        <f t="shared" si="8"/>
        <v>-125.90163934426255</v>
      </c>
      <c r="AB42" s="445">
        <f t="shared" si="9"/>
        <v>0.95803278688524585</v>
      </c>
      <c r="AC42" s="582">
        <f>AB48</f>
        <v>0.95890342895304104</v>
      </c>
    </row>
    <row r="43" spans="1:29" ht="15.75" customHeight="1">
      <c r="A43" s="586" t="s">
        <v>2038</v>
      </c>
      <c r="B43" s="300" t="s">
        <v>67</v>
      </c>
      <c r="C43" s="580" t="s">
        <v>69</v>
      </c>
      <c r="D43" s="581"/>
      <c r="E43" s="300">
        <v>27.17</v>
      </c>
      <c r="F43" s="453">
        <v>7660</v>
      </c>
      <c r="G43" s="442">
        <f t="shared" si="31"/>
        <v>208122.2</v>
      </c>
      <c r="H43" s="455" t="s">
        <v>35</v>
      </c>
      <c r="I43" s="451">
        <v>10</v>
      </c>
      <c r="J43" s="303">
        <v>3000</v>
      </c>
      <c r="K43" s="304">
        <f t="shared" si="1"/>
        <v>300</v>
      </c>
      <c r="L43" s="451">
        <v>10</v>
      </c>
      <c r="M43" s="305">
        <f t="shared" si="32"/>
        <v>2854.6583850931679</v>
      </c>
      <c r="N43" s="305">
        <f t="shared" si="3"/>
        <v>285.46583850931677</v>
      </c>
      <c r="O43" s="306">
        <f t="shared" si="4"/>
        <v>0</v>
      </c>
      <c r="P43" s="307">
        <f t="shared" si="5"/>
        <v>-14.534161490683232</v>
      </c>
      <c r="Q43" s="445">
        <f t="shared" si="6"/>
        <v>0.95155279503105594</v>
      </c>
      <c r="R43" s="583"/>
      <c r="S43" s="308">
        <v>0.18680555555555553</v>
      </c>
      <c r="T43" s="308">
        <v>0.29861111111111105</v>
      </c>
      <c r="U43" s="442">
        <f t="shared" ref="U43:U47" si="34">(S43-T42)*24*60</f>
        <v>26.999999999999986</v>
      </c>
      <c r="V43" s="452">
        <f t="shared" si="33"/>
        <v>160.99999999999997</v>
      </c>
      <c r="W43" s="310"/>
      <c r="X43" s="310"/>
      <c r="Y43" s="566"/>
      <c r="Z43" s="567"/>
      <c r="AA43" s="306">
        <f t="shared" si="8"/>
        <v>-145.34161490683209</v>
      </c>
      <c r="AB43" s="445">
        <f t="shared" si="9"/>
        <v>0.95155279503105594</v>
      </c>
      <c r="AC43" s="583"/>
    </row>
    <row r="44" spans="1:29" ht="15.75" customHeight="1">
      <c r="A44" s="586" t="s">
        <v>30</v>
      </c>
      <c r="B44" s="300" t="s">
        <v>67</v>
      </c>
      <c r="C44" s="580" t="s">
        <v>70</v>
      </c>
      <c r="D44" s="581"/>
      <c r="E44" s="300">
        <v>35.119999999999997</v>
      </c>
      <c r="F44" s="453">
        <v>5224</v>
      </c>
      <c r="G44" s="442">
        <f t="shared" si="31"/>
        <v>183466.87999999998</v>
      </c>
      <c r="H44" s="455" t="s">
        <v>35</v>
      </c>
      <c r="I44" s="451">
        <v>10</v>
      </c>
      <c r="J44" s="303">
        <v>3000</v>
      </c>
      <c r="K44" s="304">
        <f t="shared" si="1"/>
        <v>300</v>
      </c>
      <c r="L44" s="451">
        <v>10</v>
      </c>
      <c r="M44" s="305">
        <f t="shared" si="32"/>
        <v>2875.5963302752289</v>
      </c>
      <c r="N44" s="305">
        <f t="shared" si="3"/>
        <v>287.55963302752286</v>
      </c>
      <c r="O44" s="306">
        <f t="shared" si="4"/>
        <v>0</v>
      </c>
      <c r="P44" s="307">
        <f t="shared" si="5"/>
        <v>-12.440366972477136</v>
      </c>
      <c r="Q44" s="445">
        <f t="shared" si="6"/>
        <v>0.95853211009174288</v>
      </c>
      <c r="R44" s="583"/>
      <c r="S44" s="308">
        <v>0.30347222222222214</v>
      </c>
      <c r="T44" s="308">
        <v>0.3791666666666666</v>
      </c>
      <c r="U44" s="442">
        <f t="shared" si="34"/>
        <v>6.9999999999999751</v>
      </c>
      <c r="V44" s="452">
        <f t="shared" si="33"/>
        <v>109.00000000000001</v>
      </c>
      <c r="W44" s="310"/>
      <c r="X44" s="310"/>
      <c r="Y44" s="566"/>
      <c r="Z44" s="567"/>
      <c r="AA44" s="306">
        <f t="shared" si="8"/>
        <v>-124.40366972477113</v>
      </c>
      <c r="AB44" s="445">
        <f t="shared" si="9"/>
        <v>0.95853211009174299</v>
      </c>
      <c r="AC44" s="583"/>
    </row>
    <row r="45" spans="1:29" ht="15.75" customHeight="1">
      <c r="A45" s="586" t="s">
        <v>30</v>
      </c>
      <c r="B45" s="300" t="s">
        <v>67</v>
      </c>
      <c r="C45" s="580" t="s">
        <v>71</v>
      </c>
      <c r="D45" s="581"/>
      <c r="E45" s="300">
        <v>35.869999999999997</v>
      </c>
      <c r="F45" s="453">
        <v>3314</v>
      </c>
      <c r="G45" s="442">
        <f t="shared" si="31"/>
        <v>118873.18</v>
      </c>
      <c r="H45" s="455" t="s">
        <v>35</v>
      </c>
      <c r="I45" s="451">
        <v>10</v>
      </c>
      <c r="J45" s="303">
        <v>3000</v>
      </c>
      <c r="K45" s="304">
        <f t="shared" si="1"/>
        <v>300</v>
      </c>
      <c r="L45" s="451">
        <v>10</v>
      </c>
      <c r="M45" s="305">
        <f t="shared" si="32"/>
        <v>2881.7391304347825</v>
      </c>
      <c r="N45" s="305">
        <f t="shared" si="3"/>
        <v>288.17391304347825</v>
      </c>
      <c r="O45" s="306">
        <f t="shared" si="4"/>
        <v>0</v>
      </c>
      <c r="P45" s="307">
        <f t="shared" si="5"/>
        <v>-11.826086956521749</v>
      </c>
      <c r="Q45" s="445">
        <f t="shared" si="6"/>
        <v>0.96057971014492749</v>
      </c>
      <c r="R45" s="583"/>
      <c r="S45" s="308">
        <v>0.38472222222222213</v>
      </c>
      <c r="T45" s="308">
        <v>0.4326388888888888</v>
      </c>
      <c r="U45" s="442">
        <f t="shared" si="34"/>
        <v>7.9999999999999716</v>
      </c>
      <c r="V45" s="452">
        <f t="shared" si="33"/>
        <v>69</v>
      </c>
      <c r="W45" s="310"/>
      <c r="X45" s="310"/>
      <c r="Y45" s="566"/>
      <c r="Z45" s="567"/>
      <c r="AA45" s="306">
        <f t="shared" si="8"/>
        <v>-118.26086956521749</v>
      </c>
      <c r="AB45" s="445">
        <f t="shared" si="9"/>
        <v>0.96057971014492749</v>
      </c>
      <c r="AC45" s="583"/>
    </row>
    <row r="46" spans="1:29" ht="15.75" customHeight="1">
      <c r="A46" s="586" t="s">
        <v>30</v>
      </c>
      <c r="B46" s="300" t="s">
        <v>67</v>
      </c>
      <c r="C46" s="580" t="s">
        <v>72</v>
      </c>
      <c r="D46" s="581"/>
      <c r="E46" s="300">
        <v>36.14</v>
      </c>
      <c r="F46" s="453">
        <v>1831</v>
      </c>
      <c r="G46" s="442">
        <f t="shared" si="31"/>
        <v>66172.34</v>
      </c>
      <c r="H46" s="455" t="s">
        <v>35</v>
      </c>
      <c r="I46" s="451">
        <v>8</v>
      </c>
      <c r="J46" s="303">
        <v>3000</v>
      </c>
      <c r="K46" s="304">
        <f t="shared" si="1"/>
        <v>375</v>
      </c>
      <c r="L46" s="451">
        <v>8</v>
      </c>
      <c r="M46" s="305">
        <f t="shared" si="32"/>
        <v>2891.0526315789452</v>
      </c>
      <c r="N46" s="305">
        <f t="shared" si="3"/>
        <v>361.38157894736815</v>
      </c>
      <c r="O46" s="306">
        <f t="shared" si="4"/>
        <v>0</v>
      </c>
      <c r="P46" s="307">
        <f t="shared" si="5"/>
        <v>-13.618421052631845</v>
      </c>
      <c r="Q46" s="445">
        <f t="shared" si="6"/>
        <v>0.96368421052631503</v>
      </c>
      <c r="R46" s="583"/>
      <c r="S46" s="308">
        <v>0.43680555555555545</v>
      </c>
      <c r="T46" s="308">
        <v>0.46319444444444435</v>
      </c>
      <c r="U46" s="442">
        <f t="shared" si="34"/>
        <v>5.9999999999999787</v>
      </c>
      <c r="V46" s="452">
        <f t="shared" si="33"/>
        <v>38.000000000000028</v>
      </c>
      <c r="W46" s="310"/>
      <c r="X46" s="310"/>
      <c r="Y46" s="566"/>
      <c r="Z46" s="567"/>
      <c r="AA46" s="306">
        <f t="shared" si="8"/>
        <v>-108.94736842105476</v>
      </c>
      <c r="AB46" s="445">
        <f t="shared" si="9"/>
        <v>0.96368421052631503</v>
      </c>
      <c r="AC46" s="583"/>
    </row>
    <row r="47" spans="1:29" ht="15.75" customHeight="1">
      <c r="A47" s="586" t="s">
        <v>2038</v>
      </c>
      <c r="B47" s="300" t="s">
        <v>67</v>
      </c>
      <c r="C47" s="580" t="s">
        <v>664</v>
      </c>
      <c r="D47" s="581"/>
      <c r="E47" s="300">
        <v>34.36</v>
      </c>
      <c r="F47" s="453">
        <v>3700</v>
      </c>
      <c r="G47" s="442">
        <f t="shared" si="31"/>
        <v>127132</v>
      </c>
      <c r="H47" s="455" t="s">
        <v>35</v>
      </c>
      <c r="I47" s="451">
        <v>10</v>
      </c>
      <c r="J47" s="303">
        <v>3000</v>
      </c>
      <c r="K47" s="304">
        <f t="shared" si="1"/>
        <v>300</v>
      </c>
      <c r="L47" s="451">
        <v>10</v>
      </c>
      <c r="M47" s="305">
        <f t="shared" si="32"/>
        <v>2883.1168831168816</v>
      </c>
      <c r="N47" s="305">
        <f t="shared" si="3"/>
        <v>288.31168831168816</v>
      </c>
      <c r="O47" s="306">
        <f t="shared" si="4"/>
        <v>0</v>
      </c>
      <c r="P47" s="307">
        <f t="shared" si="5"/>
        <v>-11.688311688311842</v>
      </c>
      <c r="Q47" s="445">
        <f t="shared" si="6"/>
        <v>0.96103896103896058</v>
      </c>
      <c r="R47" s="583"/>
      <c r="S47" s="308">
        <v>0.46874999999999989</v>
      </c>
      <c r="T47" s="308">
        <v>0.52222222222222214</v>
      </c>
      <c r="U47" s="442">
        <f t="shared" si="34"/>
        <v>7.9999999999999716</v>
      </c>
      <c r="V47" s="452">
        <f t="shared" si="33"/>
        <v>77.000000000000043</v>
      </c>
      <c r="W47" s="310"/>
      <c r="X47" s="310"/>
      <c r="Y47" s="566"/>
      <c r="Z47" s="567"/>
      <c r="AA47" s="306">
        <f t="shared" si="8"/>
        <v>-116.88311688311842</v>
      </c>
      <c r="AB47" s="445">
        <f t="shared" si="9"/>
        <v>0.96103896103896058</v>
      </c>
      <c r="AC47" s="583"/>
    </row>
    <row r="48" spans="1:29" ht="15.75" customHeight="1">
      <c r="A48" s="587" t="s">
        <v>2038</v>
      </c>
      <c r="B48" s="300" t="s">
        <v>2032</v>
      </c>
      <c r="C48" s="568"/>
      <c r="D48" s="569"/>
      <c r="E48" s="441"/>
      <c r="F48" s="453"/>
      <c r="G48" s="442"/>
      <c r="H48" s="453"/>
      <c r="I48" s="314">
        <v>9.6666666666666661</v>
      </c>
      <c r="J48" s="303">
        <v>3000</v>
      </c>
      <c r="K48" s="304">
        <f t="shared" si="1"/>
        <v>310.34482758620692</v>
      </c>
      <c r="L48" s="314">
        <v>9.6666666666666661</v>
      </c>
      <c r="M48" s="305">
        <f>AVERAGE(M42:M47)</f>
        <v>2876.7102868591232</v>
      </c>
      <c r="N48" s="304">
        <f t="shared" si="3"/>
        <v>297.59071933025416</v>
      </c>
      <c r="O48" s="306">
        <f t="shared" si="4"/>
        <v>0</v>
      </c>
      <c r="P48" s="307">
        <f t="shared" si="5"/>
        <v>-12.754108255952758</v>
      </c>
      <c r="Q48" s="445">
        <f t="shared" si="6"/>
        <v>0.95890342895304115</v>
      </c>
      <c r="R48" s="584"/>
      <c r="S48" s="308"/>
      <c r="T48" s="308"/>
      <c r="U48" s="442"/>
      <c r="V48" s="452"/>
      <c r="W48" s="310"/>
      <c r="X48" s="310"/>
      <c r="Y48" s="566"/>
      <c r="Z48" s="567"/>
      <c r="AA48" s="306">
        <f t="shared" si="8"/>
        <v>-123.28971314087676</v>
      </c>
      <c r="AB48" s="445">
        <f t="shared" si="9"/>
        <v>0.95890342895304104</v>
      </c>
      <c r="AC48" s="584"/>
    </row>
    <row r="49" spans="1:29" ht="15.75" customHeight="1">
      <c r="A49" s="578" t="s">
        <v>2039</v>
      </c>
      <c r="B49" s="300" t="s">
        <v>40</v>
      </c>
      <c r="C49" s="565" t="s">
        <v>73</v>
      </c>
      <c r="D49" s="565"/>
      <c r="E49" s="300">
        <v>46</v>
      </c>
      <c r="F49" s="317">
        <v>2998</v>
      </c>
      <c r="G49" s="442">
        <f t="shared" ref="G49:G53" si="35">E49*F49</f>
        <v>137908</v>
      </c>
      <c r="H49" s="455" t="s">
        <v>35</v>
      </c>
      <c r="I49" s="451">
        <v>17</v>
      </c>
      <c r="J49" s="303">
        <v>2000</v>
      </c>
      <c r="K49" s="304">
        <f t="shared" si="1"/>
        <v>117.64705882352941</v>
      </c>
      <c r="L49" s="451">
        <v>17</v>
      </c>
      <c r="M49" s="305">
        <f t="shared" ref="M49:M53" si="36">F49/V49*60</f>
        <v>1913.6170212765951</v>
      </c>
      <c r="N49" s="305">
        <f t="shared" si="3"/>
        <v>112.56570713391736</v>
      </c>
      <c r="O49" s="306">
        <f t="shared" si="4"/>
        <v>0</v>
      </c>
      <c r="P49" s="307">
        <f t="shared" si="5"/>
        <v>-5.081351689612049</v>
      </c>
      <c r="Q49" s="445">
        <f t="shared" si="6"/>
        <v>0.95680851063829753</v>
      </c>
      <c r="R49" s="571">
        <f>Q54</f>
        <v>0.95456833561718368</v>
      </c>
      <c r="S49" s="308">
        <v>0.20833333333333334</v>
      </c>
      <c r="T49" s="308">
        <v>0.27361111111111114</v>
      </c>
      <c r="U49" s="315"/>
      <c r="V49" s="452">
        <f t="shared" ref="V49:V53" si="37">(T49-S49)*24*60</f>
        <v>94.000000000000028</v>
      </c>
      <c r="W49" s="315"/>
      <c r="X49" s="315"/>
      <c r="Y49" s="570"/>
      <c r="Z49" s="570"/>
      <c r="AA49" s="306">
        <f t="shared" si="8"/>
        <v>-86.382978723404904</v>
      </c>
      <c r="AB49" s="445">
        <f t="shared" si="9"/>
        <v>0.95680851063829753</v>
      </c>
      <c r="AC49" s="571">
        <f>AB54</f>
        <v>0.95456833561718357</v>
      </c>
    </row>
    <row r="50" spans="1:29" ht="15.75" customHeight="1">
      <c r="A50" s="578" t="s">
        <v>31</v>
      </c>
      <c r="B50" s="300" t="s">
        <v>40</v>
      </c>
      <c r="C50" s="565" t="s">
        <v>74</v>
      </c>
      <c r="D50" s="565"/>
      <c r="E50" s="300">
        <v>46</v>
      </c>
      <c r="F50" s="317">
        <v>3178</v>
      </c>
      <c r="G50" s="442">
        <f t="shared" si="35"/>
        <v>146188</v>
      </c>
      <c r="H50" s="455" t="s">
        <v>35</v>
      </c>
      <c r="I50" s="451">
        <v>17</v>
      </c>
      <c r="J50" s="303">
        <v>2000</v>
      </c>
      <c r="K50" s="304">
        <f t="shared" si="1"/>
        <v>117.64705882352941</v>
      </c>
      <c r="L50" s="451">
        <v>17</v>
      </c>
      <c r="M50" s="305">
        <f t="shared" si="36"/>
        <v>1906.8000000000004</v>
      </c>
      <c r="N50" s="305">
        <f t="shared" si="3"/>
        <v>112.16470588235296</v>
      </c>
      <c r="O50" s="306">
        <f t="shared" si="4"/>
        <v>0</v>
      </c>
      <c r="P50" s="307">
        <f t="shared" si="5"/>
        <v>-5.482352941176444</v>
      </c>
      <c r="Q50" s="445">
        <f t="shared" si="6"/>
        <v>0.95340000000000025</v>
      </c>
      <c r="R50" s="571"/>
      <c r="S50" s="308">
        <v>0.27708333333333335</v>
      </c>
      <c r="T50" s="308">
        <v>0.34652777777777777</v>
      </c>
      <c r="U50" s="442">
        <f t="shared" ref="U50:U53" si="38">IF(S50=TIME(17,0,0),"",(S50-T49)*24*60)</f>
        <v>4.9999999999999822</v>
      </c>
      <c r="V50" s="452">
        <f t="shared" si="37"/>
        <v>99.999999999999972</v>
      </c>
      <c r="W50" s="310"/>
      <c r="X50" s="310"/>
      <c r="Y50" s="570"/>
      <c r="Z50" s="570"/>
      <c r="AA50" s="306">
        <f t="shared" si="8"/>
        <v>-93.199999999999591</v>
      </c>
      <c r="AB50" s="445">
        <f t="shared" si="9"/>
        <v>0.95340000000000025</v>
      </c>
      <c r="AC50" s="571"/>
    </row>
    <row r="51" spans="1:29" ht="15.75" customHeight="1">
      <c r="A51" s="578" t="s">
        <v>31</v>
      </c>
      <c r="B51" s="300" t="s">
        <v>36</v>
      </c>
      <c r="C51" s="580" t="s">
        <v>76</v>
      </c>
      <c r="D51" s="581"/>
      <c r="E51" s="300">
        <v>55.56</v>
      </c>
      <c r="F51" s="317">
        <v>700</v>
      </c>
      <c r="G51" s="442">
        <f t="shared" si="35"/>
        <v>38892</v>
      </c>
      <c r="H51" s="455">
        <v>2</v>
      </c>
      <c r="I51" s="451">
        <v>17</v>
      </c>
      <c r="J51" s="303">
        <v>2000</v>
      </c>
      <c r="K51" s="304">
        <f t="shared" si="1"/>
        <v>117.64705882352941</v>
      </c>
      <c r="L51" s="451">
        <v>17</v>
      </c>
      <c r="M51" s="305">
        <f t="shared" si="36"/>
        <v>1909.0909090909158</v>
      </c>
      <c r="N51" s="305">
        <f t="shared" si="3"/>
        <v>112.29946524064211</v>
      </c>
      <c r="O51" s="306">
        <f t="shared" si="4"/>
        <v>0</v>
      </c>
      <c r="P51" s="307">
        <f t="shared" si="5"/>
        <v>-5.3475935828872991</v>
      </c>
      <c r="Q51" s="445">
        <f t="shared" si="6"/>
        <v>0.95454545454545792</v>
      </c>
      <c r="R51" s="571"/>
      <c r="S51" s="308">
        <v>0.70833333333333337</v>
      </c>
      <c r="T51" s="308">
        <v>0.72361111111111109</v>
      </c>
      <c r="U51" s="442" t="str">
        <f t="shared" si="38"/>
        <v/>
      </c>
      <c r="V51" s="452">
        <f t="shared" si="37"/>
        <v>21.999999999999922</v>
      </c>
      <c r="W51" s="310"/>
      <c r="X51" s="310"/>
      <c r="Y51" s="443"/>
      <c r="Z51" s="444"/>
      <c r="AA51" s="306">
        <f t="shared" si="8"/>
        <v>-90.909090909084171</v>
      </c>
      <c r="AB51" s="445">
        <f t="shared" si="9"/>
        <v>0.95454545454545792</v>
      </c>
      <c r="AC51" s="571"/>
    </row>
    <row r="52" spans="1:29" ht="15.75" customHeight="1">
      <c r="A52" s="578" t="s">
        <v>31</v>
      </c>
      <c r="B52" s="300" t="s">
        <v>36</v>
      </c>
      <c r="C52" s="447" t="s">
        <v>77</v>
      </c>
      <c r="D52" s="448"/>
      <c r="E52" s="300">
        <v>55.32</v>
      </c>
      <c r="F52" s="317">
        <v>2130</v>
      </c>
      <c r="G52" s="442">
        <f t="shared" si="35"/>
        <v>117831.6</v>
      </c>
      <c r="H52" s="455" t="s">
        <v>35</v>
      </c>
      <c r="I52" s="451">
        <v>15</v>
      </c>
      <c r="J52" s="303">
        <v>2000</v>
      </c>
      <c r="K52" s="304">
        <f t="shared" si="1"/>
        <v>133.33333333333334</v>
      </c>
      <c r="L52" s="451">
        <v>15</v>
      </c>
      <c r="M52" s="305">
        <f t="shared" si="36"/>
        <v>1907.4626865671619</v>
      </c>
      <c r="N52" s="305">
        <f t="shared" si="3"/>
        <v>127.16417910447745</v>
      </c>
      <c r="O52" s="306">
        <f t="shared" si="4"/>
        <v>0</v>
      </c>
      <c r="P52" s="307">
        <f t="shared" si="5"/>
        <v>-6.1691542288558878</v>
      </c>
      <c r="Q52" s="445">
        <f t="shared" si="6"/>
        <v>0.95373134328358089</v>
      </c>
      <c r="R52" s="571"/>
      <c r="S52" s="308">
        <v>0.72916666666666663</v>
      </c>
      <c r="T52" s="308">
        <v>0.77569444444444446</v>
      </c>
      <c r="U52" s="442">
        <f t="shared" si="38"/>
        <v>7.9999999999999716</v>
      </c>
      <c r="V52" s="452">
        <f t="shared" si="37"/>
        <v>67.000000000000085</v>
      </c>
      <c r="W52" s="310"/>
      <c r="X52" s="310"/>
      <c r="Y52" s="443"/>
      <c r="Z52" s="444"/>
      <c r="AA52" s="306">
        <f t="shared" si="8"/>
        <v>-92.537313432838118</v>
      </c>
      <c r="AB52" s="445">
        <f t="shared" si="9"/>
        <v>0.95373134328358089</v>
      </c>
      <c r="AC52" s="571"/>
    </row>
    <row r="53" spans="1:29" ht="15.75" customHeight="1">
      <c r="A53" s="578" t="s">
        <v>31</v>
      </c>
      <c r="B53" s="300" t="s">
        <v>36</v>
      </c>
      <c r="C53" s="447" t="s">
        <v>1977</v>
      </c>
      <c r="D53" s="448"/>
      <c r="E53" s="300">
        <v>55.12</v>
      </c>
      <c r="F53" s="317">
        <v>5177</v>
      </c>
      <c r="G53" s="442">
        <f t="shared" si="35"/>
        <v>285356.24</v>
      </c>
      <c r="H53" s="455" t="s">
        <v>35</v>
      </c>
      <c r="I53" s="451">
        <v>16</v>
      </c>
      <c r="J53" s="303">
        <v>1500</v>
      </c>
      <c r="K53" s="304">
        <f t="shared" si="1"/>
        <v>93.75</v>
      </c>
      <c r="L53" s="451">
        <v>16</v>
      </c>
      <c r="M53" s="305">
        <f t="shared" si="36"/>
        <v>1431.4285714285713</v>
      </c>
      <c r="N53" s="305">
        <f t="shared" si="3"/>
        <v>89.464285714285708</v>
      </c>
      <c r="O53" s="306">
        <f t="shared" si="4"/>
        <v>0</v>
      </c>
      <c r="P53" s="307">
        <f t="shared" si="5"/>
        <v>-4.2857142857142918</v>
      </c>
      <c r="Q53" s="445">
        <f t="shared" si="6"/>
        <v>0.95428571428571418</v>
      </c>
      <c r="R53" s="571"/>
      <c r="S53" s="308">
        <v>0.78125</v>
      </c>
      <c r="T53" s="308">
        <v>0.93194444444444446</v>
      </c>
      <c r="U53" s="442">
        <f t="shared" si="38"/>
        <v>7.9999999999999716</v>
      </c>
      <c r="V53" s="452">
        <f t="shared" si="37"/>
        <v>217.00000000000003</v>
      </c>
      <c r="W53" s="310"/>
      <c r="X53" s="310"/>
      <c r="Y53" s="443"/>
      <c r="Z53" s="444"/>
      <c r="AA53" s="306">
        <f t="shared" si="8"/>
        <v>-68.571428571428669</v>
      </c>
      <c r="AB53" s="445">
        <f t="shared" si="9"/>
        <v>0.95428571428571418</v>
      </c>
      <c r="AC53" s="571"/>
    </row>
    <row r="54" spans="1:29">
      <c r="A54" s="579" t="s">
        <v>2039</v>
      </c>
      <c r="B54" s="300" t="s">
        <v>25</v>
      </c>
      <c r="C54" s="572"/>
      <c r="D54" s="572"/>
      <c r="E54" s="446"/>
      <c r="F54" s="313"/>
      <c r="G54" s="304"/>
      <c r="H54" s="453"/>
      <c r="I54" s="314">
        <v>16.399999999999999</v>
      </c>
      <c r="J54" s="303">
        <v>1900</v>
      </c>
      <c r="K54" s="304">
        <f t="shared" si="1"/>
        <v>115.85365853658537</v>
      </c>
      <c r="L54" s="314">
        <v>16.399999999999999</v>
      </c>
      <c r="M54" s="305">
        <f>AVERAGE(M49:M53)</f>
        <v>1813.6798376726488</v>
      </c>
      <c r="N54" s="304">
        <f t="shared" si="3"/>
        <v>110.59023400442982</v>
      </c>
      <c r="O54" s="306">
        <f t="shared" si="4"/>
        <v>0</v>
      </c>
      <c r="P54" s="307">
        <f t="shared" si="5"/>
        <v>-5.2634245321555539</v>
      </c>
      <c r="Q54" s="445">
        <f t="shared" si="6"/>
        <v>0.95456833561718368</v>
      </c>
      <c r="R54" s="571"/>
      <c r="S54" s="322"/>
      <c r="T54" s="308"/>
      <c r="U54" s="304"/>
      <c r="V54" s="452"/>
      <c r="W54" s="304"/>
      <c r="X54" s="304"/>
      <c r="Y54" s="570"/>
      <c r="Z54" s="570"/>
      <c r="AA54" s="306">
        <f t="shared" si="8"/>
        <v>-86.320162327351227</v>
      </c>
      <c r="AB54" s="445">
        <f t="shared" si="9"/>
        <v>0.95456833561718357</v>
      </c>
      <c r="AC54" s="571"/>
    </row>
    <row r="55" spans="1:29" ht="15.75" customHeight="1">
      <c r="A55" s="576" t="s">
        <v>2040</v>
      </c>
      <c r="B55" s="453" t="s">
        <v>40</v>
      </c>
      <c r="C55" s="565" t="s">
        <v>82</v>
      </c>
      <c r="D55" s="565"/>
      <c r="E55" s="300">
        <v>26.97</v>
      </c>
      <c r="F55" s="317">
        <v>3401</v>
      </c>
      <c r="G55" s="442">
        <f t="shared" ref="G55:G58" si="39">E55*F55</f>
        <v>91724.97</v>
      </c>
      <c r="H55" s="455" t="s">
        <v>35</v>
      </c>
      <c r="I55" s="451">
        <v>8</v>
      </c>
      <c r="J55" s="303">
        <v>1500</v>
      </c>
      <c r="K55" s="304">
        <f t="shared" si="1"/>
        <v>187.5</v>
      </c>
      <c r="L55" s="451">
        <v>8</v>
      </c>
      <c r="M55" s="305">
        <f t="shared" ref="M55:M58" si="40">F55/V55*60</f>
        <v>1437.0422535211264</v>
      </c>
      <c r="N55" s="304">
        <f t="shared" si="3"/>
        <v>179.63028169014081</v>
      </c>
      <c r="O55" s="306">
        <f t="shared" si="4"/>
        <v>0</v>
      </c>
      <c r="P55" s="307">
        <f t="shared" si="5"/>
        <v>-7.869718309859195</v>
      </c>
      <c r="Q55" s="445">
        <f t="shared" si="6"/>
        <v>0.95802816901408427</v>
      </c>
      <c r="R55" s="571">
        <f>Q59</f>
        <v>0.96053997185728801</v>
      </c>
      <c r="S55" s="308">
        <v>0.20833333333333334</v>
      </c>
      <c r="T55" s="308">
        <v>0.30694444444444446</v>
      </c>
      <c r="U55" s="442"/>
      <c r="V55" s="452">
        <f t="shared" ref="V55:V58" si="41">(T55-S55)*24*60</f>
        <v>142.00000000000003</v>
      </c>
      <c r="W55" s="315"/>
      <c r="X55" s="315"/>
      <c r="Y55" s="570"/>
      <c r="Z55" s="570"/>
      <c r="AA55" s="306">
        <f t="shared" si="8"/>
        <v>-62.95774647887356</v>
      </c>
      <c r="AB55" s="445">
        <f t="shared" si="9"/>
        <v>0.95802816901408427</v>
      </c>
      <c r="AC55" s="571">
        <f>AB59</f>
        <v>0.9605399718572879</v>
      </c>
    </row>
    <row r="56" spans="1:29" ht="15.75" customHeight="1">
      <c r="A56" s="576" t="s">
        <v>270</v>
      </c>
      <c r="B56" s="453" t="s">
        <v>67</v>
      </c>
      <c r="C56" s="565" t="s">
        <v>79</v>
      </c>
      <c r="D56" s="565"/>
      <c r="E56" s="300">
        <v>26.78</v>
      </c>
      <c r="F56" s="317">
        <v>3017</v>
      </c>
      <c r="G56" s="442">
        <f t="shared" si="39"/>
        <v>80795.260000000009</v>
      </c>
      <c r="H56" s="455" t="s">
        <v>35</v>
      </c>
      <c r="I56" s="451">
        <v>10</v>
      </c>
      <c r="J56" s="303">
        <v>3000</v>
      </c>
      <c r="K56" s="304">
        <f t="shared" si="1"/>
        <v>300</v>
      </c>
      <c r="L56" s="451">
        <v>10</v>
      </c>
      <c r="M56" s="305">
        <f t="shared" si="40"/>
        <v>2873.3333333333326</v>
      </c>
      <c r="N56" s="304">
        <f t="shared" si="3"/>
        <v>287.33333333333326</v>
      </c>
      <c r="O56" s="306">
        <f t="shared" si="4"/>
        <v>0</v>
      </c>
      <c r="P56" s="307">
        <f t="shared" si="5"/>
        <v>-12.666666666666742</v>
      </c>
      <c r="Q56" s="445">
        <f t="shared" si="6"/>
        <v>0.95777777777777751</v>
      </c>
      <c r="R56" s="571"/>
      <c r="S56" s="308">
        <v>0.31041666666666667</v>
      </c>
      <c r="T56" s="308">
        <v>0.35416666666666669</v>
      </c>
      <c r="U56" s="442">
        <f t="shared" ref="U56:U58" si="42">(S56-T55)*24*60</f>
        <v>4.9999999999999822</v>
      </c>
      <c r="V56" s="452">
        <f t="shared" si="41"/>
        <v>63.000000000000014</v>
      </c>
      <c r="W56" s="442"/>
      <c r="X56" s="442"/>
      <c r="Y56" s="570"/>
      <c r="Z56" s="570"/>
      <c r="AA56" s="306">
        <f t="shared" si="8"/>
        <v>-126.66666666666742</v>
      </c>
      <c r="AB56" s="445">
        <f t="shared" si="9"/>
        <v>0.95777777777777751</v>
      </c>
      <c r="AC56" s="571"/>
    </row>
    <row r="57" spans="1:29" ht="15.75" customHeight="1">
      <c r="A57" s="576" t="s">
        <v>270</v>
      </c>
      <c r="B57" s="453" t="s">
        <v>67</v>
      </c>
      <c r="C57" s="565" t="s">
        <v>83</v>
      </c>
      <c r="D57" s="565"/>
      <c r="E57" s="300">
        <v>35.369999999999997</v>
      </c>
      <c r="F57" s="317">
        <v>1653</v>
      </c>
      <c r="G57" s="442">
        <f t="shared" si="39"/>
        <v>58466.609999999993</v>
      </c>
      <c r="H57" s="455" t="s">
        <v>35</v>
      </c>
      <c r="I57" s="451">
        <v>10</v>
      </c>
      <c r="J57" s="303">
        <v>3000</v>
      </c>
      <c r="K57" s="304">
        <f t="shared" si="1"/>
        <v>300</v>
      </c>
      <c r="L57" s="451">
        <v>10</v>
      </c>
      <c r="M57" s="305">
        <f t="shared" si="40"/>
        <v>2917.0588235294153</v>
      </c>
      <c r="N57" s="304">
        <f t="shared" si="3"/>
        <v>291.70588235294156</v>
      </c>
      <c r="O57" s="306">
        <f t="shared" si="4"/>
        <v>0</v>
      </c>
      <c r="P57" s="307">
        <f t="shared" si="5"/>
        <v>-8.2941176470584423</v>
      </c>
      <c r="Q57" s="445">
        <f t="shared" si="6"/>
        <v>0.97235294117647186</v>
      </c>
      <c r="R57" s="571"/>
      <c r="S57" s="308">
        <v>0.35972222222222222</v>
      </c>
      <c r="T57" s="308">
        <v>0.3833333333333333</v>
      </c>
      <c r="U57" s="442">
        <f t="shared" si="42"/>
        <v>7.9999999999999716</v>
      </c>
      <c r="V57" s="452">
        <f t="shared" si="41"/>
        <v>33.999999999999957</v>
      </c>
      <c r="W57" s="442"/>
      <c r="X57" s="442"/>
      <c r="Y57" s="570"/>
      <c r="Z57" s="570"/>
      <c r="AA57" s="306">
        <f t="shared" si="8"/>
        <v>-82.941176470584651</v>
      </c>
      <c r="AB57" s="445">
        <f t="shared" si="9"/>
        <v>0.97235294117647175</v>
      </c>
      <c r="AC57" s="571"/>
    </row>
    <row r="58" spans="1:29" ht="15.75" customHeight="1">
      <c r="A58" s="576" t="s">
        <v>270</v>
      </c>
      <c r="B58" s="453" t="s">
        <v>67</v>
      </c>
      <c r="C58" s="565" t="s">
        <v>666</v>
      </c>
      <c r="D58" s="565"/>
      <c r="E58" s="300">
        <v>37.880000000000003</v>
      </c>
      <c r="F58" s="317">
        <v>4859</v>
      </c>
      <c r="G58" s="442">
        <f t="shared" si="39"/>
        <v>184058.92</v>
      </c>
      <c r="H58" s="455" t="s">
        <v>35</v>
      </c>
      <c r="I58" s="451">
        <v>11</v>
      </c>
      <c r="J58" s="303">
        <v>3000</v>
      </c>
      <c r="K58" s="304">
        <f t="shared" si="1"/>
        <v>272.72727272727275</v>
      </c>
      <c r="L58" s="451">
        <v>11</v>
      </c>
      <c r="M58" s="305">
        <f t="shared" si="40"/>
        <v>2858.2352941176482</v>
      </c>
      <c r="N58" s="304">
        <f t="shared" si="3"/>
        <v>259.83957219251346</v>
      </c>
      <c r="O58" s="306">
        <f t="shared" si="4"/>
        <v>0</v>
      </c>
      <c r="P58" s="307">
        <f t="shared" si="5"/>
        <v>-12.88770053475929</v>
      </c>
      <c r="Q58" s="445">
        <f t="shared" si="6"/>
        <v>0.95274509803921592</v>
      </c>
      <c r="R58" s="571"/>
      <c r="S58" s="308">
        <v>0.3881944444444444</v>
      </c>
      <c r="T58" s="308">
        <v>0.4590277777777777</v>
      </c>
      <c r="U58" s="442">
        <f t="shared" si="42"/>
        <v>6.9999999999999751</v>
      </c>
      <c r="V58" s="452">
        <f t="shared" si="41"/>
        <v>101.99999999999996</v>
      </c>
      <c r="W58" s="442"/>
      <c r="X58" s="442"/>
      <c r="Y58" s="570"/>
      <c r="Z58" s="570"/>
      <c r="AA58" s="306">
        <f t="shared" si="8"/>
        <v>-141.76470588235179</v>
      </c>
      <c r="AB58" s="445">
        <f t="shared" si="9"/>
        <v>0.95274509803921603</v>
      </c>
      <c r="AC58" s="571"/>
    </row>
    <row r="59" spans="1:29">
      <c r="A59" s="577" t="s">
        <v>270</v>
      </c>
      <c r="B59" s="300" t="s">
        <v>25</v>
      </c>
      <c r="C59" s="572"/>
      <c r="D59" s="572"/>
      <c r="E59" s="446"/>
      <c r="F59" s="313"/>
      <c r="G59" s="304"/>
      <c r="H59" s="453"/>
      <c r="I59" s="314">
        <v>9.75</v>
      </c>
      <c r="J59" s="303">
        <v>2625</v>
      </c>
      <c r="K59" s="304">
        <f t="shared" si="1"/>
        <v>269.23076923076923</v>
      </c>
      <c r="L59" s="314">
        <v>9.75</v>
      </c>
      <c r="M59" s="305">
        <f>AVERAGE(M55:M58)</f>
        <v>2521.4174261253806</v>
      </c>
      <c r="N59" s="304">
        <f t="shared" si="3"/>
        <v>258.60691550003907</v>
      </c>
      <c r="O59" s="306">
        <f t="shared" si="4"/>
        <v>0</v>
      </c>
      <c r="P59" s="307">
        <f t="shared" si="5"/>
        <v>-10.623853730730161</v>
      </c>
      <c r="Q59" s="445">
        <f t="shared" si="6"/>
        <v>0.96053997185728801</v>
      </c>
      <c r="R59" s="571"/>
      <c r="S59" s="308"/>
      <c r="T59" s="308"/>
      <c r="U59" s="304"/>
      <c r="V59" s="452"/>
      <c r="W59" s="304"/>
      <c r="X59" s="304"/>
      <c r="Y59" s="570"/>
      <c r="Z59" s="570"/>
      <c r="AA59" s="306">
        <f t="shared" si="8"/>
        <v>-103.58257387461936</v>
      </c>
      <c r="AB59" s="445">
        <f t="shared" si="9"/>
        <v>0.9605399718572879</v>
      </c>
      <c r="AC59" s="571"/>
    </row>
    <row r="60" spans="1:29" ht="15.75" customHeight="1">
      <c r="A60" s="573" t="s">
        <v>33</v>
      </c>
      <c r="B60" s="453" t="s">
        <v>46</v>
      </c>
      <c r="C60" s="565" t="s">
        <v>84</v>
      </c>
      <c r="D60" s="565"/>
      <c r="E60" s="300">
        <v>20.2</v>
      </c>
      <c r="F60" s="453">
        <v>2784</v>
      </c>
      <c r="G60" s="442">
        <f t="shared" ref="G60:G69" si="43">E60*F60</f>
        <v>56236.799999999996</v>
      </c>
      <c r="H60" s="455" t="s">
        <v>35</v>
      </c>
      <c r="I60" s="451">
        <v>19</v>
      </c>
      <c r="J60" s="303">
        <v>2400</v>
      </c>
      <c r="K60" s="304">
        <f t="shared" si="1"/>
        <v>126.31578947368421</v>
      </c>
      <c r="L60" s="451">
        <v>19</v>
      </c>
      <c r="M60" s="305">
        <f t="shared" ref="M60:M69" si="44">F60/V60*60</f>
        <v>2288.2191780821918</v>
      </c>
      <c r="N60" s="304">
        <f t="shared" si="3"/>
        <v>120.43258832011536</v>
      </c>
      <c r="O60" s="306">
        <f t="shared" si="4"/>
        <v>0</v>
      </c>
      <c r="P60" s="307">
        <f t="shared" si="5"/>
        <v>-5.883201153568848</v>
      </c>
      <c r="Q60" s="445">
        <f t="shared" si="6"/>
        <v>0.95342465753424666</v>
      </c>
      <c r="R60" s="571">
        <f>Q70</f>
        <v>0.95898492051181172</v>
      </c>
      <c r="S60" s="308">
        <v>8.3333333333333329E-2</v>
      </c>
      <c r="T60" s="308">
        <v>0.13402777777777777</v>
      </c>
      <c r="U60" s="315"/>
      <c r="V60" s="452">
        <f t="shared" ref="V60:V69" si="45">(T60-S60)*24*60</f>
        <v>73</v>
      </c>
      <c r="W60" s="310">
        <f>T60</f>
        <v>0.13402777777777777</v>
      </c>
      <c r="X60" s="310">
        <f>S61</f>
        <v>0.15138888888888885</v>
      </c>
      <c r="Y60" s="570"/>
      <c r="Z60" s="570"/>
      <c r="AA60" s="306">
        <f t="shared" si="8"/>
        <v>-111.78082191780823</v>
      </c>
      <c r="AB60" s="445">
        <f t="shared" si="9"/>
        <v>0.95342465753424654</v>
      </c>
      <c r="AC60" s="571">
        <f>AB70</f>
        <v>0.95898492051181161</v>
      </c>
    </row>
    <row r="61" spans="1:29" ht="15.75" customHeight="1">
      <c r="A61" s="574" t="s">
        <v>33</v>
      </c>
      <c r="B61" s="453" t="s">
        <v>46</v>
      </c>
      <c r="C61" s="565" t="s">
        <v>58</v>
      </c>
      <c r="D61" s="565"/>
      <c r="E61" s="300">
        <v>25.98</v>
      </c>
      <c r="F61" s="453">
        <v>1657</v>
      </c>
      <c r="G61" s="442">
        <f t="shared" si="43"/>
        <v>43048.86</v>
      </c>
      <c r="H61" s="455" t="s">
        <v>35</v>
      </c>
      <c r="I61" s="451">
        <v>17</v>
      </c>
      <c r="J61" s="303">
        <v>2400</v>
      </c>
      <c r="K61" s="304">
        <f t="shared" si="1"/>
        <v>141.1764705882353</v>
      </c>
      <c r="L61" s="451">
        <v>17</v>
      </c>
      <c r="M61" s="305">
        <f t="shared" si="44"/>
        <v>2312.0930232558135</v>
      </c>
      <c r="N61" s="304">
        <f t="shared" si="3"/>
        <v>136.00547195622431</v>
      </c>
      <c r="O61" s="306">
        <f t="shared" si="4"/>
        <v>0</v>
      </c>
      <c r="P61" s="307">
        <f t="shared" si="5"/>
        <v>-5.170998632010992</v>
      </c>
      <c r="Q61" s="445">
        <f t="shared" si="6"/>
        <v>0.96337209302325544</v>
      </c>
      <c r="R61" s="571"/>
      <c r="S61" s="308">
        <v>0.15138888888888885</v>
      </c>
      <c r="T61" s="308">
        <v>0.18124999999999997</v>
      </c>
      <c r="U61" s="442">
        <f t="shared" ref="U61:U69" si="46">(S61-T60)*24*60</f>
        <v>24.99999999999995</v>
      </c>
      <c r="V61" s="452">
        <f t="shared" si="45"/>
        <v>43.000000000000007</v>
      </c>
      <c r="W61" s="310"/>
      <c r="X61" s="310"/>
      <c r="Y61" s="570"/>
      <c r="Z61" s="570"/>
      <c r="AA61" s="306">
        <f t="shared" si="8"/>
        <v>-87.906976744186522</v>
      </c>
      <c r="AB61" s="445">
        <f t="shared" si="9"/>
        <v>0.96337209302325566</v>
      </c>
      <c r="AC61" s="571"/>
    </row>
    <row r="62" spans="1:29" ht="15.75" customHeight="1">
      <c r="A62" s="574" t="s">
        <v>33</v>
      </c>
      <c r="B62" s="453" t="s">
        <v>46</v>
      </c>
      <c r="C62" s="565" t="s">
        <v>88</v>
      </c>
      <c r="D62" s="565"/>
      <c r="E62" s="300">
        <v>24.25</v>
      </c>
      <c r="F62" s="453">
        <v>3484</v>
      </c>
      <c r="G62" s="442">
        <f t="shared" si="43"/>
        <v>84487</v>
      </c>
      <c r="H62" s="455" t="s">
        <v>35</v>
      </c>
      <c r="I62" s="451">
        <v>17</v>
      </c>
      <c r="J62" s="303">
        <v>2400</v>
      </c>
      <c r="K62" s="304">
        <f t="shared" si="1"/>
        <v>141.1764705882353</v>
      </c>
      <c r="L62" s="451">
        <v>17</v>
      </c>
      <c r="M62" s="305">
        <f t="shared" si="44"/>
        <v>2297.1428571428569</v>
      </c>
      <c r="N62" s="304">
        <f t="shared" si="3"/>
        <v>135.12605042016804</v>
      </c>
      <c r="O62" s="306">
        <f t="shared" si="4"/>
        <v>0</v>
      </c>
      <c r="P62" s="307">
        <f t="shared" si="5"/>
        <v>-6.0504201680672622</v>
      </c>
      <c r="Q62" s="445">
        <f t="shared" si="6"/>
        <v>0.95714285714285685</v>
      </c>
      <c r="R62" s="571"/>
      <c r="S62" s="308">
        <v>0.18611111111111109</v>
      </c>
      <c r="T62" s="308">
        <v>0.24930555555555553</v>
      </c>
      <c r="U62" s="442">
        <f t="shared" si="46"/>
        <v>7.0000000000000151</v>
      </c>
      <c r="V62" s="452">
        <f t="shared" si="45"/>
        <v>91</v>
      </c>
      <c r="W62" s="310"/>
      <c r="X62" s="310"/>
      <c r="Y62" s="570"/>
      <c r="Z62" s="570"/>
      <c r="AA62" s="306">
        <f t="shared" si="8"/>
        <v>-102.85714285714312</v>
      </c>
      <c r="AB62" s="445">
        <f t="shared" si="9"/>
        <v>0.95714285714285707</v>
      </c>
      <c r="AC62" s="571"/>
    </row>
    <row r="63" spans="1:29" ht="15.75" customHeight="1">
      <c r="A63" s="574" t="s">
        <v>33</v>
      </c>
      <c r="B63" s="453" t="s">
        <v>46</v>
      </c>
      <c r="C63" s="565" t="s">
        <v>47</v>
      </c>
      <c r="D63" s="565"/>
      <c r="E63" s="300">
        <v>24.45</v>
      </c>
      <c r="F63" s="453">
        <v>2733</v>
      </c>
      <c r="G63" s="442">
        <f t="shared" si="43"/>
        <v>66821.849999999991</v>
      </c>
      <c r="H63" s="455" t="s">
        <v>35</v>
      </c>
      <c r="I63" s="451">
        <v>20</v>
      </c>
      <c r="J63" s="303">
        <v>2400</v>
      </c>
      <c r="K63" s="304">
        <f t="shared" si="1"/>
        <v>120</v>
      </c>
      <c r="L63" s="451">
        <v>20</v>
      </c>
      <c r="M63" s="305">
        <f t="shared" si="44"/>
        <v>2309.5774647887329</v>
      </c>
      <c r="N63" s="304">
        <f t="shared" si="3"/>
        <v>115.47887323943664</v>
      </c>
      <c r="O63" s="306">
        <f t="shared" si="4"/>
        <v>0</v>
      </c>
      <c r="P63" s="307">
        <f t="shared" si="5"/>
        <v>-4.5211267605633623</v>
      </c>
      <c r="Q63" s="445">
        <f t="shared" si="6"/>
        <v>0.96232394366197194</v>
      </c>
      <c r="R63" s="571"/>
      <c r="S63" s="308">
        <v>0.25277777777777777</v>
      </c>
      <c r="T63" s="308">
        <v>0.30208333333333331</v>
      </c>
      <c r="U63" s="442">
        <f t="shared" si="46"/>
        <v>5.0000000000000222</v>
      </c>
      <c r="V63" s="452">
        <f t="shared" si="45"/>
        <v>70.999999999999986</v>
      </c>
      <c r="W63" s="310"/>
      <c r="X63" s="310"/>
      <c r="Y63" s="570"/>
      <c r="Z63" s="570"/>
      <c r="AA63" s="306">
        <f t="shared" si="8"/>
        <v>-90.422535211267132</v>
      </c>
      <c r="AB63" s="445">
        <f t="shared" si="9"/>
        <v>0.96232394366197205</v>
      </c>
      <c r="AC63" s="571"/>
    </row>
    <row r="64" spans="1:29" ht="15.75" customHeight="1">
      <c r="A64" s="574" t="s">
        <v>33</v>
      </c>
      <c r="B64" s="453" t="s">
        <v>46</v>
      </c>
      <c r="C64" s="565" t="s">
        <v>66</v>
      </c>
      <c r="D64" s="565"/>
      <c r="E64" s="300">
        <v>24.25</v>
      </c>
      <c r="F64" s="453">
        <v>3000</v>
      </c>
      <c r="G64" s="442">
        <f t="shared" si="43"/>
        <v>72750</v>
      </c>
      <c r="H64" s="455">
        <v>2</v>
      </c>
      <c r="I64" s="451">
        <v>14</v>
      </c>
      <c r="J64" s="303">
        <v>2400</v>
      </c>
      <c r="K64" s="304">
        <f t="shared" si="1"/>
        <v>171.42857142857142</v>
      </c>
      <c r="L64" s="451">
        <v>14</v>
      </c>
      <c r="M64" s="305">
        <f t="shared" si="44"/>
        <v>2307.692307692309</v>
      </c>
      <c r="N64" s="304">
        <f t="shared" si="3"/>
        <v>164.83516483516493</v>
      </c>
      <c r="O64" s="306">
        <f t="shared" si="4"/>
        <v>0</v>
      </c>
      <c r="P64" s="307">
        <f t="shared" si="5"/>
        <v>-6.5934065934064847</v>
      </c>
      <c r="Q64" s="445">
        <f t="shared" si="6"/>
        <v>0.96153846153846212</v>
      </c>
      <c r="R64" s="571"/>
      <c r="S64" s="308">
        <v>0.30555555555555552</v>
      </c>
      <c r="T64" s="308">
        <v>0.35972222222222217</v>
      </c>
      <c r="U64" s="442">
        <f t="shared" si="46"/>
        <v>4.9999999999999822</v>
      </c>
      <c r="V64" s="452">
        <f t="shared" si="45"/>
        <v>77.999999999999957</v>
      </c>
      <c r="W64" s="310"/>
      <c r="X64" s="310"/>
      <c r="Y64" s="570"/>
      <c r="Z64" s="570"/>
      <c r="AA64" s="306">
        <f t="shared" si="8"/>
        <v>-92.307692307691013</v>
      </c>
      <c r="AB64" s="445">
        <f t="shared" si="9"/>
        <v>0.96153846153846212</v>
      </c>
      <c r="AC64" s="571"/>
    </row>
    <row r="65" spans="1:29" ht="15.75" customHeight="1">
      <c r="A65" s="574" t="s">
        <v>33</v>
      </c>
      <c r="B65" s="453" t="s">
        <v>46</v>
      </c>
      <c r="C65" s="565" t="s">
        <v>85</v>
      </c>
      <c r="D65" s="565"/>
      <c r="E65" s="300">
        <v>19.02</v>
      </c>
      <c r="F65" s="453">
        <v>4500</v>
      </c>
      <c r="G65" s="442">
        <f t="shared" si="43"/>
        <v>85590</v>
      </c>
      <c r="H65" s="455">
        <v>2</v>
      </c>
      <c r="I65" s="451">
        <v>15</v>
      </c>
      <c r="J65" s="303">
        <v>2400</v>
      </c>
      <c r="K65" s="304">
        <f t="shared" si="1"/>
        <v>160</v>
      </c>
      <c r="L65" s="451">
        <v>15</v>
      </c>
      <c r="M65" s="305">
        <f t="shared" si="44"/>
        <v>2288.1355932203396</v>
      </c>
      <c r="N65" s="304">
        <f t="shared" si="3"/>
        <v>152.54237288135599</v>
      </c>
      <c r="O65" s="306">
        <f t="shared" si="4"/>
        <v>0</v>
      </c>
      <c r="P65" s="307">
        <f t="shared" si="5"/>
        <v>-7.4576271186440124</v>
      </c>
      <c r="Q65" s="445">
        <f t="shared" si="6"/>
        <v>0.95338983050847492</v>
      </c>
      <c r="R65" s="571"/>
      <c r="S65" s="308">
        <v>0.36388888888888882</v>
      </c>
      <c r="T65" s="308">
        <v>0.44583333333333325</v>
      </c>
      <c r="U65" s="442">
        <f t="shared" si="46"/>
        <v>5.9999999999999787</v>
      </c>
      <c r="V65" s="452">
        <f t="shared" si="45"/>
        <v>117.99999999999999</v>
      </c>
      <c r="W65" s="310"/>
      <c r="X65" s="310"/>
      <c r="Y65" s="570"/>
      <c r="Z65" s="570"/>
      <c r="AA65" s="306">
        <f t="shared" si="8"/>
        <v>-111.86440677966038</v>
      </c>
      <c r="AB65" s="445">
        <f t="shared" si="9"/>
        <v>0.95338983050847481</v>
      </c>
      <c r="AC65" s="571"/>
    </row>
    <row r="66" spans="1:29" ht="15.75" customHeight="1">
      <c r="A66" s="574" t="s">
        <v>33</v>
      </c>
      <c r="B66" s="453" t="s">
        <v>46</v>
      </c>
      <c r="C66" s="565" t="s">
        <v>57</v>
      </c>
      <c r="D66" s="565"/>
      <c r="E66" s="300">
        <v>20.52</v>
      </c>
      <c r="F66" s="453">
        <v>2200</v>
      </c>
      <c r="G66" s="442">
        <f t="shared" si="43"/>
        <v>45144</v>
      </c>
      <c r="H66" s="455">
        <v>2</v>
      </c>
      <c r="I66" s="451">
        <v>18</v>
      </c>
      <c r="J66" s="303">
        <v>2400</v>
      </c>
      <c r="K66" s="304">
        <f t="shared" si="1"/>
        <v>133.33333333333334</v>
      </c>
      <c r="L66" s="451">
        <v>18</v>
      </c>
      <c r="M66" s="305">
        <f t="shared" si="44"/>
        <v>2315.789473684209</v>
      </c>
      <c r="N66" s="304">
        <f t="shared" si="3"/>
        <v>128.65497076023382</v>
      </c>
      <c r="O66" s="306">
        <f t="shared" si="4"/>
        <v>0</v>
      </c>
      <c r="P66" s="307">
        <f t="shared" si="5"/>
        <v>-4.6783625730995198</v>
      </c>
      <c r="Q66" s="445">
        <f t="shared" si="6"/>
        <v>0.96491228070175361</v>
      </c>
      <c r="R66" s="571"/>
      <c r="S66" s="308">
        <v>0.4499999999999999</v>
      </c>
      <c r="T66" s="308">
        <v>0.48958333333333326</v>
      </c>
      <c r="U66" s="442">
        <f t="shared" si="46"/>
        <v>5.9999999999999787</v>
      </c>
      <c r="V66" s="452">
        <f t="shared" si="45"/>
        <v>57.000000000000036</v>
      </c>
      <c r="W66" s="310">
        <f>T66</f>
        <v>0.48958333333333326</v>
      </c>
      <c r="X66" s="310">
        <f>S67</f>
        <v>0.52916666666666656</v>
      </c>
      <c r="Y66" s="566"/>
      <c r="Z66" s="567"/>
      <c r="AA66" s="306">
        <f t="shared" si="8"/>
        <v>-84.210526315790958</v>
      </c>
      <c r="AB66" s="445">
        <f t="shared" si="9"/>
        <v>0.96491228070175372</v>
      </c>
      <c r="AC66" s="571"/>
    </row>
    <row r="67" spans="1:29" ht="15.75" customHeight="1">
      <c r="A67" s="574" t="s">
        <v>33</v>
      </c>
      <c r="B67" s="453" t="s">
        <v>46</v>
      </c>
      <c r="C67" s="565" t="s">
        <v>85</v>
      </c>
      <c r="D67" s="565"/>
      <c r="E67" s="300">
        <v>19.02</v>
      </c>
      <c r="F67" s="453">
        <v>7096</v>
      </c>
      <c r="G67" s="442">
        <f t="shared" si="43"/>
        <v>134965.91999999998</v>
      </c>
      <c r="H67" s="455" t="s">
        <v>35</v>
      </c>
      <c r="I67" s="451">
        <v>15</v>
      </c>
      <c r="J67" s="303">
        <v>2400</v>
      </c>
      <c r="K67" s="304">
        <f t="shared" si="1"/>
        <v>160</v>
      </c>
      <c r="L67" s="451">
        <v>15</v>
      </c>
      <c r="M67" s="305">
        <f t="shared" si="44"/>
        <v>2289.0322580645166</v>
      </c>
      <c r="N67" s="304">
        <f t="shared" si="3"/>
        <v>152.60215053763443</v>
      </c>
      <c r="O67" s="306">
        <f t="shared" si="4"/>
        <v>0</v>
      </c>
      <c r="P67" s="307">
        <f t="shared" si="5"/>
        <v>-7.3978494623655706</v>
      </c>
      <c r="Q67" s="445">
        <f t="shared" si="6"/>
        <v>0.95376344086021514</v>
      </c>
      <c r="R67" s="571"/>
      <c r="S67" s="308">
        <v>0.52916666666666656</v>
      </c>
      <c r="T67" s="308">
        <v>0.65833333333333321</v>
      </c>
      <c r="U67" s="442">
        <f t="shared" si="46"/>
        <v>56.999999999999957</v>
      </c>
      <c r="V67" s="452">
        <f t="shared" si="45"/>
        <v>185.99999999999997</v>
      </c>
      <c r="W67" s="310"/>
      <c r="X67" s="310"/>
      <c r="Y67" s="566"/>
      <c r="Z67" s="567"/>
      <c r="AA67" s="306">
        <f t="shared" si="8"/>
        <v>-110.96774193548345</v>
      </c>
      <c r="AB67" s="445">
        <f t="shared" si="9"/>
        <v>0.95376344086021525</v>
      </c>
      <c r="AC67" s="571"/>
    </row>
    <row r="68" spans="1:29" ht="15.75" customHeight="1">
      <c r="A68" s="574" t="s">
        <v>33</v>
      </c>
      <c r="B68" s="453" t="s">
        <v>46</v>
      </c>
      <c r="C68" s="565" t="s">
        <v>66</v>
      </c>
      <c r="D68" s="565"/>
      <c r="E68" s="300">
        <v>24.25</v>
      </c>
      <c r="F68" s="453">
        <v>2193</v>
      </c>
      <c r="G68" s="442">
        <f t="shared" si="43"/>
        <v>53180.25</v>
      </c>
      <c r="H68" s="455" t="s">
        <v>35</v>
      </c>
      <c r="I68" s="451">
        <v>14</v>
      </c>
      <c r="J68" s="303">
        <v>2400</v>
      </c>
      <c r="K68" s="304">
        <f t="shared" si="1"/>
        <v>171.42857142857142</v>
      </c>
      <c r="L68" s="451">
        <v>14</v>
      </c>
      <c r="M68" s="305">
        <f t="shared" si="44"/>
        <v>2308.4210526315806</v>
      </c>
      <c r="N68" s="304">
        <f t="shared" si="3"/>
        <v>164.88721804511289</v>
      </c>
      <c r="O68" s="306">
        <f t="shared" si="4"/>
        <v>0</v>
      </c>
      <c r="P68" s="307">
        <f t="shared" si="5"/>
        <v>-6.541353383458528</v>
      </c>
      <c r="Q68" s="445">
        <f t="shared" si="6"/>
        <v>0.96184210526315861</v>
      </c>
      <c r="R68" s="571"/>
      <c r="S68" s="308">
        <v>0.66249999999999987</v>
      </c>
      <c r="T68" s="308">
        <v>0.70208333333333317</v>
      </c>
      <c r="U68" s="442">
        <f t="shared" si="46"/>
        <v>5.9999999999999787</v>
      </c>
      <c r="V68" s="452">
        <f t="shared" si="45"/>
        <v>56.999999999999957</v>
      </c>
      <c r="W68" s="310"/>
      <c r="X68" s="310"/>
      <c r="Y68" s="566"/>
      <c r="Z68" s="567"/>
      <c r="AA68" s="306">
        <f t="shared" si="8"/>
        <v>-91.578947368419449</v>
      </c>
      <c r="AB68" s="445">
        <f t="shared" si="9"/>
        <v>0.96184210526315861</v>
      </c>
      <c r="AC68" s="571"/>
    </row>
    <row r="69" spans="1:29" ht="15.75" customHeight="1">
      <c r="A69" s="574" t="s">
        <v>33</v>
      </c>
      <c r="B69" s="453" t="s">
        <v>46</v>
      </c>
      <c r="C69" s="565" t="s">
        <v>57</v>
      </c>
      <c r="D69" s="565"/>
      <c r="E69" s="300">
        <v>20.52</v>
      </c>
      <c r="F69" s="453">
        <v>1648</v>
      </c>
      <c r="G69" s="442">
        <f t="shared" si="43"/>
        <v>33816.959999999999</v>
      </c>
      <c r="H69" s="455" t="s">
        <v>35</v>
      </c>
      <c r="I69" s="451">
        <v>18</v>
      </c>
      <c r="J69" s="303">
        <v>2400</v>
      </c>
      <c r="K69" s="304">
        <f t="shared" ref="K69:K70" si="47">J69/I69</f>
        <v>133.33333333333334</v>
      </c>
      <c r="L69" s="451">
        <v>18</v>
      </c>
      <c r="M69" s="305">
        <f t="shared" si="44"/>
        <v>2299.5348837209299</v>
      </c>
      <c r="N69" s="304">
        <f t="shared" ref="N69:N70" si="48">M69/L69</f>
        <v>127.75193798449611</v>
      </c>
      <c r="O69" s="306">
        <f t="shared" ref="O69:O70" si="49">L69-I69</f>
        <v>0</v>
      </c>
      <c r="P69" s="307">
        <f t="shared" ref="P69:P70" si="50">N69-K69</f>
        <v>-5.5813953488372334</v>
      </c>
      <c r="Q69" s="445">
        <f t="shared" ref="Q69:Q70" si="51">N69/K69</f>
        <v>0.95813953488372072</v>
      </c>
      <c r="R69" s="571"/>
      <c r="S69" s="308">
        <v>0.70555555555555538</v>
      </c>
      <c r="T69" s="308">
        <v>0.7354166666666665</v>
      </c>
      <c r="U69" s="442">
        <f t="shared" si="46"/>
        <v>4.9999999999999822</v>
      </c>
      <c r="V69" s="452">
        <f t="shared" si="45"/>
        <v>43.000000000000007</v>
      </c>
      <c r="W69" s="310"/>
      <c r="X69" s="310"/>
      <c r="Y69" s="566"/>
      <c r="Z69" s="567"/>
      <c r="AA69" s="306">
        <f t="shared" ref="AA69:AA70" si="52">M69-J69</f>
        <v>-100.46511627907012</v>
      </c>
      <c r="AB69" s="445">
        <f t="shared" ref="AB69:AB70" si="53">M69/J69</f>
        <v>0.95813953488372083</v>
      </c>
      <c r="AC69" s="571"/>
    </row>
    <row r="70" spans="1:29" ht="16.5" customHeight="1">
      <c r="A70" s="575" t="s">
        <v>33</v>
      </c>
      <c r="B70" s="300" t="s">
        <v>25</v>
      </c>
      <c r="C70" s="568"/>
      <c r="D70" s="569"/>
      <c r="E70" s="446"/>
      <c r="F70" s="313"/>
      <c r="G70" s="304"/>
      <c r="H70" s="453"/>
      <c r="I70" s="314">
        <v>16.7</v>
      </c>
      <c r="J70" s="303">
        <v>2400</v>
      </c>
      <c r="K70" s="304">
        <f t="shared" si="47"/>
        <v>143.7125748502994</v>
      </c>
      <c r="L70" s="314">
        <v>16.7</v>
      </c>
      <c r="M70" s="305">
        <f>AVERAGE(M60:M69)</f>
        <v>2301.563809228348</v>
      </c>
      <c r="N70" s="304">
        <f t="shared" si="48"/>
        <v>137.81819216936216</v>
      </c>
      <c r="O70" s="306">
        <f t="shared" si="49"/>
        <v>0</v>
      </c>
      <c r="P70" s="307">
        <f t="shared" si="50"/>
        <v>-5.894382680937241</v>
      </c>
      <c r="Q70" s="445">
        <f t="shared" si="51"/>
        <v>0.95898492051181172</v>
      </c>
      <c r="R70" s="571"/>
      <c r="S70" s="308"/>
      <c r="T70" s="308"/>
      <c r="U70" s="304"/>
      <c r="V70" s="452"/>
      <c r="W70" s="304"/>
      <c r="X70" s="304"/>
      <c r="Y70" s="570"/>
      <c r="Z70" s="570"/>
      <c r="AA70" s="306">
        <f t="shared" si="52"/>
        <v>-98.436190771652036</v>
      </c>
      <c r="AB70" s="445">
        <f t="shared" si="53"/>
        <v>0.95898492051181161</v>
      </c>
      <c r="AC70" s="571"/>
    </row>
    <row r="71" spans="1:29">
      <c r="D71" s="323"/>
      <c r="E71" s="323"/>
    </row>
  </sheetData>
  <mergeCells count="186">
    <mergeCell ref="S1:X2"/>
    <mergeCell ref="Y1:Z2"/>
    <mergeCell ref="AA1:AC2"/>
    <mergeCell ref="A3:A4"/>
    <mergeCell ref="B3:B4"/>
    <mergeCell ref="C3:D4"/>
    <mergeCell ref="E3:E4"/>
    <mergeCell ref="F3:F4"/>
    <mergeCell ref="G3:G4"/>
    <mergeCell ref="I1:K2"/>
    <mergeCell ref="L1:N2"/>
    <mergeCell ref="O1:R2"/>
    <mergeCell ref="N3:N4"/>
    <mergeCell ref="O3:O4"/>
    <mergeCell ref="P3:P4"/>
    <mergeCell ref="Q3:Q4"/>
    <mergeCell ref="R3:R4"/>
    <mergeCell ref="S3:T3"/>
    <mergeCell ref="H3:H4"/>
    <mergeCell ref="I3:I4"/>
    <mergeCell ref="J3:J4"/>
    <mergeCell ref="K3:K4"/>
    <mergeCell ref="L3:L4"/>
    <mergeCell ref="M3:M4"/>
    <mergeCell ref="C8:D8"/>
    <mergeCell ref="Y8:Z8"/>
    <mergeCell ref="C9:D9"/>
    <mergeCell ref="Y9:Z9"/>
    <mergeCell ref="A10:A12"/>
    <mergeCell ref="C10:D10"/>
    <mergeCell ref="R10:R12"/>
    <mergeCell ref="Y10:Z10"/>
    <mergeCell ref="AC3:AC4"/>
    <mergeCell ref="A5:A9"/>
    <mergeCell ref="C5:D5"/>
    <mergeCell ref="R5:R9"/>
    <mergeCell ref="Y5:Z5"/>
    <mergeCell ref="AC5:AC9"/>
    <mergeCell ref="C6:D6"/>
    <mergeCell ref="Y6:Z6"/>
    <mergeCell ref="C7:D7"/>
    <mergeCell ref="Y7:Z7"/>
    <mergeCell ref="U3:U4"/>
    <mergeCell ref="V3:V4"/>
    <mergeCell ref="W3:X3"/>
    <mergeCell ref="Y3:Z4"/>
    <mergeCell ref="AA3:AA4"/>
    <mergeCell ref="AB3:AB4"/>
    <mergeCell ref="AC10:AC12"/>
    <mergeCell ref="C11:D11"/>
    <mergeCell ref="Y11:Z11"/>
    <mergeCell ref="C12:D12"/>
    <mergeCell ref="Y12:Z12"/>
    <mergeCell ref="C13:D13"/>
    <mergeCell ref="R13:R21"/>
    <mergeCell ref="Y13:Z13"/>
    <mergeCell ref="AC13:AC21"/>
    <mergeCell ref="C21:D21"/>
    <mergeCell ref="Y21:Z21"/>
    <mergeCell ref="A22:A26"/>
    <mergeCell ref="C22:D22"/>
    <mergeCell ref="R22:R26"/>
    <mergeCell ref="Y22:Z22"/>
    <mergeCell ref="C17:D17"/>
    <mergeCell ref="Y17:Z17"/>
    <mergeCell ref="C18:D18"/>
    <mergeCell ref="Y18:Z18"/>
    <mergeCell ref="Y19:Z19"/>
    <mergeCell ref="Y20:Z20"/>
    <mergeCell ref="A13:A21"/>
    <mergeCell ref="C14:D14"/>
    <mergeCell ref="Y14:Z14"/>
    <mergeCell ref="C15:D15"/>
    <mergeCell ref="Y15:Z15"/>
    <mergeCell ref="C16:D16"/>
    <mergeCell ref="Y16:Z16"/>
    <mergeCell ref="AC22:AC26"/>
    <mergeCell ref="C23:D23"/>
    <mergeCell ref="Y23:Z23"/>
    <mergeCell ref="C24:D24"/>
    <mergeCell ref="Y24:Z24"/>
    <mergeCell ref="C25:D25"/>
    <mergeCell ref="Y25:Z25"/>
    <mergeCell ref="C26:D26"/>
    <mergeCell ref="Y26:Z26"/>
    <mergeCell ref="A27:A33"/>
    <mergeCell ref="C27:D27"/>
    <mergeCell ref="R27:R33"/>
    <mergeCell ref="Y27:Z27"/>
    <mergeCell ref="AC27:AC33"/>
    <mergeCell ref="C28:D28"/>
    <mergeCell ref="Y28:Z28"/>
    <mergeCell ref="C29:D29"/>
    <mergeCell ref="Y29:Z29"/>
    <mergeCell ref="C30:D30"/>
    <mergeCell ref="AC34:AC41"/>
    <mergeCell ref="C35:D35"/>
    <mergeCell ref="Y35:Z35"/>
    <mergeCell ref="C36:D36"/>
    <mergeCell ref="Y36:Z36"/>
    <mergeCell ref="C37:D37"/>
    <mergeCell ref="Y30:Z30"/>
    <mergeCell ref="C31:D31"/>
    <mergeCell ref="Y31:Z31"/>
    <mergeCell ref="C32:D32"/>
    <mergeCell ref="Y32:Z32"/>
    <mergeCell ref="C33:D33"/>
    <mergeCell ref="Y33:Z33"/>
    <mergeCell ref="Y37:Z37"/>
    <mergeCell ref="C38:D38"/>
    <mergeCell ref="Y38:Z38"/>
    <mergeCell ref="C39:D39"/>
    <mergeCell ref="Y39:Z39"/>
    <mergeCell ref="C40:D40"/>
    <mergeCell ref="Y40:Z40"/>
    <mergeCell ref="A34:A41"/>
    <mergeCell ref="C34:D34"/>
    <mergeCell ref="R34:R41"/>
    <mergeCell ref="Y34:Z34"/>
    <mergeCell ref="C41:D41"/>
    <mergeCell ref="Y41:Z41"/>
    <mergeCell ref="A42:A48"/>
    <mergeCell ref="C42:D42"/>
    <mergeCell ref="R42:R48"/>
    <mergeCell ref="Y42:Z42"/>
    <mergeCell ref="Y47:Z47"/>
    <mergeCell ref="C48:D48"/>
    <mergeCell ref="Y48:Z48"/>
    <mergeCell ref="AC42:AC48"/>
    <mergeCell ref="C43:D43"/>
    <mergeCell ref="Y43:Z43"/>
    <mergeCell ref="C44:D44"/>
    <mergeCell ref="Y44:Z44"/>
    <mergeCell ref="C45:D45"/>
    <mergeCell ref="Y45:Z45"/>
    <mergeCell ref="C46:D46"/>
    <mergeCell ref="Y46:Z46"/>
    <mergeCell ref="C47:D47"/>
    <mergeCell ref="AC55:AC59"/>
    <mergeCell ref="C56:D56"/>
    <mergeCell ref="Y56:Z56"/>
    <mergeCell ref="C57:D57"/>
    <mergeCell ref="Y57:Z57"/>
    <mergeCell ref="C58:D58"/>
    <mergeCell ref="A49:A54"/>
    <mergeCell ref="C49:D49"/>
    <mergeCell ref="R49:R54"/>
    <mergeCell ref="Y49:Z49"/>
    <mergeCell ref="AC49:AC54"/>
    <mergeCell ref="C50:D50"/>
    <mergeCell ref="Y50:Z50"/>
    <mergeCell ref="C51:D51"/>
    <mergeCell ref="C54:D54"/>
    <mergeCell ref="Y54:Z54"/>
    <mergeCell ref="Y58:Z58"/>
    <mergeCell ref="C59:D59"/>
    <mergeCell ref="Y59:Z59"/>
    <mergeCell ref="A60:A70"/>
    <mergeCell ref="C60:D60"/>
    <mergeCell ref="R60:R70"/>
    <mergeCell ref="Y60:Z60"/>
    <mergeCell ref="Y65:Z65"/>
    <mergeCell ref="C66:D66"/>
    <mergeCell ref="Y66:Z66"/>
    <mergeCell ref="A55:A59"/>
    <mergeCell ref="C55:D55"/>
    <mergeCell ref="R55:R59"/>
    <mergeCell ref="Y55:Z55"/>
    <mergeCell ref="C70:D70"/>
    <mergeCell ref="Y70:Z70"/>
    <mergeCell ref="C67:D67"/>
    <mergeCell ref="Y67:Z67"/>
    <mergeCell ref="C68:D68"/>
    <mergeCell ref="Y68:Z68"/>
    <mergeCell ref="C69:D69"/>
    <mergeCell ref="Y69:Z69"/>
    <mergeCell ref="AC60:AC70"/>
    <mergeCell ref="C61:D61"/>
    <mergeCell ref="Y61:Z61"/>
    <mergeCell ref="C62:D62"/>
    <mergeCell ref="Y62:Z62"/>
    <mergeCell ref="C63:D63"/>
    <mergeCell ref="Y63:Z63"/>
    <mergeCell ref="C64:D64"/>
    <mergeCell ref="Y64:Z64"/>
    <mergeCell ref="C65:D65"/>
  </mergeCells>
  <phoneticPr fontId="3" type="noConversion"/>
  <conditionalFormatting sqref="O58:O65 O70 O5:O10 O12:O14 O21:O55">
    <cfRule type="cellIs" dxfId="1682" priority="66" operator="greaterThan">
      <formula>0</formula>
    </cfRule>
  </conditionalFormatting>
  <conditionalFormatting sqref="P5:P8 P58 AA58 P60:P65 P27:P32 P55 P10 P12:P14 P22:P25 P49:P53 P34:P47 AA5:AA55 AA60:AA70">
    <cfRule type="cellIs" dxfId="1681" priority="70" operator="lessThan">
      <formula>0</formula>
    </cfRule>
  </conditionalFormatting>
  <conditionalFormatting sqref="AB58 Q58:Q65 Q70 Q5:Q10 Q12:Q14 Q21:Q55 AB5:AB55 AB60:AB70">
    <cfRule type="cellIs" dxfId="1680" priority="67" operator="greaterThan">
      <formula>1</formula>
    </cfRule>
    <cfRule type="cellIs" dxfId="1679" priority="68" operator="lessThan">
      <formula>0.8</formula>
    </cfRule>
  </conditionalFormatting>
  <conditionalFormatting sqref="AC13:AC14 R13:R14 AC58 R58:R65 R70 AC5:AC10 R5:R10 AC21:AC55 R21:R55">
    <cfRule type="cellIs" dxfId="1678" priority="72" operator="lessThan">
      <formula>0.8</formula>
    </cfRule>
  </conditionalFormatting>
  <conditionalFormatting sqref="AC42">
    <cfRule type="cellIs" dxfId="1677" priority="74" operator="lessThan">
      <formula>0.8</formula>
    </cfRule>
  </conditionalFormatting>
  <conditionalFormatting sqref="AC22:AC25">
    <cfRule type="cellIs" dxfId="1676" priority="71" operator="lessThan">
      <formula>0.8</formula>
    </cfRule>
  </conditionalFormatting>
  <conditionalFormatting sqref="AC27">
    <cfRule type="cellIs" dxfId="1675" priority="73" operator="lessThan">
      <formula>0.8</formula>
    </cfRule>
  </conditionalFormatting>
  <conditionalFormatting sqref="AC34:AC40">
    <cfRule type="cellIs" dxfId="1674" priority="69" operator="lessThan">
      <formula>0.8</formula>
    </cfRule>
  </conditionalFormatting>
  <conditionalFormatting sqref="AA59">
    <cfRule type="cellIs" dxfId="1673" priority="65" operator="lessThan">
      <formula>0</formula>
    </cfRule>
  </conditionalFormatting>
  <conditionalFormatting sqref="AB59">
    <cfRule type="cellIs" dxfId="1672" priority="63" operator="greaterThan">
      <formula>1</formula>
    </cfRule>
    <cfRule type="cellIs" dxfId="1671" priority="64" operator="lessThan">
      <formula>0.8</formula>
    </cfRule>
  </conditionalFormatting>
  <conditionalFormatting sqref="O15:O16">
    <cfRule type="cellIs" dxfId="1670" priority="58" operator="greaterThan">
      <formula>0</formula>
    </cfRule>
  </conditionalFormatting>
  <conditionalFormatting sqref="P15:P16">
    <cfRule type="cellIs" dxfId="1669" priority="61" operator="lessThan">
      <formula>0</formula>
    </cfRule>
  </conditionalFormatting>
  <conditionalFormatting sqref="Q15:Q16">
    <cfRule type="cellIs" dxfId="1668" priority="59" operator="greaterThan">
      <formula>1</formula>
    </cfRule>
    <cfRule type="cellIs" dxfId="1667" priority="60" operator="lessThan">
      <formula>0.8</formula>
    </cfRule>
  </conditionalFormatting>
  <conditionalFormatting sqref="R15:R16 AC15:AC16">
    <cfRule type="cellIs" dxfId="1666" priority="62" operator="lessThan">
      <formula>0.8</formula>
    </cfRule>
  </conditionalFormatting>
  <conditionalFormatting sqref="O11">
    <cfRule type="cellIs" dxfId="1665" priority="54" operator="greaterThan">
      <formula>0</formula>
    </cfRule>
  </conditionalFormatting>
  <conditionalFormatting sqref="P11">
    <cfRule type="cellIs" dxfId="1664" priority="57" operator="lessThan">
      <formula>0</formula>
    </cfRule>
  </conditionalFormatting>
  <conditionalFormatting sqref="Q11">
    <cfRule type="cellIs" dxfId="1663" priority="55" operator="greaterThan">
      <formula>1</formula>
    </cfRule>
    <cfRule type="cellIs" dxfId="1662" priority="56" operator="lessThan">
      <formula>0.8</formula>
    </cfRule>
  </conditionalFormatting>
  <conditionalFormatting sqref="O57">
    <cfRule type="cellIs" dxfId="1661" priority="49" operator="greaterThan">
      <formula>0</formula>
    </cfRule>
  </conditionalFormatting>
  <conditionalFormatting sqref="P57 AA57">
    <cfRule type="cellIs" dxfId="1660" priority="52" operator="lessThan">
      <formula>0</formula>
    </cfRule>
  </conditionalFormatting>
  <conditionalFormatting sqref="Q57 AB57">
    <cfRule type="cellIs" dxfId="1659" priority="50" operator="greaterThan">
      <formula>1</formula>
    </cfRule>
    <cfRule type="cellIs" dxfId="1658" priority="51" operator="lessThan">
      <formula>0.8</formula>
    </cfRule>
  </conditionalFormatting>
  <conditionalFormatting sqref="R57 AC57">
    <cfRule type="cellIs" dxfId="1657" priority="53" operator="lessThan">
      <formula>0.8</formula>
    </cfRule>
  </conditionalFormatting>
  <conditionalFormatting sqref="O66">
    <cfRule type="cellIs" dxfId="1656" priority="44" operator="greaterThan">
      <formula>0</formula>
    </cfRule>
  </conditionalFormatting>
  <conditionalFormatting sqref="P66">
    <cfRule type="cellIs" dxfId="1655" priority="47" operator="lessThan">
      <formula>0</formula>
    </cfRule>
  </conditionalFormatting>
  <conditionalFormatting sqref="Q66">
    <cfRule type="cellIs" dxfId="1654" priority="45" operator="greaterThan">
      <formula>1</formula>
    </cfRule>
    <cfRule type="cellIs" dxfId="1653" priority="46" operator="lessThan">
      <formula>0.8</formula>
    </cfRule>
  </conditionalFormatting>
  <conditionalFormatting sqref="R66">
    <cfRule type="cellIs" dxfId="1652" priority="48" operator="lessThan">
      <formula>0.8</formula>
    </cfRule>
  </conditionalFormatting>
  <conditionalFormatting sqref="O17:O18">
    <cfRule type="cellIs" dxfId="1651" priority="39" operator="greaterThan">
      <formula>0</formula>
    </cfRule>
  </conditionalFormatting>
  <conditionalFormatting sqref="P17:P18">
    <cfRule type="cellIs" dxfId="1650" priority="42" operator="lessThan">
      <formula>0</formula>
    </cfRule>
  </conditionalFormatting>
  <conditionalFormatting sqref="Q17:Q18">
    <cfRule type="cellIs" dxfId="1649" priority="40" operator="greaterThan">
      <formula>1</formula>
    </cfRule>
    <cfRule type="cellIs" dxfId="1648" priority="41" operator="lessThan">
      <formula>0.8</formula>
    </cfRule>
  </conditionalFormatting>
  <conditionalFormatting sqref="R17:R18 AC17:AC18">
    <cfRule type="cellIs" dxfId="1647" priority="43" operator="lessThan">
      <formula>0.8</formula>
    </cfRule>
  </conditionalFormatting>
  <conditionalFormatting sqref="O56">
    <cfRule type="cellIs" dxfId="1646" priority="34" operator="greaterThan">
      <formula>0</formula>
    </cfRule>
  </conditionalFormatting>
  <conditionalFormatting sqref="P56 AA56">
    <cfRule type="cellIs" dxfId="1645" priority="37" operator="lessThan">
      <formula>0</formula>
    </cfRule>
  </conditionalFormatting>
  <conditionalFormatting sqref="Q56 AB56">
    <cfRule type="cellIs" dxfId="1644" priority="35" operator="greaterThan">
      <formula>1</formula>
    </cfRule>
    <cfRule type="cellIs" dxfId="1643" priority="36" operator="lessThan">
      <formula>0.8</formula>
    </cfRule>
  </conditionalFormatting>
  <conditionalFormatting sqref="R56 AC56">
    <cfRule type="cellIs" dxfId="1642" priority="38" operator="lessThan">
      <formula>0.8</formula>
    </cfRule>
  </conditionalFormatting>
  <conditionalFormatting sqref="O19">
    <cfRule type="cellIs" dxfId="1641" priority="29" operator="greaterThan">
      <formula>0</formula>
    </cfRule>
  </conditionalFormatting>
  <conditionalFormatting sqref="P19">
    <cfRule type="cellIs" dxfId="1640" priority="32" operator="lessThan">
      <formula>0</formula>
    </cfRule>
  </conditionalFormatting>
  <conditionalFormatting sqref="Q19">
    <cfRule type="cellIs" dxfId="1639" priority="30" operator="greaterThan">
      <formula>1</formula>
    </cfRule>
    <cfRule type="cellIs" dxfId="1638" priority="31" operator="lessThan">
      <formula>0.8</formula>
    </cfRule>
  </conditionalFormatting>
  <conditionalFormatting sqref="AC19 R19">
    <cfRule type="cellIs" dxfId="1637" priority="33" operator="lessThan">
      <formula>0.8</formula>
    </cfRule>
  </conditionalFormatting>
  <conditionalFormatting sqref="O20">
    <cfRule type="cellIs" dxfId="1636" priority="24" operator="greaterThan">
      <formula>0</formula>
    </cfRule>
  </conditionalFormatting>
  <conditionalFormatting sqref="P20">
    <cfRule type="cellIs" dxfId="1635" priority="27" operator="lessThan">
      <formula>0</formula>
    </cfRule>
  </conditionalFormatting>
  <conditionalFormatting sqref="Q20">
    <cfRule type="cellIs" dxfId="1634" priority="25" operator="greaterThan">
      <formula>1</formula>
    </cfRule>
    <cfRule type="cellIs" dxfId="1633" priority="26" operator="lessThan">
      <formula>0.8</formula>
    </cfRule>
  </conditionalFormatting>
  <conditionalFormatting sqref="AC20 R20">
    <cfRule type="cellIs" dxfId="1632" priority="28" operator="lessThan">
      <formula>0.8</formula>
    </cfRule>
  </conditionalFormatting>
  <conditionalFormatting sqref="P9">
    <cfRule type="cellIs" dxfId="1631" priority="23" operator="lessThan">
      <formula>0</formula>
    </cfRule>
  </conditionalFormatting>
  <conditionalFormatting sqref="P21">
    <cfRule type="cellIs" dxfId="1630" priority="22" operator="lessThan">
      <formula>0</formula>
    </cfRule>
  </conditionalFormatting>
  <conditionalFormatting sqref="P26">
    <cfRule type="cellIs" dxfId="1629" priority="21" operator="lessThan">
      <formula>0</formula>
    </cfRule>
  </conditionalFormatting>
  <conditionalFormatting sqref="P33">
    <cfRule type="cellIs" dxfId="1628" priority="20" operator="lessThan">
      <formula>0</formula>
    </cfRule>
  </conditionalFormatting>
  <conditionalFormatting sqref="P48">
    <cfRule type="cellIs" dxfId="1627" priority="19" operator="lessThan">
      <formula>0</formula>
    </cfRule>
  </conditionalFormatting>
  <conditionalFormatting sqref="P54">
    <cfRule type="cellIs" dxfId="1626" priority="18" operator="lessThan">
      <formula>0</formula>
    </cfRule>
  </conditionalFormatting>
  <conditionalFormatting sqref="P59">
    <cfRule type="cellIs" dxfId="1625" priority="17" operator="lessThan">
      <formula>0</formula>
    </cfRule>
  </conditionalFormatting>
  <conditionalFormatting sqref="P70">
    <cfRule type="cellIs" dxfId="1624" priority="16" operator="lessThan">
      <formula>0</formula>
    </cfRule>
  </conditionalFormatting>
  <conditionalFormatting sqref="O67">
    <cfRule type="cellIs" dxfId="1623" priority="11" operator="greaterThan">
      <formula>0</formula>
    </cfRule>
  </conditionalFormatting>
  <conditionalFormatting sqref="P67">
    <cfRule type="cellIs" dxfId="1622" priority="14" operator="lessThan">
      <formula>0</formula>
    </cfRule>
  </conditionalFormatting>
  <conditionalFormatting sqref="Q67">
    <cfRule type="cellIs" dxfId="1621" priority="12" operator="greaterThan">
      <formula>1</formula>
    </cfRule>
    <cfRule type="cellIs" dxfId="1620" priority="13" operator="lessThan">
      <formula>0.8</formula>
    </cfRule>
  </conditionalFormatting>
  <conditionalFormatting sqref="R67">
    <cfRule type="cellIs" dxfId="1619" priority="15" operator="lessThan">
      <formula>0.8</formula>
    </cfRule>
  </conditionalFormatting>
  <conditionalFormatting sqref="O68">
    <cfRule type="cellIs" dxfId="1618" priority="6" operator="greaterThan">
      <formula>0</formula>
    </cfRule>
  </conditionalFormatting>
  <conditionalFormatting sqref="P68">
    <cfRule type="cellIs" dxfId="1617" priority="9" operator="lessThan">
      <formula>0</formula>
    </cfRule>
  </conditionalFormatting>
  <conditionalFormatting sqref="Q68">
    <cfRule type="cellIs" dxfId="1616" priority="7" operator="greaterThan">
      <formula>1</formula>
    </cfRule>
    <cfRule type="cellIs" dxfId="1615" priority="8" operator="lessThan">
      <formula>0.8</formula>
    </cfRule>
  </conditionalFormatting>
  <conditionalFormatting sqref="R68">
    <cfRule type="cellIs" dxfId="1614" priority="10" operator="lessThan">
      <formula>0.8</formula>
    </cfRule>
  </conditionalFormatting>
  <conditionalFormatting sqref="O69">
    <cfRule type="cellIs" dxfId="1613" priority="1" operator="greaterThan">
      <formula>0</formula>
    </cfRule>
  </conditionalFormatting>
  <conditionalFormatting sqref="P69">
    <cfRule type="cellIs" dxfId="1612" priority="4" operator="lessThan">
      <formula>0</formula>
    </cfRule>
  </conditionalFormatting>
  <conditionalFormatting sqref="Q69">
    <cfRule type="cellIs" dxfId="1611" priority="2" operator="greaterThan">
      <formula>1</formula>
    </cfRule>
    <cfRule type="cellIs" dxfId="1610" priority="3" operator="lessThan">
      <formula>0.8</formula>
    </cfRule>
  </conditionalFormatting>
  <conditionalFormatting sqref="R69">
    <cfRule type="cellIs" dxfId="1609" priority="5" operator="lessThan">
      <formula>0.8</formula>
    </cfRule>
  </conditionalFormatting>
  <dataValidations count="1">
    <dataValidation type="list" allowBlank="1" showInputMessage="1" showErrorMessage="1" sqref="Z9 Y5:Z8 Y9:Y58 Z11:Z55 Y59:Z70">
      <formula1>#REF!</formula1>
    </dataValidation>
  </dataValidations>
  <pageMargins left="0" right="0" top="0" bottom="0" header="0" footer="0"/>
  <pageSetup paperSize="9" scale="11" orientation="landscape" horizontalDpi="300" verticalDpi="300" r:id="rId1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工作表9"/>
  <dimension ref="B1:Q28"/>
  <sheetViews>
    <sheetView zoomScale="85" zoomScaleNormal="85" workbookViewId="0">
      <selection activeCell="C5" sqref="C5:D5"/>
    </sheetView>
  </sheetViews>
  <sheetFormatPr defaultColWidth="8.75" defaultRowHeight="15.75"/>
  <cols>
    <col min="1" max="1" width="8.75" style="30"/>
    <col min="2" max="2" width="17.875" style="30" customWidth="1"/>
    <col min="3" max="3" width="9.25" style="37" customWidth="1"/>
    <col min="4" max="13" width="12.625" style="30" customWidth="1"/>
    <col min="14" max="14" width="11" style="30" bestFit="1" customWidth="1"/>
    <col min="15" max="15" width="17.75" style="30" bestFit="1" customWidth="1"/>
    <col min="16" max="16" width="12.25" style="30" bestFit="1" customWidth="1"/>
    <col min="17" max="22" width="9.25" style="30" customWidth="1"/>
    <col min="23" max="23" width="10.75" style="30" customWidth="1"/>
    <col min="24" max="24" width="11" style="30" customWidth="1"/>
    <col min="25" max="16384" width="8.75" style="30"/>
  </cols>
  <sheetData>
    <row r="1" spans="2:17" ht="27.75" customHeight="1">
      <c r="B1" s="552" t="s">
        <v>1938</v>
      </c>
      <c r="C1" s="552"/>
      <c r="D1" s="552"/>
      <c r="E1" s="552"/>
      <c r="F1" s="552"/>
      <c r="G1" s="552"/>
      <c r="H1" s="552"/>
      <c r="I1" s="552"/>
      <c r="J1" s="552"/>
      <c r="K1" s="29"/>
      <c r="L1" s="29"/>
      <c r="M1" s="29"/>
      <c r="N1" s="29"/>
      <c r="O1" s="29"/>
      <c r="P1" s="29"/>
    </row>
    <row r="2" spans="2:17" ht="27.75" customHeight="1">
      <c r="B2" s="553"/>
      <c r="C2" s="553"/>
      <c r="D2" s="553"/>
      <c r="E2" s="553"/>
      <c r="F2" s="553"/>
      <c r="G2" s="553"/>
      <c r="H2" s="553"/>
      <c r="I2" s="553"/>
      <c r="J2" s="553"/>
      <c r="K2" s="31"/>
      <c r="L2" s="31"/>
      <c r="M2" s="31"/>
      <c r="N2" s="29"/>
      <c r="O2" s="29"/>
      <c r="P2" s="29"/>
    </row>
    <row r="3" spans="2:17" ht="46.5" customHeight="1">
      <c r="B3" s="32" t="s">
        <v>1939</v>
      </c>
      <c r="C3" s="554" t="str">
        <f>TEXT('1026 4度C'!A2,"yyyy.mm.ddaaaa")</f>
        <v>2025.10.26星期日</v>
      </c>
      <c r="D3" s="555"/>
      <c r="E3" s="32" t="s">
        <v>1940</v>
      </c>
      <c r="F3" s="556">
        <f>'1026 4度C'!D1</f>
        <v>192313</v>
      </c>
      <c r="G3" s="557"/>
      <c r="H3" s="32" t="s">
        <v>90</v>
      </c>
      <c r="I3" s="558">
        <f>'1026 4度C'!F1</f>
        <v>6278768.5399999982</v>
      </c>
      <c r="J3" s="559"/>
      <c r="K3" s="33"/>
      <c r="L3" s="34"/>
      <c r="M3" s="35"/>
      <c r="N3" s="35"/>
    </row>
    <row r="4" spans="2:17" ht="28.5" customHeight="1">
      <c r="B4" s="560" t="s">
        <v>1941</v>
      </c>
      <c r="C4" s="542" t="s">
        <v>1942</v>
      </c>
      <c r="D4" s="543"/>
      <c r="E4" s="563" t="s">
        <v>116</v>
      </c>
      <c r="F4" s="564"/>
      <c r="G4" s="563" t="s">
        <v>117</v>
      </c>
      <c r="H4" s="564"/>
      <c r="I4" s="563" t="s">
        <v>1943</v>
      </c>
      <c r="J4" s="564"/>
      <c r="L4" s="35"/>
      <c r="M4" s="35"/>
      <c r="N4" s="35"/>
    </row>
    <row r="5" spans="2:17" ht="28.5" customHeight="1">
      <c r="B5" s="561"/>
      <c r="C5" s="542" t="s">
        <v>1944</v>
      </c>
      <c r="D5" s="543"/>
      <c r="E5" s="542" t="s">
        <v>1945</v>
      </c>
      <c r="F5" s="543"/>
      <c r="G5" s="544" t="s">
        <v>1946</v>
      </c>
      <c r="H5" s="545"/>
      <c r="I5" s="546" t="s">
        <v>1947</v>
      </c>
      <c r="J5" s="547"/>
      <c r="K5" s="35"/>
      <c r="L5" s="35"/>
      <c r="M5" s="35"/>
      <c r="N5" s="35"/>
    </row>
    <row r="6" spans="2:17" ht="28.5" customHeight="1">
      <c r="B6" s="561"/>
      <c r="C6" s="542" t="s">
        <v>92</v>
      </c>
      <c r="D6" s="543"/>
      <c r="E6" s="548">
        <f>AVERAGE(D13:M13)</f>
        <v>153.5964887647059</v>
      </c>
      <c r="F6" s="549">
        <f>AVERAGE(D27:O27,D13:J13)</f>
        <v>160.45651269531868</v>
      </c>
      <c r="G6" s="550">
        <f>AVERAGE(D13:J13)</f>
        <v>160.45651269531868</v>
      </c>
      <c r="H6" s="551"/>
      <c r="I6" s="550">
        <f>AVERAGE(K13:M13)</f>
        <v>137.58976625994268</v>
      </c>
      <c r="J6" s="551"/>
      <c r="K6" s="35"/>
      <c r="L6" s="35"/>
      <c r="M6" s="35"/>
      <c r="N6" s="35"/>
    </row>
    <row r="7" spans="2:17" ht="28.5" customHeight="1">
      <c r="B7" s="561"/>
      <c r="C7" s="532" t="s">
        <v>93</v>
      </c>
      <c r="D7" s="533"/>
      <c r="E7" s="534">
        <f>AVERAGE(D14:M14)</f>
        <v>147.26743619274922</v>
      </c>
      <c r="F7" s="535">
        <f>AVERAGE(D28:O28,D14:J14)</f>
        <v>153.86636289707954</v>
      </c>
      <c r="G7" s="536">
        <f>AVERAGE(D14:J14)</f>
        <v>153.86636289707954</v>
      </c>
      <c r="H7" s="537"/>
      <c r="I7" s="536">
        <f>AVERAGE(K14:M14)</f>
        <v>131.86994054931174</v>
      </c>
      <c r="J7" s="537"/>
      <c r="K7" s="35"/>
      <c r="L7" s="35"/>
      <c r="M7" s="35"/>
      <c r="N7" s="35"/>
    </row>
    <row r="8" spans="2:17" ht="28.5" customHeight="1">
      <c r="B8" s="562"/>
      <c r="C8" s="532" t="s">
        <v>94</v>
      </c>
      <c r="D8" s="533"/>
      <c r="E8" s="538">
        <f>AVERAGE(D15:M15)</f>
        <v>0.95796356428448737</v>
      </c>
      <c r="F8" s="539">
        <f>AVERAGE(D15:J15,D29:O29)</f>
        <v>0.95775480694808368</v>
      </c>
      <c r="G8" s="540">
        <f>AVERAGE(D15:J15)</f>
        <v>0.95775480694808368</v>
      </c>
      <c r="H8" s="541"/>
      <c r="I8" s="540">
        <f>AVERAGE(K15:M15)</f>
        <v>0.95845066473609608</v>
      </c>
      <c r="J8" s="541"/>
      <c r="K8" s="36" t="s">
        <v>1948</v>
      </c>
      <c r="L8" s="35"/>
      <c r="M8" s="35"/>
      <c r="N8" s="35"/>
    </row>
    <row r="9" spans="2:17" ht="28.5" customHeight="1" thickBot="1">
      <c r="H9" s="38"/>
      <c r="N9" s="35"/>
      <c r="O9" s="35"/>
      <c r="P9" s="35"/>
      <c r="Q9" s="35"/>
    </row>
    <row r="10" spans="2:17" ht="30" customHeight="1">
      <c r="B10" s="515" t="s">
        <v>123</v>
      </c>
      <c r="C10" s="516"/>
      <c r="D10" s="517" t="s">
        <v>1949</v>
      </c>
      <c r="E10" s="518"/>
      <c r="F10" s="518"/>
      <c r="G10" s="518"/>
      <c r="H10" s="518"/>
      <c r="I10" s="518"/>
      <c r="J10" s="519"/>
      <c r="K10" s="520" t="s">
        <v>125</v>
      </c>
      <c r="L10" s="521"/>
      <c r="M10" s="522"/>
      <c r="P10" s="39"/>
      <c r="Q10" s="39"/>
    </row>
    <row r="11" spans="2:17" ht="17.25" customHeight="1">
      <c r="B11" s="523" t="s">
        <v>1950</v>
      </c>
      <c r="C11" s="524"/>
      <c r="D11" s="40">
        <v>1</v>
      </c>
      <c r="E11" s="41">
        <v>2</v>
      </c>
      <c r="F11" s="41">
        <v>3</v>
      </c>
      <c r="G11" s="41">
        <v>4</v>
      </c>
      <c r="H11" s="41">
        <v>5</v>
      </c>
      <c r="I11" s="41">
        <v>6</v>
      </c>
      <c r="J11" s="42">
        <v>7</v>
      </c>
      <c r="K11" s="40">
        <v>1</v>
      </c>
      <c r="L11" s="41">
        <v>2</v>
      </c>
      <c r="M11" s="42">
        <v>3</v>
      </c>
      <c r="P11" s="39"/>
      <c r="Q11" s="39"/>
    </row>
    <row r="12" spans="2:17" ht="34.15" customHeight="1">
      <c r="B12" s="525"/>
      <c r="C12" s="526"/>
      <c r="D12" s="43" t="s">
        <v>96</v>
      </c>
      <c r="E12" s="44" t="s">
        <v>97</v>
      </c>
      <c r="F12" s="44" t="s">
        <v>98</v>
      </c>
      <c r="G12" s="44" t="s">
        <v>99</v>
      </c>
      <c r="H12" s="44" t="s">
        <v>100</v>
      </c>
      <c r="I12" s="44" t="s">
        <v>101</v>
      </c>
      <c r="J12" s="45" t="s">
        <v>102</v>
      </c>
      <c r="K12" s="43" t="s">
        <v>103</v>
      </c>
      <c r="L12" s="44" t="s">
        <v>104</v>
      </c>
      <c r="M12" s="45" t="s">
        <v>105</v>
      </c>
    </row>
    <row r="13" spans="2:17" ht="40.15" customHeight="1">
      <c r="B13" s="527" t="s">
        <v>1951</v>
      </c>
      <c r="C13" s="46" t="s">
        <v>1952</v>
      </c>
      <c r="D13" s="47">
        <f>SUMIFS('1026 4度C'!$K:$K,'1026 4度C'!$A:$A,"新豐6線",'1026 4度C'!$B:$B,"平均")</f>
        <v>125</v>
      </c>
      <c r="E13" s="48">
        <f>SUMIFS('1026 4度C'!$K:$K,'1026 4度C'!$A:$A,"新豐2線",'1026 4度C'!$B:$B,"平均")</f>
        <v>83.333333333333329</v>
      </c>
      <c r="F13" s="49">
        <f>SUMIFS('1026 4度C'!$K:$K,'1026 4度C'!$A:$A,"新豐5線",'1026 4度C'!$B:$B,"平均")</f>
        <v>98.198198198198199</v>
      </c>
      <c r="G13" s="49">
        <f>SUMIFS('1026 4度C'!$K:$K,'1026 4度C'!$A:$A,"新豐7線",'1026 4度C'!$B:$B,"平均")</f>
        <v>119.40298507462687</v>
      </c>
      <c r="H13" s="49">
        <f>SUMIFS('1026 4度C'!$K:$K,'1026 4度C'!$A:$A,"新豐3線",'1026 4度C'!$B:$B,"平均")</f>
        <v>306.81818181818181</v>
      </c>
      <c r="I13" s="49">
        <f>SUMIFS('1026 4度C'!$K:$K,'1026 4度C'!$A:$A,"新豐1線",'1026 4度C'!$B:$B,"平均")</f>
        <v>121.21212121212122</v>
      </c>
      <c r="J13" s="50">
        <f>SUMIFS('1026 4度C'!$K:$K,'1026 4度C'!$A:$A,"新豐10線",'1026 4度C'!$B:$B,"平均")</f>
        <v>269.23076923076923</v>
      </c>
      <c r="K13" s="51">
        <f>SUMIFS('1026 4度C'!$K:$K,'1026 4度C'!$A:$A,"新豐8線",'1026 4度C'!$B:$B,"平均")</f>
        <v>129.34131736526945</v>
      </c>
      <c r="L13" s="52">
        <f>SUMIFS('1026 4度C'!$K:$K,'1026 4度C'!$A:$A,"新豐9線",'1026 4度C'!$B:$B,"平均")</f>
        <v>138.46153846153848</v>
      </c>
      <c r="M13" s="50">
        <f>SUMIFS('1026 4度C'!$K:$K,'1026 4度C'!$A:$A,"新豐4線",'1026 4度C'!$B:$B,"平均")</f>
        <v>144.96644295302013</v>
      </c>
    </row>
    <row r="14" spans="2:17" ht="39.6" customHeight="1">
      <c r="B14" s="528"/>
      <c r="C14" s="53" t="s">
        <v>1953</v>
      </c>
      <c r="D14" s="54">
        <f>SUMIFS('1026 4度C'!$N:$N,'1026 4度C'!$A:$A,"新豐6線",'1026 4度C'!$B:$B,"平均")</f>
        <v>119.73790799616437</v>
      </c>
      <c r="E14" s="55">
        <f>SUMIFS('1026 4度C'!$N:$N,'1026 4度C'!$A:$A,"新豐2線",'1026 4度C'!$B:$B,"平均")</f>
        <v>79.486380087827186</v>
      </c>
      <c r="F14" s="55">
        <f>SUMIFS('1026 4度C'!$N:$N,'1026 4度C'!$A:$A,"新豐5線",'1026 4度C'!$B:$B,"平均")</f>
        <v>93.83031867509861</v>
      </c>
      <c r="G14" s="55">
        <f>SUMIFS('1026 4度C'!$N:$N,'1026 4度C'!$A:$A,"新豐7線",'1026 4度C'!$B:$B,"平均")</f>
        <v>114.10206339310821</v>
      </c>
      <c r="H14" s="55">
        <f>SUMIFS('1026 4度C'!$N:$N,'1026 4度C'!$A:$A,"新豐3線",'1026 4度C'!$B:$B,"平均")</f>
        <v>294.76680801196426</v>
      </c>
      <c r="I14" s="55">
        <f>SUMIFS('1026 4度C'!$N:$N,'1026 4度C'!$A:$A,"新豐1線",'1026 4度C'!$B:$B,"平均")</f>
        <v>116.25881047655177</v>
      </c>
      <c r="J14" s="56">
        <f>SUMIFS('1026 4度C'!$N:$N,'1026 4度C'!$A:$A,"新豐10線",'1026 4度C'!$B:$B,"平均")</f>
        <v>258.88225163884238</v>
      </c>
      <c r="K14" s="57">
        <f>SUMIFS('1026 4度C'!$N:$N,'1026 4度C'!$A:$A,"新豐8線",'1026 4度C'!$B:$B,"平均")</f>
        <v>124.19038756505681</v>
      </c>
      <c r="L14" s="58">
        <f>SUMIFS('1026 4度C'!$N:$N,'1026 4度C'!$A:$A,"新豐9線",'1026 4度C'!$B:$B,"平均")</f>
        <v>132.3303818836641</v>
      </c>
      <c r="M14" s="56">
        <f>SUMIFS('1026 4度C'!$N:$N,'1026 4度C'!$A:$A,"新豐4線",'1026 4度C'!$B:$B,"平均")</f>
        <v>139.08905219921434</v>
      </c>
    </row>
    <row r="15" spans="2:17" ht="40.15" customHeight="1">
      <c r="B15" s="529"/>
      <c r="C15" s="59" t="s">
        <v>1954</v>
      </c>
      <c r="D15" s="60">
        <f t="shared" ref="D15:M15" si="0">D14/D13</f>
        <v>0.95790326396931491</v>
      </c>
      <c r="E15" s="61">
        <f t="shared" si="0"/>
        <v>0.95383656105392634</v>
      </c>
      <c r="F15" s="61">
        <f t="shared" si="0"/>
        <v>0.95551975898494912</v>
      </c>
      <c r="G15" s="61">
        <f t="shared" si="0"/>
        <v>0.95560478091728118</v>
      </c>
      <c r="H15" s="61">
        <f t="shared" si="0"/>
        <v>0.96072144833529094</v>
      </c>
      <c r="I15" s="61">
        <f t="shared" si="0"/>
        <v>0.95913518643155204</v>
      </c>
      <c r="J15" s="62">
        <f t="shared" si="0"/>
        <v>0.96156264894427168</v>
      </c>
      <c r="K15" s="60">
        <f t="shared" si="0"/>
        <v>0.96017568163724487</v>
      </c>
      <c r="L15" s="61">
        <f t="shared" si="0"/>
        <v>0.95571942471535176</v>
      </c>
      <c r="M15" s="62">
        <f t="shared" si="0"/>
        <v>0.9594568878556915</v>
      </c>
    </row>
    <row r="16" spans="2:17" ht="17.25" customHeight="1">
      <c r="B16" s="530" t="s">
        <v>1955</v>
      </c>
      <c r="C16" s="63" t="s">
        <v>1956</v>
      </c>
      <c r="D16" s="284">
        <f>VLOOKUP("新豐6線",'1026 4度C'!$A:$T,19,0)</f>
        <v>0.70833333333333337</v>
      </c>
      <c r="E16" s="285">
        <f>VLOOKUP("新豐2線",'1026 4度C'!$A:$T,19,0)</f>
        <v>0.20833333333333334</v>
      </c>
      <c r="F16" s="285">
        <f>VLOOKUP("新豐5線",'1026 4度C'!$A:$T,19,0)</f>
        <v>0.125</v>
      </c>
      <c r="G16" s="285">
        <f>VLOOKUP("新豐7線",'1026 4度C'!$A:$T,19,0)</f>
        <v>0.20833333333333334</v>
      </c>
      <c r="H16" s="285">
        <f>VLOOKUP("新豐3線",'1026 4度C'!$A:$T,19,0)</f>
        <v>0.20833333333333334</v>
      </c>
      <c r="I16" s="285">
        <f>VLOOKUP("新豐1線",'1026 4度C'!$A:$T,19,0)</f>
        <v>0.29166666666666669</v>
      </c>
      <c r="J16" s="286">
        <f>VLOOKUP("新豐10線",'1026 4度C'!$A:$T,19,0)</f>
        <v>0.20833333333333334</v>
      </c>
      <c r="K16" s="66">
        <f>VLOOKUP("新豐8線",'1026 4度C'!$A:$T,19,0)</f>
        <v>0.125</v>
      </c>
      <c r="L16" s="67">
        <f>VLOOKUP("新豐9線",'1026 4度C'!$A:$T,19,0)</f>
        <v>0.125</v>
      </c>
      <c r="M16" s="68">
        <f>VLOOKUP("新豐4線",'1026 4度C'!$A:$T,19,0)</f>
        <v>0.125</v>
      </c>
    </row>
    <row r="17" spans="2:13" ht="17.25" customHeight="1">
      <c r="B17" s="531"/>
      <c r="C17" s="63" t="s">
        <v>1957</v>
      </c>
      <c r="D17" s="66">
        <f>LOOKUP(2,1/(('1026 4度C'!$A:$A="新豐6線")*('1026 4度C'!$T:$T&lt;&gt;"")),'1026 4度C'!$T:$T)</f>
        <v>0.85416666666666674</v>
      </c>
      <c r="E17" s="285">
        <f>LOOKUP(2,1/(('1026 4度C'!$A:$A="新豐2線")*('1026 4度C'!$T:$T&lt;&gt;"")),'1026 4度C'!$T:$T)</f>
        <v>0.58611111111111114</v>
      </c>
      <c r="F17" s="285">
        <f>LOOKUP(2,1/(('1026 4度C'!$A:$A="新豐5線")*('1026 4度C'!$T:$T&lt;&gt;"")),'1026 4度C'!$T:$T)</f>
        <v>0.87569444444444444</v>
      </c>
      <c r="G17" s="285">
        <f>LOOKUP(2,1/(('1026 4度C'!$A:$A="新豐7線")*('1026 4度C'!$T:$T&lt;&gt;"")),'1026 4度C'!$T:$T)</f>
        <v>0.77708333333333335</v>
      </c>
      <c r="H17" s="285">
        <f>LOOKUP(2,1/(('1026 4度C'!$A:$A="新豐3線")*('1026 4度C'!$T:$T&lt;&gt;"")),'1026 4度C'!$T:$T)</f>
        <v>0.6826388888888888</v>
      </c>
      <c r="I17" s="285">
        <f>LOOKUP(2,1/(('1026 4度C'!$A:$A="新豐1線")*('1026 4度C'!$T:$T&lt;&gt;"")),'1026 4度C'!$T:$T)</f>
        <v>0.8208333333333333</v>
      </c>
      <c r="J17" s="286">
        <f>LOOKUP(2,1/(('1026 4度C'!$A:$A="新豐10線")*('1026 4度C'!$T:$T&lt;&gt;"")),'1026 4度C'!$T:$T)</f>
        <v>0.45833333333333337</v>
      </c>
      <c r="K17" s="284">
        <f>LOOKUP(2,1/(('1026 4度C'!$A:$A="新豐8線")*('1026 4度C'!$T:$T&lt;&gt;"")),'1026 4度C'!$T:$T)</f>
        <v>0.77222222222222214</v>
      </c>
      <c r="L17" s="285">
        <f>LOOKUP(2,1/(('1026 4度C'!$A:$A="新豐9線")*('1026 4度C'!$T:$T&lt;&gt;"")),'1026 4度C'!$T:$T)</f>
        <v>0.78680555555555542</v>
      </c>
      <c r="M17" s="286">
        <f>LOOKUP(2,1/(('1026 4度C'!$A:$A="新豐4線")*('1026 4度C'!$T:$T&lt;&gt;"")),'1026 4度C'!$T:$T)</f>
        <v>0.73611111111111105</v>
      </c>
    </row>
    <row r="18" spans="2:13" ht="17.25" customHeight="1">
      <c r="B18" s="509" t="s">
        <v>1958</v>
      </c>
      <c r="C18" s="510"/>
      <c r="D18" s="69">
        <f>SUMIFS('1026 4度C'!$I:$I,'1026 4度C'!$A:$A,"新豐6線",'1026 4度C'!$B:$B,"平均")</f>
        <v>16</v>
      </c>
      <c r="E18" s="70">
        <f>SUMIFS('1026 4度C'!$I:$I,'1026 4度C'!$A:$A,"新豐2線",'1026 4度C'!$B:$B,"平均")</f>
        <v>18</v>
      </c>
      <c r="F18" s="70">
        <f>SUMIFS('1026 4度C'!$I:$I,'1026 4度C'!$A:$A,"新豐5線",'1026 4度C'!$B:$B,"平均")</f>
        <v>18.5</v>
      </c>
      <c r="G18" s="70">
        <f>SUMIFS('1026 4度C'!$I:$I,'1026 4度C'!$A:$A,"新豐7線",'1026 4度C'!$B:$B,"平均")</f>
        <v>16.75</v>
      </c>
      <c r="H18" s="70">
        <f>SUMIFS('1026 4度C'!$I:$I,'1026 4度C'!$A:$A,"新豐3線",'1026 4度C'!$B:$B,"平均")</f>
        <v>9.7777777777777786</v>
      </c>
      <c r="I18" s="70">
        <f>SUMIFS('1026 4度C'!$I:$I,'1026 4度C'!$A:$A,"新豐1線",'1026 4度C'!$B:$B,"平均")</f>
        <v>16.5</v>
      </c>
      <c r="J18" s="71">
        <f>SUMIFS('1026 4度C'!$I:$I,'1026 4度C'!$A:$A,"新豐10線",'1026 4度C'!$B:$B,"平均")</f>
        <v>9.75</v>
      </c>
      <c r="K18" s="69">
        <f>SUMIFS('1026 4度C'!$I:$I,'1026 4度C'!$A:$A,"新豐8線",'1026 4度C'!$B:$B,"平均")</f>
        <v>18.555555555555557</v>
      </c>
      <c r="L18" s="70">
        <f>SUMIFS('1026 4度C'!$I:$I,'1026 4度C'!$A:$A,"新豐9線",'1026 4度C'!$B:$B,"平均")</f>
        <v>17.333333333333332</v>
      </c>
      <c r="M18" s="71">
        <f>SUMIFS('1026 4度C'!$I:$I,'1026 4度C'!$A:$A,"新豐4線",'1026 4度C'!$B:$B,"平均")</f>
        <v>16.555555555555557</v>
      </c>
    </row>
    <row r="19" spans="2:13" ht="17.25" customHeight="1">
      <c r="B19" s="509" t="s">
        <v>133</v>
      </c>
      <c r="C19" s="510"/>
      <c r="D19" s="72" t="s">
        <v>109</v>
      </c>
      <c r="E19" s="73" t="s">
        <v>110</v>
      </c>
      <c r="F19" s="73" t="s">
        <v>1959</v>
      </c>
      <c r="G19" s="73" t="s">
        <v>1960</v>
      </c>
      <c r="H19" s="73" t="s">
        <v>111</v>
      </c>
      <c r="I19" s="73" t="s">
        <v>109</v>
      </c>
      <c r="J19" s="74" t="s">
        <v>111</v>
      </c>
      <c r="K19" s="72" t="s">
        <v>136</v>
      </c>
      <c r="L19" s="73" t="s">
        <v>136</v>
      </c>
      <c r="M19" s="74" t="s">
        <v>1961</v>
      </c>
    </row>
    <row r="20" spans="2:13" ht="17.25" customHeight="1">
      <c r="B20" s="509" t="s">
        <v>139</v>
      </c>
      <c r="C20" s="510"/>
      <c r="D20" s="72"/>
      <c r="E20" s="73"/>
      <c r="F20" s="73" t="s">
        <v>1962</v>
      </c>
      <c r="G20" s="73" t="s">
        <v>109</v>
      </c>
      <c r="H20" s="73"/>
      <c r="I20" s="73"/>
      <c r="J20" s="74"/>
      <c r="K20" s="72"/>
      <c r="L20" s="73"/>
      <c r="M20" s="74"/>
    </row>
    <row r="21" spans="2:13" ht="17.25" customHeight="1" thickBot="1">
      <c r="B21" s="511" t="s">
        <v>1963</v>
      </c>
      <c r="C21" s="512"/>
      <c r="D21" s="75"/>
      <c r="E21" s="76" t="s">
        <v>1964</v>
      </c>
      <c r="F21" s="513" t="s">
        <v>1965</v>
      </c>
      <c r="G21" s="514"/>
      <c r="H21" s="76" t="s">
        <v>144</v>
      </c>
      <c r="I21" s="76" t="s">
        <v>1966</v>
      </c>
      <c r="J21" s="77" t="s">
        <v>1967</v>
      </c>
      <c r="K21" s="78"/>
      <c r="L21" s="76"/>
      <c r="M21" s="77"/>
    </row>
    <row r="22" spans="2:13" ht="17.25" customHeight="1"/>
    <row r="23" spans="2:13" ht="17.25" customHeight="1"/>
    <row r="24" spans="2:13" ht="17.25" customHeight="1"/>
    <row r="25" spans="2:13" ht="37.5" customHeight="1"/>
    <row r="26" spans="2:13" ht="35.25" customHeight="1"/>
    <row r="27" spans="2:13" ht="35.25" customHeight="1"/>
    <row r="28" spans="2:13" ht="39.75" customHeight="1"/>
  </sheetData>
  <mergeCells count="36">
    <mergeCell ref="B20:C20"/>
    <mergeCell ref="B21:C21"/>
    <mergeCell ref="F21:G21"/>
    <mergeCell ref="K10:M10"/>
    <mergeCell ref="B11:C12"/>
    <mergeCell ref="B13:B15"/>
    <mergeCell ref="B18:C18"/>
    <mergeCell ref="B19:C19"/>
    <mergeCell ref="I6:J6"/>
    <mergeCell ref="B16:B17"/>
    <mergeCell ref="C7:D7"/>
    <mergeCell ref="E7:F7"/>
    <mergeCell ref="G7:H7"/>
    <mergeCell ref="I7:J7"/>
    <mergeCell ref="C8:D8"/>
    <mergeCell ref="E8:F8"/>
    <mergeCell ref="G8:H8"/>
    <mergeCell ref="I8:J8"/>
    <mergeCell ref="B10:C10"/>
    <mergeCell ref="D10:J10"/>
    <mergeCell ref="B1:J2"/>
    <mergeCell ref="C3:D3"/>
    <mergeCell ref="F3:G3"/>
    <mergeCell ref="I3:J3"/>
    <mergeCell ref="B4:B8"/>
    <mergeCell ref="C4:D4"/>
    <mergeCell ref="E4:F4"/>
    <mergeCell ref="G4:H4"/>
    <mergeCell ref="I4:J4"/>
    <mergeCell ref="C5:D5"/>
    <mergeCell ref="E5:F5"/>
    <mergeCell ref="G5:H5"/>
    <mergeCell ref="I5:J5"/>
    <mergeCell ref="C6:D6"/>
    <mergeCell ref="E6:F6"/>
    <mergeCell ref="G6:H6"/>
  </mergeCells>
  <phoneticPr fontId="3" type="noConversion"/>
  <conditionalFormatting sqref="D15:M15">
    <cfRule type="cellIs" dxfId="1608" priority="1" operator="lessThan">
      <formula>0.8</formula>
    </cfRule>
  </conditionalFormatting>
  <pageMargins left="0.7" right="0.7" top="0.75" bottom="0.75" header="0.3" footer="0.3"/>
  <pageSetup paperSize="9" orientation="portrait" horizontalDpi="300" verticalDpi="300" r:id="rId1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工作表10">
    <pageSetUpPr fitToPage="1"/>
  </sheetPr>
  <dimension ref="A1:AC75"/>
  <sheetViews>
    <sheetView zoomScale="80" zoomScaleNormal="80" workbookViewId="0">
      <pane ySplit="4" topLeftCell="A5" activePane="bottomLeft" state="frozen"/>
      <selection activeCell="C5" sqref="C5:D5"/>
      <selection pane="bottomLeft" activeCell="L22" sqref="L22"/>
    </sheetView>
  </sheetViews>
  <sheetFormatPr defaultColWidth="8" defaultRowHeight="15.75"/>
  <cols>
    <col min="1" max="1" width="15.125" style="291" customWidth="1"/>
    <col min="2" max="2" width="19.375" style="291" customWidth="1"/>
    <col min="3" max="3" width="15.25" style="291" customWidth="1"/>
    <col min="4" max="4" width="17.5" style="291" customWidth="1"/>
    <col min="5" max="5" width="7.5" style="291" bestFit="1" customWidth="1"/>
    <col min="6" max="6" width="14.375" style="291" bestFit="1" customWidth="1"/>
    <col min="7" max="7" width="14.375" style="291" customWidth="1"/>
    <col min="8" max="8" width="8" style="291" customWidth="1"/>
    <col min="9" max="9" width="5.875" style="291" customWidth="1"/>
    <col min="10" max="10" width="10.625" style="291" customWidth="1"/>
    <col min="11" max="11" width="14.625" style="291" customWidth="1"/>
    <col min="12" max="12" width="7.25" style="291" bestFit="1" customWidth="1"/>
    <col min="13" max="13" width="8" style="291" customWidth="1"/>
    <col min="14" max="14" width="12" style="291" customWidth="1"/>
    <col min="15" max="15" width="6" style="291" customWidth="1"/>
    <col min="16" max="16" width="9.25" style="291" customWidth="1"/>
    <col min="17" max="17" width="11.5" style="291" customWidth="1"/>
    <col min="18" max="18" width="8.5" style="291" customWidth="1"/>
    <col min="19" max="19" width="10.125" style="324" bestFit="1" customWidth="1"/>
    <col min="20" max="20" width="7.625" style="324" bestFit="1" customWidth="1"/>
    <col min="21" max="21" width="10.25" style="291" bestFit="1" customWidth="1"/>
    <col min="22" max="22" width="8.75" style="325" customWidth="1"/>
    <col min="23" max="23" width="7.375" style="291" customWidth="1"/>
    <col min="24" max="24" width="6.875" style="291" bestFit="1" customWidth="1"/>
    <col min="25" max="25" width="12.75" style="291" customWidth="1"/>
    <col min="26" max="26" width="18.875" style="291" customWidth="1"/>
    <col min="27" max="27" width="13.125" style="291" bestFit="1" customWidth="1"/>
    <col min="28" max="28" width="10.375" style="291" customWidth="1"/>
    <col min="29" max="29" width="9.375" style="291" customWidth="1"/>
    <col min="30" max="30" width="8" style="291"/>
    <col min="31" max="31" width="24.625" style="291" bestFit="1" customWidth="1"/>
    <col min="32" max="16384" width="8" style="291"/>
  </cols>
  <sheetData>
    <row r="1" spans="1:29" ht="26.25" customHeight="1">
      <c r="A1" s="287" t="s">
        <v>146</v>
      </c>
      <c r="B1" s="287"/>
      <c r="C1" s="288" t="s">
        <v>147</v>
      </c>
      <c r="D1" s="289">
        <f>SUM(F5:F74)</f>
        <v>192313</v>
      </c>
      <c r="E1" s="428" t="s">
        <v>148</v>
      </c>
      <c r="F1" s="287">
        <f>SUM(G5:G74)</f>
        <v>6278768.5399999982</v>
      </c>
      <c r="G1" s="287" t="s">
        <v>149</v>
      </c>
      <c r="H1" s="290">
        <f>L8+L12+L54+L59+L19+L64+L34+L44+L24+L74</f>
        <v>157.72222222222223</v>
      </c>
      <c r="I1" s="611" t="s">
        <v>150</v>
      </c>
      <c r="J1" s="611"/>
      <c r="K1" s="611"/>
      <c r="L1" s="611" t="s">
        <v>151</v>
      </c>
      <c r="M1" s="611"/>
      <c r="N1" s="611"/>
      <c r="O1" s="611" t="s">
        <v>152</v>
      </c>
      <c r="P1" s="611"/>
      <c r="Q1" s="611"/>
      <c r="R1" s="611"/>
      <c r="S1" s="611" t="s">
        <v>153</v>
      </c>
      <c r="T1" s="611"/>
      <c r="U1" s="611"/>
      <c r="V1" s="611"/>
      <c r="W1" s="611"/>
      <c r="X1" s="611"/>
      <c r="Y1" s="611" t="s">
        <v>0</v>
      </c>
      <c r="Z1" s="611"/>
      <c r="AA1" s="611" t="s">
        <v>154</v>
      </c>
      <c r="AB1" s="612"/>
      <c r="AC1" s="612"/>
    </row>
    <row r="2" spans="1:29" ht="26.25" customHeight="1">
      <c r="A2" s="292">
        <v>45956</v>
      </c>
      <c r="B2" s="293" t="s">
        <v>486</v>
      </c>
      <c r="C2" s="288" t="s">
        <v>1</v>
      </c>
      <c r="D2" s="294">
        <f>AVERAGE(N8,N12,N54,N59,N19,N64,N24,N34,N44,N74)</f>
        <v>147.26743619274922</v>
      </c>
      <c r="E2" s="295" t="s">
        <v>2</v>
      </c>
      <c r="F2" s="296">
        <f>F1/D1</f>
        <v>32.6486953040096</v>
      </c>
      <c r="G2" s="287" t="s">
        <v>157</v>
      </c>
      <c r="H2" s="427">
        <f>COUNT(H5:H74)</f>
        <v>15</v>
      </c>
      <c r="I2" s="611"/>
      <c r="J2" s="611"/>
      <c r="K2" s="611"/>
      <c r="L2" s="611"/>
      <c r="M2" s="611"/>
      <c r="N2" s="611"/>
      <c r="O2" s="611"/>
      <c r="P2" s="611"/>
      <c r="Q2" s="611"/>
      <c r="R2" s="611"/>
      <c r="S2" s="611"/>
      <c r="T2" s="611"/>
      <c r="U2" s="611"/>
      <c r="V2" s="611"/>
      <c r="W2" s="611"/>
      <c r="X2" s="611"/>
      <c r="Y2" s="611"/>
      <c r="Z2" s="611"/>
      <c r="AA2" s="612"/>
      <c r="AB2" s="612"/>
      <c r="AC2" s="612"/>
    </row>
    <row r="3" spans="1:29" ht="23.25" customHeight="1">
      <c r="A3" s="570" t="s">
        <v>3</v>
      </c>
      <c r="B3" s="570" t="s">
        <v>4</v>
      </c>
      <c r="C3" s="570" t="s">
        <v>5</v>
      </c>
      <c r="D3" s="570"/>
      <c r="E3" s="609" t="s">
        <v>6</v>
      </c>
      <c r="F3" s="570" t="s">
        <v>7</v>
      </c>
      <c r="G3" s="609" t="s">
        <v>8</v>
      </c>
      <c r="H3" s="602" t="s">
        <v>9</v>
      </c>
      <c r="I3" s="600" t="s">
        <v>10</v>
      </c>
      <c r="J3" s="605" t="s">
        <v>11</v>
      </c>
      <c r="K3" s="607" t="s">
        <v>1</v>
      </c>
      <c r="L3" s="600" t="s">
        <v>10</v>
      </c>
      <c r="M3" s="605" t="s">
        <v>11</v>
      </c>
      <c r="N3" s="607" t="s">
        <v>1</v>
      </c>
      <c r="O3" s="600" t="s">
        <v>10</v>
      </c>
      <c r="P3" s="607" t="s">
        <v>1</v>
      </c>
      <c r="Q3" s="606" t="s">
        <v>12</v>
      </c>
      <c r="R3" s="578" t="s">
        <v>13</v>
      </c>
      <c r="S3" s="608" t="s">
        <v>14</v>
      </c>
      <c r="T3" s="608"/>
      <c r="U3" s="602" t="s">
        <v>15</v>
      </c>
      <c r="V3" s="602" t="s">
        <v>1968</v>
      </c>
      <c r="W3" s="570" t="s">
        <v>1969</v>
      </c>
      <c r="X3" s="570"/>
      <c r="Y3" s="603" t="s">
        <v>1970</v>
      </c>
      <c r="Z3" s="604"/>
      <c r="AA3" s="605" t="s">
        <v>1971</v>
      </c>
      <c r="AB3" s="606" t="s">
        <v>12</v>
      </c>
      <c r="AC3" s="578" t="s">
        <v>1972</v>
      </c>
    </row>
    <row r="4" spans="1:29">
      <c r="A4" s="570"/>
      <c r="B4" s="570"/>
      <c r="C4" s="570"/>
      <c r="D4" s="570"/>
      <c r="E4" s="610"/>
      <c r="F4" s="570"/>
      <c r="G4" s="610"/>
      <c r="H4" s="602"/>
      <c r="I4" s="600"/>
      <c r="J4" s="605"/>
      <c r="K4" s="607"/>
      <c r="L4" s="600"/>
      <c r="M4" s="605"/>
      <c r="N4" s="607"/>
      <c r="O4" s="600"/>
      <c r="P4" s="607"/>
      <c r="Q4" s="606"/>
      <c r="R4" s="578"/>
      <c r="S4" s="438" t="s">
        <v>18</v>
      </c>
      <c r="T4" s="438" t="s">
        <v>19</v>
      </c>
      <c r="U4" s="602"/>
      <c r="V4" s="602"/>
      <c r="W4" s="428" t="s">
        <v>1973</v>
      </c>
      <c r="X4" s="428" t="s">
        <v>1974</v>
      </c>
      <c r="Y4" s="604"/>
      <c r="Z4" s="604"/>
      <c r="AA4" s="605"/>
      <c r="AB4" s="606"/>
      <c r="AC4" s="578"/>
    </row>
    <row r="5" spans="1:29">
      <c r="A5" s="599" t="s">
        <v>1975</v>
      </c>
      <c r="B5" s="300" t="s">
        <v>36</v>
      </c>
      <c r="C5" s="601" t="s">
        <v>37</v>
      </c>
      <c r="D5" s="601"/>
      <c r="E5" s="300">
        <v>46.93</v>
      </c>
      <c r="F5" s="438">
        <v>1245</v>
      </c>
      <c r="G5" s="428">
        <f t="shared" ref="G5:G7" si="0">E5*F5</f>
        <v>58427.85</v>
      </c>
      <c r="H5" s="439" t="s">
        <v>35</v>
      </c>
      <c r="I5" s="430">
        <v>16</v>
      </c>
      <c r="J5" s="303">
        <v>2000</v>
      </c>
      <c r="K5" s="304">
        <f t="shared" ref="K5:K68" si="1">J5/I5</f>
        <v>125</v>
      </c>
      <c r="L5" s="430">
        <v>16</v>
      </c>
      <c r="M5" s="305">
        <f t="shared" ref="M5:M7" si="2">F5/V5*60</f>
        <v>1915.3846153846143</v>
      </c>
      <c r="N5" s="304">
        <f t="shared" ref="N5:N68" si="3">M5/L5</f>
        <v>119.7115384615384</v>
      </c>
      <c r="O5" s="306">
        <f t="shared" ref="O5:O68" si="4">L5-I5</f>
        <v>0</v>
      </c>
      <c r="P5" s="307">
        <f t="shared" ref="P5:P68" si="5">N5-K5</f>
        <v>-5.2884615384616041</v>
      </c>
      <c r="Q5" s="432">
        <f t="shared" ref="Q5:Q68" si="6">N5/K5</f>
        <v>0.95769230769230718</v>
      </c>
      <c r="R5" s="571">
        <f>Q8</f>
        <v>0.95790326396931491</v>
      </c>
      <c r="S5" s="308">
        <v>0.70833333333333337</v>
      </c>
      <c r="T5" s="308">
        <v>0.73541666666666672</v>
      </c>
      <c r="U5" s="428"/>
      <c r="V5" s="429">
        <f t="shared" ref="V5:V7" si="7">(T5-S5)*24*60</f>
        <v>39.000000000000021</v>
      </c>
      <c r="W5" s="310"/>
      <c r="X5" s="311"/>
      <c r="Y5" s="570"/>
      <c r="Z5" s="570"/>
      <c r="AA5" s="306">
        <f t="shared" ref="AA5:AA68" si="8">M5-J5</f>
        <v>-84.615384615385665</v>
      </c>
      <c r="AB5" s="432">
        <f t="shared" ref="AB5:AB68" si="9">M5/J5</f>
        <v>0.95769230769230718</v>
      </c>
      <c r="AC5" s="571">
        <f>AB8</f>
        <v>0.95790326396931491</v>
      </c>
    </row>
    <row r="6" spans="1:29">
      <c r="A6" s="600" t="s">
        <v>21</v>
      </c>
      <c r="B6" s="300" t="s">
        <v>36</v>
      </c>
      <c r="C6" s="601" t="s">
        <v>38</v>
      </c>
      <c r="D6" s="601"/>
      <c r="E6" s="300">
        <v>50.49</v>
      </c>
      <c r="F6" s="438">
        <v>2770</v>
      </c>
      <c r="G6" s="428">
        <f t="shared" si="0"/>
        <v>139857.30000000002</v>
      </c>
      <c r="H6" s="439" t="s">
        <v>35</v>
      </c>
      <c r="I6" s="430">
        <v>15</v>
      </c>
      <c r="J6" s="303">
        <v>2000</v>
      </c>
      <c r="K6" s="304">
        <f t="shared" si="1"/>
        <v>133.33333333333334</v>
      </c>
      <c r="L6" s="430">
        <v>15</v>
      </c>
      <c r="M6" s="305">
        <f t="shared" si="2"/>
        <v>1910.3448275862065</v>
      </c>
      <c r="N6" s="304">
        <f t="shared" si="3"/>
        <v>127.35632183908044</v>
      </c>
      <c r="O6" s="306">
        <f t="shared" si="4"/>
        <v>0</v>
      </c>
      <c r="P6" s="307">
        <f t="shared" si="5"/>
        <v>-5.9770114942529062</v>
      </c>
      <c r="Q6" s="432">
        <f t="shared" si="6"/>
        <v>0.95517241379310325</v>
      </c>
      <c r="R6" s="571"/>
      <c r="S6" s="308">
        <v>0.74027777777777781</v>
      </c>
      <c r="T6" s="308">
        <v>0.80069444444444449</v>
      </c>
      <c r="U6" s="428">
        <f t="shared" ref="U6:U7" si="10">IF(S6=TIME(17,0,0),"",(S6-T5)*24*60)</f>
        <v>6.9999999999999751</v>
      </c>
      <c r="V6" s="429">
        <f t="shared" si="7"/>
        <v>87.000000000000014</v>
      </c>
      <c r="W6" s="310"/>
      <c r="X6" s="310"/>
      <c r="Y6" s="570"/>
      <c r="Z6" s="570"/>
      <c r="AA6" s="306">
        <f t="shared" si="8"/>
        <v>-89.65517241379348</v>
      </c>
      <c r="AB6" s="432">
        <f t="shared" si="9"/>
        <v>0.95517241379310325</v>
      </c>
      <c r="AC6" s="571"/>
    </row>
    <row r="7" spans="1:29">
      <c r="A7" s="600" t="s">
        <v>21</v>
      </c>
      <c r="B7" s="300" t="s">
        <v>36</v>
      </c>
      <c r="C7" s="594" t="s">
        <v>39</v>
      </c>
      <c r="D7" s="595"/>
      <c r="E7" s="300">
        <v>50.67</v>
      </c>
      <c r="F7" s="438">
        <v>2274</v>
      </c>
      <c r="G7" s="428">
        <f t="shared" si="0"/>
        <v>115223.58</v>
      </c>
      <c r="H7" s="439" t="s">
        <v>35</v>
      </c>
      <c r="I7" s="430">
        <v>17</v>
      </c>
      <c r="J7" s="303">
        <v>2000</v>
      </c>
      <c r="K7" s="304">
        <f t="shared" si="1"/>
        <v>117.64705882352941</v>
      </c>
      <c r="L7" s="430">
        <v>17</v>
      </c>
      <c r="M7" s="305">
        <f t="shared" si="2"/>
        <v>1921.6901408450685</v>
      </c>
      <c r="N7" s="304">
        <f t="shared" si="3"/>
        <v>113.04059652029815</v>
      </c>
      <c r="O7" s="306">
        <f t="shared" si="4"/>
        <v>0</v>
      </c>
      <c r="P7" s="307">
        <f t="shared" si="5"/>
        <v>-4.6064623032312539</v>
      </c>
      <c r="Q7" s="432">
        <f t="shared" si="6"/>
        <v>0.96084507042253431</v>
      </c>
      <c r="R7" s="571"/>
      <c r="S7" s="308">
        <v>0.80486111111111114</v>
      </c>
      <c r="T7" s="308">
        <v>0.85416666666666674</v>
      </c>
      <c r="U7" s="428">
        <f t="shared" si="10"/>
        <v>5.9999999999999787</v>
      </c>
      <c r="V7" s="429">
        <f t="shared" si="7"/>
        <v>71.000000000000071</v>
      </c>
      <c r="W7" s="310"/>
      <c r="X7" s="310"/>
      <c r="Y7" s="566"/>
      <c r="Z7" s="567"/>
      <c r="AA7" s="306">
        <f t="shared" si="8"/>
        <v>-78.309859154931473</v>
      </c>
      <c r="AB7" s="432">
        <f t="shared" si="9"/>
        <v>0.96084507042253431</v>
      </c>
      <c r="AC7" s="571"/>
    </row>
    <row r="8" spans="1:29">
      <c r="A8" s="600" t="s">
        <v>21</v>
      </c>
      <c r="B8" s="300" t="s">
        <v>22</v>
      </c>
      <c r="C8" s="572"/>
      <c r="D8" s="572"/>
      <c r="E8" s="431"/>
      <c r="F8" s="313"/>
      <c r="G8" s="304"/>
      <c r="H8" s="438"/>
      <c r="I8" s="314">
        <v>16</v>
      </c>
      <c r="J8" s="303">
        <v>2000</v>
      </c>
      <c r="K8" s="304">
        <f t="shared" si="1"/>
        <v>125</v>
      </c>
      <c r="L8" s="314">
        <v>16</v>
      </c>
      <c r="M8" s="305">
        <f>AVERAGE(M5:M7)</f>
        <v>1915.8065279386299</v>
      </c>
      <c r="N8" s="304">
        <f t="shared" si="3"/>
        <v>119.73790799616437</v>
      </c>
      <c r="O8" s="306">
        <f t="shared" si="4"/>
        <v>0</v>
      </c>
      <c r="P8" s="307">
        <f t="shared" si="5"/>
        <v>-5.2620920038356331</v>
      </c>
      <c r="Q8" s="432">
        <f t="shared" si="6"/>
        <v>0.95790326396931491</v>
      </c>
      <c r="R8" s="571"/>
      <c r="S8" s="308"/>
      <c r="T8" s="308"/>
      <c r="U8" s="428"/>
      <c r="V8" s="429"/>
      <c r="W8" s="304"/>
      <c r="X8" s="304"/>
      <c r="Y8" s="570"/>
      <c r="Z8" s="570"/>
      <c r="AA8" s="306">
        <f t="shared" si="8"/>
        <v>-84.19347206137013</v>
      </c>
      <c r="AB8" s="432">
        <f t="shared" si="9"/>
        <v>0.95790326396931491</v>
      </c>
      <c r="AC8" s="571"/>
    </row>
    <row r="9" spans="1:29" ht="15.75" customHeight="1">
      <c r="A9" s="598" t="s">
        <v>23</v>
      </c>
      <c r="B9" s="300" t="s">
        <v>40</v>
      </c>
      <c r="C9" s="594" t="s">
        <v>42</v>
      </c>
      <c r="D9" s="595"/>
      <c r="E9" s="300">
        <v>39.36</v>
      </c>
      <c r="F9" s="438">
        <v>2551</v>
      </c>
      <c r="G9" s="428">
        <f t="shared" ref="G9:G11" si="11">E9*F9</f>
        <v>100407.36</v>
      </c>
      <c r="H9" s="439" t="s">
        <v>35</v>
      </c>
      <c r="I9" s="430">
        <v>20</v>
      </c>
      <c r="J9" s="303">
        <v>1500</v>
      </c>
      <c r="K9" s="304">
        <f t="shared" si="1"/>
        <v>75</v>
      </c>
      <c r="L9" s="430">
        <v>20</v>
      </c>
      <c r="M9" s="305">
        <f t="shared" ref="M9:M11" si="12">F9/V9*60</f>
        <v>1430.4672897196263</v>
      </c>
      <c r="N9" s="304">
        <f t="shared" si="3"/>
        <v>71.523364485981318</v>
      </c>
      <c r="O9" s="306">
        <f t="shared" si="4"/>
        <v>0</v>
      </c>
      <c r="P9" s="307">
        <f t="shared" si="5"/>
        <v>-3.4766355140186818</v>
      </c>
      <c r="Q9" s="432">
        <f t="shared" si="6"/>
        <v>0.95364485981308422</v>
      </c>
      <c r="R9" s="571">
        <f>Q12</f>
        <v>0.95383656105392634</v>
      </c>
      <c r="S9" s="308">
        <v>0.20833333333333334</v>
      </c>
      <c r="T9" s="308">
        <v>0.28263888888888888</v>
      </c>
      <c r="U9" s="428"/>
      <c r="V9" s="429">
        <f t="shared" ref="V9:V11" si="13">(T9-S9)*24*60</f>
        <v>106.99999999999999</v>
      </c>
      <c r="W9" s="310"/>
      <c r="X9" s="310"/>
      <c r="Y9" s="570"/>
      <c r="Z9" s="570"/>
      <c r="AA9" s="306">
        <f t="shared" si="8"/>
        <v>-69.532710280373749</v>
      </c>
      <c r="AB9" s="432">
        <f t="shared" si="9"/>
        <v>0.95364485981308422</v>
      </c>
      <c r="AC9" s="571">
        <f>AB12</f>
        <v>0.95383656105392634</v>
      </c>
    </row>
    <row r="10" spans="1:29" ht="15.75" customHeight="1">
      <c r="A10" s="598" t="s">
        <v>23</v>
      </c>
      <c r="B10" s="300" t="s">
        <v>40</v>
      </c>
      <c r="C10" s="594" t="s">
        <v>41</v>
      </c>
      <c r="D10" s="595"/>
      <c r="E10" s="300">
        <v>39.799999999999997</v>
      </c>
      <c r="F10" s="438">
        <v>6000</v>
      </c>
      <c r="G10" s="428">
        <f t="shared" si="11"/>
        <v>238799.99999999997</v>
      </c>
      <c r="H10" s="439">
        <v>2</v>
      </c>
      <c r="I10" s="430">
        <v>17</v>
      </c>
      <c r="J10" s="303">
        <v>1500</v>
      </c>
      <c r="K10" s="304">
        <f t="shared" si="1"/>
        <v>88.235294117647058</v>
      </c>
      <c r="L10" s="430">
        <v>17</v>
      </c>
      <c r="M10" s="305">
        <f t="shared" si="12"/>
        <v>1428.5714285714282</v>
      </c>
      <c r="N10" s="304">
        <f t="shared" si="3"/>
        <v>84.033613445378137</v>
      </c>
      <c r="O10" s="306">
        <f t="shared" si="4"/>
        <v>0</v>
      </c>
      <c r="P10" s="307">
        <f t="shared" si="5"/>
        <v>-4.2016806722689211</v>
      </c>
      <c r="Q10" s="432">
        <f t="shared" si="6"/>
        <v>0.95238095238095222</v>
      </c>
      <c r="R10" s="571"/>
      <c r="S10" s="308">
        <v>0.28611111111111109</v>
      </c>
      <c r="T10" s="308">
        <v>0.46111111111111114</v>
      </c>
      <c r="U10" s="428">
        <f t="shared" ref="U10:U11" si="14">IF(S10=TIME(17,0,0),"",(S10-T9)*24*60)</f>
        <v>4.9999999999999822</v>
      </c>
      <c r="V10" s="429">
        <f t="shared" si="13"/>
        <v>252.00000000000006</v>
      </c>
      <c r="W10" s="310">
        <f>T10</f>
        <v>0.46111111111111114</v>
      </c>
      <c r="X10" s="310">
        <f>S11</f>
        <v>0.54305555555555562</v>
      </c>
      <c r="Y10" s="570"/>
      <c r="Z10" s="570"/>
      <c r="AA10" s="306">
        <f t="shared" si="8"/>
        <v>-71.428571428571786</v>
      </c>
      <c r="AB10" s="432">
        <f t="shared" si="9"/>
        <v>0.95238095238095211</v>
      </c>
      <c r="AC10" s="571"/>
    </row>
    <row r="11" spans="1:29" ht="15.75" customHeight="1">
      <c r="A11" s="598" t="s">
        <v>23</v>
      </c>
      <c r="B11" s="300" t="s">
        <v>40</v>
      </c>
      <c r="C11" s="594" t="s">
        <v>41</v>
      </c>
      <c r="D11" s="595"/>
      <c r="E11" s="300">
        <v>39.799999999999997</v>
      </c>
      <c r="F11" s="438">
        <v>1481</v>
      </c>
      <c r="G11" s="428">
        <f t="shared" si="11"/>
        <v>58943.799999999996</v>
      </c>
      <c r="H11" s="439" t="s">
        <v>35</v>
      </c>
      <c r="I11" s="430">
        <v>17</v>
      </c>
      <c r="J11" s="303">
        <v>1500</v>
      </c>
      <c r="K11" s="304">
        <f t="shared" si="1"/>
        <v>88.235294117647058</v>
      </c>
      <c r="L11" s="430">
        <v>17</v>
      </c>
      <c r="M11" s="305">
        <f t="shared" si="12"/>
        <v>1433.2258064516141</v>
      </c>
      <c r="N11" s="304">
        <f t="shared" si="3"/>
        <v>84.307400379506703</v>
      </c>
      <c r="O11" s="306">
        <f t="shared" si="4"/>
        <v>0</v>
      </c>
      <c r="P11" s="307">
        <f t="shared" si="5"/>
        <v>-3.9278937381403551</v>
      </c>
      <c r="Q11" s="432">
        <f t="shared" si="6"/>
        <v>0.95548387096774268</v>
      </c>
      <c r="R11" s="571"/>
      <c r="S11" s="308">
        <v>0.54305555555555562</v>
      </c>
      <c r="T11" s="308">
        <v>0.58611111111111114</v>
      </c>
      <c r="U11" s="428">
        <f t="shared" si="14"/>
        <v>118.00000000000006</v>
      </c>
      <c r="V11" s="429">
        <f t="shared" si="13"/>
        <v>61.999999999999943</v>
      </c>
      <c r="W11" s="310"/>
      <c r="X11" s="310"/>
      <c r="Y11" s="570"/>
      <c r="Z11" s="570"/>
      <c r="AA11" s="306">
        <f t="shared" si="8"/>
        <v>-66.774193548385938</v>
      </c>
      <c r="AB11" s="432">
        <f t="shared" si="9"/>
        <v>0.95548387096774268</v>
      </c>
      <c r="AC11" s="571"/>
    </row>
    <row r="12" spans="1:29" ht="16.5" customHeight="1">
      <c r="A12" s="598" t="s">
        <v>23</v>
      </c>
      <c r="B12" s="300" t="s">
        <v>22</v>
      </c>
      <c r="C12" s="572"/>
      <c r="D12" s="572"/>
      <c r="E12" s="431"/>
      <c r="F12" s="303"/>
      <c r="G12" s="305"/>
      <c r="H12" s="438"/>
      <c r="I12" s="314">
        <v>18</v>
      </c>
      <c r="J12" s="303">
        <v>1500</v>
      </c>
      <c r="K12" s="304">
        <f t="shared" si="1"/>
        <v>83.333333333333329</v>
      </c>
      <c r="L12" s="314">
        <v>18</v>
      </c>
      <c r="M12" s="305">
        <f>AVERAGE(M9:M11)</f>
        <v>1430.7548415808894</v>
      </c>
      <c r="N12" s="304">
        <f t="shared" si="3"/>
        <v>79.486380087827186</v>
      </c>
      <c r="O12" s="306">
        <f t="shared" si="4"/>
        <v>0</v>
      </c>
      <c r="P12" s="307">
        <f t="shared" si="5"/>
        <v>-3.8469532455061426</v>
      </c>
      <c r="Q12" s="432">
        <f t="shared" si="6"/>
        <v>0.95383656105392634</v>
      </c>
      <c r="R12" s="571"/>
      <c r="S12" s="308"/>
      <c r="T12" s="308"/>
      <c r="U12" s="304"/>
      <c r="V12" s="429"/>
      <c r="W12" s="304"/>
      <c r="X12" s="304"/>
      <c r="Y12" s="570"/>
      <c r="Z12" s="570"/>
      <c r="AA12" s="306">
        <f t="shared" si="8"/>
        <v>-69.245158419110567</v>
      </c>
      <c r="AB12" s="432">
        <f t="shared" si="9"/>
        <v>0.95383656105392634</v>
      </c>
      <c r="AC12" s="571"/>
    </row>
    <row r="13" spans="1:29" ht="16.5" customHeight="1">
      <c r="A13" s="596" t="s">
        <v>24</v>
      </c>
      <c r="B13" s="438" t="s">
        <v>43</v>
      </c>
      <c r="C13" s="590" t="s">
        <v>44</v>
      </c>
      <c r="D13" s="590"/>
      <c r="E13" s="300">
        <v>41</v>
      </c>
      <c r="F13" s="438">
        <v>2666</v>
      </c>
      <c r="G13" s="428">
        <f t="shared" ref="G13:G18" si="15">E13*F13</f>
        <v>109306</v>
      </c>
      <c r="H13" s="439" t="s">
        <v>35</v>
      </c>
      <c r="I13" s="430">
        <v>26</v>
      </c>
      <c r="J13" s="303">
        <v>1500</v>
      </c>
      <c r="K13" s="304">
        <f t="shared" si="1"/>
        <v>57.692307692307693</v>
      </c>
      <c r="L13" s="430">
        <v>26</v>
      </c>
      <c r="M13" s="305">
        <f t="shared" ref="M13:M18" si="16">F13/V13*60</f>
        <v>1428.2142857142856</v>
      </c>
      <c r="N13" s="304">
        <f t="shared" si="3"/>
        <v>54.931318681318672</v>
      </c>
      <c r="O13" s="306">
        <f t="shared" si="4"/>
        <v>0</v>
      </c>
      <c r="P13" s="307">
        <f t="shared" si="5"/>
        <v>-2.7609890109890216</v>
      </c>
      <c r="Q13" s="432">
        <f t="shared" si="6"/>
        <v>0.95214285714285696</v>
      </c>
      <c r="R13" s="571">
        <f>Q19</f>
        <v>0.95551975898494912</v>
      </c>
      <c r="S13" s="308">
        <v>0.125</v>
      </c>
      <c r="T13" s="308">
        <v>0.20277777777777778</v>
      </c>
      <c r="U13" s="428"/>
      <c r="V13" s="429">
        <f t="shared" ref="V13:V18" si="17">(T13-S13)*24*60</f>
        <v>112</v>
      </c>
      <c r="W13" s="310">
        <f>T13</f>
        <v>0.20277777777777778</v>
      </c>
      <c r="X13" s="310">
        <f>S14</f>
        <v>0.22361111111111112</v>
      </c>
      <c r="Y13" s="570"/>
      <c r="Z13" s="570"/>
      <c r="AA13" s="306">
        <f t="shared" si="8"/>
        <v>-71.785714285714448</v>
      </c>
      <c r="AB13" s="432">
        <f t="shared" si="9"/>
        <v>0.95214285714285707</v>
      </c>
      <c r="AC13" s="571">
        <f>AB19</f>
        <v>0.95551975898494912</v>
      </c>
    </row>
    <row r="14" spans="1:29" ht="16.5" customHeight="1">
      <c r="A14" s="597" t="s">
        <v>24</v>
      </c>
      <c r="B14" s="438" t="s">
        <v>40</v>
      </c>
      <c r="C14" s="590" t="s">
        <v>45</v>
      </c>
      <c r="D14" s="590"/>
      <c r="E14" s="300">
        <v>39.619999999999997</v>
      </c>
      <c r="F14" s="438">
        <v>4878</v>
      </c>
      <c r="G14" s="428">
        <f t="shared" si="15"/>
        <v>193266.36</v>
      </c>
      <c r="H14" s="439" t="s">
        <v>35</v>
      </c>
      <c r="I14" s="430">
        <v>19</v>
      </c>
      <c r="J14" s="303">
        <v>1500</v>
      </c>
      <c r="K14" s="304">
        <f t="shared" si="1"/>
        <v>78.94736842105263</v>
      </c>
      <c r="L14" s="430">
        <v>19</v>
      </c>
      <c r="M14" s="305">
        <f t="shared" si="16"/>
        <v>1427.7073170731705</v>
      </c>
      <c r="N14" s="304">
        <f t="shared" si="3"/>
        <v>75.142490372272135</v>
      </c>
      <c r="O14" s="306">
        <f t="shared" si="4"/>
        <v>0</v>
      </c>
      <c r="P14" s="307">
        <f t="shared" si="5"/>
        <v>-3.8048780487804947</v>
      </c>
      <c r="Q14" s="432">
        <f t="shared" si="6"/>
        <v>0.95180487804878044</v>
      </c>
      <c r="R14" s="571"/>
      <c r="S14" s="308">
        <v>0.22361111111111112</v>
      </c>
      <c r="T14" s="308">
        <v>0.36597222222222225</v>
      </c>
      <c r="U14" s="428">
        <f t="shared" ref="U14:U18" si="18">IF(S14=TIME(17,0,0),"",(S14-T13)*24*60)</f>
        <v>30.000000000000014</v>
      </c>
      <c r="V14" s="429">
        <f t="shared" si="17"/>
        <v>205.00000000000003</v>
      </c>
      <c r="W14" s="310"/>
      <c r="X14" s="310"/>
      <c r="Y14" s="570"/>
      <c r="Z14" s="570"/>
      <c r="AA14" s="306">
        <f t="shared" si="8"/>
        <v>-72.292682926829457</v>
      </c>
      <c r="AB14" s="432">
        <f t="shared" si="9"/>
        <v>0.95180487804878033</v>
      </c>
      <c r="AC14" s="571"/>
    </row>
    <row r="15" spans="1:29" ht="16.5" customHeight="1">
      <c r="A15" s="597" t="s">
        <v>24</v>
      </c>
      <c r="B15" s="438" t="s">
        <v>1182</v>
      </c>
      <c r="C15" s="590" t="s">
        <v>1041</v>
      </c>
      <c r="D15" s="590"/>
      <c r="E15" s="300">
        <v>57.3</v>
      </c>
      <c r="F15" s="438">
        <v>2308</v>
      </c>
      <c r="G15" s="428">
        <f t="shared" si="15"/>
        <v>132248.4</v>
      </c>
      <c r="H15" s="439" t="s">
        <v>35</v>
      </c>
      <c r="I15" s="430">
        <v>17</v>
      </c>
      <c r="J15" s="303">
        <v>1500</v>
      </c>
      <c r="K15" s="304">
        <f t="shared" si="1"/>
        <v>88.235294117647058</v>
      </c>
      <c r="L15" s="430">
        <v>17</v>
      </c>
      <c r="M15" s="305">
        <f t="shared" si="16"/>
        <v>1427.628865979382</v>
      </c>
      <c r="N15" s="304">
        <f t="shared" si="3"/>
        <v>83.978168587022466</v>
      </c>
      <c r="O15" s="306">
        <f t="shared" si="4"/>
        <v>0</v>
      </c>
      <c r="P15" s="307">
        <f t="shared" si="5"/>
        <v>-4.2571255306245916</v>
      </c>
      <c r="Q15" s="432">
        <f t="shared" si="6"/>
        <v>0.95175257731958796</v>
      </c>
      <c r="R15" s="571"/>
      <c r="S15" s="308">
        <v>0.37013888888888891</v>
      </c>
      <c r="T15" s="308">
        <v>0.4375</v>
      </c>
      <c r="U15" s="428">
        <f t="shared" si="18"/>
        <v>5.9999999999999787</v>
      </c>
      <c r="V15" s="429">
        <f t="shared" si="17"/>
        <v>96.999999999999972</v>
      </c>
      <c r="W15" s="310"/>
      <c r="X15" s="310"/>
      <c r="Y15" s="570"/>
      <c r="Z15" s="570"/>
      <c r="AA15" s="306">
        <f t="shared" si="8"/>
        <v>-72.371134020618001</v>
      </c>
      <c r="AB15" s="432">
        <f t="shared" si="9"/>
        <v>0.95175257731958796</v>
      </c>
      <c r="AC15" s="571"/>
    </row>
    <row r="16" spans="1:29" ht="16.5" customHeight="1">
      <c r="A16" s="597" t="s">
        <v>24</v>
      </c>
      <c r="B16" s="438" t="s">
        <v>46</v>
      </c>
      <c r="C16" s="590" t="s">
        <v>57</v>
      </c>
      <c r="D16" s="590"/>
      <c r="E16" s="300">
        <v>20.52</v>
      </c>
      <c r="F16" s="438">
        <v>2350</v>
      </c>
      <c r="G16" s="428">
        <f t="shared" si="15"/>
        <v>48222</v>
      </c>
      <c r="H16" s="439">
        <v>2</v>
      </c>
      <c r="I16" s="430">
        <v>18</v>
      </c>
      <c r="J16" s="303">
        <v>2400</v>
      </c>
      <c r="K16" s="304">
        <f t="shared" si="1"/>
        <v>133.33333333333334</v>
      </c>
      <c r="L16" s="430">
        <v>18</v>
      </c>
      <c r="M16" s="305">
        <f t="shared" si="16"/>
        <v>2311.475409836065</v>
      </c>
      <c r="N16" s="304">
        <f t="shared" si="3"/>
        <v>128.41530054644807</v>
      </c>
      <c r="O16" s="306">
        <f t="shared" si="4"/>
        <v>0</v>
      </c>
      <c r="P16" s="307">
        <f t="shared" si="5"/>
        <v>-4.9180327868852771</v>
      </c>
      <c r="Q16" s="432">
        <f t="shared" si="6"/>
        <v>0.96311475409836045</v>
      </c>
      <c r="R16" s="571"/>
      <c r="S16" s="308">
        <v>0.44236111111111109</v>
      </c>
      <c r="T16" s="308">
        <v>0.48472222222222222</v>
      </c>
      <c r="U16" s="428">
        <f t="shared" si="18"/>
        <v>6.9999999999999751</v>
      </c>
      <c r="V16" s="429">
        <f t="shared" si="17"/>
        <v>61.000000000000021</v>
      </c>
      <c r="W16" s="310"/>
      <c r="X16" s="310"/>
      <c r="Y16" s="570"/>
      <c r="Z16" s="570"/>
      <c r="AA16" s="306">
        <f t="shared" si="8"/>
        <v>-88.524590163935045</v>
      </c>
      <c r="AB16" s="432">
        <f t="shared" si="9"/>
        <v>0.96311475409836045</v>
      </c>
      <c r="AC16" s="571"/>
    </row>
    <row r="17" spans="1:29" ht="16.5" customHeight="1">
      <c r="A17" s="597" t="s">
        <v>24</v>
      </c>
      <c r="B17" s="438" t="s">
        <v>36</v>
      </c>
      <c r="C17" s="590" t="s">
        <v>49</v>
      </c>
      <c r="D17" s="590"/>
      <c r="E17" s="300">
        <v>50.98</v>
      </c>
      <c r="F17" s="438">
        <v>3526</v>
      </c>
      <c r="G17" s="428">
        <f t="shared" si="15"/>
        <v>179755.47999999998</v>
      </c>
      <c r="H17" s="439" t="s">
        <v>35</v>
      </c>
      <c r="I17" s="430">
        <v>16</v>
      </c>
      <c r="J17" s="303">
        <v>2000</v>
      </c>
      <c r="K17" s="304">
        <f t="shared" si="1"/>
        <v>125</v>
      </c>
      <c r="L17" s="430">
        <v>16</v>
      </c>
      <c r="M17" s="305">
        <f t="shared" si="16"/>
        <v>1905.9459459459472</v>
      </c>
      <c r="N17" s="304">
        <f t="shared" si="3"/>
        <v>119.1216216216217</v>
      </c>
      <c r="O17" s="306">
        <f t="shared" si="4"/>
        <v>0</v>
      </c>
      <c r="P17" s="307">
        <f t="shared" si="5"/>
        <v>-5.8783783783783008</v>
      </c>
      <c r="Q17" s="432">
        <f t="shared" si="6"/>
        <v>0.95297297297297356</v>
      </c>
      <c r="R17" s="571"/>
      <c r="S17" s="308">
        <v>0.70833333333333337</v>
      </c>
      <c r="T17" s="308">
        <v>0.78541666666666665</v>
      </c>
      <c r="U17" s="428" t="str">
        <f t="shared" si="18"/>
        <v/>
      </c>
      <c r="V17" s="429">
        <f t="shared" si="17"/>
        <v>110.99999999999993</v>
      </c>
      <c r="W17" s="310"/>
      <c r="X17" s="310"/>
      <c r="Y17" s="570"/>
      <c r="Z17" s="570"/>
      <c r="AA17" s="306">
        <f t="shared" si="8"/>
        <v>-94.054054054052813</v>
      </c>
      <c r="AB17" s="432">
        <f t="shared" si="9"/>
        <v>0.95297297297297356</v>
      </c>
      <c r="AC17" s="571"/>
    </row>
    <row r="18" spans="1:29" ht="16.5" customHeight="1">
      <c r="A18" s="597" t="s">
        <v>24</v>
      </c>
      <c r="B18" s="438" t="s">
        <v>36</v>
      </c>
      <c r="C18" s="613" t="s">
        <v>50</v>
      </c>
      <c r="D18" s="614"/>
      <c r="E18" s="300">
        <v>50.92</v>
      </c>
      <c r="F18" s="438">
        <v>3956</v>
      </c>
      <c r="G18" s="428">
        <f t="shared" si="15"/>
        <v>201439.52000000002</v>
      </c>
      <c r="H18" s="439" t="s">
        <v>35</v>
      </c>
      <c r="I18" s="430">
        <v>15</v>
      </c>
      <c r="J18" s="303">
        <v>2000</v>
      </c>
      <c r="K18" s="304">
        <f t="shared" si="1"/>
        <v>133.33333333333334</v>
      </c>
      <c r="L18" s="430">
        <v>15</v>
      </c>
      <c r="M18" s="305">
        <f t="shared" si="16"/>
        <v>1914.1935483870961</v>
      </c>
      <c r="N18" s="304">
        <f t="shared" si="3"/>
        <v>127.61290322580641</v>
      </c>
      <c r="O18" s="306">
        <f t="shared" si="4"/>
        <v>0</v>
      </c>
      <c r="P18" s="307">
        <f t="shared" si="5"/>
        <v>-5.720430107526937</v>
      </c>
      <c r="Q18" s="432">
        <f t="shared" si="6"/>
        <v>0.95709677419354799</v>
      </c>
      <c r="R18" s="571"/>
      <c r="S18" s="308">
        <v>0.7895833333333333</v>
      </c>
      <c r="T18" s="308">
        <v>0.87569444444444444</v>
      </c>
      <c r="U18" s="428">
        <f t="shared" si="18"/>
        <v>5.9999999999999787</v>
      </c>
      <c r="V18" s="429">
        <f t="shared" si="17"/>
        <v>124.00000000000004</v>
      </c>
      <c r="W18" s="310"/>
      <c r="X18" s="310"/>
      <c r="Y18" s="566"/>
      <c r="Z18" s="567"/>
      <c r="AA18" s="306">
        <f t="shared" si="8"/>
        <v>-85.806451612903857</v>
      </c>
      <c r="AB18" s="432">
        <f t="shared" si="9"/>
        <v>0.95709677419354811</v>
      </c>
      <c r="AC18" s="571"/>
    </row>
    <row r="19" spans="1:29" ht="16.5" customHeight="1">
      <c r="A19" s="597" t="s">
        <v>24</v>
      </c>
      <c r="B19" s="300" t="s">
        <v>22</v>
      </c>
      <c r="C19" s="572"/>
      <c r="D19" s="572"/>
      <c r="E19" s="431"/>
      <c r="F19" s="313"/>
      <c r="G19" s="304"/>
      <c r="H19" s="438"/>
      <c r="I19" s="314">
        <v>18.5</v>
      </c>
      <c r="J19" s="303">
        <v>1816.6666666666667</v>
      </c>
      <c r="K19" s="304">
        <f t="shared" si="1"/>
        <v>98.198198198198199</v>
      </c>
      <c r="L19" s="314">
        <v>18.5</v>
      </c>
      <c r="M19" s="305">
        <f>AVERAGE(M13:M18)</f>
        <v>1735.8608954893243</v>
      </c>
      <c r="N19" s="304">
        <f t="shared" si="3"/>
        <v>93.83031867509861</v>
      </c>
      <c r="O19" s="306">
        <f t="shared" si="4"/>
        <v>0</v>
      </c>
      <c r="P19" s="307">
        <f t="shared" si="5"/>
        <v>-4.3678795230995888</v>
      </c>
      <c r="Q19" s="432">
        <f t="shared" si="6"/>
        <v>0.95551975898494912</v>
      </c>
      <c r="R19" s="571"/>
      <c r="S19" s="308"/>
      <c r="T19" s="308"/>
      <c r="U19" s="428"/>
      <c r="V19" s="429"/>
      <c r="W19" s="304"/>
      <c r="X19" s="304"/>
      <c r="Y19" s="570"/>
      <c r="Z19" s="570"/>
      <c r="AA19" s="306">
        <f t="shared" si="8"/>
        <v>-80.805771177342422</v>
      </c>
      <c r="AB19" s="432">
        <f t="shared" si="9"/>
        <v>0.95551975898494912</v>
      </c>
      <c r="AC19" s="571"/>
    </row>
    <row r="20" spans="1:29" ht="15.75" customHeight="1">
      <c r="A20" s="592" t="s">
        <v>26</v>
      </c>
      <c r="B20" s="300" t="s">
        <v>43</v>
      </c>
      <c r="C20" s="590" t="s">
        <v>51</v>
      </c>
      <c r="D20" s="590"/>
      <c r="E20" s="300">
        <v>43.14</v>
      </c>
      <c r="F20" s="438">
        <v>1532</v>
      </c>
      <c r="G20" s="428">
        <f t="shared" ref="G20:G23" si="19">E20*F20</f>
        <v>66090.48</v>
      </c>
      <c r="H20" s="439" t="s">
        <v>35</v>
      </c>
      <c r="I20" s="430">
        <v>17</v>
      </c>
      <c r="J20" s="303">
        <v>2000</v>
      </c>
      <c r="K20" s="304">
        <f t="shared" si="1"/>
        <v>117.64705882352941</v>
      </c>
      <c r="L20" s="430">
        <v>17</v>
      </c>
      <c r="M20" s="305">
        <f t="shared" ref="M20:M23" si="20">F20/V20*60</f>
        <v>1915.0000000000005</v>
      </c>
      <c r="N20" s="304">
        <f t="shared" si="3"/>
        <v>112.64705882352943</v>
      </c>
      <c r="O20" s="306">
        <f t="shared" si="4"/>
        <v>0</v>
      </c>
      <c r="P20" s="307">
        <f t="shared" si="5"/>
        <v>-4.9999999999999716</v>
      </c>
      <c r="Q20" s="432">
        <f t="shared" si="6"/>
        <v>0.95750000000000024</v>
      </c>
      <c r="R20" s="571">
        <f>Q24</f>
        <v>0.95560478091728118</v>
      </c>
      <c r="S20" s="308">
        <v>0.20833333333333334</v>
      </c>
      <c r="T20" s="308">
        <v>0.24166666666666667</v>
      </c>
      <c r="U20" s="428"/>
      <c r="V20" s="429">
        <f t="shared" ref="V20:V23" si="21">(T20-S20)*24*60</f>
        <v>47.999999999999986</v>
      </c>
      <c r="W20" s="315"/>
      <c r="X20" s="315"/>
      <c r="Y20" s="570"/>
      <c r="Z20" s="570"/>
      <c r="AA20" s="306">
        <f t="shared" si="8"/>
        <v>-84.999999999999545</v>
      </c>
      <c r="AB20" s="432">
        <f t="shared" si="9"/>
        <v>0.95750000000000024</v>
      </c>
      <c r="AC20" s="571">
        <f>AB24</f>
        <v>0.95560478091728118</v>
      </c>
    </row>
    <row r="21" spans="1:29" ht="15.75" customHeight="1">
      <c r="A21" s="593" t="s">
        <v>26</v>
      </c>
      <c r="B21" s="300" t="s">
        <v>36</v>
      </c>
      <c r="C21" s="590" t="s">
        <v>53</v>
      </c>
      <c r="D21" s="590"/>
      <c r="E21" s="300">
        <v>53.68</v>
      </c>
      <c r="F21" s="438">
        <v>2355</v>
      </c>
      <c r="G21" s="428">
        <f t="shared" si="19"/>
        <v>126416.4</v>
      </c>
      <c r="H21" s="439" t="s">
        <v>35</v>
      </c>
      <c r="I21" s="430">
        <v>16</v>
      </c>
      <c r="J21" s="303">
        <v>2000</v>
      </c>
      <c r="K21" s="304">
        <f t="shared" si="1"/>
        <v>125</v>
      </c>
      <c r="L21" s="430">
        <v>16</v>
      </c>
      <c r="M21" s="305">
        <f t="shared" si="20"/>
        <v>1909.4594594594603</v>
      </c>
      <c r="N21" s="304">
        <f t="shared" si="3"/>
        <v>119.34121621621627</v>
      </c>
      <c r="O21" s="306">
        <f t="shared" si="4"/>
        <v>0</v>
      </c>
      <c r="P21" s="307">
        <f t="shared" si="5"/>
        <v>-5.6587837837837327</v>
      </c>
      <c r="Q21" s="432">
        <f t="shared" si="6"/>
        <v>0.95472972972973014</v>
      </c>
      <c r="R21" s="571"/>
      <c r="S21" s="308">
        <v>0.24722222222222223</v>
      </c>
      <c r="T21" s="308">
        <v>0.2986111111111111</v>
      </c>
      <c r="U21" s="428">
        <f t="shared" ref="U21:U23" si="22">IF(S21=TIME(17,0,0),"",(S21-T20)*24*60)</f>
        <v>8.0000000000000107</v>
      </c>
      <c r="V21" s="429">
        <f t="shared" si="21"/>
        <v>73.999999999999972</v>
      </c>
      <c r="W21" s="310"/>
      <c r="X21" s="428"/>
      <c r="Y21" s="570"/>
      <c r="Z21" s="570"/>
      <c r="AA21" s="306">
        <f t="shared" si="8"/>
        <v>-90.540540540539723</v>
      </c>
      <c r="AB21" s="432">
        <f t="shared" si="9"/>
        <v>0.95472972972973014</v>
      </c>
      <c r="AC21" s="571"/>
    </row>
    <row r="22" spans="1:29" ht="15.75" customHeight="1">
      <c r="A22" s="593" t="s">
        <v>26</v>
      </c>
      <c r="B22" s="300" t="s">
        <v>36</v>
      </c>
      <c r="C22" s="590" t="s">
        <v>52</v>
      </c>
      <c r="D22" s="590"/>
      <c r="E22" s="300">
        <v>57.73</v>
      </c>
      <c r="F22" s="438">
        <v>3825</v>
      </c>
      <c r="G22" s="428">
        <f t="shared" si="19"/>
        <v>220817.25</v>
      </c>
      <c r="H22" s="439" t="s">
        <v>35</v>
      </c>
      <c r="I22" s="430">
        <v>15</v>
      </c>
      <c r="J22" s="303">
        <v>2000</v>
      </c>
      <c r="K22" s="304">
        <f t="shared" si="1"/>
        <v>133.33333333333334</v>
      </c>
      <c r="L22" s="430">
        <v>15</v>
      </c>
      <c r="M22" s="305">
        <f t="shared" si="20"/>
        <v>1912.5000000000005</v>
      </c>
      <c r="N22" s="304">
        <f t="shared" si="3"/>
        <v>127.50000000000003</v>
      </c>
      <c r="O22" s="306">
        <f t="shared" si="4"/>
        <v>0</v>
      </c>
      <c r="P22" s="307">
        <f t="shared" si="5"/>
        <v>-5.8333333333333144</v>
      </c>
      <c r="Q22" s="432">
        <f t="shared" si="6"/>
        <v>0.95625000000000016</v>
      </c>
      <c r="R22" s="571"/>
      <c r="S22" s="308">
        <v>0.30277777777777776</v>
      </c>
      <c r="T22" s="308">
        <v>0.38611111111111107</v>
      </c>
      <c r="U22" s="428">
        <f t="shared" si="22"/>
        <v>5.9999999999999787</v>
      </c>
      <c r="V22" s="429">
        <f t="shared" si="21"/>
        <v>119.99999999999997</v>
      </c>
      <c r="W22" s="310"/>
      <c r="X22" s="428"/>
      <c r="Y22" s="570"/>
      <c r="Z22" s="570"/>
      <c r="AA22" s="306">
        <f t="shared" si="8"/>
        <v>-87.499999999999545</v>
      </c>
      <c r="AB22" s="432">
        <f t="shared" si="9"/>
        <v>0.95625000000000027</v>
      </c>
      <c r="AC22" s="571"/>
    </row>
    <row r="23" spans="1:29" ht="15.75" customHeight="1">
      <c r="A23" s="593" t="s">
        <v>26</v>
      </c>
      <c r="B23" s="300" t="s">
        <v>36</v>
      </c>
      <c r="C23" s="590" t="s">
        <v>55</v>
      </c>
      <c r="D23" s="590"/>
      <c r="E23" s="300">
        <v>54.09</v>
      </c>
      <c r="F23" s="438">
        <v>3148</v>
      </c>
      <c r="G23" s="428">
        <f t="shared" si="19"/>
        <v>170275.32</v>
      </c>
      <c r="H23" s="439" t="s">
        <v>35</v>
      </c>
      <c r="I23" s="430">
        <v>19</v>
      </c>
      <c r="J23" s="303">
        <v>2000</v>
      </c>
      <c r="K23" s="304">
        <f t="shared" si="1"/>
        <v>105.26315789473684</v>
      </c>
      <c r="L23" s="430">
        <v>19</v>
      </c>
      <c r="M23" s="305">
        <f t="shared" si="20"/>
        <v>1907.8787878787884</v>
      </c>
      <c r="N23" s="304">
        <f t="shared" si="3"/>
        <v>100.41467304625202</v>
      </c>
      <c r="O23" s="306">
        <f t="shared" si="4"/>
        <v>0</v>
      </c>
      <c r="P23" s="307">
        <f t="shared" si="5"/>
        <v>-4.8484848484848158</v>
      </c>
      <c r="Q23" s="432">
        <f t="shared" si="6"/>
        <v>0.9539393939393942</v>
      </c>
      <c r="R23" s="571"/>
      <c r="S23" s="308">
        <v>0.70833333333333337</v>
      </c>
      <c r="T23" s="308">
        <v>0.77708333333333335</v>
      </c>
      <c r="U23" s="428" t="str">
        <f t="shared" si="22"/>
        <v/>
      </c>
      <c r="V23" s="429">
        <f t="shared" si="21"/>
        <v>98.999999999999972</v>
      </c>
      <c r="W23" s="310"/>
      <c r="X23" s="428"/>
      <c r="Y23" s="570"/>
      <c r="Z23" s="570"/>
      <c r="AA23" s="306">
        <f t="shared" si="8"/>
        <v>-92.121212121211556</v>
      </c>
      <c r="AB23" s="432">
        <f t="shared" si="9"/>
        <v>0.9539393939393942</v>
      </c>
      <c r="AC23" s="571"/>
    </row>
    <row r="24" spans="1:29" ht="15.75" customHeight="1">
      <c r="A24" s="593" t="s">
        <v>26</v>
      </c>
      <c r="B24" s="300" t="s">
        <v>22</v>
      </c>
      <c r="C24" s="572"/>
      <c r="D24" s="572"/>
      <c r="E24" s="431"/>
      <c r="F24" s="438"/>
      <c r="G24" s="428"/>
      <c r="H24" s="438"/>
      <c r="I24" s="314">
        <v>16.75</v>
      </c>
      <c r="J24" s="303">
        <v>2000</v>
      </c>
      <c r="K24" s="304">
        <f t="shared" si="1"/>
        <v>119.40298507462687</v>
      </c>
      <c r="L24" s="314">
        <v>16.75</v>
      </c>
      <c r="M24" s="305">
        <f>AVERAGE(M20:M23)</f>
        <v>1911.2095618345625</v>
      </c>
      <c r="N24" s="304">
        <f t="shared" si="3"/>
        <v>114.10206339310821</v>
      </c>
      <c r="O24" s="306">
        <f t="shared" si="4"/>
        <v>0</v>
      </c>
      <c r="P24" s="307">
        <f t="shared" si="5"/>
        <v>-5.3009216815186591</v>
      </c>
      <c r="Q24" s="432">
        <f t="shared" si="6"/>
        <v>0.95560478091728118</v>
      </c>
      <c r="R24" s="571"/>
      <c r="S24" s="308"/>
      <c r="T24" s="308"/>
      <c r="U24" s="304"/>
      <c r="V24" s="429"/>
      <c r="W24" s="304"/>
      <c r="X24" s="304"/>
      <c r="Y24" s="570"/>
      <c r="Z24" s="570"/>
      <c r="AA24" s="306">
        <f t="shared" si="8"/>
        <v>-88.790438165437536</v>
      </c>
      <c r="AB24" s="432">
        <f t="shared" si="9"/>
        <v>0.95560478091728118</v>
      </c>
      <c r="AC24" s="571"/>
    </row>
    <row r="25" spans="1:29" ht="15.75" customHeight="1">
      <c r="A25" s="591" t="s">
        <v>28</v>
      </c>
      <c r="B25" s="300" t="s">
        <v>46</v>
      </c>
      <c r="C25" s="590" t="s">
        <v>61</v>
      </c>
      <c r="D25" s="590"/>
      <c r="E25" s="300">
        <v>31.29</v>
      </c>
      <c r="F25" s="438">
        <v>6100</v>
      </c>
      <c r="G25" s="428">
        <f t="shared" ref="G25:G33" si="23">E25*F25</f>
        <v>190869</v>
      </c>
      <c r="H25" s="439">
        <v>2</v>
      </c>
      <c r="I25" s="430">
        <v>18</v>
      </c>
      <c r="J25" s="303">
        <v>2400</v>
      </c>
      <c r="K25" s="304">
        <f t="shared" si="1"/>
        <v>133.33333333333334</v>
      </c>
      <c r="L25" s="430">
        <v>18</v>
      </c>
      <c r="M25" s="305">
        <f t="shared" ref="M25:M33" si="24">F25/V25*60</f>
        <v>2287.5</v>
      </c>
      <c r="N25" s="304">
        <f t="shared" si="3"/>
        <v>127.08333333333333</v>
      </c>
      <c r="O25" s="306">
        <f t="shared" si="4"/>
        <v>0</v>
      </c>
      <c r="P25" s="307">
        <f t="shared" si="5"/>
        <v>-6.2500000000000142</v>
      </c>
      <c r="Q25" s="432">
        <f t="shared" si="6"/>
        <v>0.95312499999999989</v>
      </c>
      <c r="R25" s="571">
        <f>Q34</f>
        <v>0.96017568163724487</v>
      </c>
      <c r="S25" s="308">
        <v>0.125</v>
      </c>
      <c r="T25" s="308">
        <v>0.2361111111111111</v>
      </c>
      <c r="U25" s="428"/>
      <c r="V25" s="429">
        <f t="shared" ref="V25:V33" si="25">(T25-S25)*24*60</f>
        <v>160</v>
      </c>
      <c r="W25" s="310">
        <f>T25</f>
        <v>0.2361111111111111</v>
      </c>
      <c r="X25" s="310">
        <f>S26</f>
        <v>0.25486111111111109</v>
      </c>
      <c r="Y25" s="570"/>
      <c r="Z25" s="570"/>
      <c r="AA25" s="306">
        <f t="shared" si="8"/>
        <v>-112.5</v>
      </c>
      <c r="AB25" s="432">
        <f t="shared" si="9"/>
        <v>0.953125</v>
      </c>
      <c r="AC25" s="571">
        <f>AB34</f>
        <v>0.96017568163724487</v>
      </c>
    </row>
    <row r="26" spans="1:29" ht="15.75" customHeight="1">
      <c r="A26" s="591" t="s">
        <v>28</v>
      </c>
      <c r="B26" s="300" t="s">
        <v>46</v>
      </c>
      <c r="C26" s="590" t="s">
        <v>59</v>
      </c>
      <c r="D26" s="590"/>
      <c r="E26" s="300">
        <v>26.18</v>
      </c>
      <c r="F26" s="438">
        <v>2500</v>
      </c>
      <c r="G26" s="428">
        <f t="shared" si="23"/>
        <v>65450</v>
      </c>
      <c r="H26" s="439">
        <v>2</v>
      </c>
      <c r="I26" s="430">
        <v>19</v>
      </c>
      <c r="J26" s="303">
        <v>2400</v>
      </c>
      <c r="K26" s="304">
        <f t="shared" si="1"/>
        <v>126.31578947368421</v>
      </c>
      <c r="L26" s="430">
        <v>19</v>
      </c>
      <c r="M26" s="305">
        <f t="shared" si="24"/>
        <v>2307.6923076923072</v>
      </c>
      <c r="N26" s="304">
        <f t="shared" si="3"/>
        <v>121.45748987854249</v>
      </c>
      <c r="O26" s="306">
        <f t="shared" si="4"/>
        <v>0</v>
      </c>
      <c r="P26" s="307">
        <f t="shared" si="5"/>
        <v>-4.8582995951417161</v>
      </c>
      <c r="Q26" s="432">
        <f t="shared" si="6"/>
        <v>0.96153846153846145</v>
      </c>
      <c r="R26" s="571"/>
      <c r="S26" s="308">
        <v>0.25486111111111109</v>
      </c>
      <c r="T26" s="308">
        <v>0.3</v>
      </c>
      <c r="U26" s="428">
        <f t="shared" ref="U26:U33" si="26">(S26-T25)*24*60</f>
        <v>26.999999999999986</v>
      </c>
      <c r="V26" s="429">
        <f t="shared" si="25"/>
        <v>65.000000000000014</v>
      </c>
      <c r="W26" s="310"/>
      <c r="X26" s="310"/>
      <c r="Y26" s="570"/>
      <c r="Z26" s="570"/>
      <c r="AA26" s="306">
        <f t="shared" si="8"/>
        <v>-92.307692307692832</v>
      </c>
      <c r="AB26" s="432">
        <f t="shared" si="9"/>
        <v>0.96153846153846134</v>
      </c>
      <c r="AC26" s="571"/>
    </row>
    <row r="27" spans="1:29" ht="15.75" customHeight="1">
      <c r="A27" s="591" t="s">
        <v>28</v>
      </c>
      <c r="B27" s="300" t="s">
        <v>46</v>
      </c>
      <c r="C27" s="590" t="s">
        <v>60</v>
      </c>
      <c r="D27" s="590"/>
      <c r="E27" s="300">
        <v>26.2</v>
      </c>
      <c r="F27" s="438">
        <v>3200</v>
      </c>
      <c r="G27" s="428">
        <f t="shared" si="23"/>
        <v>83840</v>
      </c>
      <c r="H27" s="439">
        <v>2</v>
      </c>
      <c r="I27" s="430">
        <v>19</v>
      </c>
      <c r="J27" s="303">
        <v>2400</v>
      </c>
      <c r="K27" s="304">
        <f t="shared" si="1"/>
        <v>126.31578947368421</v>
      </c>
      <c r="L27" s="430">
        <v>19</v>
      </c>
      <c r="M27" s="305">
        <f t="shared" si="24"/>
        <v>2285.7142857142849</v>
      </c>
      <c r="N27" s="304">
        <f t="shared" si="3"/>
        <v>120.30075187969921</v>
      </c>
      <c r="O27" s="306">
        <f t="shared" si="4"/>
        <v>0</v>
      </c>
      <c r="P27" s="307">
        <f t="shared" si="5"/>
        <v>-6.0150375939849994</v>
      </c>
      <c r="Q27" s="432">
        <f t="shared" si="6"/>
        <v>0.95238095238095211</v>
      </c>
      <c r="R27" s="571"/>
      <c r="S27" s="308">
        <v>0.3034722222222222</v>
      </c>
      <c r="T27" s="308">
        <v>0.36180555555555555</v>
      </c>
      <c r="U27" s="428">
        <f t="shared" si="26"/>
        <v>4.9999999999999822</v>
      </c>
      <c r="V27" s="429">
        <f t="shared" si="25"/>
        <v>84.000000000000028</v>
      </c>
      <c r="W27" s="310"/>
      <c r="X27" s="310"/>
      <c r="Y27" s="570"/>
      <c r="Z27" s="570"/>
      <c r="AA27" s="306">
        <f t="shared" si="8"/>
        <v>-114.28571428571513</v>
      </c>
      <c r="AB27" s="432">
        <f t="shared" si="9"/>
        <v>0.952380952380952</v>
      </c>
      <c r="AC27" s="571"/>
    </row>
    <row r="28" spans="1:29" ht="15.75" customHeight="1">
      <c r="A28" s="591" t="s">
        <v>28</v>
      </c>
      <c r="B28" s="300" t="s">
        <v>46</v>
      </c>
      <c r="C28" s="590" t="s">
        <v>56</v>
      </c>
      <c r="D28" s="590"/>
      <c r="E28" s="300">
        <v>26.2</v>
      </c>
      <c r="F28" s="438">
        <v>3300</v>
      </c>
      <c r="G28" s="428">
        <f t="shared" si="23"/>
        <v>86460</v>
      </c>
      <c r="H28" s="439">
        <v>2</v>
      </c>
      <c r="I28" s="430">
        <v>20</v>
      </c>
      <c r="J28" s="303">
        <v>2400</v>
      </c>
      <c r="K28" s="304">
        <f t="shared" si="1"/>
        <v>120</v>
      </c>
      <c r="L28" s="430">
        <v>20</v>
      </c>
      <c r="M28" s="305">
        <f t="shared" si="24"/>
        <v>2302.3255813953483</v>
      </c>
      <c r="N28" s="304">
        <f t="shared" si="3"/>
        <v>115.11627906976742</v>
      </c>
      <c r="O28" s="306">
        <f t="shared" si="4"/>
        <v>0</v>
      </c>
      <c r="P28" s="307">
        <f t="shared" si="5"/>
        <v>-4.8837209302325846</v>
      </c>
      <c r="Q28" s="432">
        <f t="shared" si="6"/>
        <v>0.95930232558139517</v>
      </c>
      <c r="R28" s="571"/>
      <c r="S28" s="308">
        <v>0.36527777777777776</v>
      </c>
      <c r="T28" s="308">
        <v>0.42499999999999999</v>
      </c>
      <c r="U28" s="428">
        <f t="shared" si="26"/>
        <v>4.9999999999999822</v>
      </c>
      <c r="V28" s="429">
        <f t="shared" si="25"/>
        <v>86.000000000000014</v>
      </c>
      <c r="W28" s="310"/>
      <c r="X28" s="310"/>
      <c r="Y28" s="570"/>
      <c r="Z28" s="570"/>
      <c r="AA28" s="306">
        <f t="shared" si="8"/>
        <v>-97.674418604651692</v>
      </c>
      <c r="AB28" s="432">
        <f t="shared" si="9"/>
        <v>0.95930232558139517</v>
      </c>
      <c r="AC28" s="571"/>
    </row>
    <row r="29" spans="1:29" ht="15.75" customHeight="1">
      <c r="A29" s="591" t="s">
        <v>28</v>
      </c>
      <c r="B29" s="300" t="s">
        <v>46</v>
      </c>
      <c r="C29" s="590" t="s">
        <v>62</v>
      </c>
      <c r="D29" s="590"/>
      <c r="E29" s="300">
        <v>25</v>
      </c>
      <c r="F29" s="438">
        <v>5165</v>
      </c>
      <c r="G29" s="428">
        <f t="shared" si="23"/>
        <v>129125</v>
      </c>
      <c r="H29" s="439" t="s">
        <v>35</v>
      </c>
      <c r="I29" s="430">
        <v>15</v>
      </c>
      <c r="J29" s="303">
        <v>2400</v>
      </c>
      <c r="K29" s="304">
        <f t="shared" si="1"/>
        <v>160</v>
      </c>
      <c r="L29" s="430">
        <v>15</v>
      </c>
      <c r="M29" s="305">
        <f t="shared" si="24"/>
        <v>2295.5555555555543</v>
      </c>
      <c r="N29" s="304">
        <f t="shared" si="3"/>
        <v>153.03703703703695</v>
      </c>
      <c r="O29" s="306">
        <f t="shared" si="4"/>
        <v>0</v>
      </c>
      <c r="P29" s="307">
        <f t="shared" si="5"/>
        <v>-6.9629629629630472</v>
      </c>
      <c r="Q29" s="432">
        <f t="shared" si="6"/>
        <v>0.95648148148148093</v>
      </c>
      <c r="R29" s="571"/>
      <c r="S29" s="308">
        <v>0.42916666666666664</v>
      </c>
      <c r="T29" s="308">
        <v>0.5229166666666667</v>
      </c>
      <c r="U29" s="428">
        <f t="shared" si="26"/>
        <v>5.9999999999999787</v>
      </c>
      <c r="V29" s="429">
        <f t="shared" si="25"/>
        <v>135.00000000000009</v>
      </c>
      <c r="W29" s="310">
        <f>T29</f>
        <v>0.5229166666666667</v>
      </c>
      <c r="X29" s="310">
        <f>S30</f>
        <v>0.56180555555555556</v>
      </c>
      <c r="Y29" s="570"/>
      <c r="Z29" s="570"/>
      <c r="AA29" s="306">
        <f t="shared" si="8"/>
        <v>-104.44444444444571</v>
      </c>
      <c r="AB29" s="432">
        <f t="shared" si="9"/>
        <v>0.95648148148148093</v>
      </c>
      <c r="AC29" s="571"/>
    </row>
    <row r="30" spans="1:29" ht="15.75" customHeight="1">
      <c r="A30" s="591" t="s">
        <v>28</v>
      </c>
      <c r="B30" s="300" t="s">
        <v>46</v>
      </c>
      <c r="C30" s="590" t="s">
        <v>61</v>
      </c>
      <c r="D30" s="590"/>
      <c r="E30" s="300">
        <v>31.29</v>
      </c>
      <c r="F30" s="438">
        <v>4715</v>
      </c>
      <c r="G30" s="428">
        <f t="shared" si="23"/>
        <v>147532.35</v>
      </c>
      <c r="H30" s="439" t="s">
        <v>35</v>
      </c>
      <c r="I30" s="430">
        <v>18</v>
      </c>
      <c r="J30" s="303">
        <v>2400</v>
      </c>
      <c r="K30" s="304">
        <f t="shared" si="1"/>
        <v>133.33333333333334</v>
      </c>
      <c r="L30" s="430">
        <v>18</v>
      </c>
      <c r="M30" s="305">
        <f t="shared" si="24"/>
        <v>2299.9999999999991</v>
      </c>
      <c r="N30" s="304">
        <f t="shared" si="3"/>
        <v>127.77777777777773</v>
      </c>
      <c r="O30" s="306">
        <f t="shared" si="4"/>
        <v>0</v>
      </c>
      <c r="P30" s="307">
        <f t="shared" si="5"/>
        <v>-5.555555555555614</v>
      </c>
      <c r="Q30" s="432">
        <f t="shared" si="6"/>
        <v>0.95833333333333293</v>
      </c>
      <c r="R30" s="571"/>
      <c r="S30" s="308">
        <v>0.56180555555555556</v>
      </c>
      <c r="T30" s="308">
        <v>0.64722222222222225</v>
      </c>
      <c r="U30" s="428">
        <f t="shared" si="26"/>
        <v>55.999999999999957</v>
      </c>
      <c r="V30" s="429">
        <f t="shared" si="25"/>
        <v>123.00000000000004</v>
      </c>
      <c r="W30" s="310"/>
      <c r="X30" s="310"/>
      <c r="Y30" s="570"/>
      <c r="Z30" s="570"/>
      <c r="AA30" s="306">
        <f t="shared" si="8"/>
        <v>-100.00000000000091</v>
      </c>
      <c r="AB30" s="432">
        <f t="shared" si="9"/>
        <v>0.95833333333333293</v>
      </c>
      <c r="AC30" s="571"/>
    </row>
    <row r="31" spans="1:29" ht="15.75" customHeight="1">
      <c r="A31" s="591" t="s">
        <v>28</v>
      </c>
      <c r="B31" s="300" t="s">
        <v>46</v>
      </c>
      <c r="C31" s="590" t="s">
        <v>56</v>
      </c>
      <c r="D31" s="590"/>
      <c r="E31" s="300">
        <v>26.2</v>
      </c>
      <c r="F31" s="438">
        <v>2507</v>
      </c>
      <c r="G31" s="428">
        <f t="shared" si="23"/>
        <v>65683.399999999994</v>
      </c>
      <c r="H31" s="439" t="s">
        <v>35</v>
      </c>
      <c r="I31" s="430">
        <v>20</v>
      </c>
      <c r="J31" s="303">
        <v>2400</v>
      </c>
      <c r="K31" s="304">
        <f t="shared" si="1"/>
        <v>120</v>
      </c>
      <c r="L31" s="430">
        <v>20</v>
      </c>
      <c r="M31" s="305">
        <f t="shared" si="24"/>
        <v>2314.1538461538489</v>
      </c>
      <c r="N31" s="304">
        <f t="shared" si="3"/>
        <v>115.70769230769244</v>
      </c>
      <c r="O31" s="306">
        <f t="shared" si="4"/>
        <v>0</v>
      </c>
      <c r="P31" s="307">
        <f t="shared" si="5"/>
        <v>-4.2923076923075598</v>
      </c>
      <c r="Q31" s="432">
        <f t="shared" si="6"/>
        <v>0.96423076923077033</v>
      </c>
      <c r="R31" s="571"/>
      <c r="S31" s="308">
        <v>0.65138888888888891</v>
      </c>
      <c r="T31" s="308">
        <v>0.69652777777777775</v>
      </c>
      <c r="U31" s="428">
        <f t="shared" si="26"/>
        <v>5.9999999999999787</v>
      </c>
      <c r="V31" s="429">
        <f t="shared" si="25"/>
        <v>64.999999999999929</v>
      </c>
      <c r="W31" s="310"/>
      <c r="X31" s="310"/>
      <c r="Y31" s="570"/>
      <c r="Z31" s="570"/>
      <c r="AA31" s="306">
        <f t="shared" si="8"/>
        <v>-85.846153846151083</v>
      </c>
      <c r="AB31" s="432">
        <f t="shared" si="9"/>
        <v>0.96423076923077033</v>
      </c>
      <c r="AC31" s="571"/>
    </row>
    <row r="32" spans="1:29" ht="15.75" customHeight="1">
      <c r="A32" s="591" t="s">
        <v>28</v>
      </c>
      <c r="B32" s="300" t="s">
        <v>46</v>
      </c>
      <c r="C32" s="590" t="s">
        <v>59</v>
      </c>
      <c r="D32" s="590"/>
      <c r="E32" s="300">
        <v>26.18</v>
      </c>
      <c r="F32" s="438">
        <v>1712</v>
      </c>
      <c r="G32" s="428">
        <f t="shared" si="23"/>
        <v>44820.159999999996</v>
      </c>
      <c r="H32" s="439" t="s">
        <v>35</v>
      </c>
      <c r="I32" s="430">
        <v>19</v>
      </c>
      <c r="J32" s="303">
        <v>2400</v>
      </c>
      <c r="K32" s="304">
        <f t="shared" si="1"/>
        <v>126.31578947368421</v>
      </c>
      <c r="L32" s="430">
        <v>19</v>
      </c>
      <c r="M32" s="305">
        <f t="shared" si="24"/>
        <v>2334.5454545454545</v>
      </c>
      <c r="N32" s="304">
        <f t="shared" si="3"/>
        <v>122.87081339712918</v>
      </c>
      <c r="O32" s="306">
        <f t="shared" si="4"/>
        <v>0</v>
      </c>
      <c r="P32" s="307">
        <f t="shared" si="5"/>
        <v>-3.4449760765550224</v>
      </c>
      <c r="Q32" s="432">
        <f t="shared" si="6"/>
        <v>0.97272727272727277</v>
      </c>
      <c r="R32" s="571"/>
      <c r="S32" s="308">
        <v>0.70208333333333328</v>
      </c>
      <c r="T32" s="308">
        <v>0.73263888888888884</v>
      </c>
      <c r="U32" s="428">
        <f t="shared" si="26"/>
        <v>7.9999999999999716</v>
      </c>
      <c r="V32" s="429">
        <f t="shared" si="25"/>
        <v>44</v>
      </c>
      <c r="W32" s="310"/>
      <c r="X32" s="310"/>
      <c r="Y32" s="570"/>
      <c r="Z32" s="570"/>
      <c r="AA32" s="306">
        <f t="shared" si="8"/>
        <v>-65.454545454545496</v>
      </c>
      <c r="AB32" s="432">
        <f t="shared" si="9"/>
        <v>0.97272727272727266</v>
      </c>
      <c r="AC32" s="571"/>
    </row>
    <row r="33" spans="1:29" ht="15.75" customHeight="1">
      <c r="A33" s="591" t="s">
        <v>28</v>
      </c>
      <c r="B33" s="300" t="s">
        <v>46</v>
      </c>
      <c r="C33" s="613" t="s">
        <v>60</v>
      </c>
      <c r="D33" s="614"/>
      <c r="E33" s="300">
        <v>26.2</v>
      </c>
      <c r="F33" s="438">
        <v>2004</v>
      </c>
      <c r="G33" s="428">
        <f t="shared" si="23"/>
        <v>52504.799999999996</v>
      </c>
      <c r="H33" s="439" t="s">
        <v>35</v>
      </c>
      <c r="I33" s="430">
        <v>19</v>
      </c>
      <c r="J33" s="303">
        <v>2400</v>
      </c>
      <c r="K33" s="304">
        <f t="shared" si="1"/>
        <v>126.31578947368421</v>
      </c>
      <c r="L33" s="430">
        <v>19</v>
      </c>
      <c r="M33" s="305">
        <f t="shared" si="24"/>
        <v>2312.3076923076937</v>
      </c>
      <c r="N33" s="304">
        <f t="shared" si="3"/>
        <v>121.70040485829968</v>
      </c>
      <c r="O33" s="306">
        <f t="shared" si="4"/>
        <v>0</v>
      </c>
      <c r="P33" s="307">
        <f t="shared" si="5"/>
        <v>-4.6153846153845279</v>
      </c>
      <c r="Q33" s="432">
        <f t="shared" si="6"/>
        <v>0.96346153846153915</v>
      </c>
      <c r="R33" s="571"/>
      <c r="S33" s="308">
        <v>0.73611111111111105</v>
      </c>
      <c r="T33" s="308">
        <v>0.77222222222222214</v>
      </c>
      <c r="U33" s="428">
        <f t="shared" si="26"/>
        <v>4.9999999999999822</v>
      </c>
      <c r="V33" s="429">
        <f t="shared" si="25"/>
        <v>51.999999999999972</v>
      </c>
      <c r="W33" s="310"/>
      <c r="X33" s="310"/>
      <c r="Y33" s="566"/>
      <c r="Z33" s="567"/>
      <c r="AA33" s="306">
        <f t="shared" si="8"/>
        <v>-87.692307692306258</v>
      </c>
      <c r="AB33" s="432">
        <f t="shared" si="9"/>
        <v>0.96346153846153904</v>
      </c>
      <c r="AC33" s="571"/>
    </row>
    <row r="34" spans="1:29" ht="15.75" customHeight="1">
      <c r="A34" s="591" t="s">
        <v>28</v>
      </c>
      <c r="B34" s="300" t="s">
        <v>22</v>
      </c>
      <c r="C34" s="572"/>
      <c r="D34" s="572"/>
      <c r="E34" s="431"/>
      <c r="F34" s="438"/>
      <c r="G34" s="428"/>
      <c r="H34" s="438"/>
      <c r="I34" s="314">
        <v>18.555555555555557</v>
      </c>
      <c r="J34" s="303">
        <v>2400</v>
      </c>
      <c r="K34" s="304">
        <f t="shared" si="1"/>
        <v>129.34131736526945</v>
      </c>
      <c r="L34" s="314">
        <v>18.555555555555557</v>
      </c>
      <c r="M34" s="305">
        <f>AVERAGE(M25:M33)</f>
        <v>2304.4216359293878</v>
      </c>
      <c r="N34" s="304">
        <f t="shared" si="3"/>
        <v>124.19038756505681</v>
      </c>
      <c r="O34" s="306">
        <f t="shared" si="4"/>
        <v>0</v>
      </c>
      <c r="P34" s="307">
        <f t="shared" si="5"/>
        <v>-5.1509298002126371</v>
      </c>
      <c r="Q34" s="432">
        <f t="shared" si="6"/>
        <v>0.96017568163724487</v>
      </c>
      <c r="R34" s="571"/>
      <c r="S34" s="308"/>
      <c r="T34" s="308"/>
      <c r="U34" s="428"/>
      <c r="V34" s="429"/>
      <c r="W34" s="428"/>
      <c r="X34" s="428"/>
      <c r="Y34" s="570"/>
      <c r="Z34" s="570"/>
      <c r="AA34" s="306">
        <f t="shared" si="8"/>
        <v>-95.578364070612224</v>
      </c>
      <c r="AB34" s="432">
        <f t="shared" si="9"/>
        <v>0.96017568163724487</v>
      </c>
      <c r="AC34" s="571"/>
    </row>
    <row r="35" spans="1:29" ht="15.75" customHeight="1">
      <c r="A35" s="588" t="s">
        <v>29</v>
      </c>
      <c r="B35" s="300" t="s">
        <v>46</v>
      </c>
      <c r="C35" s="565" t="s">
        <v>63</v>
      </c>
      <c r="D35" s="565"/>
      <c r="E35" s="300">
        <v>26.2</v>
      </c>
      <c r="F35" s="438">
        <v>4500</v>
      </c>
      <c r="G35" s="428">
        <f t="shared" ref="G35:G43" si="27">E35*F35</f>
        <v>117900</v>
      </c>
      <c r="H35" s="439">
        <v>2</v>
      </c>
      <c r="I35" s="430">
        <v>18</v>
      </c>
      <c r="J35" s="303">
        <v>2400</v>
      </c>
      <c r="K35" s="304">
        <f t="shared" si="1"/>
        <v>133.33333333333334</v>
      </c>
      <c r="L35" s="430">
        <v>18</v>
      </c>
      <c r="M35" s="305">
        <f t="shared" ref="M35:M43" si="28">F35/V35*60</f>
        <v>2288.1355932203396</v>
      </c>
      <c r="N35" s="304">
        <f t="shared" si="3"/>
        <v>127.11864406779665</v>
      </c>
      <c r="O35" s="306">
        <f t="shared" si="4"/>
        <v>0</v>
      </c>
      <c r="P35" s="307">
        <f t="shared" si="5"/>
        <v>-6.2146892655366912</v>
      </c>
      <c r="Q35" s="432">
        <f t="shared" si="6"/>
        <v>0.95338983050847481</v>
      </c>
      <c r="R35" s="571">
        <f>Q44</f>
        <v>0.95571942471535176</v>
      </c>
      <c r="S35" s="308">
        <v>0.125</v>
      </c>
      <c r="T35" s="308">
        <v>0.20694444444444443</v>
      </c>
      <c r="U35" s="428"/>
      <c r="V35" s="429">
        <f t="shared" ref="V35:V43" si="29">(T35-S35)*24*60</f>
        <v>117.99999999999999</v>
      </c>
      <c r="W35" s="315">
        <f>T35</f>
        <v>0.20694444444444443</v>
      </c>
      <c r="X35" s="315">
        <f>S36</f>
        <v>0.22638888888888889</v>
      </c>
      <c r="Y35" s="570"/>
      <c r="Z35" s="570"/>
      <c r="AA35" s="306">
        <f t="shared" si="8"/>
        <v>-111.86440677966038</v>
      </c>
      <c r="AB35" s="432">
        <f t="shared" si="9"/>
        <v>0.95338983050847481</v>
      </c>
      <c r="AC35" s="571">
        <f>AB44</f>
        <v>0.95571942471535176</v>
      </c>
    </row>
    <row r="36" spans="1:29" ht="15.75" customHeight="1">
      <c r="A36" s="588" t="s">
        <v>29</v>
      </c>
      <c r="B36" s="300" t="s">
        <v>46</v>
      </c>
      <c r="C36" s="565" t="s">
        <v>64</v>
      </c>
      <c r="D36" s="565"/>
      <c r="E36" s="300">
        <v>26.39</v>
      </c>
      <c r="F36" s="438">
        <v>3400</v>
      </c>
      <c r="G36" s="428">
        <f t="shared" si="27"/>
        <v>89726</v>
      </c>
      <c r="H36" s="439">
        <v>2</v>
      </c>
      <c r="I36" s="430">
        <v>19</v>
      </c>
      <c r="J36" s="303">
        <v>2400</v>
      </c>
      <c r="K36" s="304">
        <f t="shared" si="1"/>
        <v>126.31578947368421</v>
      </c>
      <c r="L36" s="430">
        <v>19</v>
      </c>
      <c r="M36" s="305">
        <f t="shared" si="28"/>
        <v>2292.1348314606753</v>
      </c>
      <c r="N36" s="304">
        <f t="shared" si="3"/>
        <v>120.63867534003555</v>
      </c>
      <c r="O36" s="306">
        <f t="shared" si="4"/>
        <v>0</v>
      </c>
      <c r="P36" s="307">
        <f t="shared" si="5"/>
        <v>-5.6771141336486579</v>
      </c>
      <c r="Q36" s="432">
        <f t="shared" si="6"/>
        <v>0.95505617977528146</v>
      </c>
      <c r="R36" s="571"/>
      <c r="S36" s="308">
        <v>0.22638888888888889</v>
      </c>
      <c r="T36" s="308">
        <v>0.28819444444444442</v>
      </c>
      <c r="U36" s="428">
        <f t="shared" ref="U36:U43" si="30">(S36-T35)*24*60</f>
        <v>28.000000000000021</v>
      </c>
      <c r="V36" s="429">
        <f t="shared" si="29"/>
        <v>88.999999999999957</v>
      </c>
      <c r="W36" s="428"/>
      <c r="X36" s="428"/>
      <c r="Y36" s="570"/>
      <c r="Z36" s="570"/>
      <c r="AA36" s="306">
        <f t="shared" si="8"/>
        <v>-107.86516853932471</v>
      </c>
      <c r="AB36" s="432">
        <f t="shared" si="9"/>
        <v>0.95505617977528134</v>
      </c>
      <c r="AC36" s="571"/>
    </row>
    <row r="37" spans="1:29">
      <c r="A37" s="589" t="s">
        <v>29</v>
      </c>
      <c r="B37" s="300" t="s">
        <v>46</v>
      </c>
      <c r="C37" s="565" t="s">
        <v>87</v>
      </c>
      <c r="D37" s="565"/>
      <c r="E37" s="300">
        <v>20.52</v>
      </c>
      <c r="F37" s="438">
        <v>3300</v>
      </c>
      <c r="G37" s="428">
        <f t="shared" si="27"/>
        <v>67716</v>
      </c>
      <c r="H37" s="439">
        <v>2</v>
      </c>
      <c r="I37" s="430">
        <v>18</v>
      </c>
      <c r="J37" s="303">
        <v>2400</v>
      </c>
      <c r="K37" s="304">
        <f t="shared" si="1"/>
        <v>133.33333333333334</v>
      </c>
      <c r="L37" s="430">
        <v>18</v>
      </c>
      <c r="M37" s="305">
        <f t="shared" si="28"/>
        <v>2302.3255813953483</v>
      </c>
      <c r="N37" s="304">
        <f t="shared" si="3"/>
        <v>127.90697674418601</v>
      </c>
      <c r="O37" s="306">
        <f t="shared" si="4"/>
        <v>0</v>
      </c>
      <c r="P37" s="307">
        <f t="shared" si="5"/>
        <v>-5.426356589147332</v>
      </c>
      <c r="Q37" s="432">
        <f t="shared" si="6"/>
        <v>0.95930232558139505</v>
      </c>
      <c r="R37" s="571"/>
      <c r="S37" s="308">
        <v>0.29305555555555551</v>
      </c>
      <c r="T37" s="308">
        <v>0.35277777777777775</v>
      </c>
      <c r="U37" s="428">
        <f t="shared" si="30"/>
        <v>6.9999999999999751</v>
      </c>
      <c r="V37" s="429">
        <f t="shared" si="29"/>
        <v>86.000000000000014</v>
      </c>
      <c r="W37" s="428"/>
      <c r="X37" s="428"/>
      <c r="Y37" s="570"/>
      <c r="Z37" s="570"/>
      <c r="AA37" s="306">
        <f t="shared" si="8"/>
        <v>-97.674418604651692</v>
      </c>
      <c r="AB37" s="432">
        <f t="shared" si="9"/>
        <v>0.95930232558139517</v>
      </c>
      <c r="AC37" s="571"/>
    </row>
    <row r="38" spans="1:29">
      <c r="A38" s="589" t="s">
        <v>29</v>
      </c>
      <c r="B38" s="300" t="s">
        <v>46</v>
      </c>
      <c r="C38" s="565" t="s">
        <v>48</v>
      </c>
      <c r="D38" s="565"/>
      <c r="E38" s="300">
        <v>22.35</v>
      </c>
      <c r="F38" s="438">
        <v>2210</v>
      </c>
      <c r="G38" s="428">
        <f t="shared" si="27"/>
        <v>49393.5</v>
      </c>
      <c r="H38" s="439" t="s">
        <v>35</v>
      </c>
      <c r="I38" s="430">
        <v>16</v>
      </c>
      <c r="J38" s="303">
        <v>2400</v>
      </c>
      <c r="K38" s="304">
        <f t="shared" si="1"/>
        <v>150</v>
      </c>
      <c r="L38" s="430">
        <v>16</v>
      </c>
      <c r="M38" s="305">
        <f t="shared" si="28"/>
        <v>2286.2068965517224</v>
      </c>
      <c r="N38" s="304">
        <f t="shared" si="3"/>
        <v>142.88793103448265</v>
      </c>
      <c r="O38" s="306">
        <f t="shared" si="4"/>
        <v>0</v>
      </c>
      <c r="P38" s="307">
        <f t="shared" si="5"/>
        <v>-7.1120689655173521</v>
      </c>
      <c r="Q38" s="432">
        <f t="shared" si="6"/>
        <v>0.95258620689655094</v>
      </c>
      <c r="R38" s="571"/>
      <c r="S38" s="308">
        <v>0.35624999999999996</v>
      </c>
      <c r="T38" s="308">
        <v>0.39652777777777776</v>
      </c>
      <c r="U38" s="428">
        <f t="shared" si="30"/>
        <v>4.9999999999999822</v>
      </c>
      <c r="V38" s="429">
        <f t="shared" si="29"/>
        <v>58.000000000000036</v>
      </c>
      <c r="W38" s="310"/>
      <c r="X38" s="310"/>
      <c r="Y38" s="570"/>
      <c r="Z38" s="570"/>
      <c r="AA38" s="306">
        <f t="shared" si="8"/>
        <v>-113.79310344827763</v>
      </c>
      <c r="AB38" s="432">
        <f t="shared" si="9"/>
        <v>0.95258620689655094</v>
      </c>
      <c r="AC38" s="571"/>
    </row>
    <row r="39" spans="1:29">
      <c r="A39" s="589" t="s">
        <v>29</v>
      </c>
      <c r="B39" s="300" t="s">
        <v>46</v>
      </c>
      <c r="C39" s="565" t="s">
        <v>65</v>
      </c>
      <c r="D39" s="565"/>
      <c r="E39" s="300">
        <v>24.43</v>
      </c>
      <c r="F39" s="438">
        <v>5800</v>
      </c>
      <c r="G39" s="428">
        <f t="shared" si="27"/>
        <v>141694</v>
      </c>
      <c r="H39" s="439">
        <v>2</v>
      </c>
      <c r="I39" s="430">
        <v>15</v>
      </c>
      <c r="J39" s="303">
        <v>2400</v>
      </c>
      <c r="K39" s="304">
        <f t="shared" si="1"/>
        <v>160</v>
      </c>
      <c r="L39" s="430">
        <v>15</v>
      </c>
      <c r="M39" s="305">
        <f t="shared" si="28"/>
        <v>2289.4736842105258</v>
      </c>
      <c r="N39" s="304">
        <f t="shared" si="3"/>
        <v>152.63157894736838</v>
      </c>
      <c r="O39" s="306">
        <f t="shared" si="4"/>
        <v>0</v>
      </c>
      <c r="P39" s="307">
        <f t="shared" si="5"/>
        <v>-7.3684210526316178</v>
      </c>
      <c r="Q39" s="432">
        <f t="shared" si="6"/>
        <v>0.95394736842105243</v>
      </c>
      <c r="R39" s="571"/>
      <c r="S39" s="308">
        <v>0.40069444444444441</v>
      </c>
      <c r="T39" s="308">
        <v>0.50624999999999998</v>
      </c>
      <c r="U39" s="428">
        <f t="shared" si="30"/>
        <v>5.9999999999999787</v>
      </c>
      <c r="V39" s="429">
        <f t="shared" si="29"/>
        <v>152.00000000000003</v>
      </c>
      <c r="W39" s="310"/>
      <c r="X39" s="310"/>
      <c r="Y39" s="570"/>
      <c r="Z39" s="570"/>
      <c r="AA39" s="306">
        <f t="shared" si="8"/>
        <v>-110.52631578947421</v>
      </c>
      <c r="AB39" s="432">
        <f t="shared" si="9"/>
        <v>0.95394736842105243</v>
      </c>
      <c r="AC39" s="571"/>
    </row>
    <row r="40" spans="1:29">
      <c r="A40" s="589" t="s">
        <v>29</v>
      </c>
      <c r="B40" s="300" t="s">
        <v>46</v>
      </c>
      <c r="C40" s="565" t="s">
        <v>65</v>
      </c>
      <c r="D40" s="565"/>
      <c r="E40" s="300">
        <v>24.43</v>
      </c>
      <c r="F40" s="438">
        <v>4267</v>
      </c>
      <c r="G40" s="428">
        <f t="shared" si="27"/>
        <v>104242.81</v>
      </c>
      <c r="H40" s="439" t="s">
        <v>35</v>
      </c>
      <c r="I40" s="430">
        <v>15</v>
      </c>
      <c r="J40" s="303">
        <v>2400</v>
      </c>
      <c r="K40" s="304">
        <f t="shared" si="1"/>
        <v>160</v>
      </c>
      <c r="L40" s="430">
        <v>15</v>
      </c>
      <c r="M40" s="305">
        <f t="shared" si="28"/>
        <v>2285.8928571428587</v>
      </c>
      <c r="N40" s="304">
        <f t="shared" si="3"/>
        <v>152.39285714285725</v>
      </c>
      <c r="O40" s="306">
        <f t="shared" si="4"/>
        <v>0</v>
      </c>
      <c r="P40" s="307">
        <f t="shared" si="5"/>
        <v>-7.6071428571427475</v>
      </c>
      <c r="Q40" s="432">
        <f t="shared" si="6"/>
        <v>0.95245535714285778</v>
      </c>
      <c r="R40" s="571"/>
      <c r="S40" s="308">
        <v>0.51111111111111107</v>
      </c>
      <c r="T40" s="308">
        <v>0.5888888888888888</v>
      </c>
      <c r="U40" s="428">
        <f t="shared" si="30"/>
        <v>6.9999999999999751</v>
      </c>
      <c r="V40" s="429">
        <f t="shared" si="29"/>
        <v>111.99999999999991</v>
      </c>
      <c r="W40" s="310"/>
      <c r="X40" s="310"/>
      <c r="Y40" s="570"/>
      <c r="Z40" s="570"/>
      <c r="AA40" s="306">
        <f t="shared" si="8"/>
        <v>-114.1071428571413</v>
      </c>
      <c r="AB40" s="432">
        <f t="shared" si="9"/>
        <v>0.95245535714285778</v>
      </c>
      <c r="AC40" s="571"/>
    </row>
    <row r="41" spans="1:29">
      <c r="A41" s="589" t="s">
        <v>29</v>
      </c>
      <c r="B41" s="300" t="s">
        <v>46</v>
      </c>
      <c r="C41" s="565" t="s">
        <v>64</v>
      </c>
      <c r="D41" s="565"/>
      <c r="E41" s="300">
        <v>26.39</v>
      </c>
      <c r="F41" s="438">
        <v>4028</v>
      </c>
      <c r="G41" s="428">
        <f t="shared" si="27"/>
        <v>106298.92</v>
      </c>
      <c r="H41" s="439" t="s">
        <v>35</v>
      </c>
      <c r="I41" s="430">
        <v>19</v>
      </c>
      <c r="J41" s="303">
        <v>2400</v>
      </c>
      <c r="K41" s="304">
        <f t="shared" si="1"/>
        <v>126.31578947368421</v>
      </c>
      <c r="L41" s="430">
        <v>19</v>
      </c>
      <c r="M41" s="305">
        <f t="shared" si="28"/>
        <v>2301.7142857142871</v>
      </c>
      <c r="N41" s="304">
        <f t="shared" si="3"/>
        <v>121.14285714285722</v>
      </c>
      <c r="O41" s="306">
        <f t="shared" si="4"/>
        <v>0</v>
      </c>
      <c r="P41" s="307">
        <f t="shared" si="5"/>
        <v>-5.1729323308269812</v>
      </c>
      <c r="Q41" s="432">
        <f t="shared" si="6"/>
        <v>0.9590476190476197</v>
      </c>
      <c r="R41" s="571"/>
      <c r="S41" s="308">
        <v>0.59374999999999989</v>
      </c>
      <c r="T41" s="308">
        <v>0.66666666666666652</v>
      </c>
      <c r="U41" s="428">
        <f t="shared" si="30"/>
        <v>6.9999999999999751</v>
      </c>
      <c r="V41" s="429">
        <f t="shared" si="29"/>
        <v>104.99999999999994</v>
      </c>
      <c r="W41" s="310"/>
      <c r="X41" s="310"/>
      <c r="Y41" s="566"/>
      <c r="Z41" s="567"/>
      <c r="AA41" s="306">
        <f t="shared" si="8"/>
        <v>-98.285714285712857</v>
      </c>
      <c r="AB41" s="432">
        <f t="shared" si="9"/>
        <v>0.95904761904761959</v>
      </c>
      <c r="AC41" s="571"/>
    </row>
    <row r="42" spans="1:29">
      <c r="A42" s="589" t="s">
        <v>29</v>
      </c>
      <c r="B42" s="300" t="s">
        <v>46</v>
      </c>
      <c r="C42" s="565" t="s">
        <v>87</v>
      </c>
      <c r="D42" s="565"/>
      <c r="E42" s="300">
        <v>20.52</v>
      </c>
      <c r="F42" s="438">
        <v>2692</v>
      </c>
      <c r="G42" s="428">
        <f t="shared" si="27"/>
        <v>55239.839999999997</v>
      </c>
      <c r="H42" s="439" t="s">
        <v>35</v>
      </c>
      <c r="I42" s="430">
        <v>18</v>
      </c>
      <c r="J42" s="303">
        <v>2400</v>
      </c>
      <c r="K42" s="304">
        <f t="shared" si="1"/>
        <v>133.33333333333334</v>
      </c>
      <c r="L42" s="430">
        <v>18</v>
      </c>
      <c r="M42" s="305">
        <f t="shared" si="28"/>
        <v>2307.4285714285693</v>
      </c>
      <c r="N42" s="304">
        <f t="shared" si="3"/>
        <v>128.19047619047606</v>
      </c>
      <c r="O42" s="306">
        <f t="shared" si="4"/>
        <v>0</v>
      </c>
      <c r="P42" s="307">
        <f t="shared" si="5"/>
        <v>-5.1428571428572809</v>
      </c>
      <c r="Q42" s="432">
        <f t="shared" si="6"/>
        <v>0.96142857142857041</v>
      </c>
      <c r="R42" s="571"/>
      <c r="S42" s="308">
        <v>0.67222222222222205</v>
      </c>
      <c r="T42" s="308">
        <v>0.72083333333333321</v>
      </c>
      <c r="U42" s="428">
        <f t="shared" si="30"/>
        <v>7.9999999999999716</v>
      </c>
      <c r="V42" s="429">
        <f t="shared" si="29"/>
        <v>70.000000000000071</v>
      </c>
      <c r="W42" s="310"/>
      <c r="X42" s="310"/>
      <c r="Y42" s="566"/>
      <c r="Z42" s="567"/>
      <c r="AA42" s="306">
        <f t="shared" si="8"/>
        <v>-92.571428571430715</v>
      </c>
      <c r="AB42" s="432">
        <f t="shared" si="9"/>
        <v>0.96142857142857052</v>
      </c>
      <c r="AC42" s="571"/>
    </row>
    <row r="43" spans="1:29">
      <c r="A43" s="589" t="s">
        <v>29</v>
      </c>
      <c r="B43" s="300" t="s">
        <v>46</v>
      </c>
      <c r="C43" s="565" t="s">
        <v>63</v>
      </c>
      <c r="D43" s="565"/>
      <c r="E43" s="300">
        <v>26.2</v>
      </c>
      <c r="F43" s="438">
        <v>3359</v>
      </c>
      <c r="G43" s="428">
        <f t="shared" si="27"/>
        <v>88005.8</v>
      </c>
      <c r="H43" s="439" t="s">
        <v>35</v>
      </c>
      <c r="I43" s="430">
        <v>18</v>
      </c>
      <c r="J43" s="303">
        <v>2400</v>
      </c>
      <c r="K43" s="304">
        <f t="shared" si="1"/>
        <v>133.33333333333334</v>
      </c>
      <c r="L43" s="430">
        <v>18</v>
      </c>
      <c r="M43" s="305">
        <f t="shared" si="28"/>
        <v>2290.227272727273</v>
      </c>
      <c r="N43" s="304">
        <f t="shared" si="3"/>
        <v>127.2348484848485</v>
      </c>
      <c r="O43" s="306">
        <f t="shared" si="4"/>
        <v>0</v>
      </c>
      <c r="P43" s="307">
        <f t="shared" si="5"/>
        <v>-6.0984848484848442</v>
      </c>
      <c r="Q43" s="432">
        <f t="shared" si="6"/>
        <v>0.95426136363636371</v>
      </c>
      <c r="R43" s="571"/>
      <c r="S43" s="308">
        <v>0.72569444444444431</v>
      </c>
      <c r="T43" s="308">
        <v>0.78680555555555542</v>
      </c>
      <c r="U43" s="428">
        <f t="shared" si="30"/>
        <v>6.9999999999999751</v>
      </c>
      <c r="V43" s="429">
        <f t="shared" si="29"/>
        <v>88</v>
      </c>
      <c r="W43" s="310"/>
      <c r="X43" s="310"/>
      <c r="Y43" s="566"/>
      <c r="Z43" s="567"/>
      <c r="AA43" s="306">
        <f t="shared" si="8"/>
        <v>-109.77272727272702</v>
      </c>
      <c r="AB43" s="432">
        <f t="shared" si="9"/>
        <v>0.95426136363636371</v>
      </c>
      <c r="AC43" s="571"/>
    </row>
    <row r="44" spans="1:29">
      <c r="A44" s="589" t="s">
        <v>29</v>
      </c>
      <c r="B44" s="313" t="s">
        <v>22</v>
      </c>
      <c r="C44" s="572"/>
      <c r="D44" s="572"/>
      <c r="E44" s="431"/>
      <c r="F44" s="313"/>
      <c r="G44" s="304"/>
      <c r="H44" s="438"/>
      <c r="I44" s="314">
        <v>17.333333333333332</v>
      </c>
      <c r="J44" s="303">
        <v>2400</v>
      </c>
      <c r="K44" s="304">
        <f t="shared" si="1"/>
        <v>138.46153846153848</v>
      </c>
      <c r="L44" s="314">
        <v>17.333333333333332</v>
      </c>
      <c r="M44" s="305">
        <f>AVERAGE(M35:M43)</f>
        <v>2293.7266193168443</v>
      </c>
      <c r="N44" s="304">
        <f t="shared" si="3"/>
        <v>132.3303818836641</v>
      </c>
      <c r="O44" s="306">
        <f t="shared" si="4"/>
        <v>0</v>
      </c>
      <c r="P44" s="307">
        <f t="shared" si="5"/>
        <v>-6.1311565778743784</v>
      </c>
      <c r="Q44" s="432">
        <f t="shared" si="6"/>
        <v>0.95571942471535176</v>
      </c>
      <c r="R44" s="571"/>
      <c r="S44" s="308"/>
      <c r="T44" s="308"/>
      <c r="U44" s="304"/>
      <c r="V44" s="429"/>
      <c r="W44" s="304"/>
      <c r="X44" s="304"/>
      <c r="Y44" s="570"/>
      <c r="Z44" s="570"/>
      <c r="AA44" s="306">
        <f t="shared" si="8"/>
        <v>-106.27338068315566</v>
      </c>
      <c r="AB44" s="432">
        <f t="shared" si="9"/>
        <v>0.95571942471535176</v>
      </c>
      <c r="AC44" s="571"/>
    </row>
    <row r="45" spans="1:29" ht="15.75" customHeight="1">
      <c r="A45" s="585" t="s">
        <v>30</v>
      </c>
      <c r="B45" s="300" t="s">
        <v>67</v>
      </c>
      <c r="C45" s="580" t="s">
        <v>68</v>
      </c>
      <c r="D45" s="581"/>
      <c r="E45" s="300">
        <v>21.13</v>
      </c>
      <c r="F45" s="438">
        <v>3400</v>
      </c>
      <c r="G45" s="428">
        <f t="shared" ref="G45:G53" si="31">E45*F45</f>
        <v>71842</v>
      </c>
      <c r="H45" s="439">
        <v>2</v>
      </c>
      <c r="I45" s="430">
        <v>10</v>
      </c>
      <c r="J45" s="303">
        <v>3000</v>
      </c>
      <c r="K45" s="304">
        <f t="shared" si="1"/>
        <v>300</v>
      </c>
      <c r="L45" s="430">
        <v>10</v>
      </c>
      <c r="M45" s="305">
        <f t="shared" ref="M45:M53" si="32">F45/V45*60</f>
        <v>2873.2394366197173</v>
      </c>
      <c r="N45" s="305">
        <f t="shared" si="3"/>
        <v>287.32394366197173</v>
      </c>
      <c r="O45" s="306">
        <f t="shared" si="4"/>
        <v>0</v>
      </c>
      <c r="P45" s="307">
        <f t="shared" si="5"/>
        <v>-12.676056338028275</v>
      </c>
      <c r="Q45" s="432">
        <f t="shared" si="6"/>
        <v>0.95774647887323905</v>
      </c>
      <c r="R45" s="582">
        <f>Q54</f>
        <v>0.96072144833529094</v>
      </c>
      <c r="S45" s="308">
        <v>0.20833333333333334</v>
      </c>
      <c r="T45" s="308">
        <v>0.25763888888888892</v>
      </c>
      <c r="U45" s="315"/>
      <c r="V45" s="429">
        <f t="shared" ref="V45:V53" si="33">(T45-S45)*24*60</f>
        <v>71.000000000000028</v>
      </c>
      <c r="W45" s="310"/>
      <c r="X45" s="310"/>
      <c r="Y45" s="566"/>
      <c r="Z45" s="567"/>
      <c r="AA45" s="306">
        <f t="shared" si="8"/>
        <v>-126.76056338028275</v>
      </c>
      <c r="AB45" s="432">
        <f t="shared" si="9"/>
        <v>0.95774647887323905</v>
      </c>
      <c r="AC45" s="582">
        <f>AB54</f>
        <v>0.96072144833529105</v>
      </c>
    </row>
    <row r="46" spans="1:29" ht="15.75" customHeight="1">
      <c r="A46" s="586" t="s">
        <v>30</v>
      </c>
      <c r="B46" s="300" t="s">
        <v>67</v>
      </c>
      <c r="C46" s="580" t="s">
        <v>69</v>
      </c>
      <c r="D46" s="581"/>
      <c r="E46" s="300">
        <v>27.17</v>
      </c>
      <c r="F46" s="438">
        <v>4300</v>
      </c>
      <c r="G46" s="428">
        <f t="shared" si="31"/>
        <v>116831.00000000001</v>
      </c>
      <c r="H46" s="439">
        <v>2</v>
      </c>
      <c r="I46" s="430">
        <v>10</v>
      </c>
      <c r="J46" s="303">
        <v>3000</v>
      </c>
      <c r="K46" s="304">
        <f t="shared" si="1"/>
        <v>300</v>
      </c>
      <c r="L46" s="430">
        <v>10</v>
      </c>
      <c r="M46" s="305">
        <f t="shared" si="32"/>
        <v>2866.6666666666665</v>
      </c>
      <c r="N46" s="305">
        <f t="shared" si="3"/>
        <v>286.66666666666663</v>
      </c>
      <c r="O46" s="306">
        <f t="shared" si="4"/>
        <v>0</v>
      </c>
      <c r="P46" s="307">
        <f t="shared" si="5"/>
        <v>-13.333333333333371</v>
      </c>
      <c r="Q46" s="432">
        <f t="shared" si="6"/>
        <v>0.95555555555555538</v>
      </c>
      <c r="R46" s="583"/>
      <c r="S46" s="308">
        <v>0.26250000000000001</v>
      </c>
      <c r="T46" s="308">
        <v>0.32500000000000001</v>
      </c>
      <c r="U46" s="428">
        <f t="shared" ref="U46:U53" si="34">(S46-T45)*24*60</f>
        <v>6.9999999999999751</v>
      </c>
      <c r="V46" s="429">
        <f t="shared" si="33"/>
        <v>90</v>
      </c>
      <c r="W46" s="310"/>
      <c r="X46" s="310"/>
      <c r="Y46" s="566"/>
      <c r="Z46" s="567"/>
      <c r="AA46" s="306">
        <f t="shared" si="8"/>
        <v>-133.33333333333348</v>
      </c>
      <c r="AB46" s="432">
        <f t="shared" si="9"/>
        <v>0.95555555555555549</v>
      </c>
      <c r="AC46" s="583"/>
    </row>
    <row r="47" spans="1:29" ht="15.75" customHeight="1">
      <c r="A47" s="586" t="s">
        <v>30</v>
      </c>
      <c r="B47" s="300" t="s">
        <v>67</v>
      </c>
      <c r="C47" s="580" t="s">
        <v>70</v>
      </c>
      <c r="D47" s="581"/>
      <c r="E47" s="300">
        <v>35.119999999999997</v>
      </c>
      <c r="F47" s="438">
        <v>2900</v>
      </c>
      <c r="G47" s="428">
        <f t="shared" si="31"/>
        <v>101847.99999999999</v>
      </c>
      <c r="H47" s="439">
        <v>2</v>
      </c>
      <c r="I47" s="430">
        <v>10</v>
      </c>
      <c r="J47" s="303">
        <v>3000</v>
      </c>
      <c r="K47" s="304">
        <f t="shared" si="1"/>
        <v>300</v>
      </c>
      <c r="L47" s="430">
        <v>10</v>
      </c>
      <c r="M47" s="305">
        <f t="shared" si="32"/>
        <v>2899.9999999999986</v>
      </c>
      <c r="N47" s="305">
        <f t="shared" si="3"/>
        <v>289.99999999999989</v>
      </c>
      <c r="O47" s="306">
        <f t="shared" si="4"/>
        <v>0</v>
      </c>
      <c r="P47" s="307">
        <f t="shared" si="5"/>
        <v>-10.000000000000114</v>
      </c>
      <c r="Q47" s="432">
        <f t="shared" si="6"/>
        <v>0.96666666666666634</v>
      </c>
      <c r="R47" s="583"/>
      <c r="S47" s="308">
        <v>0.32847222222222222</v>
      </c>
      <c r="T47" s="308">
        <v>0.37013888888888891</v>
      </c>
      <c r="U47" s="428">
        <f t="shared" si="34"/>
        <v>4.9999999999999822</v>
      </c>
      <c r="V47" s="429">
        <f t="shared" si="33"/>
        <v>60.000000000000028</v>
      </c>
      <c r="W47" s="310"/>
      <c r="X47" s="310"/>
      <c r="Y47" s="566"/>
      <c r="Z47" s="567"/>
      <c r="AA47" s="306">
        <f t="shared" si="8"/>
        <v>-100.00000000000136</v>
      </c>
      <c r="AB47" s="432">
        <f t="shared" si="9"/>
        <v>0.96666666666666623</v>
      </c>
      <c r="AC47" s="583"/>
    </row>
    <row r="48" spans="1:29" ht="15.75" customHeight="1">
      <c r="A48" s="586" t="s">
        <v>30</v>
      </c>
      <c r="B48" s="300" t="s">
        <v>67</v>
      </c>
      <c r="C48" s="580" t="s">
        <v>71</v>
      </c>
      <c r="D48" s="581"/>
      <c r="E48" s="300">
        <v>35.869999999999997</v>
      </c>
      <c r="F48" s="438">
        <v>3293</v>
      </c>
      <c r="G48" s="428">
        <f t="shared" si="31"/>
        <v>118119.90999999999</v>
      </c>
      <c r="H48" s="439" t="s">
        <v>35</v>
      </c>
      <c r="I48" s="430">
        <v>10</v>
      </c>
      <c r="J48" s="303">
        <v>3000</v>
      </c>
      <c r="K48" s="304">
        <f t="shared" si="1"/>
        <v>300</v>
      </c>
      <c r="L48" s="430">
        <v>10</v>
      </c>
      <c r="M48" s="305">
        <f t="shared" si="32"/>
        <v>2863.4782608695655</v>
      </c>
      <c r="N48" s="305">
        <f t="shared" si="3"/>
        <v>286.34782608695656</v>
      </c>
      <c r="O48" s="306">
        <f t="shared" si="4"/>
        <v>0</v>
      </c>
      <c r="P48" s="307">
        <f t="shared" si="5"/>
        <v>-13.652173913043441</v>
      </c>
      <c r="Q48" s="432">
        <f t="shared" si="6"/>
        <v>0.95449275362318853</v>
      </c>
      <c r="R48" s="583"/>
      <c r="S48" s="308">
        <v>0.37430555555555556</v>
      </c>
      <c r="T48" s="308">
        <v>0.42222222222222222</v>
      </c>
      <c r="U48" s="428">
        <f t="shared" si="34"/>
        <v>5.9999999999999787</v>
      </c>
      <c r="V48" s="429">
        <f t="shared" si="33"/>
        <v>69</v>
      </c>
      <c r="W48" s="310"/>
      <c r="X48" s="310"/>
      <c r="Y48" s="566"/>
      <c r="Z48" s="567"/>
      <c r="AA48" s="306">
        <f t="shared" si="8"/>
        <v>-136.52173913043453</v>
      </c>
      <c r="AB48" s="432">
        <f t="shared" si="9"/>
        <v>0.95449275362318853</v>
      </c>
      <c r="AC48" s="583"/>
    </row>
    <row r="49" spans="1:29" ht="15.75" customHeight="1">
      <c r="A49" s="586" t="s">
        <v>30</v>
      </c>
      <c r="B49" s="300" t="s">
        <v>67</v>
      </c>
      <c r="C49" s="580" t="s">
        <v>72</v>
      </c>
      <c r="D49" s="581"/>
      <c r="E49" s="300">
        <v>36.14</v>
      </c>
      <c r="F49" s="438">
        <v>1799</v>
      </c>
      <c r="G49" s="428">
        <f t="shared" si="31"/>
        <v>65015.86</v>
      </c>
      <c r="H49" s="439" t="s">
        <v>35</v>
      </c>
      <c r="I49" s="430">
        <v>8</v>
      </c>
      <c r="J49" s="303">
        <v>3000</v>
      </c>
      <c r="K49" s="304">
        <f t="shared" si="1"/>
        <v>375</v>
      </c>
      <c r="L49" s="430">
        <v>8</v>
      </c>
      <c r="M49" s="305">
        <f t="shared" si="32"/>
        <v>2917.2972972972952</v>
      </c>
      <c r="N49" s="305">
        <f t="shared" si="3"/>
        <v>364.66216216216191</v>
      </c>
      <c r="O49" s="306">
        <f t="shared" si="4"/>
        <v>0</v>
      </c>
      <c r="P49" s="307">
        <f t="shared" si="5"/>
        <v>-10.337837837838094</v>
      </c>
      <c r="Q49" s="432">
        <f t="shared" si="6"/>
        <v>0.97243243243243171</v>
      </c>
      <c r="R49" s="583"/>
      <c r="S49" s="308">
        <v>0.42708333333333331</v>
      </c>
      <c r="T49" s="308">
        <v>0.45277777777777778</v>
      </c>
      <c r="U49" s="428">
        <f t="shared" si="34"/>
        <v>6.9999999999999751</v>
      </c>
      <c r="V49" s="429">
        <f t="shared" si="33"/>
        <v>37.000000000000028</v>
      </c>
      <c r="W49" s="310"/>
      <c r="X49" s="310"/>
      <c r="Y49" s="566"/>
      <c r="Z49" s="567"/>
      <c r="AA49" s="306">
        <f t="shared" si="8"/>
        <v>-82.702702702704755</v>
      </c>
      <c r="AB49" s="432">
        <f t="shared" si="9"/>
        <v>0.97243243243243171</v>
      </c>
      <c r="AC49" s="583"/>
    </row>
    <row r="50" spans="1:29" ht="15.75" customHeight="1">
      <c r="A50" s="586" t="s">
        <v>30</v>
      </c>
      <c r="B50" s="300" t="s">
        <v>67</v>
      </c>
      <c r="C50" s="580" t="s">
        <v>664</v>
      </c>
      <c r="D50" s="581"/>
      <c r="E50" s="300">
        <v>34.36</v>
      </c>
      <c r="F50" s="438">
        <v>3894</v>
      </c>
      <c r="G50" s="428">
        <f t="shared" si="31"/>
        <v>133797.84</v>
      </c>
      <c r="H50" s="439" t="s">
        <v>35</v>
      </c>
      <c r="I50" s="430">
        <v>10</v>
      </c>
      <c r="J50" s="303">
        <v>3000</v>
      </c>
      <c r="K50" s="304">
        <f t="shared" si="1"/>
        <v>300</v>
      </c>
      <c r="L50" s="430">
        <v>10</v>
      </c>
      <c r="M50" s="305">
        <f t="shared" si="32"/>
        <v>2884.4444444444457</v>
      </c>
      <c r="N50" s="305">
        <f t="shared" si="3"/>
        <v>288.44444444444457</v>
      </c>
      <c r="O50" s="306">
        <f t="shared" si="4"/>
        <v>0</v>
      </c>
      <c r="P50" s="307">
        <f t="shared" si="5"/>
        <v>-11.555555555555429</v>
      </c>
      <c r="Q50" s="432">
        <f t="shared" si="6"/>
        <v>0.96148148148148194</v>
      </c>
      <c r="R50" s="583"/>
      <c r="S50" s="308">
        <v>0.45833333333333331</v>
      </c>
      <c r="T50" s="308">
        <v>0.51458333333333328</v>
      </c>
      <c r="U50" s="428">
        <f t="shared" si="34"/>
        <v>7.9999999999999716</v>
      </c>
      <c r="V50" s="429">
        <f t="shared" si="33"/>
        <v>80.999999999999957</v>
      </c>
      <c r="W50" s="310">
        <f>T50</f>
        <v>0.51458333333333328</v>
      </c>
      <c r="X50" s="310">
        <f>S51</f>
        <v>0.55694444444444435</v>
      </c>
      <c r="Y50" s="566"/>
      <c r="Z50" s="567"/>
      <c r="AA50" s="306">
        <f t="shared" si="8"/>
        <v>-115.55555555555429</v>
      </c>
      <c r="AB50" s="432">
        <f t="shared" si="9"/>
        <v>0.96148148148148194</v>
      </c>
      <c r="AC50" s="583"/>
    </row>
    <row r="51" spans="1:29" ht="15.75" customHeight="1">
      <c r="A51" s="586" t="s">
        <v>30</v>
      </c>
      <c r="B51" s="300" t="s">
        <v>67</v>
      </c>
      <c r="C51" s="580" t="s">
        <v>69</v>
      </c>
      <c r="D51" s="581"/>
      <c r="E51" s="300">
        <v>27.17</v>
      </c>
      <c r="F51" s="438">
        <v>3197</v>
      </c>
      <c r="G51" s="428">
        <f t="shared" si="31"/>
        <v>86862.49</v>
      </c>
      <c r="H51" s="439" t="s">
        <v>35</v>
      </c>
      <c r="I51" s="430">
        <v>10</v>
      </c>
      <c r="J51" s="303">
        <v>3000</v>
      </c>
      <c r="K51" s="304">
        <f t="shared" si="1"/>
        <v>300</v>
      </c>
      <c r="L51" s="430">
        <v>10</v>
      </c>
      <c r="M51" s="305">
        <f t="shared" si="32"/>
        <v>2862.9850746268621</v>
      </c>
      <c r="N51" s="305">
        <f t="shared" si="3"/>
        <v>286.29850746268619</v>
      </c>
      <c r="O51" s="306">
        <f t="shared" si="4"/>
        <v>0</v>
      </c>
      <c r="P51" s="307">
        <f t="shared" si="5"/>
        <v>-13.701492537313811</v>
      </c>
      <c r="Q51" s="432">
        <f t="shared" si="6"/>
        <v>0.95432835820895401</v>
      </c>
      <c r="R51" s="583"/>
      <c r="S51" s="308">
        <v>0.55694444444444435</v>
      </c>
      <c r="T51" s="308">
        <v>0.60347222222222219</v>
      </c>
      <c r="U51" s="428">
        <f t="shared" si="34"/>
        <v>60.999999999999943</v>
      </c>
      <c r="V51" s="429">
        <f t="shared" si="33"/>
        <v>67.000000000000085</v>
      </c>
      <c r="W51" s="310"/>
      <c r="X51" s="310"/>
      <c r="Y51" s="566"/>
      <c r="Z51" s="567"/>
      <c r="AA51" s="306">
        <f t="shared" si="8"/>
        <v>-137.01492537313788</v>
      </c>
      <c r="AB51" s="432">
        <f t="shared" si="9"/>
        <v>0.95432835820895401</v>
      </c>
      <c r="AC51" s="583"/>
    </row>
    <row r="52" spans="1:29" ht="15.75" customHeight="1">
      <c r="A52" s="586" t="s">
        <v>30</v>
      </c>
      <c r="B52" s="300" t="s">
        <v>67</v>
      </c>
      <c r="C52" s="580" t="s">
        <v>68</v>
      </c>
      <c r="D52" s="581"/>
      <c r="E52" s="300">
        <v>21.13</v>
      </c>
      <c r="F52" s="438">
        <v>2543</v>
      </c>
      <c r="G52" s="428">
        <f t="shared" si="31"/>
        <v>53733.59</v>
      </c>
      <c r="H52" s="439" t="s">
        <v>35</v>
      </c>
      <c r="I52" s="430">
        <v>10</v>
      </c>
      <c r="J52" s="303">
        <v>3000</v>
      </c>
      <c r="K52" s="304">
        <f t="shared" si="1"/>
        <v>300</v>
      </c>
      <c r="L52" s="430">
        <v>10</v>
      </c>
      <c r="M52" s="305">
        <f t="shared" si="32"/>
        <v>2878.8679245283038</v>
      </c>
      <c r="N52" s="305">
        <f t="shared" si="3"/>
        <v>287.88679245283038</v>
      </c>
      <c r="O52" s="306">
        <f t="shared" si="4"/>
        <v>0</v>
      </c>
      <c r="P52" s="307">
        <f t="shared" si="5"/>
        <v>-12.113207547169623</v>
      </c>
      <c r="Q52" s="432">
        <f t="shared" si="6"/>
        <v>0.95962264150943455</v>
      </c>
      <c r="R52" s="583"/>
      <c r="S52" s="308">
        <v>0.60902777777777772</v>
      </c>
      <c r="T52" s="308">
        <v>0.64583333333333326</v>
      </c>
      <c r="U52" s="428">
        <f t="shared" si="34"/>
        <v>7.9999999999999716</v>
      </c>
      <c r="V52" s="429">
        <f t="shared" si="33"/>
        <v>52.999999999999972</v>
      </c>
      <c r="W52" s="310"/>
      <c r="X52" s="310"/>
      <c r="Y52" s="566"/>
      <c r="Z52" s="567"/>
      <c r="AA52" s="306">
        <f t="shared" si="8"/>
        <v>-121.13207547169623</v>
      </c>
      <c r="AB52" s="432">
        <f t="shared" si="9"/>
        <v>0.95962264150943455</v>
      </c>
      <c r="AC52" s="583"/>
    </row>
    <row r="53" spans="1:29" ht="15.75" customHeight="1">
      <c r="A53" s="586" t="s">
        <v>30</v>
      </c>
      <c r="B53" s="300" t="s">
        <v>67</v>
      </c>
      <c r="C53" s="580" t="s">
        <v>70</v>
      </c>
      <c r="D53" s="581"/>
      <c r="E53" s="300">
        <v>35.119999999999997</v>
      </c>
      <c r="F53" s="438">
        <v>2314</v>
      </c>
      <c r="G53" s="428">
        <f t="shared" si="31"/>
        <v>81267.679999999993</v>
      </c>
      <c r="H53" s="439" t="s">
        <v>35</v>
      </c>
      <c r="I53" s="430">
        <v>10</v>
      </c>
      <c r="J53" s="303">
        <v>3000</v>
      </c>
      <c r="K53" s="304">
        <f t="shared" si="1"/>
        <v>300</v>
      </c>
      <c r="L53" s="430">
        <v>10</v>
      </c>
      <c r="M53" s="305">
        <f t="shared" si="32"/>
        <v>2892.5000000000009</v>
      </c>
      <c r="N53" s="305">
        <f t="shared" si="3"/>
        <v>289.25000000000011</v>
      </c>
      <c r="O53" s="306">
        <f t="shared" si="4"/>
        <v>0</v>
      </c>
      <c r="P53" s="307">
        <f t="shared" si="5"/>
        <v>-10.749999999999886</v>
      </c>
      <c r="Q53" s="432">
        <f t="shared" si="6"/>
        <v>0.96416666666666706</v>
      </c>
      <c r="R53" s="583"/>
      <c r="S53" s="308">
        <v>0.64930555555555547</v>
      </c>
      <c r="T53" s="308">
        <v>0.6826388888888888</v>
      </c>
      <c r="U53" s="428">
        <f t="shared" si="34"/>
        <v>4.9999999999999822</v>
      </c>
      <c r="V53" s="429">
        <f t="shared" si="33"/>
        <v>47.999999999999986</v>
      </c>
      <c r="W53" s="310"/>
      <c r="X53" s="310"/>
      <c r="Y53" s="566"/>
      <c r="Z53" s="567"/>
      <c r="AA53" s="306">
        <f t="shared" si="8"/>
        <v>-107.49999999999909</v>
      </c>
      <c r="AB53" s="432">
        <f t="shared" si="9"/>
        <v>0.96416666666666695</v>
      </c>
      <c r="AC53" s="583"/>
    </row>
    <row r="54" spans="1:29" ht="15.75" customHeight="1">
      <c r="A54" s="587" t="s">
        <v>30</v>
      </c>
      <c r="B54" s="300" t="s">
        <v>22</v>
      </c>
      <c r="C54" s="568"/>
      <c r="D54" s="569"/>
      <c r="E54" s="437"/>
      <c r="F54" s="438"/>
      <c r="G54" s="428"/>
      <c r="H54" s="438"/>
      <c r="I54" s="314">
        <v>9.7777777777777786</v>
      </c>
      <c r="J54" s="303">
        <v>3000</v>
      </c>
      <c r="K54" s="304">
        <f t="shared" si="1"/>
        <v>306.81818181818181</v>
      </c>
      <c r="L54" s="314">
        <v>9.7777777777777786</v>
      </c>
      <c r="M54" s="305">
        <f>AVERAGE(M45:M53)</f>
        <v>2882.1643450058732</v>
      </c>
      <c r="N54" s="304">
        <f t="shared" si="3"/>
        <v>294.76680801196426</v>
      </c>
      <c r="O54" s="306">
        <f t="shared" si="4"/>
        <v>0</v>
      </c>
      <c r="P54" s="307">
        <f t="shared" si="5"/>
        <v>-12.051373806217555</v>
      </c>
      <c r="Q54" s="432">
        <f t="shared" si="6"/>
        <v>0.96072144833529094</v>
      </c>
      <c r="R54" s="584"/>
      <c r="S54" s="308"/>
      <c r="T54" s="308"/>
      <c r="U54" s="428"/>
      <c r="V54" s="429"/>
      <c r="W54" s="310"/>
      <c r="X54" s="310"/>
      <c r="Y54" s="566"/>
      <c r="Z54" s="567"/>
      <c r="AA54" s="306">
        <f t="shared" si="8"/>
        <v>-117.8356549941268</v>
      </c>
      <c r="AB54" s="432">
        <f t="shared" si="9"/>
        <v>0.96072144833529105</v>
      </c>
      <c r="AC54" s="584"/>
    </row>
    <row r="55" spans="1:29" ht="15.75" customHeight="1">
      <c r="A55" s="578" t="s">
        <v>31</v>
      </c>
      <c r="B55" s="300" t="s">
        <v>40</v>
      </c>
      <c r="C55" s="565" t="s">
        <v>73</v>
      </c>
      <c r="D55" s="565"/>
      <c r="E55" s="300">
        <v>46</v>
      </c>
      <c r="F55" s="317">
        <v>3035</v>
      </c>
      <c r="G55" s="428">
        <f t="shared" ref="G55:G58" si="35">E55*F55</f>
        <v>139610</v>
      </c>
      <c r="H55" s="439" t="s">
        <v>35</v>
      </c>
      <c r="I55" s="430">
        <v>17</v>
      </c>
      <c r="J55" s="303">
        <v>2000</v>
      </c>
      <c r="K55" s="304">
        <f t="shared" si="1"/>
        <v>117.64705882352941</v>
      </c>
      <c r="L55" s="430">
        <v>17</v>
      </c>
      <c r="M55" s="305">
        <f t="shared" ref="M55:M58" si="36">F55/V55*60</f>
        <v>1916.8421052631581</v>
      </c>
      <c r="N55" s="305">
        <f t="shared" si="3"/>
        <v>112.75541795665636</v>
      </c>
      <c r="O55" s="306">
        <f t="shared" si="4"/>
        <v>0</v>
      </c>
      <c r="P55" s="307">
        <f t="shared" si="5"/>
        <v>-4.8916408668730469</v>
      </c>
      <c r="Q55" s="432">
        <f t="shared" si="6"/>
        <v>0.95842105263157906</v>
      </c>
      <c r="R55" s="571">
        <f>Q59</f>
        <v>0.95913518643155204</v>
      </c>
      <c r="S55" s="308">
        <v>0.29166666666666669</v>
      </c>
      <c r="T55" s="308">
        <v>0.3576388888888889</v>
      </c>
      <c r="U55" s="315"/>
      <c r="V55" s="429">
        <f t="shared" ref="V55:V58" si="37">(T55-S55)*24*60</f>
        <v>94.999999999999986</v>
      </c>
      <c r="W55" s="315"/>
      <c r="X55" s="315"/>
      <c r="Y55" s="570"/>
      <c r="Z55" s="570"/>
      <c r="AA55" s="306">
        <f t="shared" si="8"/>
        <v>-83.157894736841854</v>
      </c>
      <c r="AB55" s="432">
        <f t="shared" si="9"/>
        <v>0.95842105263157906</v>
      </c>
      <c r="AC55" s="571">
        <f>AB59</f>
        <v>0.95913518643155216</v>
      </c>
    </row>
    <row r="56" spans="1:29" ht="15.75" customHeight="1">
      <c r="A56" s="578" t="s">
        <v>31</v>
      </c>
      <c r="B56" s="300" t="s">
        <v>40</v>
      </c>
      <c r="C56" s="565" t="s">
        <v>74</v>
      </c>
      <c r="D56" s="565"/>
      <c r="E56" s="300">
        <v>46</v>
      </c>
      <c r="F56" s="317">
        <v>3196</v>
      </c>
      <c r="G56" s="428">
        <f t="shared" si="35"/>
        <v>147016</v>
      </c>
      <c r="H56" s="439" t="s">
        <v>35</v>
      </c>
      <c r="I56" s="430">
        <v>17</v>
      </c>
      <c r="J56" s="303">
        <v>2000</v>
      </c>
      <c r="K56" s="304">
        <f t="shared" si="1"/>
        <v>117.64705882352941</v>
      </c>
      <c r="L56" s="430">
        <v>17</v>
      </c>
      <c r="M56" s="305">
        <f t="shared" si="36"/>
        <v>1917.5999999999992</v>
      </c>
      <c r="N56" s="305">
        <f t="shared" si="3"/>
        <v>112.79999999999995</v>
      </c>
      <c r="O56" s="306">
        <f t="shared" si="4"/>
        <v>0</v>
      </c>
      <c r="P56" s="307">
        <f t="shared" si="5"/>
        <v>-4.8470588235294514</v>
      </c>
      <c r="Q56" s="432">
        <f t="shared" si="6"/>
        <v>0.95879999999999965</v>
      </c>
      <c r="R56" s="571"/>
      <c r="S56" s="308">
        <v>0.36319444444444443</v>
      </c>
      <c r="T56" s="308">
        <v>0.43263888888888891</v>
      </c>
      <c r="U56" s="428">
        <f t="shared" ref="U56:U58" si="38">IF(S56=TIME(17,0,0),"",(S56-T55)*24*60)</f>
        <v>7.9999999999999716</v>
      </c>
      <c r="V56" s="429">
        <f t="shared" si="37"/>
        <v>100.00000000000004</v>
      </c>
      <c r="W56" s="310"/>
      <c r="X56" s="310"/>
      <c r="Y56" s="570"/>
      <c r="Z56" s="570"/>
      <c r="AA56" s="306">
        <f t="shared" si="8"/>
        <v>-82.400000000000773</v>
      </c>
      <c r="AB56" s="432">
        <f t="shared" si="9"/>
        <v>0.95879999999999965</v>
      </c>
      <c r="AC56" s="571"/>
    </row>
    <row r="57" spans="1:29" ht="15.75" customHeight="1">
      <c r="A57" s="578" t="s">
        <v>31</v>
      </c>
      <c r="B57" s="300" t="s">
        <v>36</v>
      </c>
      <c r="C57" s="580" t="s">
        <v>76</v>
      </c>
      <c r="D57" s="581"/>
      <c r="E57" s="300">
        <v>55.56</v>
      </c>
      <c r="F57" s="317">
        <v>2723</v>
      </c>
      <c r="G57" s="428">
        <f t="shared" si="35"/>
        <v>151289.88</v>
      </c>
      <c r="H57" s="439" t="s">
        <v>35</v>
      </c>
      <c r="I57" s="430">
        <v>17</v>
      </c>
      <c r="J57" s="303">
        <v>2000</v>
      </c>
      <c r="K57" s="304">
        <f t="shared" si="1"/>
        <v>117.64705882352941</v>
      </c>
      <c r="L57" s="430">
        <v>17</v>
      </c>
      <c r="M57" s="305">
        <f t="shared" si="36"/>
        <v>1922.1176470588234</v>
      </c>
      <c r="N57" s="305">
        <f t="shared" si="3"/>
        <v>113.06574394463667</v>
      </c>
      <c r="O57" s="306">
        <f t="shared" si="4"/>
        <v>0</v>
      </c>
      <c r="P57" s="307">
        <f t="shared" si="5"/>
        <v>-4.5813148788927407</v>
      </c>
      <c r="Q57" s="432">
        <f t="shared" si="6"/>
        <v>0.96105882352941174</v>
      </c>
      <c r="R57" s="571"/>
      <c r="S57" s="308">
        <v>0.70833333333333337</v>
      </c>
      <c r="T57" s="308">
        <v>0.76736111111111116</v>
      </c>
      <c r="U57" s="428" t="str">
        <f t="shared" si="38"/>
        <v/>
      </c>
      <c r="V57" s="429">
        <f t="shared" si="37"/>
        <v>85.000000000000014</v>
      </c>
      <c r="W57" s="310"/>
      <c r="X57" s="310"/>
      <c r="Y57" s="433"/>
      <c r="Z57" s="434"/>
      <c r="AA57" s="306">
        <f t="shared" si="8"/>
        <v>-77.882352941176578</v>
      </c>
      <c r="AB57" s="432">
        <f t="shared" si="9"/>
        <v>0.96105882352941174</v>
      </c>
      <c r="AC57" s="571"/>
    </row>
    <row r="58" spans="1:29" ht="15.75" customHeight="1">
      <c r="A58" s="578" t="s">
        <v>31</v>
      </c>
      <c r="B58" s="300" t="s">
        <v>36</v>
      </c>
      <c r="C58" s="435" t="s">
        <v>77</v>
      </c>
      <c r="D58" s="436"/>
      <c r="E58" s="300">
        <v>55.32</v>
      </c>
      <c r="F58" s="317">
        <v>2204</v>
      </c>
      <c r="G58" s="428">
        <f t="shared" si="35"/>
        <v>121925.28</v>
      </c>
      <c r="H58" s="439" t="s">
        <v>35</v>
      </c>
      <c r="I58" s="430">
        <v>15</v>
      </c>
      <c r="J58" s="303">
        <v>2000</v>
      </c>
      <c r="K58" s="304">
        <f t="shared" si="1"/>
        <v>133.33333333333334</v>
      </c>
      <c r="L58" s="430">
        <v>15</v>
      </c>
      <c r="M58" s="305">
        <f t="shared" si="36"/>
        <v>1916.521739130437</v>
      </c>
      <c r="N58" s="305">
        <f t="shared" si="3"/>
        <v>127.76811594202914</v>
      </c>
      <c r="O58" s="306">
        <f t="shared" si="4"/>
        <v>0</v>
      </c>
      <c r="P58" s="307">
        <f t="shared" si="5"/>
        <v>-5.565217391304202</v>
      </c>
      <c r="Q58" s="432">
        <f t="shared" si="6"/>
        <v>0.9582608695652185</v>
      </c>
      <c r="R58" s="571"/>
      <c r="S58" s="308">
        <v>0.7729166666666667</v>
      </c>
      <c r="T58" s="308">
        <v>0.8208333333333333</v>
      </c>
      <c r="U58" s="428">
        <f t="shared" si="38"/>
        <v>7.9999999999999716</v>
      </c>
      <c r="V58" s="429">
        <f t="shared" si="37"/>
        <v>68.999999999999915</v>
      </c>
      <c r="W58" s="310"/>
      <c r="X58" s="310"/>
      <c r="Y58" s="433"/>
      <c r="Z58" s="434"/>
      <c r="AA58" s="306">
        <f t="shared" si="8"/>
        <v>-83.478260869562973</v>
      </c>
      <c r="AB58" s="432">
        <f t="shared" si="9"/>
        <v>0.9582608695652185</v>
      </c>
      <c r="AC58" s="571"/>
    </row>
    <row r="59" spans="1:29">
      <c r="A59" s="579" t="s">
        <v>31</v>
      </c>
      <c r="B59" s="300" t="s">
        <v>22</v>
      </c>
      <c r="C59" s="572"/>
      <c r="D59" s="572"/>
      <c r="E59" s="431"/>
      <c r="F59" s="313"/>
      <c r="G59" s="304"/>
      <c r="H59" s="438"/>
      <c r="I59" s="314">
        <v>16.5</v>
      </c>
      <c r="J59" s="303">
        <v>2000</v>
      </c>
      <c r="K59" s="304">
        <f t="shared" si="1"/>
        <v>121.21212121212122</v>
      </c>
      <c r="L59" s="314">
        <v>16.5</v>
      </c>
      <c r="M59" s="305">
        <f>AVERAGE(M55:M58)</f>
        <v>1918.2703728631043</v>
      </c>
      <c r="N59" s="304">
        <f t="shared" si="3"/>
        <v>116.25881047655177</v>
      </c>
      <c r="O59" s="306">
        <f t="shared" si="4"/>
        <v>0</v>
      </c>
      <c r="P59" s="307">
        <f t="shared" si="5"/>
        <v>-4.9533107355694455</v>
      </c>
      <c r="Q59" s="432">
        <f t="shared" si="6"/>
        <v>0.95913518643155204</v>
      </c>
      <c r="R59" s="571"/>
      <c r="S59" s="322"/>
      <c r="T59" s="308"/>
      <c r="U59" s="304"/>
      <c r="V59" s="429"/>
      <c r="W59" s="304"/>
      <c r="X59" s="304"/>
      <c r="Y59" s="570"/>
      <c r="Z59" s="570"/>
      <c r="AA59" s="306">
        <f t="shared" si="8"/>
        <v>-81.729627136895715</v>
      </c>
      <c r="AB59" s="432">
        <f t="shared" si="9"/>
        <v>0.95913518643155216</v>
      </c>
      <c r="AC59" s="571"/>
    </row>
    <row r="60" spans="1:29" ht="15.75" customHeight="1">
      <c r="A60" s="576" t="s">
        <v>32</v>
      </c>
      <c r="B60" s="438" t="s">
        <v>40</v>
      </c>
      <c r="C60" s="565" t="s">
        <v>82</v>
      </c>
      <c r="D60" s="565"/>
      <c r="E60" s="300">
        <v>26.97</v>
      </c>
      <c r="F60" s="317">
        <v>3382</v>
      </c>
      <c r="G60" s="428">
        <f t="shared" ref="G60:G63" si="39">E60*F60</f>
        <v>91212.54</v>
      </c>
      <c r="H60" s="439" t="s">
        <v>35</v>
      </c>
      <c r="I60" s="430">
        <v>8</v>
      </c>
      <c r="J60" s="303">
        <v>1500</v>
      </c>
      <c r="K60" s="304">
        <f t="shared" si="1"/>
        <v>187.5</v>
      </c>
      <c r="L60" s="430">
        <v>8</v>
      </c>
      <c r="M60" s="305">
        <f t="shared" ref="M60:M63" si="40">F60/V60*60</f>
        <v>1439.1489361702127</v>
      </c>
      <c r="N60" s="304">
        <f t="shared" si="3"/>
        <v>179.89361702127658</v>
      </c>
      <c r="O60" s="306">
        <f t="shared" si="4"/>
        <v>0</v>
      </c>
      <c r="P60" s="307">
        <f t="shared" si="5"/>
        <v>-7.606382978723417</v>
      </c>
      <c r="Q60" s="432">
        <f t="shared" si="6"/>
        <v>0.95943262411347507</v>
      </c>
      <c r="R60" s="571">
        <f>Q64</f>
        <v>0.96156264894427168</v>
      </c>
      <c r="S60" s="308">
        <v>0.20833333333333334</v>
      </c>
      <c r="T60" s="308">
        <v>0.30625000000000002</v>
      </c>
      <c r="U60" s="428"/>
      <c r="V60" s="429">
        <f t="shared" ref="V60:V63" si="41">(T60-S60)*24*60</f>
        <v>141.00000000000003</v>
      </c>
      <c r="W60" s="315"/>
      <c r="X60" s="315"/>
      <c r="Y60" s="570"/>
      <c r="Z60" s="570"/>
      <c r="AA60" s="306">
        <f t="shared" si="8"/>
        <v>-60.851063829787336</v>
      </c>
      <c r="AB60" s="432">
        <f t="shared" si="9"/>
        <v>0.95943262411347507</v>
      </c>
      <c r="AC60" s="571">
        <f>AB64</f>
        <v>0.96156264894427179</v>
      </c>
    </row>
    <row r="61" spans="1:29" ht="15.75" customHeight="1">
      <c r="A61" s="576" t="s">
        <v>32</v>
      </c>
      <c r="B61" s="438" t="s">
        <v>67</v>
      </c>
      <c r="C61" s="565" t="s">
        <v>79</v>
      </c>
      <c r="D61" s="565"/>
      <c r="E61" s="300">
        <v>26.78</v>
      </c>
      <c r="F61" s="317">
        <v>2981</v>
      </c>
      <c r="G61" s="428">
        <f t="shared" si="39"/>
        <v>79831.180000000008</v>
      </c>
      <c r="H61" s="439" t="s">
        <v>35</v>
      </c>
      <c r="I61" s="430">
        <v>10</v>
      </c>
      <c r="J61" s="303">
        <v>3000</v>
      </c>
      <c r="K61" s="304">
        <f t="shared" si="1"/>
        <v>300</v>
      </c>
      <c r="L61" s="430">
        <v>10</v>
      </c>
      <c r="M61" s="305">
        <f t="shared" si="40"/>
        <v>2884.8387096774186</v>
      </c>
      <c r="N61" s="304">
        <f t="shared" si="3"/>
        <v>288.48387096774184</v>
      </c>
      <c r="O61" s="306">
        <f t="shared" si="4"/>
        <v>0</v>
      </c>
      <c r="P61" s="307">
        <f t="shared" si="5"/>
        <v>-11.516129032258164</v>
      </c>
      <c r="Q61" s="432">
        <f t="shared" si="6"/>
        <v>0.96161290322580617</v>
      </c>
      <c r="R61" s="571"/>
      <c r="S61" s="308">
        <v>0.31111111111111112</v>
      </c>
      <c r="T61" s="308">
        <v>0.35416666666666669</v>
      </c>
      <c r="U61" s="428">
        <f t="shared" ref="U61:U63" si="42">(S61-T60)*24*60</f>
        <v>6.9999999999999751</v>
      </c>
      <c r="V61" s="429">
        <f t="shared" si="41"/>
        <v>62.000000000000021</v>
      </c>
      <c r="W61" s="428"/>
      <c r="X61" s="428"/>
      <c r="Y61" s="570"/>
      <c r="Z61" s="570"/>
      <c r="AA61" s="306">
        <f t="shared" si="8"/>
        <v>-115.16129032258141</v>
      </c>
      <c r="AB61" s="432">
        <f t="shared" si="9"/>
        <v>0.96161290322580617</v>
      </c>
      <c r="AC61" s="571"/>
    </row>
    <row r="62" spans="1:29" ht="15.75" customHeight="1">
      <c r="A62" s="576" t="s">
        <v>32</v>
      </c>
      <c r="B62" s="438" t="s">
        <v>67</v>
      </c>
      <c r="C62" s="565" t="s">
        <v>83</v>
      </c>
      <c r="D62" s="565"/>
      <c r="E62" s="300">
        <v>35.369999999999997</v>
      </c>
      <c r="F62" s="317">
        <v>1702</v>
      </c>
      <c r="G62" s="428">
        <f t="shared" si="39"/>
        <v>60199.74</v>
      </c>
      <c r="H62" s="439" t="s">
        <v>35</v>
      </c>
      <c r="I62" s="430">
        <v>10</v>
      </c>
      <c r="J62" s="303">
        <v>3000</v>
      </c>
      <c r="K62" s="304">
        <f t="shared" si="1"/>
        <v>300</v>
      </c>
      <c r="L62" s="430">
        <v>10</v>
      </c>
      <c r="M62" s="305">
        <f t="shared" si="40"/>
        <v>2917.7142857142826</v>
      </c>
      <c r="N62" s="304">
        <f t="shared" si="3"/>
        <v>291.77142857142826</v>
      </c>
      <c r="O62" s="306">
        <f t="shared" si="4"/>
        <v>0</v>
      </c>
      <c r="P62" s="307">
        <f t="shared" si="5"/>
        <v>-8.2285714285717404</v>
      </c>
      <c r="Q62" s="432">
        <f t="shared" si="6"/>
        <v>0.97257142857142753</v>
      </c>
      <c r="R62" s="571"/>
      <c r="S62" s="308">
        <v>0.35902777777777778</v>
      </c>
      <c r="T62" s="308">
        <v>0.38333333333333336</v>
      </c>
      <c r="U62" s="428">
        <f t="shared" si="42"/>
        <v>6.9999999999999751</v>
      </c>
      <c r="V62" s="429">
        <f t="shared" si="41"/>
        <v>35.000000000000036</v>
      </c>
      <c r="W62" s="428"/>
      <c r="X62" s="428"/>
      <c r="Y62" s="570"/>
      <c r="Z62" s="570"/>
      <c r="AA62" s="306">
        <f t="shared" si="8"/>
        <v>-82.285714285717404</v>
      </c>
      <c r="AB62" s="432">
        <f t="shared" si="9"/>
        <v>0.97257142857142753</v>
      </c>
      <c r="AC62" s="571"/>
    </row>
    <row r="63" spans="1:29" ht="15.75" customHeight="1">
      <c r="A63" s="576" t="s">
        <v>32</v>
      </c>
      <c r="B63" s="438" t="s">
        <v>67</v>
      </c>
      <c r="C63" s="565" t="s">
        <v>666</v>
      </c>
      <c r="D63" s="565"/>
      <c r="E63" s="300">
        <v>37.880000000000003</v>
      </c>
      <c r="F63" s="317">
        <v>4853</v>
      </c>
      <c r="G63" s="428">
        <f t="shared" si="39"/>
        <v>183831.64</v>
      </c>
      <c r="H63" s="439" t="s">
        <v>35</v>
      </c>
      <c r="I63" s="430">
        <v>11</v>
      </c>
      <c r="J63" s="303">
        <v>3000</v>
      </c>
      <c r="K63" s="304">
        <f t="shared" si="1"/>
        <v>272.72727272727275</v>
      </c>
      <c r="L63" s="430">
        <v>11</v>
      </c>
      <c r="M63" s="305">
        <f t="shared" si="40"/>
        <v>2854.7058823529401</v>
      </c>
      <c r="N63" s="304">
        <f t="shared" si="3"/>
        <v>259.51871657754003</v>
      </c>
      <c r="O63" s="306">
        <f t="shared" si="4"/>
        <v>0</v>
      </c>
      <c r="P63" s="307">
        <f t="shared" si="5"/>
        <v>-13.208556149732715</v>
      </c>
      <c r="Q63" s="432">
        <f t="shared" si="6"/>
        <v>0.95156862745098003</v>
      </c>
      <c r="R63" s="571"/>
      <c r="S63" s="308">
        <v>0.38750000000000001</v>
      </c>
      <c r="T63" s="308">
        <v>0.45833333333333337</v>
      </c>
      <c r="U63" s="428">
        <f t="shared" si="42"/>
        <v>5.9999999999999787</v>
      </c>
      <c r="V63" s="429">
        <f t="shared" si="41"/>
        <v>102.00000000000004</v>
      </c>
      <c r="W63" s="428"/>
      <c r="X63" s="428"/>
      <c r="Y63" s="570"/>
      <c r="Z63" s="570"/>
      <c r="AA63" s="306">
        <f t="shared" si="8"/>
        <v>-145.29411764705992</v>
      </c>
      <c r="AB63" s="432">
        <f t="shared" si="9"/>
        <v>0.95156862745098003</v>
      </c>
      <c r="AC63" s="571"/>
    </row>
    <row r="64" spans="1:29">
      <c r="A64" s="577" t="s">
        <v>32</v>
      </c>
      <c r="B64" s="300" t="s">
        <v>22</v>
      </c>
      <c r="C64" s="572"/>
      <c r="D64" s="572"/>
      <c r="E64" s="431"/>
      <c r="F64" s="313"/>
      <c r="G64" s="304"/>
      <c r="H64" s="438"/>
      <c r="I64" s="314">
        <v>9.75</v>
      </c>
      <c r="J64" s="303">
        <v>2625</v>
      </c>
      <c r="K64" s="304">
        <f t="shared" si="1"/>
        <v>269.23076923076923</v>
      </c>
      <c r="L64" s="314">
        <v>9.75</v>
      </c>
      <c r="M64" s="305">
        <f>AVERAGE(M60:M63)</f>
        <v>2524.1019534787133</v>
      </c>
      <c r="N64" s="304">
        <f t="shared" si="3"/>
        <v>258.88225163884238</v>
      </c>
      <c r="O64" s="306">
        <f t="shared" si="4"/>
        <v>0</v>
      </c>
      <c r="P64" s="307">
        <f t="shared" si="5"/>
        <v>-10.34851759192685</v>
      </c>
      <c r="Q64" s="432">
        <f t="shared" si="6"/>
        <v>0.96156264894427168</v>
      </c>
      <c r="R64" s="571"/>
      <c r="S64" s="308"/>
      <c r="T64" s="308"/>
      <c r="U64" s="304"/>
      <c r="V64" s="429"/>
      <c r="W64" s="304"/>
      <c r="X64" s="304"/>
      <c r="Y64" s="570"/>
      <c r="Z64" s="570"/>
      <c r="AA64" s="306">
        <f t="shared" si="8"/>
        <v>-100.89804652128669</v>
      </c>
      <c r="AB64" s="432">
        <f t="shared" si="9"/>
        <v>0.96156264894427179</v>
      </c>
      <c r="AC64" s="571"/>
    </row>
    <row r="65" spans="1:29" ht="15.75" customHeight="1">
      <c r="A65" s="573" t="s">
        <v>33</v>
      </c>
      <c r="B65" s="438" t="s">
        <v>46</v>
      </c>
      <c r="C65" s="565" t="s">
        <v>84</v>
      </c>
      <c r="D65" s="565"/>
      <c r="E65" s="300">
        <v>20.2</v>
      </c>
      <c r="F65" s="438">
        <v>2963</v>
      </c>
      <c r="G65" s="428">
        <f t="shared" ref="G65:G73" si="43">E65*F65</f>
        <v>59852.6</v>
      </c>
      <c r="H65" s="439" t="s">
        <v>35</v>
      </c>
      <c r="I65" s="430">
        <v>19</v>
      </c>
      <c r="J65" s="303">
        <v>2400</v>
      </c>
      <c r="K65" s="304">
        <f t="shared" si="1"/>
        <v>126.31578947368421</v>
      </c>
      <c r="L65" s="430">
        <v>19</v>
      </c>
      <c r="M65" s="305">
        <f t="shared" ref="M65:M73" si="44">F65/V65*60</f>
        <v>2308.8311688311692</v>
      </c>
      <c r="N65" s="304">
        <f t="shared" si="3"/>
        <v>121.51742993848259</v>
      </c>
      <c r="O65" s="306">
        <f t="shared" si="4"/>
        <v>0</v>
      </c>
      <c r="P65" s="307">
        <f t="shared" si="5"/>
        <v>-4.7983595352016124</v>
      </c>
      <c r="Q65" s="432">
        <f t="shared" si="6"/>
        <v>0.96201298701298721</v>
      </c>
      <c r="R65" s="571">
        <f>Q74</f>
        <v>0.9594568878556915</v>
      </c>
      <c r="S65" s="308">
        <v>0.125</v>
      </c>
      <c r="T65" s="308">
        <v>0.17847222222222223</v>
      </c>
      <c r="U65" s="315"/>
      <c r="V65" s="429">
        <f t="shared" ref="V65:V73" si="45">(T65-S65)*24*60</f>
        <v>77</v>
      </c>
      <c r="W65" s="310">
        <f>T65</f>
        <v>0.17847222222222223</v>
      </c>
      <c r="X65" s="310">
        <f>S66</f>
        <v>0.2</v>
      </c>
      <c r="Y65" s="570"/>
      <c r="Z65" s="570"/>
      <c r="AA65" s="306">
        <f t="shared" si="8"/>
        <v>-91.16883116883082</v>
      </c>
      <c r="AB65" s="432">
        <f t="shared" si="9"/>
        <v>0.96201298701298721</v>
      </c>
      <c r="AC65" s="571">
        <f>AB74</f>
        <v>0.9594568878556915</v>
      </c>
    </row>
    <row r="66" spans="1:29" ht="15.75" customHeight="1">
      <c r="A66" s="574" t="s">
        <v>33</v>
      </c>
      <c r="B66" s="438" t="s">
        <v>46</v>
      </c>
      <c r="C66" s="565" t="s">
        <v>58</v>
      </c>
      <c r="D66" s="565"/>
      <c r="E66" s="300">
        <v>25.98</v>
      </c>
      <c r="F66" s="438">
        <v>1701</v>
      </c>
      <c r="G66" s="428">
        <f t="shared" si="43"/>
        <v>44191.98</v>
      </c>
      <c r="H66" s="439" t="s">
        <v>35</v>
      </c>
      <c r="I66" s="430">
        <v>17</v>
      </c>
      <c r="J66" s="303">
        <v>2400</v>
      </c>
      <c r="K66" s="304">
        <f t="shared" si="1"/>
        <v>141.1764705882353</v>
      </c>
      <c r="L66" s="430">
        <v>17</v>
      </c>
      <c r="M66" s="305">
        <f t="shared" si="44"/>
        <v>2319.5454545454545</v>
      </c>
      <c r="N66" s="304">
        <f t="shared" si="3"/>
        <v>136.44385026737967</v>
      </c>
      <c r="O66" s="306">
        <f t="shared" si="4"/>
        <v>0</v>
      </c>
      <c r="P66" s="307">
        <f t="shared" si="5"/>
        <v>-4.7326203208556308</v>
      </c>
      <c r="Q66" s="432">
        <f t="shared" si="6"/>
        <v>0.96647727272727257</v>
      </c>
      <c r="R66" s="571"/>
      <c r="S66" s="308">
        <v>0.2</v>
      </c>
      <c r="T66" s="308">
        <v>0.23055555555555557</v>
      </c>
      <c r="U66" s="428">
        <f t="shared" ref="U66:U73" si="46">(S66-T65)*24*60</f>
        <v>31.000000000000011</v>
      </c>
      <c r="V66" s="429">
        <f t="shared" si="45"/>
        <v>44</v>
      </c>
      <c r="W66" s="310"/>
      <c r="X66" s="310"/>
      <c r="Y66" s="570"/>
      <c r="Z66" s="570"/>
      <c r="AA66" s="306">
        <f t="shared" si="8"/>
        <v>-80.454545454545496</v>
      </c>
      <c r="AB66" s="432">
        <f t="shared" si="9"/>
        <v>0.96647727272727268</v>
      </c>
      <c r="AC66" s="571"/>
    </row>
    <row r="67" spans="1:29" ht="15.75" customHeight="1">
      <c r="A67" s="574" t="s">
        <v>33</v>
      </c>
      <c r="B67" s="438" t="s">
        <v>46</v>
      </c>
      <c r="C67" s="565" t="s">
        <v>88</v>
      </c>
      <c r="D67" s="565"/>
      <c r="E67" s="300">
        <v>24.25</v>
      </c>
      <c r="F67" s="438">
        <v>3501</v>
      </c>
      <c r="G67" s="428">
        <f t="shared" si="43"/>
        <v>84899.25</v>
      </c>
      <c r="H67" s="439" t="s">
        <v>35</v>
      </c>
      <c r="I67" s="430">
        <v>17</v>
      </c>
      <c r="J67" s="303">
        <v>2400</v>
      </c>
      <c r="K67" s="304">
        <f t="shared" si="1"/>
        <v>141.1764705882353</v>
      </c>
      <c r="L67" s="430">
        <v>17</v>
      </c>
      <c r="M67" s="305">
        <f t="shared" si="44"/>
        <v>2308.3516483516473</v>
      </c>
      <c r="N67" s="304">
        <f t="shared" si="3"/>
        <v>135.78539107950866</v>
      </c>
      <c r="O67" s="306">
        <f t="shared" si="4"/>
        <v>0</v>
      </c>
      <c r="P67" s="307">
        <f t="shared" si="5"/>
        <v>-5.3910795087266479</v>
      </c>
      <c r="Q67" s="432">
        <f t="shared" si="6"/>
        <v>0.96181318681318628</v>
      </c>
      <c r="R67" s="571"/>
      <c r="S67" s="308">
        <v>0.23472222222222225</v>
      </c>
      <c r="T67" s="308">
        <v>0.29791666666666672</v>
      </c>
      <c r="U67" s="428">
        <f t="shared" si="46"/>
        <v>6.0000000000000187</v>
      </c>
      <c r="V67" s="429">
        <f t="shared" si="45"/>
        <v>91.000000000000043</v>
      </c>
      <c r="W67" s="310"/>
      <c r="X67" s="310"/>
      <c r="Y67" s="570"/>
      <c r="Z67" s="570"/>
      <c r="AA67" s="306">
        <f t="shared" si="8"/>
        <v>-91.648351648352673</v>
      </c>
      <c r="AB67" s="432">
        <f t="shared" si="9"/>
        <v>0.96181318681318639</v>
      </c>
      <c r="AC67" s="571"/>
    </row>
    <row r="68" spans="1:29" ht="15.75" customHeight="1">
      <c r="A68" s="574" t="s">
        <v>33</v>
      </c>
      <c r="B68" s="438" t="s">
        <v>46</v>
      </c>
      <c r="C68" s="565" t="s">
        <v>47</v>
      </c>
      <c r="D68" s="565"/>
      <c r="E68" s="300">
        <v>24.45</v>
      </c>
      <c r="F68" s="438">
        <v>2879</v>
      </c>
      <c r="G68" s="428">
        <f t="shared" si="43"/>
        <v>70391.55</v>
      </c>
      <c r="H68" s="439" t="s">
        <v>35</v>
      </c>
      <c r="I68" s="430">
        <v>20</v>
      </c>
      <c r="J68" s="303">
        <v>2400</v>
      </c>
      <c r="K68" s="304">
        <f t="shared" si="1"/>
        <v>120</v>
      </c>
      <c r="L68" s="430">
        <v>20</v>
      </c>
      <c r="M68" s="305">
        <f t="shared" si="44"/>
        <v>2303.2000000000012</v>
      </c>
      <c r="N68" s="304">
        <f t="shared" si="3"/>
        <v>115.16000000000005</v>
      </c>
      <c r="O68" s="306">
        <f t="shared" si="4"/>
        <v>0</v>
      </c>
      <c r="P68" s="307">
        <f t="shared" si="5"/>
        <v>-4.8399999999999466</v>
      </c>
      <c r="Q68" s="432">
        <f t="shared" si="6"/>
        <v>0.95966666666666711</v>
      </c>
      <c r="R68" s="571"/>
      <c r="S68" s="308">
        <v>0.30138888888888893</v>
      </c>
      <c r="T68" s="308">
        <v>0.35347222222222224</v>
      </c>
      <c r="U68" s="428">
        <f t="shared" si="46"/>
        <v>4.9999999999999822</v>
      </c>
      <c r="V68" s="429">
        <f t="shared" si="45"/>
        <v>74.999999999999972</v>
      </c>
      <c r="W68" s="310"/>
      <c r="X68" s="310"/>
      <c r="Y68" s="570"/>
      <c r="Z68" s="570"/>
      <c r="AA68" s="306">
        <f t="shared" si="8"/>
        <v>-96.799999999998818</v>
      </c>
      <c r="AB68" s="432">
        <f t="shared" si="9"/>
        <v>0.95966666666666711</v>
      </c>
      <c r="AC68" s="571"/>
    </row>
    <row r="69" spans="1:29" ht="15.75" customHeight="1">
      <c r="A69" s="574" t="s">
        <v>33</v>
      </c>
      <c r="B69" s="438" t="s">
        <v>46</v>
      </c>
      <c r="C69" s="565" t="s">
        <v>66</v>
      </c>
      <c r="D69" s="565"/>
      <c r="E69" s="300">
        <v>24.25</v>
      </c>
      <c r="F69" s="438">
        <v>3000</v>
      </c>
      <c r="G69" s="428">
        <f t="shared" si="43"/>
        <v>72750</v>
      </c>
      <c r="H69" s="439">
        <v>2</v>
      </c>
      <c r="I69" s="430">
        <v>14</v>
      </c>
      <c r="J69" s="303">
        <v>2400</v>
      </c>
      <c r="K69" s="304">
        <f t="shared" ref="K69:K74" si="47">J69/I69</f>
        <v>171.42857142857142</v>
      </c>
      <c r="L69" s="430">
        <v>14</v>
      </c>
      <c r="M69" s="305">
        <f t="shared" si="44"/>
        <v>2307.692307692309</v>
      </c>
      <c r="N69" s="304">
        <f t="shared" ref="N69:N74" si="48">M69/L69</f>
        <v>164.83516483516493</v>
      </c>
      <c r="O69" s="306">
        <f t="shared" ref="O69:O74" si="49">L69-I69</f>
        <v>0</v>
      </c>
      <c r="P69" s="307">
        <f t="shared" ref="P69:P74" si="50">N69-K69</f>
        <v>-6.5934065934064847</v>
      </c>
      <c r="Q69" s="432">
        <f t="shared" ref="Q69:Q74" si="51">N69/K69</f>
        <v>0.96153846153846212</v>
      </c>
      <c r="R69" s="571"/>
      <c r="S69" s="308">
        <v>0.3576388888888889</v>
      </c>
      <c r="T69" s="308">
        <v>0.41180555555555554</v>
      </c>
      <c r="U69" s="428">
        <f t="shared" si="46"/>
        <v>5.9999999999999787</v>
      </c>
      <c r="V69" s="429">
        <f t="shared" si="45"/>
        <v>77.999999999999957</v>
      </c>
      <c r="W69" s="310"/>
      <c r="X69" s="310"/>
      <c r="Y69" s="570"/>
      <c r="Z69" s="570"/>
      <c r="AA69" s="306">
        <f t="shared" ref="AA69:AA74" si="52">M69-J69</f>
        <v>-92.307692307691013</v>
      </c>
      <c r="AB69" s="432">
        <f t="shared" ref="AB69:AB74" si="53">M69/J69</f>
        <v>0.96153846153846212</v>
      </c>
      <c r="AC69" s="571"/>
    </row>
    <row r="70" spans="1:29" ht="15.75" customHeight="1">
      <c r="A70" s="574" t="s">
        <v>33</v>
      </c>
      <c r="B70" s="438" t="s">
        <v>46</v>
      </c>
      <c r="C70" s="565" t="s">
        <v>85</v>
      </c>
      <c r="D70" s="565"/>
      <c r="E70" s="300">
        <v>19.02</v>
      </c>
      <c r="F70" s="438">
        <v>4500</v>
      </c>
      <c r="G70" s="428">
        <f t="shared" si="43"/>
        <v>85590</v>
      </c>
      <c r="H70" s="439">
        <v>2</v>
      </c>
      <c r="I70" s="430">
        <v>15</v>
      </c>
      <c r="J70" s="303">
        <v>2400</v>
      </c>
      <c r="K70" s="304">
        <f t="shared" si="47"/>
        <v>160</v>
      </c>
      <c r="L70" s="430">
        <v>15</v>
      </c>
      <c r="M70" s="305">
        <f t="shared" si="44"/>
        <v>2288.1355932203396</v>
      </c>
      <c r="N70" s="304">
        <f t="shared" si="48"/>
        <v>152.54237288135599</v>
      </c>
      <c r="O70" s="306">
        <f t="shared" si="49"/>
        <v>0</v>
      </c>
      <c r="P70" s="307">
        <f t="shared" si="50"/>
        <v>-7.4576271186440124</v>
      </c>
      <c r="Q70" s="432">
        <f t="shared" si="51"/>
        <v>0.95338983050847492</v>
      </c>
      <c r="R70" s="571"/>
      <c r="S70" s="308">
        <v>0.41527777777777775</v>
      </c>
      <c r="T70" s="308">
        <v>0.49722222222222218</v>
      </c>
      <c r="U70" s="428">
        <f t="shared" si="46"/>
        <v>4.9999999999999822</v>
      </c>
      <c r="V70" s="429">
        <f t="shared" si="45"/>
        <v>117.99999999999999</v>
      </c>
      <c r="W70" s="310">
        <f>T70</f>
        <v>0.49722222222222218</v>
      </c>
      <c r="X70" s="310">
        <f>S71</f>
        <v>0.53749999999999998</v>
      </c>
      <c r="Y70" s="570"/>
      <c r="Z70" s="570"/>
      <c r="AA70" s="306">
        <f t="shared" si="52"/>
        <v>-111.86440677966038</v>
      </c>
      <c r="AB70" s="432">
        <f t="shared" si="53"/>
        <v>0.95338983050847481</v>
      </c>
      <c r="AC70" s="571"/>
    </row>
    <row r="71" spans="1:29" ht="15.75" customHeight="1">
      <c r="A71" s="574" t="s">
        <v>33</v>
      </c>
      <c r="B71" s="438" t="s">
        <v>46</v>
      </c>
      <c r="C71" s="565" t="s">
        <v>85</v>
      </c>
      <c r="D71" s="565"/>
      <c r="E71" s="300">
        <v>19.02</v>
      </c>
      <c r="F71" s="438">
        <v>6942</v>
      </c>
      <c r="G71" s="428">
        <f t="shared" si="43"/>
        <v>132036.84</v>
      </c>
      <c r="H71" s="439" t="s">
        <v>35</v>
      </c>
      <c r="I71" s="430">
        <v>15</v>
      </c>
      <c r="J71" s="303">
        <v>2400</v>
      </c>
      <c r="K71" s="304">
        <f t="shared" si="47"/>
        <v>160</v>
      </c>
      <c r="L71" s="430">
        <v>15</v>
      </c>
      <c r="M71" s="305">
        <f t="shared" si="44"/>
        <v>2288.5714285714289</v>
      </c>
      <c r="N71" s="304">
        <f t="shared" si="48"/>
        <v>152.57142857142858</v>
      </c>
      <c r="O71" s="306">
        <f t="shared" si="49"/>
        <v>0</v>
      </c>
      <c r="P71" s="307">
        <f t="shared" si="50"/>
        <v>-7.4285714285714164</v>
      </c>
      <c r="Q71" s="432">
        <f t="shared" si="51"/>
        <v>0.95357142857142863</v>
      </c>
      <c r="R71" s="571"/>
      <c r="S71" s="308">
        <v>0.53749999999999998</v>
      </c>
      <c r="T71" s="308">
        <v>0.66388888888888886</v>
      </c>
      <c r="U71" s="428">
        <f t="shared" si="46"/>
        <v>58.000000000000036</v>
      </c>
      <c r="V71" s="429">
        <f t="shared" si="45"/>
        <v>182</v>
      </c>
      <c r="W71" s="310"/>
      <c r="X71" s="310"/>
      <c r="Y71" s="566"/>
      <c r="Z71" s="567"/>
      <c r="AA71" s="306">
        <f t="shared" si="52"/>
        <v>-111.4285714285711</v>
      </c>
      <c r="AB71" s="432">
        <f t="shared" si="53"/>
        <v>0.95357142857142874</v>
      </c>
      <c r="AC71" s="571"/>
    </row>
    <row r="72" spans="1:29" ht="15.75" customHeight="1">
      <c r="A72" s="574" t="s">
        <v>33</v>
      </c>
      <c r="B72" s="438" t="s">
        <v>46</v>
      </c>
      <c r="C72" s="565" t="s">
        <v>66</v>
      </c>
      <c r="D72" s="565"/>
      <c r="E72" s="300">
        <v>24.25</v>
      </c>
      <c r="F72" s="438">
        <v>1949</v>
      </c>
      <c r="G72" s="428">
        <f t="shared" si="43"/>
        <v>47263.25</v>
      </c>
      <c r="H72" s="439" t="s">
        <v>35</v>
      </c>
      <c r="I72" s="430">
        <v>14</v>
      </c>
      <c r="J72" s="303">
        <v>2400</v>
      </c>
      <c r="K72" s="304">
        <f t="shared" si="47"/>
        <v>171.42857142857142</v>
      </c>
      <c r="L72" s="430">
        <v>14</v>
      </c>
      <c r="M72" s="305">
        <f t="shared" si="44"/>
        <v>2292.9411764705892</v>
      </c>
      <c r="N72" s="304">
        <f t="shared" si="48"/>
        <v>163.78151260504208</v>
      </c>
      <c r="O72" s="306">
        <f t="shared" si="49"/>
        <v>0</v>
      </c>
      <c r="P72" s="307">
        <f t="shared" si="50"/>
        <v>-7.6470588235293349</v>
      </c>
      <c r="Q72" s="432">
        <f t="shared" si="51"/>
        <v>0.95539215686274559</v>
      </c>
      <c r="R72" s="571"/>
      <c r="S72" s="308">
        <v>0.66736111111111107</v>
      </c>
      <c r="T72" s="308">
        <v>0.70277777777777772</v>
      </c>
      <c r="U72" s="428">
        <f t="shared" si="46"/>
        <v>4.9999999999999822</v>
      </c>
      <c r="V72" s="429">
        <f t="shared" si="45"/>
        <v>50.999999999999979</v>
      </c>
      <c r="W72" s="310"/>
      <c r="X72" s="310"/>
      <c r="Y72" s="566"/>
      <c r="Z72" s="567"/>
      <c r="AA72" s="306">
        <f t="shared" si="52"/>
        <v>-107.0588235294108</v>
      </c>
      <c r="AB72" s="432">
        <f t="shared" si="53"/>
        <v>0.95539215686274548</v>
      </c>
      <c r="AC72" s="571"/>
    </row>
    <row r="73" spans="1:29" ht="15.75" customHeight="1">
      <c r="A73" s="574" t="s">
        <v>33</v>
      </c>
      <c r="B73" s="438" t="s">
        <v>46</v>
      </c>
      <c r="C73" s="565" t="s">
        <v>57</v>
      </c>
      <c r="D73" s="565"/>
      <c r="E73" s="300">
        <v>20.52</v>
      </c>
      <c r="F73" s="438">
        <v>1538</v>
      </c>
      <c r="G73" s="428">
        <f t="shared" si="43"/>
        <v>31559.759999999998</v>
      </c>
      <c r="H73" s="439" t="s">
        <v>35</v>
      </c>
      <c r="I73" s="430">
        <v>18</v>
      </c>
      <c r="J73" s="303">
        <v>2400</v>
      </c>
      <c r="K73" s="304">
        <f t="shared" si="47"/>
        <v>133.33333333333334</v>
      </c>
      <c r="L73" s="430">
        <v>18</v>
      </c>
      <c r="M73" s="305">
        <f t="shared" si="44"/>
        <v>2306.9999999999991</v>
      </c>
      <c r="N73" s="304">
        <f t="shared" si="48"/>
        <v>128.16666666666663</v>
      </c>
      <c r="O73" s="306">
        <f t="shared" si="49"/>
        <v>0</v>
      </c>
      <c r="P73" s="307">
        <f t="shared" si="50"/>
        <v>-5.166666666666714</v>
      </c>
      <c r="Q73" s="432">
        <f t="shared" si="51"/>
        <v>0.9612499999999996</v>
      </c>
      <c r="R73" s="571"/>
      <c r="S73" s="308">
        <v>0.70833333333333326</v>
      </c>
      <c r="T73" s="308">
        <v>0.73611111111111105</v>
      </c>
      <c r="U73" s="428">
        <f t="shared" si="46"/>
        <v>7.9999999999999716</v>
      </c>
      <c r="V73" s="429">
        <f t="shared" si="45"/>
        <v>40.000000000000014</v>
      </c>
      <c r="W73" s="310"/>
      <c r="X73" s="310"/>
      <c r="Y73" s="566"/>
      <c r="Z73" s="567"/>
      <c r="AA73" s="306">
        <f t="shared" si="52"/>
        <v>-93.000000000000909</v>
      </c>
      <c r="AB73" s="432">
        <f t="shared" si="53"/>
        <v>0.9612499999999996</v>
      </c>
      <c r="AC73" s="571"/>
    </row>
    <row r="74" spans="1:29" ht="16.5" customHeight="1">
      <c r="A74" s="575" t="s">
        <v>33</v>
      </c>
      <c r="B74" s="300" t="s">
        <v>22</v>
      </c>
      <c r="C74" s="568"/>
      <c r="D74" s="569"/>
      <c r="E74" s="431"/>
      <c r="F74" s="313"/>
      <c r="G74" s="304"/>
      <c r="H74" s="438"/>
      <c r="I74" s="314">
        <v>16.555555555555557</v>
      </c>
      <c r="J74" s="303">
        <v>2400</v>
      </c>
      <c r="K74" s="304">
        <f t="shared" si="47"/>
        <v>144.96644295302013</v>
      </c>
      <c r="L74" s="314">
        <v>16.555555555555557</v>
      </c>
      <c r="M74" s="305">
        <f>AVERAGE(M65:M73)</f>
        <v>2302.6965308536596</v>
      </c>
      <c r="N74" s="304">
        <f t="shared" si="48"/>
        <v>139.08905219921434</v>
      </c>
      <c r="O74" s="306">
        <f t="shared" si="49"/>
        <v>0</v>
      </c>
      <c r="P74" s="307">
        <f t="shared" si="50"/>
        <v>-5.8773907538057983</v>
      </c>
      <c r="Q74" s="432">
        <f t="shared" si="51"/>
        <v>0.9594568878556915</v>
      </c>
      <c r="R74" s="571"/>
      <c r="S74" s="308"/>
      <c r="T74" s="308"/>
      <c r="U74" s="304"/>
      <c r="V74" s="429"/>
      <c r="W74" s="304"/>
      <c r="X74" s="304"/>
      <c r="Y74" s="570"/>
      <c r="Z74" s="570"/>
      <c r="AA74" s="306">
        <f t="shared" si="52"/>
        <v>-97.303469146340376</v>
      </c>
      <c r="AB74" s="432">
        <f t="shared" si="53"/>
        <v>0.9594568878556915</v>
      </c>
      <c r="AC74" s="571"/>
    </row>
    <row r="75" spans="1:29">
      <c r="B75" s="324"/>
      <c r="C75" s="324"/>
      <c r="D75" s="440"/>
      <c r="E75" s="440"/>
      <c r="F75" s="324"/>
    </row>
  </sheetData>
  <mergeCells count="198">
    <mergeCell ref="AC65:AC74"/>
    <mergeCell ref="C66:D66"/>
    <mergeCell ref="Y66:Z66"/>
    <mergeCell ref="C67:D67"/>
    <mergeCell ref="Y67:Z67"/>
    <mergeCell ref="C68:D68"/>
    <mergeCell ref="Y68:Z68"/>
    <mergeCell ref="C69:D69"/>
    <mergeCell ref="Y69:Z69"/>
    <mergeCell ref="C70:D70"/>
    <mergeCell ref="A65:A74"/>
    <mergeCell ref="C65:D65"/>
    <mergeCell ref="R65:R74"/>
    <mergeCell ref="Y65:Z65"/>
    <mergeCell ref="Y70:Z70"/>
    <mergeCell ref="C71:D71"/>
    <mergeCell ref="Y71:Z71"/>
    <mergeCell ref="A60:A64"/>
    <mergeCell ref="C60:D60"/>
    <mergeCell ref="R60:R64"/>
    <mergeCell ref="Y60:Z60"/>
    <mergeCell ref="C72:D72"/>
    <mergeCell ref="Y72:Z72"/>
    <mergeCell ref="C73:D73"/>
    <mergeCell ref="Y73:Z73"/>
    <mergeCell ref="C74:D74"/>
    <mergeCell ref="Y74:Z74"/>
    <mergeCell ref="AC60:AC64"/>
    <mergeCell ref="C61:D61"/>
    <mergeCell ref="Y61:Z61"/>
    <mergeCell ref="C62:D62"/>
    <mergeCell ref="Y62:Z62"/>
    <mergeCell ref="C63:D63"/>
    <mergeCell ref="A55:A59"/>
    <mergeCell ref="C55:D55"/>
    <mergeCell ref="R55:R59"/>
    <mergeCell ref="Y55:Z55"/>
    <mergeCell ref="AC55:AC59"/>
    <mergeCell ref="C56:D56"/>
    <mergeCell ref="Y56:Z56"/>
    <mergeCell ref="C57:D57"/>
    <mergeCell ref="C59:D59"/>
    <mergeCell ref="Y59:Z59"/>
    <mergeCell ref="Y63:Z63"/>
    <mergeCell ref="C64:D64"/>
    <mergeCell ref="Y64:Z64"/>
    <mergeCell ref="A45:A54"/>
    <mergeCell ref="C45:D45"/>
    <mergeCell ref="R45:R54"/>
    <mergeCell ref="Y45:Z45"/>
    <mergeCell ref="AC45:AC54"/>
    <mergeCell ref="C46:D46"/>
    <mergeCell ref="Y46:Z46"/>
    <mergeCell ref="C47:D47"/>
    <mergeCell ref="Y47:Z47"/>
    <mergeCell ref="C48:D48"/>
    <mergeCell ref="C52:D52"/>
    <mergeCell ref="Y52:Z52"/>
    <mergeCell ref="C53:D53"/>
    <mergeCell ref="Y53:Z53"/>
    <mergeCell ref="C54:D54"/>
    <mergeCell ref="Y54:Z54"/>
    <mergeCell ref="Y48:Z48"/>
    <mergeCell ref="C49:D49"/>
    <mergeCell ref="Y49:Z49"/>
    <mergeCell ref="C50:D50"/>
    <mergeCell ref="Y50:Z50"/>
    <mergeCell ref="C51:D51"/>
    <mergeCell ref="Y51:Z51"/>
    <mergeCell ref="A35:A44"/>
    <mergeCell ref="C35:D35"/>
    <mergeCell ref="R35:R44"/>
    <mergeCell ref="Y35:Z35"/>
    <mergeCell ref="AC35:AC44"/>
    <mergeCell ref="C36:D36"/>
    <mergeCell ref="Y36:Z36"/>
    <mergeCell ref="C37:D37"/>
    <mergeCell ref="Y37:Z37"/>
    <mergeCell ref="C38:D38"/>
    <mergeCell ref="C42:D42"/>
    <mergeCell ref="Y42:Z42"/>
    <mergeCell ref="C43:D43"/>
    <mergeCell ref="Y43:Z43"/>
    <mergeCell ref="C44:D44"/>
    <mergeCell ref="Y44:Z44"/>
    <mergeCell ref="Y38:Z38"/>
    <mergeCell ref="C39:D39"/>
    <mergeCell ref="Y39:Z39"/>
    <mergeCell ref="C40:D40"/>
    <mergeCell ref="Y40:Z40"/>
    <mergeCell ref="C41:D41"/>
    <mergeCell ref="Y41:Z41"/>
    <mergeCell ref="AC25:AC34"/>
    <mergeCell ref="C26:D26"/>
    <mergeCell ref="Y26:Z26"/>
    <mergeCell ref="C27:D27"/>
    <mergeCell ref="Y27:Z27"/>
    <mergeCell ref="C28:D28"/>
    <mergeCell ref="Y28:Z28"/>
    <mergeCell ref="C29:D29"/>
    <mergeCell ref="Y29:Z29"/>
    <mergeCell ref="C30:D30"/>
    <mergeCell ref="A25:A34"/>
    <mergeCell ref="C25:D25"/>
    <mergeCell ref="R25:R34"/>
    <mergeCell ref="Y25:Z25"/>
    <mergeCell ref="Y30:Z30"/>
    <mergeCell ref="C31:D31"/>
    <mergeCell ref="Y31:Z31"/>
    <mergeCell ref="A20:A24"/>
    <mergeCell ref="C20:D20"/>
    <mergeCell ref="R20:R24"/>
    <mergeCell ref="Y20:Z20"/>
    <mergeCell ref="C32:D32"/>
    <mergeCell ref="Y32:Z32"/>
    <mergeCell ref="C33:D33"/>
    <mergeCell ref="Y33:Z33"/>
    <mergeCell ref="C34:D34"/>
    <mergeCell ref="Y34:Z34"/>
    <mergeCell ref="AC13:AC19"/>
    <mergeCell ref="C14:D14"/>
    <mergeCell ref="Y14:Z14"/>
    <mergeCell ref="C15:D15"/>
    <mergeCell ref="Y15:Z15"/>
    <mergeCell ref="C16:D16"/>
    <mergeCell ref="AC20:AC24"/>
    <mergeCell ref="C21:D21"/>
    <mergeCell ref="Y21:Z21"/>
    <mergeCell ref="C22:D22"/>
    <mergeCell ref="Y22:Z22"/>
    <mergeCell ref="C23:D23"/>
    <mergeCell ref="Y16:Z16"/>
    <mergeCell ref="C17:D17"/>
    <mergeCell ref="Y17:Z17"/>
    <mergeCell ref="C18:D18"/>
    <mergeCell ref="Y18:Z18"/>
    <mergeCell ref="C19:D19"/>
    <mergeCell ref="Y19:Z19"/>
    <mergeCell ref="Y23:Z23"/>
    <mergeCell ref="C24:D24"/>
    <mergeCell ref="Y24:Z24"/>
    <mergeCell ref="Y11:Z11"/>
    <mergeCell ref="C12:D12"/>
    <mergeCell ref="Y12:Z12"/>
    <mergeCell ref="C8:D8"/>
    <mergeCell ref="Y8:Z8"/>
    <mergeCell ref="A13:A19"/>
    <mergeCell ref="C13:D13"/>
    <mergeCell ref="R13:R19"/>
    <mergeCell ref="Y13:Z13"/>
    <mergeCell ref="Y9:Z9"/>
    <mergeCell ref="AC9:AC12"/>
    <mergeCell ref="C10:D10"/>
    <mergeCell ref="Y10:Z10"/>
    <mergeCell ref="A3:A4"/>
    <mergeCell ref="B3:B4"/>
    <mergeCell ref="C3:D4"/>
    <mergeCell ref="E3:E4"/>
    <mergeCell ref="F3:F4"/>
    <mergeCell ref="G3:G4"/>
    <mergeCell ref="A9:A12"/>
    <mergeCell ref="C9:D9"/>
    <mergeCell ref="R9:R12"/>
    <mergeCell ref="C11:D11"/>
    <mergeCell ref="AC3:AC4"/>
    <mergeCell ref="A5:A8"/>
    <mergeCell ref="C5:D5"/>
    <mergeCell ref="R5:R8"/>
    <mergeCell ref="Y5:Z5"/>
    <mergeCell ref="AC5:AC8"/>
    <mergeCell ref="C6:D6"/>
    <mergeCell ref="Y6:Z6"/>
    <mergeCell ref="C7:D7"/>
    <mergeCell ref="Y7:Z7"/>
    <mergeCell ref="U3:U4"/>
    <mergeCell ref="I1:K2"/>
    <mergeCell ref="L1:N2"/>
    <mergeCell ref="O1:R2"/>
    <mergeCell ref="S1:X2"/>
    <mergeCell ref="Y1:Z2"/>
    <mergeCell ref="AA1:AC2"/>
    <mergeCell ref="R3:R4"/>
    <mergeCell ref="S3:T3"/>
    <mergeCell ref="H3:H4"/>
    <mergeCell ref="I3:I4"/>
    <mergeCell ref="J3:J4"/>
    <mergeCell ref="K3:K4"/>
    <mergeCell ref="L3:L4"/>
    <mergeCell ref="M3:M4"/>
    <mergeCell ref="V3:V4"/>
    <mergeCell ref="W3:X3"/>
    <mergeCell ref="Y3:Z4"/>
    <mergeCell ref="AA3:AA4"/>
    <mergeCell ref="AB3:AB4"/>
    <mergeCell ref="N3:N4"/>
    <mergeCell ref="O3:O4"/>
    <mergeCell ref="P3:P4"/>
    <mergeCell ref="Q3:Q4"/>
  </mergeCells>
  <phoneticPr fontId="3" type="noConversion"/>
  <conditionalFormatting sqref="O63:O70 O74 O5:O9 O12:O14 O54:O60 O19:O32 O34:O50">
    <cfRule type="cellIs" dxfId="1607" priority="76" operator="greaterThan">
      <formula>0</formula>
    </cfRule>
  </conditionalFormatting>
  <conditionalFormatting sqref="P5:P7 P63 AA63 P65:P70 P25:P32 P60 P9 P12:P14 P20:P23 P55:P58 P35:P50 AA5:AA60 AA65:AA74">
    <cfRule type="cellIs" dxfId="1606" priority="80" operator="lessThan">
      <formula>0</formula>
    </cfRule>
  </conditionalFormatting>
  <conditionalFormatting sqref="AB63 Q63:Q70 Q74 Q5:Q9 Q12:Q14 Q54:Q60 Q19:Q32 Q34:Q50 AB5:AB60 AB65:AB74">
    <cfRule type="cellIs" dxfId="1605" priority="77" operator="greaterThan">
      <formula>1</formula>
    </cfRule>
    <cfRule type="cellIs" dxfId="1604" priority="78" operator="lessThan">
      <formula>0.8</formula>
    </cfRule>
  </conditionalFormatting>
  <conditionalFormatting sqref="AC13:AC14 R13:R14 AC63 R63:R70 AC19:AC32 R19:R32 R34:R42 AC34:AC42 R74 AC5:AC9 R5:R9 R44:R50 AC44:AC50 AC54:AC60 R54:R60">
    <cfRule type="cellIs" dxfId="1603" priority="82" operator="lessThan">
      <formula>0.8</formula>
    </cfRule>
  </conditionalFormatting>
  <conditionalFormatting sqref="AC45">
    <cfRule type="cellIs" dxfId="1602" priority="84" operator="lessThan">
      <formula>0.8</formula>
    </cfRule>
  </conditionalFormatting>
  <conditionalFormatting sqref="AC20:AC23">
    <cfRule type="cellIs" dxfId="1601" priority="81" operator="lessThan">
      <formula>0.8</formula>
    </cfRule>
  </conditionalFormatting>
  <conditionalFormatting sqref="AC25">
    <cfRule type="cellIs" dxfId="1600" priority="83" operator="lessThan">
      <formula>0.8</formula>
    </cfRule>
  </conditionalFormatting>
  <conditionalFormatting sqref="AC35:AC42">
    <cfRule type="cellIs" dxfId="1599" priority="79" operator="lessThan">
      <formula>0.8</formula>
    </cfRule>
  </conditionalFormatting>
  <conditionalFormatting sqref="AA64">
    <cfRule type="cellIs" dxfId="1598" priority="75" operator="lessThan">
      <formula>0</formula>
    </cfRule>
  </conditionalFormatting>
  <conditionalFormatting sqref="AB64">
    <cfRule type="cellIs" dxfId="1597" priority="73" operator="greaterThan">
      <formula>1</formula>
    </cfRule>
    <cfRule type="cellIs" dxfId="1596" priority="74" operator="lessThan">
      <formula>0.8</formula>
    </cfRule>
  </conditionalFormatting>
  <conditionalFormatting sqref="O15:O16">
    <cfRule type="cellIs" dxfId="1595" priority="68" operator="greaterThan">
      <formula>0</formula>
    </cfRule>
  </conditionalFormatting>
  <conditionalFormatting sqref="P15:P16">
    <cfRule type="cellIs" dxfId="1594" priority="71" operator="lessThan">
      <formula>0</formula>
    </cfRule>
  </conditionalFormatting>
  <conditionalFormatting sqref="Q15:Q16">
    <cfRule type="cellIs" dxfId="1593" priority="69" operator="greaterThan">
      <formula>1</formula>
    </cfRule>
    <cfRule type="cellIs" dxfId="1592" priority="70" operator="lessThan">
      <formula>0.8</formula>
    </cfRule>
  </conditionalFormatting>
  <conditionalFormatting sqref="R15:R16 AC15:AC16">
    <cfRule type="cellIs" dxfId="1591" priority="72" operator="lessThan">
      <formula>0.8</formula>
    </cfRule>
  </conditionalFormatting>
  <conditionalFormatting sqref="O10:O11">
    <cfRule type="cellIs" dxfId="1590" priority="64" operator="greaterThan">
      <formula>0</formula>
    </cfRule>
  </conditionalFormatting>
  <conditionalFormatting sqref="P10:P11">
    <cfRule type="cellIs" dxfId="1589" priority="67" operator="lessThan">
      <formula>0</formula>
    </cfRule>
  </conditionalFormatting>
  <conditionalFormatting sqref="Q10:Q11">
    <cfRule type="cellIs" dxfId="1588" priority="65" operator="greaterThan">
      <formula>1</formula>
    </cfRule>
    <cfRule type="cellIs" dxfId="1587" priority="66" operator="lessThan">
      <formula>0.8</formula>
    </cfRule>
  </conditionalFormatting>
  <conditionalFormatting sqref="R43 AC43">
    <cfRule type="cellIs" dxfId="1586" priority="63" operator="lessThan">
      <formula>0.8</formula>
    </cfRule>
  </conditionalFormatting>
  <conditionalFormatting sqref="AC43">
    <cfRule type="cellIs" dxfId="1585" priority="62" operator="lessThan">
      <formula>0.8</formula>
    </cfRule>
  </conditionalFormatting>
  <conditionalFormatting sqref="O62">
    <cfRule type="cellIs" dxfId="1584" priority="57" operator="greaterThan">
      <formula>0</formula>
    </cfRule>
  </conditionalFormatting>
  <conditionalFormatting sqref="P62 AA62">
    <cfRule type="cellIs" dxfId="1583" priority="60" operator="lessThan">
      <formula>0</formula>
    </cfRule>
  </conditionalFormatting>
  <conditionalFormatting sqref="Q62 AB62">
    <cfRule type="cellIs" dxfId="1582" priority="58" operator="greaterThan">
      <formula>1</formula>
    </cfRule>
    <cfRule type="cellIs" dxfId="1581" priority="59" operator="lessThan">
      <formula>0.8</formula>
    </cfRule>
  </conditionalFormatting>
  <conditionalFormatting sqref="R62 AC62">
    <cfRule type="cellIs" dxfId="1580" priority="61" operator="lessThan">
      <formula>0.8</formula>
    </cfRule>
  </conditionalFormatting>
  <conditionalFormatting sqref="O33">
    <cfRule type="cellIs" dxfId="1579" priority="52" operator="greaterThan">
      <formula>0</formula>
    </cfRule>
  </conditionalFormatting>
  <conditionalFormatting sqref="P33">
    <cfRule type="cellIs" dxfId="1578" priority="55" operator="lessThan">
      <formula>0</formula>
    </cfRule>
  </conditionalFormatting>
  <conditionalFormatting sqref="Q33">
    <cfRule type="cellIs" dxfId="1577" priority="53" operator="greaterThan">
      <formula>1</formula>
    </cfRule>
    <cfRule type="cellIs" dxfId="1576" priority="54" operator="lessThan">
      <formula>0.8</formula>
    </cfRule>
  </conditionalFormatting>
  <conditionalFormatting sqref="R33 AC33">
    <cfRule type="cellIs" dxfId="1575" priority="56" operator="lessThan">
      <formula>0.8</formula>
    </cfRule>
  </conditionalFormatting>
  <conditionalFormatting sqref="O71">
    <cfRule type="cellIs" dxfId="1574" priority="47" operator="greaterThan">
      <formula>0</formula>
    </cfRule>
  </conditionalFormatting>
  <conditionalFormatting sqref="P71">
    <cfRule type="cellIs" dxfId="1573" priority="50" operator="lessThan">
      <formula>0</formula>
    </cfRule>
  </conditionalFormatting>
  <conditionalFormatting sqref="Q71">
    <cfRule type="cellIs" dxfId="1572" priority="48" operator="greaterThan">
      <formula>1</formula>
    </cfRule>
    <cfRule type="cellIs" dxfId="1571" priority="49" operator="lessThan">
      <formula>0.8</formula>
    </cfRule>
  </conditionalFormatting>
  <conditionalFormatting sqref="R71">
    <cfRule type="cellIs" dxfId="1570" priority="51" operator="lessThan">
      <formula>0.8</formula>
    </cfRule>
  </conditionalFormatting>
  <conditionalFormatting sqref="O17:O18">
    <cfRule type="cellIs" dxfId="1569" priority="42" operator="greaterThan">
      <formula>0</formula>
    </cfRule>
  </conditionalFormatting>
  <conditionalFormatting sqref="P17:P18">
    <cfRule type="cellIs" dxfId="1568" priority="45" operator="lessThan">
      <formula>0</formula>
    </cfRule>
  </conditionalFormatting>
  <conditionalFormatting sqref="Q17:Q18">
    <cfRule type="cellIs" dxfId="1567" priority="43" operator="greaterThan">
      <formula>1</formula>
    </cfRule>
    <cfRule type="cellIs" dxfId="1566" priority="44" operator="lessThan">
      <formula>0.8</formula>
    </cfRule>
  </conditionalFormatting>
  <conditionalFormatting sqref="R17:R18 AC17:AC18">
    <cfRule type="cellIs" dxfId="1565" priority="46" operator="lessThan">
      <formula>0.8</formula>
    </cfRule>
  </conditionalFormatting>
  <conditionalFormatting sqref="O51">
    <cfRule type="cellIs" dxfId="1564" priority="36" operator="greaterThan">
      <formula>0</formula>
    </cfRule>
  </conditionalFormatting>
  <conditionalFormatting sqref="P51">
    <cfRule type="cellIs" dxfId="1563" priority="40" operator="lessThan">
      <formula>0</formula>
    </cfRule>
  </conditionalFormatting>
  <conditionalFormatting sqref="Q51">
    <cfRule type="cellIs" dxfId="1562" priority="37" operator="greaterThan">
      <formula>1</formula>
    </cfRule>
    <cfRule type="cellIs" dxfId="1561" priority="38" operator="lessThan">
      <formula>0.8</formula>
    </cfRule>
  </conditionalFormatting>
  <conditionalFormatting sqref="R51 AC51">
    <cfRule type="cellIs" dxfId="1560" priority="41" operator="lessThan">
      <formula>0.8</formula>
    </cfRule>
  </conditionalFormatting>
  <conditionalFormatting sqref="AC51">
    <cfRule type="cellIs" dxfId="1559" priority="39" operator="lessThan">
      <formula>0.8</formula>
    </cfRule>
  </conditionalFormatting>
  <conditionalFormatting sqref="O52">
    <cfRule type="cellIs" dxfId="1558" priority="30" operator="greaterThan">
      <formula>0</formula>
    </cfRule>
  </conditionalFormatting>
  <conditionalFormatting sqref="P52">
    <cfRule type="cellIs" dxfId="1557" priority="34" operator="lessThan">
      <formula>0</formula>
    </cfRule>
  </conditionalFormatting>
  <conditionalFormatting sqref="Q52">
    <cfRule type="cellIs" dxfId="1556" priority="31" operator="greaterThan">
      <formula>1</formula>
    </cfRule>
    <cfRule type="cellIs" dxfId="1555" priority="32" operator="lessThan">
      <formula>0.8</formula>
    </cfRule>
  </conditionalFormatting>
  <conditionalFormatting sqref="R52 AC52">
    <cfRule type="cellIs" dxfId="1554" priority="35" operator="lessThan">
      <formula>0.8</formula>
    </cfRule>
  </conditionalFormatting>
  <conditionalFormatting sqref="AC52">
    <cfRule type="cellIs" dxfId="1553" priority="33" operator="lessThan">
      <formula>0.8</formula>
    </cfRule>
  </conditionalFormatting>
  <conditionalFormatting sqref="O53">
    <cfRule type="cellIs" dxfId="1552" priority="24" operator="greaterThan">
      <formula>0</formula>
    </cfRule>
  </conditionalFormatting>
  <conditionalFormatting sqref="P53">
    <cfRule type="cellIs" dxfId="1551" priority="28" operator="lessThan">
      <formula>0</formula>
    </cfRule>
  </conditionalFormatting>
  <conditionalFormatting sqref="Q53">
    <cfRule type="cellIs" dxfId="1550" priority="25" operator="greaterThan">
      <formula>1</formula>
    </cfRule>
    <cfRule type="cellIs" dxfId="1549" priority="26" operator="lessThan">
      <formula>0.8</formula>
    </cfRule>
  </conditionalFormatting>
  <conditionalFormatting sqref="R53 AC53">
    <cfRule type="cellIs" dxfId="1548" priority="29" operator="lessThan">
      <formula>0.8</formula>
    </cfRule>
  </conditionalFormatting>
  <conditionalFormatting sqref="AC53">
    <cfRule type="cellIs" dxfId="1547" priority="27" operator="lessThan">
      <formula>0.8</formula>
    </cfRule>
  </conditionalFormatting>
  <conditionalFormatting sqref="O61">
    <cfRule type="cellIs" dxfId="1546" priority="19" operator="greaterThan">
      <formula>0</formula>
    </cfRule>
  </conditionalFormatting>
  <conditionalFormatting sqref="P61 AA61">
    <cfRule type="cellIs" dxfId="1545" priority="22" operator="lessThan">
      <formula>0</formula>
    </cfRule>
  </conditionalFormatting>
  <conditionalFormatting sqref="Q61 AB61">
    <cfRule type="cellIs" dxfId="1544" priority="20" operator="greaterThan">
      <formula>1</formula>
    </cfRule>
    <cfRule type="cellIs" dxfId="1543" priority="21" operator="lessThan">
      <formula>0.8</formula>
    </cfRule>
  </conditionalFormatting>
  <conditionalFormatting sqref="R61 AC61">
    <cfRule type="cellIs" dxfId="1542" priority="23" operator="lessThan">
      <formula>0.8</formula>
    </cfRule>
  </conditionalFormatting>
  <conditionalFormatting sqref="P8">
    <cfRule type="cellIs" dxfId="1541" priority="18" operator="lessThan">
      <formula>0</formula>
    </cfRule>
  </conditionalFormatting>
  <conditionalFormatting sqref="P19">
    <cfRule type="cellIs" dxfId="1540" priority="17" operator="lessThan">
      <formula>0</formula>
    </cfRule>
  </conditionalFormatting>
  <conditionalFormatting sqref="P24">
    <cfRule type="cellIs" dxfId="1539" priority="16" operator="lessThan">
      <formula>0</formula>
    </cfRule>
  </conditionalFormatting>
  <conditionalFormatting sqref="P34">
    <cfRule type="cellIs" dxfId="1538" priority="15" operator="lessThan">
      <formula>0</formula>
    </cfRule>
  </conditionalFormatting>
  <conditionalFormatting sqref="P54">
    <cfRule type="cellIs" dxfId="1537" priority="14" operator="lessThan">
      <formula>0</formula>
    </cfRule>
  </conditionalFormatting>
  <conditionalFormatting sqref="P59">
    <cfRule type="cellIs" dxfId="1536" priority="13" operator="lessThan">
      <formula>0</formula>
    </cfRule>
  </conditionalFormatting>
  <conditionalFormatting sqref="P64">
    <cfRule type="cellIs" dxfId="1535" priority="12" operator="lessThan">
      <formula>0</formula>
    </cfRule>
  </conditionalFormatting>
  <conditionalFormatting sqref="P74">
    <cfRule type="cellIs" dxfId="1534" priority="11" operator="lessThan">
      <formula>0</formula>
    </cfRule>
  </conditionalFormatting>
  <conditionalFormatting sqref="O72">
    <cfRule type="cellIs" dxfId="1533" priority="6" operator="greaterThan">
      <formula>0</formula>
    </cfRule>
  </conditionalFormatting>
  <conditionalFormatting sqref="P72">
    <cfRule type="cellIs" dxfId="1532" priority="9" operator="lessThan">
      <formula>0</formula>
    </cfRule>
  </conditionalFormatting>
  <conditionalFormatting sqref="Q72">
    <cfRule type="cellIs" dxfId="1531" priority="7" operator="greaterThan">
      <formula>1</formula>
    </cfRule>
    <cfRule type="cellIs" dxfId="1530" priority="8" operator="lessThan">
      <formula>0.8</formula>
    </cfRule>
  </conditionalFormatting>
  <conditionalFormatting sqref="R72">
    <cfRule type="cellIs" dxfId="1529" priority="10" operator="lessThan">
      <formula>0.8</formula>
    </cfRule>
  </conditionalFormatting>
  <conditionalFormatting sqref="O73">
    <cfRule type="cellIs" dxfId="1528" priority="1" operator="greaterThan">
      <formula>0</formula>
    </cfRule>
  </conditionalFormatting>
  <conditionalFormatting sqref="P73">
    <cfRule type="cellIs" dxfId="1527" priority="4" operator="lessThan">
      <formula>0</formula>
    </cfRule>
  </conditionalFormatting>
  <conditionalFormatting sqref="Q73">
    <cfRule type="cellIs" dxfId="1526" priority="2" operator="greaterThan">
      <formula>1</formula>
    </cfRule>
    <cfRule type="cellIs" dxfId="1525" priority="3" operator="lessThan">
      <formula>0.8</formula>
    </cfRule>
  </conditionalFormatting>
  <conditionalFormatting sqref="R73">
    <cfRule type="cellIs" dxfId="1524" priority="5" operator="lessThan">
      <formula>0.8</formula>
    </cfRule>
  </conditionalFormatting>
  <dataValidations count="1">
    <dataValidation type="list" allowBlank="1" showInputMessage="1" showErrorMessage="1" sqref="Z8 Y5:Z7 Y8:Y63 Z10:Z60 Y64:Z74">
      <formula1>#REF!</formula1>
    </dataValidation>
  </dataValidations>
  <pageMargins left="0" right="0" top="0" bottom="0" header="0" footer="0"/>
  <pageSetup paperSize="9" scale="11" orientation="landscape" horizontalDpi="300" verticalDpi="300" r:id="rId1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工作表11"/>
  <dimension ref="B1:Q28"/>
  <sheetViews>
    <sheetView topLeftCell="A7" zoomScale="85" zoomScaleNormal="85" workbookViewId="0">
      <selection activeCell="H12" sqref="H12"/>
    </sheetView>
  </sheetViews>
  <sheetFormatPr defaultColWidth="8.75" defaultRowHeight="15.75"/>
  <cols>
    <col min="1" max="1" width="8.75" style="30"/>
    <col min="2" max="2" width="17.875" style="30" customWidth="1"/>
    <col min="3" max="3" width="9.25" style="37" customWidth="1"/>
    <col min="4" max="13" width="12.625" style="30" customWidth="1"/>
    <col min="14" max="14" width="11" style="30" bestFit="1" customWidth="1"/>
    <col min="15" max="15" width="17.75" style="30" bestFit="1" customWidth="1"/>
    <col min="16" max="16" width="12.25" style="30" bestFit="1" customWidth="1"/>
    <col min="17" max="22" width="9.25" style="30" customWidth="1"/>
    <col min="23" max="23" width="10.75" style="30" customWidth="1"/>
    <col min="24" max="24" width="11" style="30" customWidth="1"/>
    <col min="25" max="16384" width="8.75" style="30"/>
  </cols>
  <sheetData>
    <row r="1" spans="2:17" ht="27.75" customHeight="1">
      <c r="B1" s="552" t="s">
        <v>1881</v>
      </c>
      <c r="C1" s="552"/>
      <c r="D1" s="552"/>
      <c r="E1" s="552"/>
      <c r="F1" s="552"/>
      <c r="G1" s="552"/>
      <c r="H1" s="552"/>
      <c r="I1" s="552"/>
      <c r="J1" s="552"/>
      <c r="K1" s="29"/>
      <c r="L1" s="29"/>
      <c r="M1" s="29"/>
      <c r="N1" s="29"/>
      <c r="O1" s="29"/>
      <c r="P1" s="29"/>
    </row>
    <row r="2" spans="2:17" ht="27.75" customHeight="1">
      <c r="B2" s="553"/>
      <c r="C2" s="553"/>
      <c r="D2" s="553"/>
      <c r="E2" s="553"/>
      <c r="F2" s="553"/>
      <c r="G2" s="553"/>
      <c r="H2" s="553"/>
      <c r="I2" s="553"/>
      <c r="J2" s="553"/>
      <c r="K2" s="31"/>
      <c r="L2" s="31"/>
      <c r="M2" s="31"/>
      <c r="N2" s="29"/>
      <c r="O2" s="29"/>
      <c r="P2" s="29"/>
    </row>
    <row r="3" spans="2:17" ht="46.5" customHeight="1">
      <c r="B3" s="32" t="s">
        <v>1882</v>
      </c>
      <c r="C3" s="554" t="str">
        <f>TEXT('1025 4度C'!A2,"yyyy.mm.ddaaaa")</f>
        <v>2025.10.25星期六</v>
      </c>
      <c r="D3" s="555"/>
      <c r="E3" s="32" t="s">
        <v>1883</v>
      </c>
      <c r="F3" s="556">
        <f>'1025 4度C'!D1</f>
        <v>140291</v>
      </c>
      <c r="G3" s="557"/>
      <c r="H3" s="32" t="s">
        <v>1884</v>
      </c>
      <c r="I3" s="558">
        <f>'1025 4度C'!F1</f>
        <v>4736628.1399999997</v>
      </c>
      <c r="J3" s="559"/>
      <c r="K3" s="33"/>
      <c r="L3" s="34"/>
      <c r="M3" s="35"/>
      <c r="N3" s="35"/>
    </row>
    <row r="4" spans="2:17" ht="28.5" customHeight="1">
      <c r="B4" s="560" t="s">
        <v>1885</v>
      </c>
      <c r="C4" s="542" t="s">
        <v>1886</v>
      </c>
      <c r="D4" s="543"/>
      <c r="E4" s="563" t="s">
        <v>1887</v>
      </c>
      <c r="F4" s="564"/>
      <c r="G4" s="563" t="s">
        <v>1888</v>
      </c>
      <c r="H4" s="564"/>
      <c r="I4" s="563" t="s">
        <v>1889</v>
      </c>
      <c r="J4" s="564"/>
      <c r="L4" s="35"/>
      <c r="M4" s="35"/>
      <c r="N4" s="35"/>
    </row>
    <row r="5" spans="2:17" ht="28.5" customHeight="1">
      <c r="B5" s="561"/>
      <c r="C5" s="542" t="s">
        <v>1890</v>
      </c>
      <c r="D5" s="543"/>
      <c r="E5" s="542" t="s">
        <v>1891</v>
      </c>
      <c r="F5" s="543"/>
      <c r="G5" s="544" t="s">
        <v>1892</v>
      </c>
      <c r="H5" s="545"/>
      <c r="I5" s="546" t="s">
        <v>1893</v>
      </c>
      <c r="J5" s="547"/>
      <c r="K5" s="35"/>
      <c r="L5" s="35"/>
      <c r="M5" s="35"/>
      <c r="N5" s="35"/>
    </row>
    <row r="6" spans="2:17" ht="28.5" customHeight="1">
      <c r="B6" s="561"/>
      <c r="C6" s="542" t="s">
        <v>92</v>
      </c>
      <c r="D6" s="543"/>
      <c r="E6" s="548">
        <f>AVERAGE(D13:M13)</f>
        <v>153.30549068638129</v>
      </c>
      <c r="F6" s="549">
        <f>AVERAGE(D27:O27,D13:J13)</f>
        <v>159.44976221038982</v>
      </c>
      <c r="G6" s="550">
        <f>AVERAGE(D13:J13)</f>
        <v>159.44976221038982</v>
      </c>
      <c r="H6" s="551"/>
      <c r="I6" s="550">
        <f>AVERAGE(K13:M13)</f>
        <v>138.96885713036136</v>
      </c>
      <c r="J6" s="551"/>
      <c r="K6" s="35"/>
      <c r="L6" s="35"/>
      <c r="M6" s="35"/>
      <c r="N6" s="35"/>
    </row>
    <row r="7" spans="2:17" ht="28.5" customHeight="1">
      <c r="B7" s="561"/>
      <c r="C7" s="532" t="s">
        <v>93</v>
      </c>
      <c r="D7" s="533"/>
      <c r="E7" s="534">
        <f>AVERAGE(D14:M14)</f>
        <v>146.79591542934514</v>
      </c>
      <c r="F7" s="535">
        <f>AVERAGE(D28:O28,D14:J14)</f>
        <v>152.63906500056527</v>
      </c>
      <c r="G7" s="536">
        <f>AVERAGE(D14:J14)</f>
        <v>152.63906500056527</v>
      </c>
      <c r="H7" s="537"/>
      <c r="I7" s="536">
        <f>AVERAGE(K14:M14)</f>
        <v>133.16189976316494</v>
      </c>
      <c r="J7" s="537"/>
      <c r="K7" s="35"/>
      <c r="L7" s="35"/>
      <c r="M7" s="35"/>
      <c r="N7" s="35"/>
    </row>
    <row r="8" spans="2:17" ht="28.5" customHeight="1">
      <c r="B8" s="562"/>
      <c r="C8" s="532" t="s">
        <v>94</v>
      </c>
      <c r="D8" s="533"/>
      <c r="E8" s="538">
        <f>AVERAGE(D15:M15)</f>
        <v>0.95774346714534642</v>
      </c>
      <c r="F8" s="539">
        <f>AVERAGE(D15:J15,D29:O29)</f>
        <v>0.95758700474442848</v>
      </c>
      <c r="G8" s="540">
        <f>AVERAGE(D15:J15)</f>
        <v>0.95758700474442848</v>
      </c>
      <c r="H8" s="541"/>
      <c r="I8" s="540">
        <f>AVERAGE(K15:M15)</f>
        <v>0.9581085460808213</v>
      </c>
      <c r="J8" s="541"/>
      <c r="K8" s="36" t="s">
        <v>1894</v>
      </c>
      <c r="L8" s="35"/>
      <c r="M8" s="35"/>
      <c r="N8" s="35"/>
    </row>
    <row r="9" spans="2:17" ht="28.5" customHeight="1" thickBot="1">
      <c r="H9" s="38"/>
      <c r="N9" s="35"/>
      <c r="O9" s="35"/>
      <c r="P9" s="35"/>
      <c r="Q9" s="35"/>
    </row>
    <row r="10" spans="2:17" ht="30" customHeight="1">
      <c r="B10" s="515" t="s">
        <v>1895</v>
      </c>
      <c r="C10" s="516"/>
      <c r="D10" s="517" t="s">
        <v>1896</v>
      </c>
      <c r="E10" s="518"/>
      <c r="F10" s="518"/>
      <c r="G10" s="518"/>
      <c r="H10" s="518"/>
      <c r="I10" s="518"/>
      <c r="J10" s="519"/>
      <c r="K10" s="520" t="s">
        <v>1897</v>
      </c>
      <c r="L10" s="521"/>
      <c r="M10" s="522"/>
      <c r="P10" s="39"/>
      <c r="Q10" s="39"/>
    </row>
    <row r="11" spans="2:17" ht="17.25" customHeight="1">
      <c r="B11" s="523" t="s">
        <v>1898</v>
      </c>
      <c r="C11" s="524"/>
      <c r="D11" s="40">
        <v>1</v>
      </c>
      <c r="E11" s="41">
        <v>2</v>
      </c>
      <c r="F11" s="41">
        <v>3</v>
      </c>
      <c r="G11" s="41">
        <v>4</v>
      </c>
      <c r="H11" s="41">
        <v>5</v>
      </c>
      <c r="I11" s="41">
        <v>6</v>
      </c>
      <c r="J11" s="42">
        <v>7</v>
      </c>
      <c r="K11" s="40">
        <v>1</v>
      </c>
      <c r="L11" s="41">
        <v>2</v>
      </c>
      <c r="M11" s="42">
        <v>3</v>
      </c>
      <c r="P11" s="39"/>
      <c r="Q11" s="39"/>
    </row>
    <row r="12" spans="2:17" ht="34.15" customHeight="1">
      <c r="B12" s="525"/>
      <c r="C12" s="526"/>
      <c r="D12" s="43" t="s">
        <v>96</v>
      </c>
      <c r="E12" s="44" t="s">
        <v>97</v>
      </c>
      <c r="F12" s="44" t="s">
        <v>98</v>
      </c>
      <c r="G12" s="44" t="s">
        <v>99</v>
      </c>
      <c r="H12" s="44" t="s">
        <v>100</v>
      </c>
      <c r="I12" s="44" t="s">
        <v>101</v>
      </c>
      <c r="J12" s="45" t="s">
        <v>102</v>
      </c>
      <c r="K12" s="43" t="s">
        <v>103</v>
      </c>
      <c r="L12" s="44" t="s">
        <v>104</v>
      </c>
      <c r="M12" s="45" t="s">
        <v>105</v>
      </c>
    </row>
    <row r="13" spans="2:17" ht="40.15" customHeight="1">
      <c r="B13" s="527" t="s">
        <v>1864</v>
      </c>
      <c r="C13" s="46" t="s">
        <v>1899</v>
      </c>
      <c r="D13" s="47">
        <f>SUMIFS('1025 4度C'!$K:$K,'1025 4度C'!$A:$A,"新豐6線",'1025 4度C'!$B:$B,"平均")</f>
        <v>125</v>
      </c>
      <c r="E13" s="48">
        <f>SUMIFS('1025 4度C'!$K:$K,'1025 4度C'!$A:$A,"新豐2線",'1025 4度C'!$B:$B,"平均")</f>
        <v>81.081081081081081</v>
      </c>
      <c r="F13" s="49">
        <f>SUMIFS('1025 4度C'!$K:$K,'1025 4度C'!$A:$A,"新豐5線",'1025 4度C'!$B:$B,"平均")</f>
        <v>91.397849462365585</v>
      </c>
      <c r="G13" s="49">
        <f>SUMIFS('1025 4度C'!$K:$K,'1025 4度C'!$A:$A,"新豐7線",'1025 4度C'!$B:$B,"平均")</f>
        <v>119.40298507462687</v>
      </c>
      <c r="H13" s="49">
        <f>SUMIFS('1025 4度C'!$K:$K,'1025 4度C'!$A:$A,"新豐3線",'1025 4度C'!$B:$B,"平均")</f>
        <v>308.82352941176475</v>
      </c>
      <c r="I13" s="49">
        <f>SUMIFS('1025 4度C'!$K:$K,'1025 4度C'!$A:$A,"新豐1線",'1025 4度C'!$B:$B,"平均")</f>
        <v>121.21212121212122</v>
      </c>
      <c r="J13" s="50">
        <f>SUMIFS('1025 4度C'!$K:$K,'1025 4度C'!$A:$A,"新豐10線",'1025 4度C'!$B:$B,"平均")</f>
        <v>269.23076923076923</v>
      </c>
      <c r="K13" s="51">
        <f>SUMIFS('1025 4度C'!$K:$K,'1025 4度C'!$A:$A,"新豐8線",'1025 4度C'!$B:$B,"平均")</f>
        <v>132.11009174311926</v>
      </c>
      <c r="L13" s="52">
        <f>SUMIFS('1025 4度C'!$K:$K,'1025 4度C'!$A:$A,"新豐9線",'1025 4度C'!$B:$B,"平均")</f>
        <v>142.57425742574259</v>
      </c>
      <c r="M13" s="50">
        <f>SUMIFS('1025 4度C'!$K:$K,'1025 4度C'!$A:$A,"新豐4線",'1025 4度C'!$B:$B,"平均")</f>
        <v>142.22222222222223</v>
      </c>
    </row>
    <row r="14" spans="2:17" ht="39.6" customHeight="1">
      <c r="B14" s="528"/>
      <c r="C14" s="53" t="s">
        <v>1900</v>
      </c>
      <c r="D14" s="54">
        <f>SUMIFS('1025 4度C'!$N:$N,'1025 4度C'!$A:$A,"新豐6線",'1025 4度C'!$B:$B,"平均")</f>
        <v>119.61408730158719</v>
      </c>
      <c r="E14" s="55">
        <f>SUMIFS('1025 4度C'!$N:$N,'1025 4度C'!$A:$A,"新豐2線",'1025 4度C'!$B:$B,"平均")</f>
        <v>77.681126102178752</v>
      </c>
      <c r="F14" s="55">
        <f>SUMIFS('1025 4度C'!$N:$N,'1025 4度C'!$A:$A,"新豐5線",'1025 4度C'!$B:$B,"平均")</f>
        <v>87.349373154177144</v>
      </c>
      <c r="G14" s="55">
        <f>SUMIFS('1025 4度C'!$N:$N,'1025 4度C'!$A:$A,"新豐7線",'1025 4度C'!$B:$B,"平均")</f>
        <v>114.9567365940599</v>
      </c>
      <c r="H14" s="55">
        <f>SUMIFS('1025 4度C'!$N:$N,'1025 4度C'!$A:$A,"新豐3線",'1025 4度C'!$B:$B,"平均")</f>
        <v>294.81930276130015</v>
      </c>
      <c r="I14" s="55">
        <f>SUMIFS('1025 4度C'!$N:$N,'1025 4度C'!$A:$A,"新豐1線",'1025 4度C'!$B:$B,"平均")</f>
        <v>115.8956328945193</v>
      </c>
      <c r="J14" s="56">
        <f>SUMIFS('1025 4度C'!$N:$N,'1025 4度C'!$A:$A,"新豐10線",'1025 4度C'!$B:$B,"平均")</f>
        <v>258.15719619613435</v>
      </c>
      <c r="K14" s="57">
        <f>SUMIFS('1025 4度C'!$N:$N,'1025 4度C'!$A:$A,"新豐8線",'1025 4度C'!$B:$B,"平均")</f>
        <v>126.00372500318532</v>
      </c>
      <c r="L14" s="58">
        <f>SUMIFS('1025 4度C'!$N:$N,'1025 4度C'!$A:$A,"新豐9線",'1025 4度C'!$B:$B,"平均")</f>
        <v>136.66692457820187</v>
      </c>
      <c r="M14" s="56">
        <f>SUMIFS('1025 4度C'!$N:$N,'1025 4度C'!$A:$A,"新豐4線",'1025 4度C'!$B:$B,"平均")</f>
        <v>136.81504970810761</v>
      </c>
    </row>
    <row r="15" spans="2:17" ht="40.15" customHeight="1">
      <c r="B15" s="529"/>
      <c r="C15" s="59" t="s">
        <v>1901</v>
      </c>
      <c r="D15" s="60">
        <f t="shared" ref="D15:M15" si="0">D14/D13</f>
        <v>0.95691269841269755</v>
      </c>
      <c r="E15" s="61">
        <f t="shared" si="0"/>
        <v>0.95806722192687133</v>
      </c>
      <c r="F15" s="61">
        <f t="shared" si="0"/>
        <v>0.95570490627511473</v>
      </c>
      <c r="G15" s="61">
        <f t="shared" si="0"/>
        <v>0.96276266897525165</v>
      </c>
      <c r="H15" s="61">
        <f t="shared" si="0"/>
        <v>0.95465298036992419</v>
      </c>
      <c r="I15" s="61">
        <f t="shared" si="0"/>
        <v>0.9561389713797841</v>
      </c>
      <c r="J15" s="62">
        <f t="shared" si="0"/>
        <v>0.95886958587135618</v>
      </c>
      <c r="K15" s="60">
        <f t="shared" si="0"/>
        <v>0.95377819620466675</v>
      </c>
      <c r="L15" s="61">
        <f t="shared" si="0"/>
        <v>0.95856662377766577</v>
      </c>
      <c r="M15" s="62">
        <f t="shared" si="0"/>
        <v>0.9619808182601316</v>
      </c>
    </row>
    <row r="16" spans="2:17" ht="17.25" customHeight="1">
      <c r="B16" s="530" t="s">
        <v>1902</v>
      </c>
      <c r="C16" s="63" t="s">
        <v>1903</v>
      </c>
      <c r="D16" s="284">
        <f>VLOOKUP("新豐6線",'1025 4度C'!$A:$T,19,0)</f>
        <v>0.70833333333333337</v>
      </c>
      <c r="E16" s="285">
        <f>VLOOKUP("新豐2線",'1025 4度C'!$A:$T,19,0)</f>
        <v>0.20833333333333334</v>
      </c>
      <c r="F16" s="285">
        <f>VLOOKUP("新豐5線",'1025 4度C'!$A:$T,19,0)</f>
        <v>0.125</v>
      </c>
      <c r="G16" s="285">
        <f>VLOOKUP("新豐7線",'1025 4度C'!$A:$T,19,0)</f>
        <v>0.20833333333333334</v>
      </c>
      <c r="H16" s="285">
        <f>VLOOKUP("新豐3線",'1025 4度C'!$A:$T,19,0)</f>
        <v>0.20833333333333334</v>
      </c>
      <c r="I16" s="285">
        <f>VLOOKUP("新豐1線",'1025 4度C'!$A:$T,19,0)</f>
        <v>0.29166666666666669</v>
      </c>
      <c r="J16" s="286">
        <f>VLOOKUP("新豐10線",'1025 4度C'!$A:$T,19,0)</f>
        <v>0.20833333333333334</v>
      </c>
      <c r="K16" s="66">
        <f>VLOOKUP("新豐8線",'1025 4度C'!$A:$T,19,0)</f>
        <v>0.125</v>
      </c>
      <c r="L16" s="67">
        <f>VLOOKUP("新豐9線",'1025 4度C'!$A:$T,19,0)</f>
        <v>0.125</v>
      </c>
      <c r="M16" s="68">
        <f>VLOOKUP("新豐4線",'1025 4度C'!$A:$T,19,0)</f>
        <v>0.125</v>
      </c>
    </row>
    <row r="17" spans="2:13" ht="17.25" customHeight="1">
      <c r="B17" s="531"/>
      <c r="C17" s="63" t="s">
        <v>1854</v>
      </c>
      <c r="D17" s="66">
        <f>LOOKUP(2,1/(('1025 4度C'!$A:$A="新豐6線")*('1025 4度C'!$T:$T&lt;&gt;"")),'1025 4度C'!$T:$T)</f>
        <v>0.84583333333333344</v>
      </c>
      <c r="E17" s="285">
        <f>LOOKUP(2,1/(('1025 4度C'!$A:$A="新豐2線")*('1025 4度C'!$T:$T&lt;&gt;"")),'1025 4度C'!$T:$T)</f>
        <v>0.41319444444444442</v>
      </c>
      <c r="F17" s="285">
        <f>LOOKUP(2,1/(('1025 4度C'!$A:$A="新豐5線")*('1025 4度C'!$T:$T&lt;&gt;"")),'1025 4度C'!$T:$T)</f>
        <v>0.86458333333333337</v>
      </c>
      <c r="G17" s="285">
        <f>LOOKUP(2,1/(('1025 4度C'!$A:$A="新豐7線")*('1025 4度C'!$T:$T&lt;&gt;"")),'1025 4度C'!$T:$T)</f>
        <v>0.77361111111111114</v>
      </c>
      <c r="H17" s="285">
        <f>LOOKUP(2,1/(('1025 4度C'!$A:$A="新豐3線")*('1025 4度C'!$T:$T&lt;&gt;"")),'1025 4度C'!$T:$T)</f>
        <v>0.58472222222222214</v>
      </c>
      <c r="I17" s="285">
        <f>LOOKUP(2,1/(('1025 4度C'!$A:$A="新豐1線")*('1025 4度C'!$T:$T&lt;&gt;"")),'1025 4度C'!$T:$T)</f>
        <v>0.80972222222222223</v>
      </c>
      <c r="J17" s="286">
        <f>LOOKUP(2,1/(('1025 4度C'!$A:$A="新豐10線")*('1025 4度C'!$T:$T&lt;&gt;"")),'1025 4度C'!$T:$T)</f>
        <v>0.40902777777777766</v>
      </c>
      <c r="K17" s="284">
        <f>LOOKUP(2,1/(('1025 4度C'!$A:$A="新豐8線")*('1025 4度C'!$T:$T&lt;&gt;"")),'1025 4度C'!$T:$T)</f>
        <v>0.56597222222222221</v>
      </c>
      <c r="L17" s="285">
        <f>LOOKUP(2,1/(('1025 4度C'!$A:$A="新豐9線")*('1025 4度C'!$T:$T&lt;&gt;"")),'1025 4度C'!$T:$T)</f>
        <v>0.59444444444444444</v>
      </c>
      <c r="M17" s="286">
        <f>LOOKUP(2,1/(('1025 4度C'!$A:$A="新豐4線")*('1025 4度C'!$T:$T&lt;&gt;"")),'1025 4度C'!$T:$T)</f>
        <v>0.58472222222222214</v>
      </c>
    </row>
    <row r="18" spans="2:13" ht="17.25" customHeight="1">
      <c r="B18" s="509" t="s">
        <v>1904</v>
      </c>
      <c r="C18" s="510"/>
      <c r="D18" s="69">
        <f>SUMIFS('1025 4度C'!$I:$I,'1025 4度C'!$A:$A,"新豐6線",'1025 4度C'!$B:$B,"平均")</f>
        <v>16</v>
      </c>
      <c r="E18" s="70">
        <f>SUMIFS('1025 4度C'!$I:$I,'1025 4度C'!$A:$A,"新豐2線",'1025 4度C'!$B:$B,"平均")</f>
        <v>18.5</v>
      </c>
      <c r="F18" s="70">
        <f>SUMIFS('1025 4度C'!$I:$I,'1025 4度C'!$A:$A,"新豐5線",'1025 4度C'!$B:$B,"平均")</f>
        <v>18.600000000000001</v>
      </c>
      <c r="G18" s="70">
        <f>SUMIFS('1025 4度C'!$I:$I,'1025 4度C'!$A:$A,"新豐7線",'1025 4度C'!$B:$B,"平均")</f>
        <v>16.75</v>
      </c>
      <c r="H18" s="70">
        <f>SUMIFS('1025 4度C'!$I:$I,'1025 4度C'!$A:$A,"新豐3線",'1025 4度C'!$B:$B,"平均")</f>
        <v>9.7142857142857135</v>
      </c>
      <c r="I18" s="70">
        <f>SUMIFS('1025 4度C'!$I:$I,'1025 4度C'!$A:$A,"新豐1線",'1025 4度C'!$B:$B,"平均")</f>
        <v>16.5</v>
      </c>
      <c r="J18" s="71">
        <f>SUMIFS('1025 4度C'!$I:$I,'1025 4度C'!$A:$A,"新豐10線",'1025 4度C'!$B:$B,"平均")</f>
        <v>9.75</v>
      </c>
      <c r="K18" s="69">
        <f>SUMIFS('1025 4度C'!$I:$I,'1025 4度C'!$A:$A,"新豐8線",'1025 4度C'!$B:$B,"平均")</f>
        <v>18.166666666666668</v>
      </c>
      <c r="L18" s="70">
        <f>SUMIFS('1025 4度C'!$I:$I,'1025 4度C'!$A:$A,"新豐9線",'1025 4度C'!$B:$B,"平均")</f>
        <v>16.833333333333332</v>
      </c>
      <c r="M18" s="71">
        <f>SUMIFS('1025 4度C'!$I:$I,'1025 4度C'!$A:$A,"新豐4線",'1025 4度C'!$B:$B,"平均")</f>
        <v>16.875</v>
      </c>
    </row>
    <row r="19" spans="2:13" ht="17.25" customHeight="1">
      <c r="B19" s="509" t="s">
        <v>1905</v>
      </c>
      <c r="C19" s="510"/>
      <c r="D19" s="72" t="s">
        <v>109</v>
      </c>
      <c r="E19" s="73" t="s">
        <v>110</v>
      </c>
      <c r="F19" s="73" t="s">
        <v>1906</v>
      </c>
      <c r="G19" s="73" t="s">
        <v>134</v>
      </c>
      <c r="H19" s="73" t="s">
        <v>111</v>
      </c>
      <c r="I19" s="73" t="s">
        <v>109</v>
      </c>
      <c r="J19" s="74" t="s">
        <v>111</v>
      </c>
      <c r="K19" s="72" t="s">
        <v>1907</v>
      </c>
      <c r="L19" s="73" t="s">
        <v>136</v>
      </c>
      <c r="M19" s="74" t="s">
        <v>1907</v>
      </c>
    </row>
    <row r="20" spans="2:13" ht="17.25" customHeight="1">
      <c r="B20" s="509" t="s">
        <v>1908</v>
      </c>
      <c r="C20" s="510"/>
      <c r="D20" s="72"/>
      <c r="E20" s="73"/>
      <c r="F20" s="73" t="s">
        <v>1909</v>
      </c>
      <c r="G20" s="73" t="s">
        <v>109</v>
      </c>
      <c r="H20" s="73"/>
      <c r="I20" s="73"/>
      <c r="J20" s="74"/>
      <c r="K20" s="72"/>
      <c r="L20" s="73"/>
      <c r="M20" s="74"/>
    </row>
    <row r="21" spans="2:13" ht="17.25" customHeight="1" thickBot="1">
      <c r="B21" s="511" t="s">
        <v>1910</v>
      </c>
      <c r="C21" s="512"/>
      <c r="D21" s="75"/>
      <c r="E21" s="76" t="s">
        <v>1911</v>
      </c>
      <c r="F21" s="513" t="s">
        <v>1912</v>
      </c>
      <c r="G21" s="514"/>
      <c r="H21" s="76" t="s">
        <v>1856</v>
      </c>
      <c r="I21" s="76" t="s">
        <v>1913</v>
      </c>
      <c r="J21" s="77" t="s">
        <v>1855</v>
      </c>
      <c r="K21" s="78"/>
      <c r="L21" s="76"/>
      <c r="M21" s="77"/>
    </row>
    <row r="22" spans="2:13" ht="17.25" customHeight="1"/>
    <row r="23" spans="2:13" ht="17.25" customHeight="1"/>
    <row r="24" spans="2:13" ht="17.25" customHeight="1"/>
    <row r="25" spans="2:13" ht="37.5" customHeight="1"/>
    <row r="26" spans="2:13" ht="35.25" customHeight="1"/>
    <row r="27" spans="2:13" ht="35.25" customHeight="1"/>
    <row r="28" spans="2:13" ht="39.75" customHeight="1"/>
  </sheetData>
  <mergeCells count="36">
    <mergeCell ref="B1:J2"/>
    <mergeCell ref="C3:D3"/>
    <mergeCell ref="F3:G3"/>
    <mergeCell ref="I3:J3"/>
    <mergeCell ref="B4:B8"/>
    <mergeCell ref="C4:D4"/>
    <mergeCell ref="E4:F4"/>
    <mergeCell ref="G4:H4"/>
    <mergeCell ref="I4:J4"/>
    <mergeCell ref="C5:D5"/>
    <mergeCell ref="E5:F5"/>
    <mergeCell ref="G5:H5"/>
    <mergeCell ref="I5:J5"/>
    <mergeCell ref="C6:D6"/>
    <mergeCell ref="E6:F6"/>
    <mergeCell ref="G6:H6"/>
    <mergeCell ref="I6:J6"/>
    <mergeCell ref="B16:B17"/>
    <mergeCell ref="C7:D7"/>
    <mergeCell ref="E7:F7"/>
    <mergeCell ref="G7:H7"/>
    <mergeCell ref="I7:J7"/>
    <mergeCell ref="C8:D8"/>
    <mergeCell ref="E8:F8"/>
    <mergeCell ref="G8:H8"/>
    <mergeCell ref="I8:J8"/>
    <mergeCell ref="B10:C10"/>
    <mergeCell ref="D10:J10"/>
    <mergeCell ref="B20:C20"/>
    <mergeCell ref="B21:C21"/>
    <mergeCell ref="F21:G21"/>
    <mergeCell ref="K10:M10"/>
    <mergeCell ref="B11:C12"/>
    <mergeCell ref="B13:B15"/>
    <mergeCell ref="B18:C18"/>
    <mergeCell ref="B19:C19"/>
  </mergeCells>
  <phoneticPr fontId="3" type="noConversion"/>
  <conditionalFormatting sqref="D15:M15">
    <cfRule type="cellIs" dxfId="1523" priority="1" operator="lessThan">
      <formula>0.8</formula>
    </cfRule>
  </conditionalFormatting>
  <pageMargins left="0.7" right="0.7" top="0.75" bottom="0.75" header="0.3" footer="0.3"/>
  <pageSetup paperSize="9" orientation="portrait" horizontalDpi="300" verticalDpi="300" r:id="rId1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工作表12">
    <pageSetUpPr fitToPage="1"/>
  </sheetPr>
  <dimension ref="A1:AC64"/>
  <sheetViews>
    <sheetView zoomScale="80" zoomScaleNormal="80" workbookViewId="0">
      <pane ySplit="4" topLeftCell="A5" activePane="bottomLeft" state="frozen"/>
      <selection activeCell="B11" sqref="B11:C12"/>
      <selection pane="bottomLeft" activeCell="B11" sqref="B11:D12"/>
    </sheetView>
  </sheetViews>
  <sheetFormatPr defaultColWidth="8" defaultRowHeight="15.75"/>
  <cols>
    <col min="1" max="1" width="15.125" style="291" customWidth="1"/>
    <col min="2" max="2" width="19.375" style="291" customWidth="1"/>
    <col min="3" max="3" width="15.25" style="291" customWidth="1"/>
    <col min="4" max="4" width="17.5" style="291" customWidth="1"/>
    <col min="5" max="5" width="7.5" style="291" bestFit="1" customWidth="1"/>
    <col min="6" max="6" width="14.375" style="291" bestFit="1" customWidth="1"/>
    <col min="7" max="7" width="14.375" style="291" customWidth="1"/>
    <col min="8" max="8" width="8" style="324" customWidth="1"/>
    <col min="9" max="9" width="5.875" style="291" customWidth="1"/>
    <col min="10" max="10" width="10.625" style="291" customWidth="1"/>
    <col min="11" max="11" width="14.625" style="291" customWidth="1"/>
    <col min="12" max="12" width="7.25" style="291" bestFit="1" customWidth="1"/>
    <col min="13" max="13" width="8" style="291" customWidth="1"/>
    <col min="14" max="14" width="12" style="291" customWidth="1"/>
    <col min="15" max="15" width="6" style="291" customWidth="1"/>
    <col min="16" max="16" width="9.25" style="291" customWidth="1"/>
    <col min="17" max="17" width="11.5" style="291" customWidth="1"/>
    <col min="18" max="18" width="8.5" style="291" customWidth="1"/>
    <col min="19" max="19" width="10.125" style="324" bestFit="1" customWidth="1"/>
    <col min="20" max="20" width="7.625" style="324" bestFit="1" customWidth="1"/>
    <col min="21" max="21" width="10.25" style="291" bestFit="1" customWidth="1"/>
    <col min="22" max="22" width="8.75" style="325" customWidth="1"/>
    <col min="23" max="23" width="7.375" style="291" customWidth="1"/>
    <col min="24" max="24" width="6.875" style="291" bestFit="1" customWidth="1"/>
    <col min="25" max="25" width="12.75" style="291" customWidth="1"/>
    <col min="26" max="26" width="18.875" style="291" customWidth="1"/>
    <col min="27" max="27" width="13.125" style="291" bestFit="1" customWidth="1"/>
    <col min="28" max="28" width="10.375" style="291" customWidth="1"/>
    <col min="29" max="29" width="9.375" style="291" customWidth="1"/>
    <col min="30" max="30" width="8" style="291"/>
    <col min="31" max="31" width="24.625" style="291" bestFit="1" customWidth="1"/>
    <col min="32" max="16384" width="8" style="291"/>
  </cols>
  <sheetData>
    <row r="1" spans="1:29" ht="26.25" customHeight="1">
      <c r="A1" s="287" t="s">
        <v>1857</v>
      </c>
      <c r="B1" s="287"/>
      <c r="C1" s="288" t="s">
        <v>1858</v>
      </c>
      <c r="D1" s="289">
        <f>SUM(F5:F63)</f>
        <v>140291</v>
      </c>
      <c r="E1" s="417" t="s">
        <v>1914</v>
      </c>
      <c r="F1" s="287">
        <f>SUM(G5:G63)</f>
        <v>4736628.1399999997</v>
      </c>
      <c r="G1" s="287" t="s">
        <v>1859</v>
      </c>
      <c r="H1" s="290">
        <f>L8+L11+L44+L49+L17+L54+L29+L36+L22+L63</f>
        <v>157.68928571428572</v>
      </c>
      <c r="I1" s="611" t="s">
        <v>1915</v>
      </c>
      <c r="J1" s="611"/>
      <c r="K1" s="611"/>
      <c r="L1" s="611" t="s">
        <v>1860</v>
      </c>
      <c r="M1" s="611"/>
      <c r="N1" s="611"/>
      <c r="O1" s="611" t="s">
        <v>1861</v>
      </c>
      <c r="P1" s="611"/>
      <c r="Q1" s="611"/>
      <c r="R1" s="611"/>
      <c r="S1" s="611" t="s">
        <v>1862</v>
      </c>
      <c r="T1" s="611"/>
      <c r="U1" s="611"/>
      <c r="V1" s="611"/>
      <c r="W1" s="611"/>
      <c r="X1" s="611"/>
      <c r="Y1" s="611" t="s">
        <v>1863</v>
      </c>
      <c r="Z1" s="611"/>
      <c r="AA1" s="611" t="s">
        <v>1916</v>
      </c>
      <c r="AB1" s="612"/>
      <c r="AC1" s="612"/>
    </row>
    <row r="2" spans="1:29" ht="26.25" customHeight="1">
      <c r="A2" s="292">
        <v>45955</v>
      </c>
      <c r="B2" s="293" t="s">
        <v>397</v>
      </c>
      <c r="C2" s="288" t="s">
        <v>1864</v>
      </c>
      <c r="D2" s="294">
        <f>AVERAGE(N8,N11,N44,N49,N17,N54,N22,N29,N36,N63)</f>
        <v>146.79591542934514</v>
      </c>
      <c r="E2" s="295" t="s">
        <v>2</v>
      </c>
      <c r="F2" s="296">
        <f>F1/D1</f>
        <v>33.762879586003379</v>
      </c>
      <c r="G2" s="287" t="s">
        <v>1917</v>
      </c>
      <c r="H2" s="424">
        <f>COUNT(H5:H63)</f>
        <v>4</v>
      </c>
      <c r="I2" s="611"/>
      <c r="J2" s="611"/>
      <c r="K2" s="611"/>
      <c r="L2" s="611"/>
      <c r="M2" s="611"/>
      <c r="N2" s="611"/>
      <c r="O2" s="611"/>
      <c r="P2" s="611"/>
      <c r="Q2" s="611"/>
      <c r="R2" s="611"/>
      <c r="S2" s="611"/>
      <c r="T2" s="611"/>
      <c r="U2" s="611"/>
      <c r="V2" s="611"/>
      <c r="W2" s="611"/>
      <c r="X2" s="611"/>
      <c r="Y2" s="611"/>
      <c r="Z2" s="611"/>
      <c r="AA2" s="612"/>
      <c r="AB2" s="612"/>
      <c r="AC2" s="612"/>
    </row>
    <row r="3" spans="1:29" ht="23.25" customHeight="1">
      <c r="A3" s="570" t="s">
        <v>1918</v>
      </c>
      <c r="B3" s="570" t="s">
        <v>1919</v>
      </c>
      <c r="C3" s="570" t="s">
        <v>1920</v>
      </c>
      <c r="D3" s="570"/>
      <c r="E3" s="609" t="s">
        <v>1865</v>
      </c>
      <c r="F3" s="570" t="s">
        <v>1921</v>
      </c>
      <c r="G3" s="609" t="s">
        <v>1866</v>
      </c>
      <c r="H3" s="602" t="s">
        <v>1922</v>
      </c>
      <c r="I3" s="600" t="s">
        <v>1923</v>
      </c>
      <c r="J3" s="605" t="s">
        <v>1867</v>
      </c>
      <c r="K3" s="607" t="s">
        <v>1864</v>
      </c>
      <c r="L3" s="600" t="s">
        <v>1923</v>
      </c>
      <c r="M3" s="605" t="s">
        <v>1867</v>
      </c>
      <c r="N3" s="607" t="s">
        <v>1853</v>
      </c>
      <c r="O3" s="600" t="s">
        <v>1923</v>
      </c>
      <c r="P3" s="607" t="s">
        <v>1864</v>
      </c>
      <c r="Q3" s="606" t="s">
        <v>1924</v>
      </c>
      <c r="R3" s="578" t="s">
        <v>1925</v>
      </c>
      <c r="S3" s="608" t="s">
        <v>14</v>
      </c>
      <c r="T3" s="608"/>
      <c r="U3" s="602" t="s">
        <v>15</v>
      </c>
      <c r="V3" s="602" t="s">
        <v>1868</v>
      </c>
      <c r="W3" s="570" t="s">
        <v>1926</v>
      </c>
      <c r="X3" s="570"/>
      <c r="Y3" s="603" t="s">
        <v>1927</v>
      </c>
      <c r="Z3" s="604"/>
      <c r="AA3" s="605" t="s">
        <v>165</v>
      </c>
      <c r="AB3" s="606" t="s">
        <v>1928</v>
      </c>
      <c r="AC3" s="578" t="s">
        <v>1925</v>
      </c>
    </row>
    <row r="4" spans="1:29">
      <c r="A4" s="570"/>
      <c r="B4" s="570"/>
      <c r="C4" s="570"/>
      <c r="D4" s="570"/>
      <c r="E4" s="610"/>
      <c r="F4" s="570"/>
      <c r="G4" s="610"/>
      <c r="H4" s="602"/>
      <c r="I4" s="600"/>
      <c r="J4" s="605"/>
      <c r="K4" s="607"/>
      <c r="L4" s="600"/>
      <c r="M4" s="605"/>
      <c r="N4" s="607"/>
      <c r="O4" s="600"/>
      <c r="P4" s="607"/>
      <c r="Q4" s="606"/>
      <c r="R4" s="578"/>
      <c r="S4" s="425" t="s">
        <v>18</v>
      </c>
      <c r="T4" s="425" t="s">
        <v>19</v>
      </c>
      <c r="U4" s="602"/>
      <c r="V4" s="602"/>
      <c r="W4" s="417" t="s">
        <v>1869</v>
      </c>
      <c r="X4" s="417" t="s">
        <v>1929</v>
      </c>
      <c r="Y4" s="604"/>
      <c r="Z4" s="604"/>
      <c r="AA4" s="605"/>
      <c r="AB4" s="606"/>
      <c r="AC4" s="578"/>
    </row>
    <row r="5" spans="1:29">
      <c r="A5" s="599" t="s">
        <v>1930</v>
      </c>
      <c r="B5" s="300" t="s">
        <v>36</v>
      </c>
      <c r="C5" s="601" t="s">
        <v>37</v>
      </c>
      <c r="D5" s="601"/>
      <c r="E5" s="300">
        <v>46.93</v>
      </c>
      <c r="F5" s="425">
        <v>1145</v>
      </c>
      <c r="G5" s="417">
        <f t="shared" ref="G5:G7" si="0">E5*F5</f>
        <v>53734.85</v>
      </c>
      <c r="H5" s="426" t="s">
        <v>35</v>
      </c>
      <c r="I5" s="422">
        <v>16</v>
      </c>
      <c r="J5" s="303">
        <v>2000</v>
      </c>
      <c r="K5" s="304">
        <f t="shared" ref="K5:K63" si="1">J5/I5</f>
        <v>125</v>
      </c>
      <c r="L5" s="422">
        <v>16</v>
      </c>
      <c r="M5" s="305">
        <f t="shared" ref="M5:M7" si="2">F5/V5*60</f>
        <v>1908.3333333333317</v>
      </c>
      <c r="N5" s="304">
        <f t="shared" ref="N5:N63" si="3">M5/L5</f>
        <v>119.27083333333323</v>
      </c>
      <c r="O5" s="306">
        <f t="shared" ref="O5:O63" si="4">L5-I5</f>
        <v>0</v>
      </c>
      <c r="P5" s="307">
        <f t="shared" ref="P5:P63" si="5">N5-K5</f>
        <v>-5.7291666666667709</v>
      </c>
      <c r="Q5" s="418">
        <f t="shared" ref="Q5:Q63" si="6">N5/K5</f>
        <v>0.95416666666666583</v>
      </c>
      <c r="R5" s="571">
        <f>Q8</f>
        <v>0.95691269841269755</v>
      </c>
      <c r="S5" s="308">
        <v>0.70833333333333337</v>
      </c>
      <c r="T5" s="308">
        <v>0.73333333333333339</v>
      </c>
      <c r="U5" s="417"/>
      <c r="V5" s="423">
        <f t="shared" ref="V5:V7" si="7">(T5-S5)*24*60</f>
        <v>36.000000000000028</v>
      </c>
      <c r="W5" s="310"/>
      <c r="X5" s="311"/>
      <c r="Y5" s="570"/>
      <c r="Z5" s="570"/>
      <c r="AA5" s="306">
        <f t="shared" ref="AA5:AA63" si="8">M5-J5</f>
        <v>-91.666666666668334</v>
      </c>
      <c r="AB5" s="418">
        <f t="shared" ref="AB5:AB63" si="9">M5/J5</f>
        <v>0.95416666666666583</v>
      </c>
      <c r="AC5" s="571">
        <f>AB8</f>
        <v>0.95691269841269755</v>
      </c>
    </row>
    <row r="6" spans="1:29">
      <c r="A6" s="600" t="s">
        <v>1931</v>
      </c>
      <c r="B6" s="300" t="s">
        <v>36</v>
      </c>
      <c r="C6" s="601" t="s">
        <v>38</v>
      </c>
      <c r="D6" s="601"/>
      <c r="E6" s="300">
        <v>50.49</v>
      </c>
      <c r="F6" s="425">
        <v>2528</v>
      </c>
      <c r="G6" s="417">
        <f t="shared" si="0"/>
        <v>127638.72</v>
      </c>
      <c r="H6" s="426" t="s">
        <v>35</v>
      </c>
      <c r="I6" s="422">
        <v>15</v>
      </c>
      <c r="J6" s="303">
        <v>2000</v>
      </c>
      <c r="K6" s="304">
        <f t="shared" si="1"/>
        <v>133.33333333333334</v>
      </c>
      <c r="L6" s="422">
        <v>15</v>
      </c>
      <c r="M6" s="305">
        <f t="shared" si="2"/>
        <v>1919.9999999999989</v>
      </c>
      <c r="N6" s="304">
        <f t="shared" si="3"/>
        <v>127.99999999999993</v>
      </c>
      <c r="O6" s="306">
        <f t="shared" si="4"/>
        <v>0</v>
      </c>
      <c r="P6" s="307">
        <f t="shared" si="5"/>
        <v>-5.3333333333334139</v>
      </c>
      <c r="Q6" s="418">
        <f t="shared" si="6"/>
        <v>0.95999999999999941</v>
      </c>
      <c r="R6" s="571"/>
      <c r="S6" s="308">
        <v>0.73750000000000004</v>
      </c>
      <c r="T6" s="308">
        <v>0.79236111111111118</v>
      </c>
      <c r="U6" s="417">
        <f t="shared" ref="U6:U7" si="10">IF(S6=TIME(17,0,0),"",(S6-T5)*24*60)</f>
        <v>5.9999999999999787</v>
      </c>
      <c r="V6" s="423">
        <f t="shared" si="7"/>
        <v>79.000000000000043</v>
      </c>
      <c r="W6" s="310"/>
      <c r="X6" s="310"/>
      <c r="Y6" s="570"/>
      <c r="Z6" s="570"/>
      <c r="AA6" s="306">
        <f t="shared" si="8"/>
        <v>-80.000000000001137</v>
      </c>
      <c r="AB6" s="418">
        <f t="shared" si="9"/>
        <v>0.95999999999999941</v>
      </c>
      <c r="AC6" s="571"/>
    </row>
    <row r="7" spans="1:29">
      <c r="A7" s="600" t="s">
        <v>1931</v>
      </c>
      <c r="B7" s="300" t="s">
        <v>36</v>
      </c>
      <c r="C7" s="594" t="s">
        <v>39</v>
      </c>
      <c r="D7" s="595"/>
      <c r="E7" s="300">
        <v>50.67</v>
      </c>
      <c r="F7" s="425">
        <v>2232</v>
      </c>
      <c r="G7" s="417">
        <f t="shared" si="0"/>
        <v>113095.44</v>
      </c>
      <c r="H7" s="426" t="s">
        <v>35</v>
      </c>
      <c r="I7" s="422">
        <v>17</v>
      </c>
      <c r="J7" s="303">
        <v>2000</v>
      </c>
      <c r="K7" s="304">
        <f t="shared" si="1"/>
        <v>117.64705882352941</v>
      </c>
      <c r="L7" s="422">
        <v>17</v>
      </c>
      <c r="M7" s="305">
        <f t="shared" si="2"/>
        <v>1913.1428571428553</v>
      </c>
      <c r="N7" s="304">
        <f t="shared" si="3"/>
        <v>112.5378151260503</v>
      </c>
      <c r="O7" s="306">
        <f t="shared" si="4"/>
        <v>0</v>
      </c>
      <c r="P7" s="307">
        <f t="shared" si="5"/>
        <v>-5.1092436974791013</v>
      </c>
      <c r="Q7" s="418">
        <f t="shared" si="6"/>
        <v>0.95657142857142763</v>
      </c>
      <c r="R7" s="571"/>
      <c r="S7" s="308">
        <v>0.79722222222222228</v>
      </c>
      <c r="T7" s="308">
        <v>0.84583333333333344</v>
      </c>
      <c r="U7" s="417">
        <f t="shared" si="10"/>
        <v>6.9999999999999751</v>
      </c>
      <c r="V7" s="423">
        <f t="shared" si="7"/>
        <v>70.000000000000071</v>
      </c>
      <c r="W7" s="310"/>
      <c r="X7" s="310"/>
      <c r="Y7" s="566"/>
      <c r="Z7" s="567"/>
      <c r="AA7" s="306">
        <f t="shared" si="8"/>
        <v>-86.857142857144709</v>
      </c>
      <c r="AB7" s="418">
        <f t="shared" si="9"/>
        <v>0.95657142857142763</v>
      </c>
      <c r="AC7" s="571"/>
    </row>
    <row r="8" spans="1:29">
      <c r="A8" s="600" t="s">
        <v>1931</v>
      </c>
      <c r="B8" s="300" t="s">
        <v>1932</v>
      </c>
      <c r="C8" s="572"/>
      <c r="D8" s="572"/>
      <c r="E8" s="419"/>
      <c r="F8" s="313"/>
      <c r="G8" s="304"/>
      <c r="H8" s="425"/>
      <c r="I8" s="314">
        <v>16</v>
      </c>
      <c r="J8" s="303">
        <v>2000</v>
      </c>
      <c r="K8" s="304">
        <f t="shared" si="1"/>
        <v>125</v>
      </c>
      <c r="L8" s="314">
        <v>16</v>
      </c>
      <c r="M8" s="305">
        <f>AVERAGE(M5:M7)</f>
        <v>1913.825396825395</v>
      </c>
      <c r="N8" s="304">
        <f t="shared" si="3"/>
        <v>119.61408730158719</v>
      </c>
      <c r="O8" s="306">
        <f t="shared" si="4"/>
        <v>0</v>
      </c>
      <c r="P8" s="307">
        <f t="shared" si="5"/>
        <v>-5.3859126984128096</v>
      </c>
      <c r="Q8" s="418">
        <f t="shared" si="6"/>
        <v>0.95691269841269755</v>
      </c>
      <c r="R8" s="571"/>
      <c r="S8" s="308"/>
      <c r="T8" s="308"/>
      <c r="U8" s="417"/>
      <c r="V8" s="423"/>
      <c r="W8" s="304"/>
      <c r="X8" s="304"/>
      <c r="Y8" s="570"/>
      <c r="Z8" s="570"/>
      <c r="AA8" s="306">
        <f t="shared" si="8"/>
        <v>-86.174603174604954</v>
      </c>
      <c r="AB8" s="418">
        <f t="shared" si="9"/>
        <v>0.95691269841269755</v>
      </c>
      <c r="AC8" s="571"/>
    </row>
    <row r="9" spans="1:29" ht="15.75" customHeight="1">
      <c r="A9" s="598" t="s">
        <v>1933</v>
      </c>
      <c r="B9" s="300" t="s">
        <v>40</v>
      </c>
      <c r="C9" s="594" t="s">
        <v>42</v>
      </c>
      <c r="D9" s="595"/>
      <c r="E9" s="300">
        <v>39.36</v>
      </c>
      <c r="F9" s="425">
        <v>1954</v>
      </c>
      <c r="G9" s="417">
        <f t="shared" ref="G9:G10" si="11">E9*F9</f>
        <v>76909.440000000002</v>
      </c>
      <c r="H9" s="426" t="s">
        <v>35</v>
      </c>
      <c r="I9" s="422">
        <v>20</v>
      </c>
      <c r="J9" s="303">
        <v>1500</v>
      </c>
      <c r="K9" s="304">
        <f t="shared" si="1"/>
        <v>75</v>
      </c>
      <c r="L9" s="422">
        <v>20</v>
      </c>
      <c r="M9" s="305">
        <f t="shared" ref="M9:M10" si="12">F9/V9*60</f>
        <v>1447.4074074074078</v>
      </c>
      <c r="N9" s="304">
        <f t="shared" si="3"/>
        <v>72.370370370370395</v>
      </c>
      <c r="O9" s="306">
        <f t="shared" si="4"/>
        <v>0</v>
      </c>
      <c r="P9" s="307">
        <f t="shared" si="5"/>
        <v>-2.6296296296296049</v>
      </c>
      <c r="Q9" s="418">
        <f t="shared" si="6"/>
        <v>0.96493827160493861</v>
      </c>
      <c r="R9" s="571">
        <f>Q11</f>
        <v>0.95806722192687133</v>
      </c>
      <c r="S9" s="308">
        <v>0.20833333333333334</v>
      </c>
      <c r="T9" s="308">
        <v>0.26458333333333334</v>
      </c>
      <c r="U9" s="417"/>
      <c r="V9" s="423">
        <f t="shared" ref="V9:V10" si="13">(T9-S9)*24*60</f>
        <v>80.999999999999986</v>
      </c>
      <c r="W9" s="310"/>
      <c r="X9" s="310"/>
      <c r="Y9" s="570"/>
      <c r="Z9" s="570"/>
      <c r="AA9" s="306">
        <f t="shared" si="8"/>
        <v>-52.592592592592155</v>
      </c>
      <c r="AB9" s="418">
        <f t="shared" si="9"/>
        <v>0.96493827160493861</v>
      </c>
      <c r="AC9" s="571">
        <f>AB11</f>
        <v>0.95806722192687133</v>
      </c>
    </row>
    <row r="10" spans="1:29" ht="15.75" customHeight="1">
      <c r="A10" s="598" t="s">
        <v>1871</v>
      </c>
      <c r="B10" s="300" t="s">
        <v>40</v>
      </c>
      <c r="C10" s="594" t="s">
        <v>41</v>
      </c>
      <c r="D10" s="595"/>
      <c r="E10" s="300">
        <v>39.799999999999997</v>
      </c>
      <c r="F10" s="425">
        <v>4970</v>
      </c>
      <c r="G10" s="417">
        <f t="shared" si="11"/>
        <v>197806</v>
      </c>
      <c r="H10" s="426" t="s">
        <v>35</v>
      </c>
      <c r="I10" s="422">
        <v>17</v>
      </c>
      <c r="J10" s="303">
        <v>1500</v>
      </c>
      <c r="K10" s="304">
        <f t="shared" si="1"/>
        <v>88.235294117647058</v>
      </c>
      <c r="L10" s="422">
        <v>17</v>
      </c>
      <c r="M10" s="305">
        <f t="shared" si="12"/>
        <v>1426.794258373206</v>
      </c>
      <c r="N10" s="304">
        <f t="shared" si="3"/>
        <v>83.929074021953298</v>
      </c>
      <c r="O10" s="306">
        <f t="shared" si="4"/>
        <v>0</v>
      </c>
      <c r="P10" s="307">
        <f t="shared" si="5"/>
        <v>-4.3062200956937602</v>
      </c>
      <c r="Q10" s="418">
        <f t="shared" si="6"/>
        <v>0.95119617224880404</v>
      </c>
      <c r="R10" s="571"/>
      <c r="S10" s="308">
        <v>0.26805555555555555</v>
      </c>
      <c r="T10" s="308">
        <v>0.41319444444444442</v>
      </c>
      <c r="U10" s="417">
        <f t="shared" ref="U10" si="14">IF(S10=TIME(17,0,0),"",(S10-T9)*24*60)</f>
        <v>4.9999999999999822</v>
      </c>
      <c r="V10" s="423">
        <f t="shared" si="13"/>
        <v>208.99999999999997</v>
      </c>
      <c r="W10" s="310"/>
      <c r="X10" s="310"/>
      <c r="Y10" s="570"/>
      <c r="Z10" s="570"/>
      <c r="AA10" s="306">
        <f t="shared" si="8"/>
        <v>-73.205741626793952</v>
      </c>
      <c r="AB10" s="418">
        <f t="shared" si="9"/>
        <v>0.95119617224880404</v>
      </c>
      <c r="AC10" s="571"/>
    </row>
    <row r="11" spans="1:29" ht="16.5" customHeight="1">
      <c r="A11" s="598" t="s">
        <v>1871</v>
      </c>
      <c r="B11" s="300" t="s">
        <v>1870</v>
      </c>
      <c r="C11" s="572"/>
      <c r="D11" s="572"/>
      <c r="E11" s="419"/>
      <c r="F11" s="303"/>
      <c r="G11" s="305"/>
      <c r="H11" s="425"/>
      <c r="I11" s="314">
        <v>18.5</v>
      </c>
      <c r="J11" s="303">
        <v>1500</v>
      </c>
      <c r="K11" s="304">
        <f t="shared" si="1"/>
        <v>81.081081081081081</v>
      </c>
      <c r="L11" s="314">
        <v>18.5</v>
      </c>
      <c r="M11" s="305">
        <f>AVERAGE(M9:M10)</f>
        <v>1437.1008328903069</v>
      </c>
      <c r="N11" s="304">
        <f t="shared" si="3"/>
        <v>77.681126102178752</v>
      </c>
      <c r="O11" s="306">
        <f t="shared" si="4"/>
        <v>0</v>
      </c>
      <c r="P11" s="307">
        <f t="shared" si="5"/>
        <v>-3.3999549789023291</v>
      </c>
      <c r="Q11" s="418">
        <f t="shared" si="6"/>
        <v>0.95806722192687133</v>
      </c>
      <c r="R11" s="571"/>
      <c r="S11" s="308"/>
      <c r="T11" s="308"/>
      <c r="U11" s="304"/>
      <c r="V11" s="423"/>
      <c r="W11" s="304"/>
      <c r="X11" s="304"/>
      <c r="Y11" s="570"/>
      <c r="Z11" s="570"/>
      <c r="AA11" s="306">
        <f t="shared" si="8"/>
        <v>-62.899167109693053</v>
      </c>
      <c r="AB11" s="418">
        <f t="shared" si="9"/>
        <v>0.95806722192687133</v>
      </c>
      <c r="AC11" s="571"/>
    </row>
    <row r="12" spans="1:29" ht="16.5" customHeight="1">
      <c r="A12" s="596" t="s">
        <v>1872</v>
      </c>
      <c r="B12" s="425" t="s">
        <v>43</v>
      </c>
      <c r="C12" s="590" t="s">
        <v>44</v>
      </c>
      <c r="D12" s="590"/>
      <c r="E12" s="300">
        <v>41</v>
      </c>
      <c r="F12" s="425">
        <v>2296</v>
      </c>
      <c r="G12" s="417">
        <f t="shared" ref="G12:G16" si="15">E12*F12</f>
        <v>94136</v>
      </c>
      <c r="H12" s="426" t="s">
        <v>35</v>
      </c>
      <c r="I12" s="422">
        <v>26</v>
      </c>
      <c r="J12" s="303">
        <v>1500</v>
      </c>
      <c r="K12" s="304">
        <f t="shared" si="1"/>
        <v>57.692307692307693</v>
      </c>
      <c r="L12" s="422">
        <v>26</v>
      </c>
      <c r="M12" s="305">
        <f t="shared" ref="M12:M16" si="16">F12/V12*60</f>
        <v>1435.0000000000005</v>
      </c>
      <c r="N12" s="304">
        <f t="shared" si="3"/>
        <v>55.192307692307708</v>
      </c>
      <c r="O12" s="306">
        <f t="shared" si="4"/>
        <v>0</v>
      </c>
      <c r="P12" s="307">
        <f t="shared" si="5"/>
        <v>-2.4999999999999858</v>
      </c>
      <c r="Q12" s="418">
        <f t="shared" si="6"/>
        <v>0.95666666666666689</v>
      </c>
      <c r="R12" s="571">
        <f>Q17</f>
        <v>0.95570490627511473</v>
      </c>
      <c r="S12" s="308">
        <v>0.125</v>
      </c>
      <c r="T12" s="308">
        <v>0.19166666666666665</v>
      </c>
      <c r="U12" s="417"/>
      <c r="V12" s="423">
        <f t="shared" ref="V12:V16" si="17">(T12-S12)*24*60</f>
        <v>95.999999999999972</v>
      </c>
      <c r="W12" s="310">
        <f>T12</f>
        <v>0.19166666666666665</v>
      </c>
      <c r="X12" s="310">
        <f>S13</f>
        <v>0.2097222222222222</v>
      </c>
      <c r="Y12" s="570"/>
      <c r="Z12" s="570"/>
      <c r="AA12" s="306">
        <f t="shared" si="8"/>
        <v>-64.999999999999545</v>
      </c>
      <c r="AB12" s="418">
        <f t="shared" si="9"/>
        <v>0.956666666666667</v>
      </c>
      <c r="AC12" s="571">
        <f>AB17</f>
        <v>0.95570490627511473</v>
      </c>
    </row>
    <row r="13" spans="1:29" ht="16.5" customHeight="1">
      <c r="A13" s="597" t="s">
        <v>24</v>
      </c>
      <c r="B13" s="425" t="s">
        <v>40</v>
      </c>
      <c r="C13" s="590" t="s">
        <v>45</v>
      </c>
      <c r="D13" s="590"/>
      <c r="E13" s="300">
        <v>39.619999999999997</v>
      </c>
      <c r="F13" s="425">
        <v>3520</v>
      </c>
      <c r="G13" s="417">
        <f t="shared" si="15"/>
        <v>139462.39999999999</v>
      </c>
      <c r="H13" s="426" t="s">
        <v>35</v>
      </c>
      <c r="I13" s="422">
        <v>19</v>
      </c>
      <c r="J13" s="303">
        <v>1500</v>
      </c>
      <c r="K13" s="304">
        <f t="shared" si="1"/>
        <v>78.94736842105263</v>
      </c>
      <c r="L13" s="422">
        <v>19</v>
      </c>
      <c r="M13" s="305">
        <f t="shared" si="16"/>
        <v>1427.0270270270266</v>
      </c>
      <c r="N13" s="304">
        <f t="shared" si="3"/>
        <v>75.106685633001405</v>
      </c>
      <c r="O13" s="306">
        <f t="shared" si="4"/>
        <v>0</v>
      </c>
      <c r="P13" s="307">
        <f t="shared" si="5"/>
        <v>-3.8406827880512253</v>
      </c>
      <c r="Q13" s="418">
        <f t="shared" si="6"/>
        <v>0.95135135135135118</v>
      </c>
      <c r="R13" s="571"/>
      <c r="S13" s="308">
        <v>0.2097222222222222</v>
      </c>
      <c r="T13" s="308">
        <v>0.3125</v>
      </c>
      <c r="U13" s="417">
        <f t="shared" ref="U13:U16" si="18">IF(S13=TIME(17,0,0),"",(S13-T12)*24*60)</f>
        <v>25.999999999999986</v>
      </c>
      <c r="V13" s="423">
        <f t="shared" si="17"/>
        <v>148.00000000000003</v>
      </c>
      <c r="W13" s="310"/>
      <c r="X13" s="310"/>
      <c r="Y13" s="570"/>
      <c r="Z13" s="570"/>
      <c r="AA13" s="306">
        <f t="shared" si="8"/>
        <v>-72.972972972973366</v>
      </c>
      <c r="AB13" s="418">
        <f t="shared" si="9"/>
        <v>0.95135135135135107</v>
      </c>
      <c r="AC13" s="571"/>
    </row>
    <row r="14" spans="1:29" ht="16.5" customHeight="1">
      <c r="A14" s="597" t="s">
        <v>24</v>
      </c>
      <c r="B14" s="425" t="s">
        <v>1182</v>
      </c>
      <c r="C14" s="590" t="s">
        <v>1041</v>
      </c>
      <c r="D14" s="590"/>
      <c r="E14" s="300">
        <v>57.3</v>
      </c>
      <c r="F14" s="425">
        <v>2120</v>
      </c>
      <c r="G14" s="417">
        <f t="shared" si="15"/>
        <v>121476</v>
      </c>
      <c r="H14" s="426" t="s">
        <v>35</v>
      </c>
      <c r="I14" s="422">
        <v>17</v>
      </c>
      <c r="J14" s="303">
        <v>1500</v>
      </c>
      <c r="K14" s="304">
        <f t="shared" si="1"/>
        <v>88.235294117647058</v>
      </c>
      <c r="L14" s="422">
        <v>17</v>
      </c>
      <c r="M14" s="305">
        <f t="shared" si="16"/>
        <v>1445.4545454545455</v>
      </c>
      <c r="N14" s="304">
        <f t="shared" si="3"/>
        <v>85.026737967914443</v>
      </c>
      <c r="O14" s="306">
        <f t="shared" si="4"/>
        <v>0</v>
      </c>
      <c r="P14" s="307">
        <f t="shared" si="5"/>
        <v>-3.2085561497326154</v>
      </c>
      <c r="Q14" s="418">
        <f t="shared" si="6"/>
        <v>0.96363636363636374</v>
      </c>
      <c r="R14" s="571"/>
      <c r="S14" s="308">
        <v>0.31666666666666665</v>
      </c>
      <c r="T14" s="308">
        <v>0.37777777777777777</v>
      </c>
      <c r="U14" s="417">
        <f t="shared" si="18"/>
        <v>5.9999999999999787</v>
      </c>
      <c r="V14" s="423">
        <f t="shared" si="17"/>
        <v>88</v>
      </c>
      <c r="W14" s="310"/>
      <c r="X14" s="310"/>
      <c r="Y14" s="570"/>
      <c r="Z14" s="570"/>
      <c r="AA14" s="306">
        <f t="shared" si="8"/>
        <v>-54.545454545454504</v>
      </c>
      <c r="AB14" s="418">
        <f t="shared" si="9"/>
        <v>0.96363636363636362</v>
      </c>
      <c r="AC14" s="571"/>
    </row>
    <row r="15" spans="1:29" ht="16.5" customHeight="1">
      <c r="A15" s="597" t="s">
        <v>1872</v>
      </c>
      <c r="B15" s="425" t="s">
        <v>36</v>
      </c>
      <c r="C15" s="590" t="s">
        <v>49</v>
      </c>
      <c r="D15" s="590"/>
      <c r="E15" s="300">
        <v>50.98</v>
      </c>
      <c r="F15" s="425">
        <v>3279</v>
      </c>
      <c r="G15" s="417">
        <f t="shared" si="15"/>
        <v>167163.41999999998</v>
      </c>
      <c r="H15" s="426" t="s">
        <v>35</v>
      </c>
      <c r="I15" s="422">
        <v>16</v>
      </c>
      <c r="J15" s="303">
        <v>2000</v>
      </c>
      <c r="K15" s="304">
        <f t="shared" si="1"/>
        <v>125</v>
      </c>
      <c r="L15" s="422">
        <v>16</v>
      </c>
      <c r="M15" s="305">
        <f t="shared" si="16"/>
        <v>1910.0970873786416</v>
      </c>
      <c r="N15" s="304">
        <f t="shared" si="3"/>
        <v>119.3810679611651</v>
      </c>
      <c r="O15" s="306">
        <f t="shared" si="4"/>
        <v>0</v>
      </c>
      <c r="P15" s="307">
        <f t="shared" si="5"/>
        <v>-5.6189320388348989</v>
      </c>
      <c r="Q15" s="418">
        <f t="shared" si="6"/>
        <v>0.95504854368932079</v>
      </c>
      <c r="R15" s="571"/>
      <c r="S15" s="308">
        <v>0.70833333333333337</v>
      </c>
      <c r="T15" s="308">
        <v>0.77986111111111112</v>
      </c>
      <c r="U15" s="417" t="str">
        <f t="shared" si="18"/>
        <v/>
      </c>
      <c r="V15" s="423">
        <f t="shared" si="17"/>
        <v>102.99999999999996</v>
      </c>
      <c r="W15" s="310"/>
      <c r="X15" s="310"/>
      <c r="Y15" s="570"/>
      <c r="Z15" s="570"/>
      <c r="AA15" s="306">
        <f t="shared" si="8"/>
        <v>-89.902912621358382</v>
      </c>
      <c r="AB15" s="418">
        <f t="shared" si="9"/>
        <v>0.95504854368932079</v>
      </c>
      <c r="AC15" s="571"/>
    </row>
    <row r="16" spans="1:29" ht="16.5" customHeight="1">
      <c r="A16" s="597" t="s">
        <v>1872</v>
      </c>
      <c r="B16" s="425" t="s">
        <v>36</v>
      </c>
      <c r="C16" s="590" t="s">
        <v>50</v>
      </c>
      <c r="D16" s="590"/>
      <c r="E16" s="300">
        <v>50.92</v>
      </c>
      <c r="F16" s="425">
        <v>3653</v>
      </c>
      <c r="G16" s="417">
        <f t="shared" si="15"/>
        <v>186010.76</v>
      </c>
      <c r="H16" s="426" t="s">
        <v>35</v>
      </c>
      <c r="I16" s="422">
        <v>15</v>
      </c>
      <c r="J16" s="303">
        <v>2000</v>
      </c>
      <c r="K16" s="304">
        <f t="shared" si="1"/>
        <v>133.33333333333334</v>
      </c>
      <c r="L16" s="422">
        <v>15</v>
      </c>
      <c r="M16" s="305">
        <f t="shared" si="16"/>
        <v>1905.9130434782599</v>
      </c>
      <c r="N16" s="304">
        <f t="shared" si="3"/>
        <v>127.06086956521732</v>
      </c>
      <c r="O16" s="306">
        <f t="shared" si="4"/>
        <v>0</v>
      </c>
      <c r="P16" s="307">
        <f t="shared" si="5"/>
        <v>-6.272463768116026</v>
      </c>
      <c r="Q16" s="418">
        <f t="shared" si="6"/>
        <v>0.95295652173912981</v>
      </c>
      <c r="R16" s="571"/>
      <c r="S16" s="308">
        <v>0.78472222222222221</v>
      </c>
      <c r="T16" s="308">
        <v>0.86458333333333337</v>
      </c>
      <c r="U16" s="417">
        <f t="shared" si="18"/>
        <v>6.9999999999999751</v>
      </c>
      <c r="V16" s="423">
        <f t="shared" si="17"/>
        <v>115.00000000000007</v>
      </c>
      <c r="W16" s="310"/>
      <c r="X16" s="310"/>
      <c r="Y16" s="570"/>
      <c r="Z16" s="570"/>
      <c r="AA16" s="306">
        <f t="shared" si="8"/>
        <v>-94.086956521740149</v>
      </c>
      <c r="AB16" s="418">
        <f t="shared" si="9"/>
        <v>0.95295652173912992</v>
      </c>
      <c r="AC16" s="571"/>
    </row>
    <row r="17" spans="1:29" ht="16.5" customHeight="1">
      <c r="A17" s="597" t="s">
        <v>1872</v>
      </c>
      <c r="B17" s="300" t="s">
        <v>1870</v>
      </c>
      <c r="C17" s="572"/>
      <c r="D17" s="572"/>
      <c r="E17" s="419"/>
      <c r="F17" s="313"/>
      <c r="G17" s="304"/>
      <c r="H17" s="425"/>
      <c r="I17" s="314">
        <v>18.600000000000001</v>
      </c>
      <c r="J17" s="303">
        <v>1700</v>
      </c>
      <c r="K17" s="304">
        <f t="shared" si="1"/>
        <v>91.397849462365585</v>
      </c>
      <c r="L17" s="314">
        <v>18.600000000000001</v>
      </c>
      <c r="M17" s="305">
        <f>AVERAGE(M12:M16)</f>
        <v>1624.698340667695</v>
      </c>
      <c r="N17" s="304">
        <f t="shared" si="3"/>
        <v>87.349373154177144</v>
      </c>
      <c r="O17" s="306">
        <f t="shared" si="4"/>
        <v>0</v>
      </c>
      <c r="P17" s="307">
        <f t="shared" si="5"/>
        <v>-4.048476308188441</v>
      </c>
      <c r="Q17" s="418">
        <f t="shared" si="6"/>
        <v>0.95570490627511473</v>
      </c>
      <c r="R17" s="571"/>
      <c r="S17" s="308"/>
      <c r="T17" s="308"/>
      <c r="U17" s="417"/>
      <c r="V17" s="423"/>
      <c r="W17" s="304"/>
      <c r="X17" s="304"/>
      <c r="Y17" s="570"/>
      <c r="Z17" s="570"/>
      <c r="AA17" s="306">
        <f t="shared" si="8"/>
        <v>-75.301659332305007</v>
      </c>
      <c r="AB17" s="418">
        <f t="shared" si="9"/>
        <v>0.95570490627511473</v>
      </c>
      <c r="AC17" s="571"/>
    </row>
    <row r="18" spans="1:29" ht="15.75" customHeight="1">
      <c r="A18" s="592" t="s">
        <v>26</v>
      </c>
      <c r="B18" s="300" t="s">
        <v>43</v>
      </c>
      <c r="C18" s="590" t="s">
        <v>51</v>
      </c>
      <c r="D18" s="590"/>
      <c r="E18" s="300">
        <v>43.14</v>
      </c>
      <c r="F18" s="425">
        <v>1200</v>
      </c>
      <c r="G18" s="417">
        <f t="shared" ref="G18:G21" si="19">E18*F18</f>
        <v>51768</v>
      </c>
      <c r="H18" s="426" t="s">
        <v>35</v>
      </c>
      <c r="I18" s="422">
        <v>17</v>
      </c>
      <c r="J18" s="303">
        <v>2000</v>
      </c>
      <c r="K18" s="304">
        <f t="shared" si="1"/>
        <v>117.64705882352941</v>
      </c>
      <c r="L18" s="422">
        <v>17</v>
      </c>
      <c r="M18" s="305">
        <f t="shared" ref="M18:M21" si="20">F18/V18*60</f>
        <v>1945.9459459459465</v>
      </c>
      <c r="N18" s="304">
        <f t="shared" si="3"/>
        <v>114.46740858505568</v>
      </c>
      <c r="O18" s="306">
        <f t="shared" si="4"/>
        <v>0</v>
      </c>
      <c r="P18" s="307">
        <f t="shared" si="5"/>
        <v>-3.1796502384737266</v>
      </c>
      <c r="Q18" s="418">
        <f t="shared" si="6"/>
        <v>0.97297297297297336</v>
      </c>
      <c r="R18" s="571">
        <f>Q22</f>
        <v>0.96276266897525165</v>
      </c>
      <c r="S18" s="308">
        <v>0.20833333333333334</v>
      </c>
      <c r="T18" s="308">
        <v>0.23402777777777778</v>
      </c>
      <c r="U18" s="417"/>
      <c r="V18" s="423">
        <f t="shared" ref="V18:V21" si="21">(T18-S18)*24*60</f>
        <v>36.999999999999986</v>
      </c>
      <c r="W18" s="315"/>
      <c r="X18" s="315"/>
      <c r="Y18" s="570"/>
      <c r="Z18" s="570"/>
      <c r="AA18" s="306">
        <f t="shared" si="8"/>
        <v>-54.054054054053495</v>
      </c>
      <c r="AB18" s="418">
        <f t="shared" si="9"/>
        <v>0.97297297297297325</v>
      </c>
      <c r="AC18" s="571">
        <f>AB22</f>
        <v>0.96276266897525165</v>
      </c>
    </row>
    <row r="19" spans="1:29" ht="15.75" customHeight="1">
      <c r="A19" s="593" t="s">
        <v>1873</v>
      </c>
      <c r="B19" s="300" t="s">
        <v>36</v>
      </c>
      <c r="C19" s="590" t="s">
        <v>53</v>
      </c>
      <c r="D19" s="590"/>
      <c r="E19" s="300">
        <v>53.68</v>
      </c>
      <c r="F19" s="425">
        <v>1773</v>
      </c>
      <c r="G19" s="417">
        <f t="shared" si="19"/>
        <v>95174.64</v>
      </c>
      <c r="H19" s="426" t="s">
        <v>35</v>
      </c>
      <c r="I19" s="422">
        <v>16</v>
      </c>
      <c r="J19" s="303">
        <v>2000</v>
      </c>
      <c r="K19" s="304">
        <f t="shared" si="1"/>
        <v>125</v>
      </c>
      <c r="L19" s="422">
        <v>16</v>
      </c>
      <c r="M19" s="305">
        <f t="shared" si="20"/>
        <v>1934.1818181818194</v>
      </c>
      <c r="N19" s="304">
        <f t="shared" si="3"/>
        <v>120.88636363636371</v>
      </c>
      <c r="O19" s="306">
        <f t="shared" si="4"/>
        <v>0</v>
      </c>
      <c r="P19" s="307">
        <f t="shared" si="5"/>
        <v>-4.1136363636362887</v>
      </c>
      <c r="Q19" s="418">
        <f t="shared" si="6"/>
        <v>0.96709090909090967</v>
      </c>
      <c r="R19" s="571"/>
      <c r="S19" s="308">
        <v>0.23749999999999999</v>
      </c>
      <c r="T19" s="308">
        <v>0.27569444444444441</v>
      </c>
      <c r="U19" s="417">
        <f t="shared" ref="U19:U21" si="22">IF(S19=TIME(17,0,0),"",(S19-T18)*24*60)</f>
        <v>4.9999999999999822</v>
      </c>
      <c r="V19" s="423">
        <f t="shared" si="21"/>
        <v>54.999999999999964</v>
      </c>
      <c r="W19" s="310"/>
      <c r="X19" s="417"/>
      <c r="Y19" s="570"/>
      <c r="Z19" s="570"/>
      <c r="AA19" s="306">
        <f t="shared" si="8"/>
        <v>-65.818181818180619</v>
      </c>
      <c r="AB19" s="418">
        <f t="shared" si="9"/>
        <v>0.96709090909090967</v>
      </c>
      <c r="AC19" s="571"/>
    </row>
    <row r="20" spans="1:29" ht="15.75" customHeight="1">
      <c r="A20" s="593" t="s">
        <v>26</v>
      </c>
      <c r="B20" s="300" t="s">
        <v>36</v>
      </c>
      <c r="C20" s="590" t="s">
        <v>52</v>
      </c>
      <c r="D20" s="590"/>
      <c r="E20" s="300">
        <v>57.73</v>
      </c>
      <c r="F20" s="425">
        <v>2781</v>
      </c>
      <c r="G20" s="417">
        <f t="shared" si="19"/>
        <v>160547.13</v>
      </c>
      <c r="H20" s="426" t="s">
        <v>35</v>
      </c>
      <c r="I20" s="422">
        <v>15</v>
      </c>
      <c r="J20" s="303">
        <v>2000</v>
      </c>
      <c r="K20" s="304">
        <f t="shared" si="1"/>
        <v>133.33333333333334</v>
      </c>
      <c r="L20" s="422">
        <v>15</v>
      </c>
      <c r="M20" s="305">
        <f t="shared" si="20"/>
        <v>1917.9310344827584</v>
      </c>
      <c r="N20" s="304">
        <f t="shared" si="3"/>
        <v>127.86206896551722</v>
      </c>
      <c r="O20" s="306">
        <f t="shared" si="4"/>
        <v>0</v>
      </c>
      <c r="P20" s="307">
        <f t="shared" si="5"/>
        <v>-5.4712643678161186</v>
      </c>
      <c r="Q20" s="418">
        <f t="shared" si="6"/>
        <v>0.95896551724137913</v>
      </c>
      <c r="R20" s="571"/>
      <c r="S20" s="308">
        <v>0.27916666666666662</v>
      </c>
      <c r="T20" s="308">
        <v>0.33958333333333329</v>
      </c>
      <c r="U20" s="417">
        <f t="shared" si="22"/>
        <v>4.9999999999999822</v>
      </c>
      <c r="V20" s="423">
        <f t="shared" si="21"/>
        <v>87.000000000000014</v>
      </c>
      <c r="W20" s="310"/>
      <c r="X20" s="417"/>
      <c r="Y20" s="570"/>
      <c r="Z20" s="570"/>
      <c r="AA20" s="306">
        <f t="shared" si="8"/>
        <v>-82.068965517241622</v>
      </c>
      <c r="AB20" s="418">
        <f t="shared" si="9"/>
        <v>0.95896551724137924</v>
      </c>
      <c r="AC20" s="571"/>
    </row>
    <row r="21" spans="1:29" ht="16.149999999999999" customHeight="1">
      <c r="A21" s="593" t="s">
        <v>1934</v>
      </c>
      <c r="B21" s="300" t="s">
        <v>36</v>
      </c>
      <c r="C21" s="590" t="s">
        <v>55</v>
      </c>
      <c r="D21" s="590"/>
      <c r="E21" s="300">
        <v>54.09</v>
      </c>
      <c r="F21" s="425">
        <v>2983</v>
      </c>
      <c r="G21" s="417">
        <f t="shared" si="19"/>
        <v>161350.47</v>
      </c>
      <c r="H21" s="426" t="s">
        <v>35</v>
      </c>
      <c r="I21" s="422">
        <v>19</v>
      </c>
      <c r="J21" s="303">
        <v>2000</v>
      </c>
      <c r="K21" s="304">
        <f t="shared" si="1"/>
        <v>105.26315789473684</v>
      </c>
      <c r="L21" s="422">
        <v>19</v>
      </c>
      <c r="M21" s="305">
        <f t="shared" si="20"/>
        <v>1904.0425531914896</v>
      </c>
      <c r="N21" s="304">
        <f t="shared" si="3"/>
        <v>100.21276595744682</v>
      </c>
      <c r="O21" s="306">
        <f t="shared" si="4"/>
        <v>0</v>
      </c>
      <c r="P21" s="307">
        <f t="shared" si="5"/>
        <v>-5.0503919372900157</v>
      </c>
      <c r="Q21" s="418">
        <f t="shared" si="6"/>
        <v>0.95202127659574487</v>
      </c>
      <c r="R21" s="571"/>
      <c r="S21" s="308">
        <v>0.70833333333333337</v>
      </c>
      <c r="T21" s="308">
        <v>0.77361111111111114</v>
      </c>
      <c r="U21" s="417" t="str">
        <f t="shared" si="22"/>
        <v/>
      </c>
      <c r="V21" s="423">
        <f t="shared" si="21"/>
        <v>93.999999999999986</v>
      </c>
      <c r="W21" s="310"/>
      <c r="X21" s="417"/>
      <c r="Y21" s="570"/>
      <c r="Z21" s="570"/>
      <c r="AA21" s="306">
        <f t="shared" si="8"/>
        <v>-95.95744680851044</v>
      </c>
      <c r="AB21" s="418">
        <f t="shared" si="9"/>
        <v>0.95202127659574476</v>
      </c>
      <c r="AC21" s="571"/>
    </row>
    <row r="22" spans="1:29" ht="15.75" customHeight="1">
      <c r="A22" s="593" t="s">
        <v>26</v>
      </c>
      <c r="B22" s="300" t="s">
        <v>1935</v>
      </c>
      <c r="C22" s="572"/>
      <c r="D22" s="572"/>
      <c r="E22" s="419"/>
      <c r="F22" s="425"/>
      <c r="G22" s="417"/>
      <c r="H22" s="425"/>
      <c r="I22" s="314">
        <v>16.75</v>
      </c>
      <c r="J22" s="303">
        <v>2000</v>
      </c>
      <c r="K22" s="304">
        <f t="shared" si="1"/>
        <v>119.40298507462687</v>
      </c>
      <c r="L22" s="314">
        <v>16.75</v>
      </c>
      <c r="M22" s="305">
        <f>AVERAGE(M18:M21)</f>
        <v>1925.5253379505034</v>
      </c>
      <c r="N22" s="304">
        <f t="shared" si="3"/>
        <v>114.9567365940599</v>
      </c>
      <c r="O22" s="306">
        <f t="shared" si="4"/>
        <v>0</v>
      </c>
      <c r="P22" s="307">
        <f t="shared" si="5"/>
        <v>-4.4462484805669646</v>
      </c>
      <c r="Q22" s="418">
        <f t="shared" si="6"/>
        <v>0.96276266897525165</v>
      </c>
      <c r="R22" s="571"/>
      <c r="S22" s="308"/>
      <c r="T22" s="308"/>
      <c r="U22" s="304"/>
      <c r="V22" s="423"/>
      <c r="W22" s="304"/>
      <c r="X22" s="304"/>
      <c r="Y22" s="570"/>
      <c r="Z22" s="570"/>
      <c r="AA22" s="306">
        <f t="shared" si="8"/>
        <v>-74.474662049496601</v>
      </c>
      <c r="AB22" s="418">
        <f t="shared" si="9"/>
        <v>0.96276266897525165</v>
      </c>
      <c r="AC22" s="571"/>
    </row>
    <row r="23" spans="1:29" ht="15.75" customHeight="1">
      <c r="A23" s="591" t="s">
        <v>1874</v>
      </c>
      <c r="B23" s="300" t="s">
        <v>46</v>
      </c>
      <c r="C23" s="590" t="s">
        <v>61</v>
      </c>
      <c r="D23" s="590"/>
      <c r="E23" s="300">
        <v>31.29</v>
      </c>
      <c r="F23" s="425">
        <v>4000</v>
      </c>
      <c r="G23" s="417">
        <f t="shared" ref="G23:G28" si="23">E23*F23</f>
        <v>125160</v>
      </c>
      <c r="H23" s="426">
        <v>2</v>
      </c>
      <c r="I23" s="422">
        <v>18</v>
      </c>
      <c r="J23" s="303">
        <v>2400</v>
      </c>
      <c r="K23" s="304">
        <f t="shared" si="1"/>
        <v>133.33333333333334</v>
      </c>
      <c r="L23" s="422">
        <v>18</v>
      </c>
      <c r="M23" s="305">
        <f t="shared" ref="M23:M28" si="24">F23/V23*60</f>
        <v>2285.7142857142853</v>
      </c>
      <c r="N23" s="304">
        <f t="shared" si="3"/>
        <v>126.98412698412696</v>
      </c>
      <c r="O23" s="306">
        <f t="shared" si="4"/>
        <v>0</v>
      </c>
      <c r="P23" s="307">
        <f t="shared" si="5"/>
        <v>-6.3492063492063835</v>
      </c>
      <c r="Q23" s="418">
        <f t="shared" si="6"/>
        <v>0.95238095238095211</v>
      </c>
      <c r="R23" s="571">
        <f>Q29</f>
        <v>0.95377819620466675</v>
      </c>
      <c r="S23" s="308">
        <v>0.125</v>
      </c>
      <c r="T23" s="308">
        <v>0.19791666666666669</v>
      </c>
      <c r="U23" s="417"/>
      <c r="V23" s="423">
        <f t="shared" ref="V23:V28" si="25">(T23-S23)*24*60</f>
        <v>105.00000000000003</v>
      </c>
      <c r="W23" s="310">
        <f>T23</f>
        <v>0.19791666666666669</v>
      </c>
      <c r="X23" s="310">
        <f>S24</f>
        <v>0.21736111111111114</v>
      </c>
      <c r="Y23" s="570"/>
      <c r="Z23" s="570"/>
      <c r="AA23" s="306">
        <f t="shared" si="8"/>
        <v>-114.28571428571468</v>
      </c>
      <c r="AB23" s="418">
        <f t="shared" si="9"/>
        <v>0.95238095238095222</v>
      </c>
      <c r="AC23" s="571">
        <f>AB29</f>
        <v>0.95377819620466675</v>
      </c>
    </row>
    <row r="24" spans="1:29" ht="15.75" customHeight="1">
      <c r="A24" s="591" t="s">
        <v>28</v>
      </c>
      <c r="B24" s="300" t="s">
        <v>46</v>
      </c>
      <c r="C24" s="590" t="s">
        <v>59</v>
      </c>
      <c r="D24" s="590"/>
      <c r="E24" s="300">
        <v>26.18</v>
      </c>
      <c r="F24" s="425">
        <v>2764</v>
      </c>
      <c r="G24" s="417">
        <f t="shared" si="23"/>
        <v>72361.52</v>
      </c>
      <c r="H24" s="426" t="s">
        <v>35</v>
      </c>
      <c r="I24" s="422">
        <v>19</v>
      </c>
      <c r="J24" s="303">
        <v>2400</v>
      </c>
      <c r="K24" s="304">
        <f t="shared" si="1"/>
        <v>126.31578947368421</v>
      </c>
      <c r="L24" s="422">
        <v>19</v>
      </c>
      <c r="M24" s="305">
        <f t="shared" si="24"/>
        <v>2303.3333333333321</v>
      </c>
      <c r="N24" s="304">
        <f t="shared" si="3"/>
        <v>121.22807017543853</v>
      </c>
      <c r="O24" s="306">
        <f t="shared" si="4"/>
        <v>0</v>
      </c>
      <c r="P24" s="307">
        <f t="shared" si="5"/>
        <v>-5.0877192982456734</v>
      </c>
      <c r="Q24" s="418">
        <f t="shared" si="6"/>
        <v>0.9597222222222217</v>
      </c>
      <c r="R24" s="571"/>
      <c r="S24" s="308">
        <v>0.21736111111111114</v>
      </c>
      <c r="T24" s="308">
        <v>0.26736111111111116</v>
      </c>
      <c r="U24" s="417">
        <f t="shared" ref="U24:U28" si="26">(S24-T23)*24*60</f>
        <v>28.000000000000021</v>
      </c>
      <c r="V24" s="423">
        <f t="shared" si="25"/>
        <v>72.000000000000028</v>
      </c>
      <c r="W24" s="310"/>
      <c r="X24" s="310"/>
      <c r="Y24" s="570"/>
      <c r="Z24" s="570"/>
      <c r="AA24" s="306">
        <f t="shared" si="8"/>
        <v>-96.666666666667879</v>
      </c>
      <c r="AB24" s="418">
        <f t="shared" si="9"/>
        <v>0.9597222222222217</v>
      </c>
      <c r="AC24" s="571"/>
    </row>
    <row r="25" spans="1:29" ht="15.75" customHeight="1">
      <c r="A25" s="591" t="s">
        <v>28</v>
      </c>
      <c r="B25" s="300" t="s">
        <v>46</v>
      </c>
      <c r="C25" s="590" t="s">
        <v>60</v>
      </c>
      <c r="D25" s="590"/>
      <c r="E25" s="300">
        <v>26.2</v>
      </c>
      <c r="F25" s="425">
        <v>3232</v>
      </c>
      <c r="G25" s="417">
        <f t="shared" si="23"/>
        <v>84678.399999999994</v>
      </c>
      <c r="H25" s="426" t="s">
        <v>35</v>
      </c>
      <c r="I25" s="422">
        <v>19</v>
      </c>
      <c r="J25" s="303">
        <v>2400</v>
      </c>
      <c r="K25" s="304">
        <f t="shared" si="1"/>
        <v>126.31578947368421</v>
      </c>
      <c r="L25" s="422">
        <v>19</v>
      </c>
      <c r="M25" s="305">
        <f t="shared" si="24"/>
        <v>2281.411764705882</v>
      </c>
      <c r="N25" s="304">
        <f t="shared" si="3"/>
        <v>120.07430340557273</v>
      </c>
      <c r="O25" s="306">
        <f t="shared" si="4"/>
        <v>0</v>
      </c>
      <c r="P25" s="307">
        <f t="shared" si="5"/>
        <v>-6.2414860681114703</v>
      </c>
      <c r="Q25" s="418">
        <f t="shared" si="6"/>
        <v>0.95058823529411751</v>
      </c>
      <c r="R25" s="571"/>
      <c r="S25" s="308">
        <v>0.27152777777777781</v>
      </c>
      <c r="T25" s="308">
        <v>0.3305555555555556</v>
      </c>
      <c r="U25" s="417">
        <f t="shared" si="26"/>
        <v>5.9999999999999787</v>
      </c>
      <c r="V25" s="423">
        <f t="shared" si="25"/>
        <v>85.000000000000014</v>
      </c>
      <c r="W25" s="310"/>
      <c r="X25" s="310"/>
      <c r="Y25" s="570"/>
      <c r="Z25" s="570"/>
      <c r="AA25" s="306">
        <f t="shared" si="8"/>
        <v>-118.58823529411802</v>
      </c>
      <c r="AB25" s="418">
        <f t="shared" si="9"/>
        <v>0.95058823529411751</v>
      </c>
      <c r="AC25" s="571"/>
    </row>
    <row r="26" spans="1:29" ht="15.75" customHeight="1">
      <c r="A26" s="591" t="s">
        <v>1874</v>
      </c>
      <c r="B26" s="300" t="s">
        <v>46</v>
      </c>
      <c r="C26" s="590" t="s">
        <v>56</v>
      </c>
      <c r="D26" s="590"/>
      <c r="E26" s="300">
        <v>26.2</v>
      </c>
      <c r="F26" s="425">
        <v>3884</v>
      </c>
      <c r="G26" s="417">
        <f t="shared" si="23"/>
        <v>101760.8</v>
      </c>
      <c r="H26" s="426" t="s">
        <v>35</v>
      </c>
      <c r="I26" s="422">
        <v>20</v>
      </c>
      <c r="J26" s="303">
        <v>2400</v>
      </c>
      <c r="K26" s="304">
        <f t="shared" si="1"/>
        <v>120</v>
      </c>
      <c r="L26" s="422">
        <v>20</v>
      </c>
      <c r="M26" s="305">
        <f t="shared" si="24"/>
        <v>2284.7058823529419</v>
      </c>
      <c r="N26" s="304">
        <f t="shared" si="3"/>
        <v>114.2352941176471</v>
      </c>
      <c r="O26" s="306">
        <f t="shared" si="4"/>
        <v>0</v>
      </c>
      <c r="P26" s="307">
        <f t="shared" si="5"/>
        <v>-5.7647058823528994</v>
      </c>
      <c r="Q26" s="418">
        <f t="shared" si="6"/>
        <v>0.95196078431372588</v>
      </c>
      <c r="R26" s="571"/>
      <c r="S26" s="308">
        <v>0.3354166666666667</v>
      </c>
      <c r="T26" s="308">
        <v>0.40625</v>
      </c>
      <c r="U26" s="417">
        <f t="shared" si="26"/>
        <v>6.9999999999999751</v>
      </c>
      <c r="V26" s="423">
        <f t="shared" si="25"/>
        <v>101.99999999999996</v>
      </c>
      <c r="W26" s="310"/>
      <c r="X26" s="310"/>
      <c r="Y26" s="570"/>
      <c r="Z26" s="570"/>
      <c r="AA26" s="306">
        <f t="shared" si="8"/>
        <v>-115.2941176470581</v>
      </c>
      <c r="AB26" s="418">
        <f t="shared" si="9"/>
        <v>0.95196078431372577</v>
      </c>
      <c r="AC26" s="571"/>
    </row>
    <row r="27" spans="1:29" ht="15.75" customHeight="1">
      <c r="A27" s="591" t="s">
        <v>1874</v>
      </c>
      <c r="B27" s="300" t="s">
        <v>46</v>
      </c>
      <c r="C27" s="590" t="s">
        <v>62</v>
      </c>
      <c r="D27" s="590"/>
      <c r="E27" s="300">
        <v>25</v>
      </c>
      <c r="F27" s="425">
        <v>3473</v>
      </c>
      <c r="G27" s="417">
        <f t="shared" si="23"/>
        <v>86825</v>
      </c>
      <c r="H27" s="426" t="s">
        <v>35</v>
      </c>
      <c r="I27" s="422">
        <v>15</v>
      </c>
      <c r="J27" s="303">
        <v>2400</v>
      </c>
      <c r="K27" s="304">
        <f t="shared" si="1"/>
        <v>160</v>
      </c>
      <c r="L27" s="422">
        <v>15</v>
      </c>
      <c r="M27" s="305">
        <f t="shared" si="24"/>
        <v>2289.8901098901101</v>
      </c>
      <c r="N27" s="304">
        <f t="shared" si="3"/>
        <v>152.65934065934067</v>
      </c>
      <c r="O27" s="306">
        <f t="shared" si="4"/>
        <v>0</v>
      </c>
      <c r="P27" s="307">
        <f t="shared" si="5"/>
        <v>-7.3406593406593288</v>
      </c>
      <c r="Q27" s="418">
        <f t="shared" si="6"/>
        <v>0.95412087912087917</v>
      </c>
      <c r="R27" s="571"/>
      <c r="S27" s="308">
        <v>0.41041666666666665</v>
      </c>
      <c r="T27" s="308">
        <v>0.47361111111111109</v>
      </c>
      <c r="U27" s="417">
        <f t="shared" si="26"/>
        <v>5.9999999999999787</v>
      </c>
      <c r="V27" s="423">
        <f t="shared" si="25"/>
        <v>91</v>
      </c>
      <c r="W27" s="310">
        <f>T27</f>
        <v>0.47361111111111109</v>
      </c>
      <c r="X27" s="310">
        <f>S28</f>
        <v>0.51249999999999996</v>
      </c>
      <c r="Y27" s="570"/>
      <c r="Z27" s="570"/>
      <c r="AA27" s="306">
        <f t="shared" si="8"/>
        <v>-110.10989010988988</v>
      </c>
      <c r="AB27" s="418">
        <f t="shared" si="9"/>
        <v>0.95412087912087917</v>
      </c>
      <c r="AC27" s="571"/>
    </row>
    <row r="28" spans="1:29" ht="15.75" customHeight="1">
      <c r="A28" s="591" t="s">
        <v>1874</v>
      </c>
      <c r="B28" s="300" t="s">
        <v>46</v>
      </c>
      <c r="C28" s="590" t="s">
        <v>61</v>
      </c>
      <c r="D28" s="590"/>
      <c r="E28" s="300">
        <v>31.29</v>
      </c>
      <c r="F28" s="425">
        <v>2938</v>
      </c>
      <c r="G28" s="417">
        <f t="shared" si="23"/>
        <v>91930.02</v>
      </c>
      <c r="H28" s="426" t="s">
        <v>35</v>
      </c>
      <c r="I28" s="422">
        <v>18</v>
      </c>
      <c r="J28" s="303">
        <v>2400</v>
      </c>
      <c r="K28" s="304">
        <f t="shared" si="1"/>
        <v>133.33333333333334</v>
      </c>
      <c r="L28" s="422">
        <v>18</v>
      </c>
      <c r="M28" s="305">
        <f t="shared" si="24"/>
        <v>2289.3506493506484</v>
      </c>
      <c r="N28" s="304">
        <f t="shared" si="3"/>
        <v>127.18614718614714</v>
      </c>
      <c r="O28" s="306">
        <f t="shared" si="4"/>
        <v>0</v>
      </c>
      <c r="P28" s="307">
        <f t="shared" si="5"/>
        <v>-6.1471861471862042</v>
      </c>
      <c r="Q28" s="418">
        <f t="shared" si="6"/>
        <v>0.95389610389610346</v>
      </c>
      <c r="R28" s="571"/>
      <c r="S28" s="308">
        <v>0.51249999999999996</v>
      </c>
      <c r="T28" s="308">
        <v>0.56597222222222221</v>
      </c>
      <c r="U28" s="417">
        <f t="shared" si="26"/>
        <v>55.999999999999957</v>
      </c>
      <c r="V28" s="423">
        <f t="shared" si="25"/>
        <v>77.000000000000043</v>
      </c>
      <c r="W28" s="310"/>
      <c r="X28" s="310"/>
      <c r="Y28" s="570"/>
      <c r="Z28" s="570"/>
      <c r="AA28" s="306">
        <f t="shared" si="8"/>
        <v>-110.64935064935162</v>
      </c>
      <c r="AB28" s="418">
        <f t="shared" si="9"/>
        <v>0.95389610389610346</v>
      </c>
      <c r="AC28" s="571"/>
    </row>
    <row r="29" spans="1:29" ht="15.75" customHeight="1">
      <c r="A29" s="591" t="s">
        <v>28</v>
      </c>
      <c r="B29" s="300" t="s">
        <v>1870</v>
      </c>
      <c r="C29" s="572"/>
      <c r="D29" s="572"/>
      <c r="E29" s="419"/>
      <c r="F29" s="425"/>
      <c r="G29" s="417"/>
      <c r="H29" s="425"/>
      <c r="I29" s="314">
        <v>18.166666666666668</v>
      </c>
      <c r="J29" s="303">
        <v>2400</v>
      </c>
      <c r="K29" s="304">
        <f t="shared" si="1"/>
        <v>132.11009174311926</v>
      </c>
      <c r="L29" s="314">
        <v>18.166666666666668</v>
      </c>
      <c r="M29" s="305">
        <f>AVERAGE(M23:M28)</f>
        <v>2289.0676708912001</v>
      </c>
      <c r="N29" s="304">
        <f t="shared" si="3"/>
        <v>126.00372500318532</v>
      </c>
      <c r="O29" s="306">
        <f t="shared" si="4"/>
        <v>0</v>
      </c>
      <c r="P29" s="307">
        <f t="shared" si="5"/>
        <v>-6.1063667399339323</v>
      </c>
      <c r="Q29" s="418">
        <f t="shared" si="6"/>
        <v>0.95377819620466675</v>
      </c>
      <c r="R29" s="571"/>
      <c r="S29" s="308"/>
      <c r="T29" s="308"/>
      <c r="U29" s="417"/>
      <c r="V29" s="423"/>
      <c r="W29" s="417"/>
      <c r="X29" s="417"/>
      <c r="Y29" s="570"/>
      <c r="Z29" s="570"/>
      <c r="AA29" s="306">
        <f t="shared" si="8"/>
        <v>-110.93232910879988</v>
      </c>
      <c r="AB29" s="418">
        <f t="shared" si="9"/>
        <v>0.95377819620466675</v>
      </c>
      <c r="AC29" s="571"/>
    </row>
    <row r="30" spans="1:29" ht="15.75" customHeight="1">
      <c r="A30" s="588" t="s">
        <v>181</v>
      </c>
      <c r="B30" s="300" t="s">
        <v>46</v>
      </c>
      <c r="C30" s="565" t="s">
        <v>63</v>
      </c>
      <c r="D30" s="565"/>
      <c r="E30" s="300">
        <v>26.2</v>
      </c>
      <c r="F30" s="425">
        <v>5258</v>
      </c>
      <c r="G30" s="417">
        <f t="shared" ref="G30:G35" si="27">E30*F30</f>
        <v>137759.6</v>
      </c>
      <c r="H30" s="426" t="s">
        <v>35</v>
      </c>
      <c r="I30" s="422">
        <v>18</v>
      </c>
      <c r="J30" s="303">
        <v>2400</v>
      </c>
      <c r="K30" s="304">
        <f t="shared" si="1"/>
        <v>133.33333333333334</v>
      </c>
      <c r="L30" s="422">
        <v>18</v>
      </c>
      <c r="M30" s="305">
        <f t="shared" ref="M30:M35" si="28">F30/V30*60</f>
        <v>2286.086956521739</v>
      </c>
      <c r="N30" s="304">
        <f t="shared" si="3"/>
        <v>127.00483091787439</v>
      </c>
      <c r="O30" s="306">
        <f t="shared" si="4"/>
        <v>0</v>
      </c>
      <c r="P30" s="307">
        <f t="shared" si="5"/>
        <v>-6.3285024154589564</v>
      </c>
      <c r="Q30" s="418">
        <f t="shared" si="6"/>
        <v>0.95253623188405778</v>
      </c>
      <c r="R30" s="571">
        <f>Q36</f>
        <v>0.95856662377766577</v>
      </c>
      <c r="S30" s="308">
        <v>0.125</v>
      </c>
      <c r="T30" s="308">
        <v>0.22083333333333333</v>
      </c>
      <c r="U30" s="417"/>
      <c r="V30" s="423">
        <f t="shared" ref="V30:V35" si="29">(T30-S30)*24*60</f>
        <v>138</v>
      </c>
      <c r="W30" s="315">
        <f>T30</f>
        <v>0.22083333333333333</v>
      </c>
      <c r="X30" s="315">
        <f>S31</f>
        <v>0.23958333333333334</v>
      </c>
      <c r="Y30" s="570"/>
      <c r="Z30" s="570"/>
      <c r="AA30" s="306">
        <f t="shared" si="8"/>
        <v>-113.91304347826099</v>
      </c>
      <c r="AB30" s="418">
        <f t="shared" si="9"/>
        <v>0.95253623188405789</v>
      </c>
      <c r="AC30" s="571">
        <f>AB36</f>
        <v>0.95856662377766588</v>
      </c>
    </row>
    <row r="31" spans="1:29" ht="15.75" customHeight="1">
      <c r="A31" s="588" t="s">
        <v>1875</v>
      </c>
      <c r="B31" s="300" t="s">
        <v>46</v>
      </c>
      <c r="C31" s="565" t="s">
        <v>64</v>
      </c>
      <c r="D31" s="565"/>
      <c r="E31" s="300">
        <v>26.39</v>
      </c>
      <c r="F31" s="425">
        <v>4844</v>
      </c>
      <c r="G31" s="417">
        <f t="shared" si="27"/>
        <v>127833.16</v>
      </c>
      <c r="H31" s="426" t="s">
        <v>35</v>
      </c>
      <c r="I31" s="422">
        <v>19</v>
      </c>
      <c r="J31" s="303">
        <v>2400</v>
      </c>
      <c r="K31" s="304">
        <f t="shared" si="1"/>
        <v>126.31578947368421</v>
      </c>
      <c r="L31" s="422">
        <v>19</v>
      </c>
      <c r="M31" s="305">
        <f t="shared" si="28"/>
        <v>2288.5039370078748</v>
      </c>
      <c r="N31" s="304">
        <f t="shared" si="3"/>
        <v>120.44757563199342</v>
      </c>
      <c r="O31" s="306">
        <f t="shared" si="4"/>
        <v>0</v>
      </c>
      <c r="P31" s="307">
        <f t="shared" si="5"/>
        <v>-5.868213841690789</v>
      </c>
      <c r="Q31" s="418">
        <f t="shared" si="6"/>
        <v>0.95354330708661461</v>
      </c>
      <c r="R31" s="571"/>
      <c r="S31" s="308">
        <v>0.23958333333333334</v>
      </c>
      <c r="T31" s="308">
        <v>0.32777777777777778</v>
      </c>
      <c r="U31" s="417">
        <f t="shared" ref="U31:U35" si="30">(S31-T30)*24*60</f>
        <v>27.000000000000025</v>
      </c>
      <c r="V31" s="423">
        <f t="shared" si="29"/>
        <v>126.99999999999997</v>
      </c>
      <c r="W31" s="417"/>
      <c r="X31" s="417"/>
      <c r="Y31" s="570"/>
      <c r="Z31" s="570"/>
      <c r="AA31" s="306">
        <f t="shared" si="8"/>
        <v>-111.49606299212519</v>
      </c>
      <c r="AB31" s="418">
        <f t="shared" si="9"/>
        <v>0.9535433070866145</v>
      </c>
      <c r="AC31" s="571"/>
    </row>
    <row r="32" spans="1:29">
      <c r="A32" s="589" t="s">
        <v>1875</v>
      </c>
      <c r="B32" s="300" t="s">
        <v>46</v>
      </c>
      <c r="C32" s="565" t="s">
        <v>87</v>
      </c>
      <c r="D32" s="565"/>
      <c r="E32" s="300">
        <v>20.52</v>
      </c>
      <c r="F32" s="425">
        <v>3403</v>
      </c>
      <c r="G32" s="417">
        <f t="shared" si="27"/>
        <v>69829.56</v>
      </c>
      <c r="H32" s="426" t="s">
        <v>35</v>
      </c>
      <c r="I32" s="422">
        <v>18</v>
      </c>
      <c r="J32" s="303">
        <v>2400</v>
      </c>
      <c r="K32" s="304">
        <f t="shared" si="1"/>
        <v>133.33333333333334</v>
      </c>
      <c r="L32" s="422">
        <v>18</v>
      </c>
      <c r="M32" s="305">
        <f t="shared" si="28"/>
        <v>2294.1573033707864</v>
      </c>
      <c r="N32" s="304">
        <f t="shared" si="3"/>
        <v>127.45318352059924</v>
      </c>
      <c r="O32" s="306">
        <f t="shared" si="4"/>
        <v>0</v>
      </c>
      <c r="P32" s="307">
        <f t="shared" si="5"/>
        <v>-5.8801498127341034</v>
      </c>
      <c r="Q32" s="418">
        <f t="shared" si="6"/>
        <v>0.95589887640449422</v>
      </c>
      <c r="R32" s="571"/>
      <c r="S32" s="308">
        <v>0.33333333333333331</v>
      </c>
      <c r="T32" s="308">
        <v>0.39513888888888887</v>
      </c>
      <c r="U32" s="417">
        <f t="shared" si="30"/>
        <v>7.9999999999999716</v>
      </c>
      <c r="V32" s="423">
        <f t="shared" si="29"/>
        <v>89</v>
      </c>
      <c r="W32" s="417"/>
      <c r="X32" s="417"/>
      <c r="Y32" s="570"/>
      <c r="Z32" s="570"/>
      <c r="AA32" s="306">
        <f t="shared" si="8"/>
        <v>-105.84269662921361</v>
      </c>
      <c r="AB32" s="418">
        <f t="shared" si="9"/>
        <v>0.95589887640449434</v>
      </c>
      <c r="AC32" s="571"/>
    </row>
    <row r="33" spans="1:29">
      <c r="A33" s="589" t="s">
        <v>181</v>
      </c>
      <c r="B33" s="300" t="s">
        <v>46</v>
      </c>
      <c r="C33" s="565" t="s">
        <v>48</v>
      </c>
      <c r="D33" s="565"/>
      <c r="E33" s="300">
        <v>22.35</v>
      </c>
      <c r="F33" s="425">
        <v>1480</v>
      </c>
      <c r="G33" s="417">
        <f t="shared" si="27"/>
        <v>33078</v>
      </c>
      <c r="H33" s="426" t="s">
        <v>35</v>
      </c>
      <c r="I33" s="422">
        <v>16</v>
      </c>
      <c r="J33" s="303">
        <v>2400</v>
      </c>
      <c r="K33" s="304">
        <f t="shared" si="1"/>
        <v>150</v>
      </c>
      <c r="L33" s="422">
        <v>16</v>
      </c>
      <c r="M33" s="305">
        <f t="shared" si="28"/>
        <v>2336.8421052631561</v>
      </c>
      <c r="N33" s="304">
        <f t="shared" si="3"/>
        <v>146.05263157894726</v>
      </c>
      <c r="O33" s="306">
        <f t="shared" si="4"/>
        <v>0</v>
      </c>
      <c r="P33" s="307">
        <f t="shared" si="5"/>
        <v>-3.9473684210527438</v>
      </c>
      <c r="Q33" s="418">
        <f t="shared" si="6"/>
        <v>0.97368421052631504</v>
      </c>
      <c r="R33" s="571"/>
      <c r="S33" s="308">
        <v>0.39930555555555552</v>
      </c>
      <c r="T33" s="308">
        <v>0.42569444444444443</v>
      </c>
      <c r="U33" s="417">
        <f t="shared" si="30"/>
        <v>5.9999999999999787</v>
      </c>
      <c r="V33" s="423">
        <f t="shared" si="29"/>
        <v>38.000000000000028</v>
      </c>
      <c r="W33" s="310"/>
      <c r="X33" s="310"/>
      <c r="Y33" s="570"/>
      <c r="Z33" s="570"/>
      <c r="AA33" s="306">
        <f t="shared" si="8"/>
        <v>-63.1578947368439</v>
      </c>
      <c r="AB33" s="418">
        <f t="shared" si="9"/>
        <v>0.97368421052631504</v>
      </c>
      <c r="AC33" s="571"/>
    </row>
    <row r="34" spans="1:29">
      <c r="A34" s="589" t="s">
        <v>181</v>
      </c>
      <c r="B34" s="300" t="s">
        <v>46</v>
      </c>
      <c r="C34" s="565" t="s">
        <v>65</v>
      </c>
      <c r="D34" s="565"/>
      <c r="E34" s="300">
        <v>24.43</v>
      </c>
      <c r="F34" s="425">
        <v>4000</v>
      </c>
      <c r="G34" s="417">
        <f t="shared" si="27"/>
        <v>97720</v>
      </c>
      <c r="H34" s="426">
        <v>2</v>
      </c>
      <c r="I34" s="422">
        <v>15</v>
      </c>
      <c r="J34" s="303">
        <v>2400</v>
      </c>
      <c r="K34" s="304">
        <f t="shared" si="1"/>
        <v>160</v>
      </c>
      <c r="L34" s="422">
        <v>15</v>
      </c>
      <c r="M34" s="305">
        <f t="shared" si="28"/>
        <v>2285.7142857142853</v>
      </c>
      <c r="N34" s="304">
        <f t="shared" si="3"/>
        <v>152.38095238095235</v>
      </c>
      <c r="O34" s="306">
        <f t="shared" si="4"/>
        <v>0</v>
      </c>
      <c r="P34" s="307">
        <f t="shared" si="5"/>
        <v>-7.6190476190476488</v>
      </c>
      <c r="Q34" s="418">
        <f t="shared" si="6"/>
        <v>0.95238095238095222</v>
      </c>
      <c r="R34" s="571"/>
      <c r="S34" s="308">
        <v>0.43055555555555552</v>
      </c>
      <c r="T34" s="308">
        <v>0.50347222222222221</v>
      </c>
      <c r="U34" s="417">
        <f t="shared" si="30"/>
        <v>6.9999999999999751</v>
      </c>
      <c r="V34" s="423">
        <f t="shared" si="29"/>
        <v>105.00000000000003</v>
      </c>
      <c r="W34" s="315">
        <f>T34</f>
        <v>0.50347222222222221</v>
      </c>
      <c r="X34" s="315">
        <f>S35</f>
        <v>0.54374999999999996</v>
      </c>
      <c r="Y34" s="570"/>
      <c r="Z34" s="570"/>
      <c r="AA34" s="306">
        <f t="shared" si="8"/>
        <v>-114.28571428571468</v>
      </c>
      <c r="AB34" s="418">
        <f t="shared" si="9"/>
        <v>0.95238095238095222</v>
      </c>
      <c r="AC34" s="571"/>
    </row>
    <row r="35" spans="1:29">
      <c r="A35" s="589" t="s">
        <v>181</v>
      </c>
      <c r="B35" s="300" t="s">
        <v>46</v>
      </c>
      <c r="C35" s="565" t="s">
        <v>65</v>
      </c>
      <c r="D35" s="565"/>
      <c r="E35" s="300">
        <v>24.43</v>
      </c>
      <c r="F35" s="425">
        <v>2813</v>
      </c>
      <c r="G35" s="417">
        <f t="shared" si="27"/>
        <v>68721.59</v>
      </c>
      <c r="H35" s="426" t="s">
        <v>35</v>
      </c>
      <c r="I35" s="422">
        <v>15</v>
      </c>
      <c r="J35" s="303">
        <v>2400</v>
      </c>
      <c r="K35" s="304">
        <f t="shared" si="1"/>
        <v>160</v>
      </c>
      <c r="L35" s="422">
        <v>15</v>
      </c>
      <c r="M35" s="305">
        <f t="shared" si="28"/>
        <v>2312.0547945205462</v>
      </c>
      <c r="N35" s="304">
        <f t="shared" si="3"/>
        <v>154.13698630136975</v>
      </c>
      <c r="O35" s="306">
        <f t="shared" si="4"/>
        <v>0</v>
      </c>
      <c r="P35" s="307">
        <f t="shared" si="5"/>
        <v>-5.8630136986302546</v>
      </c>
      <c r="Q35" s="418">
        <f t="shared" si="6"/>
        <v>0.96335616438356086</v>
      </c>
      <c r="R35" s="571"/>
      <c r="S35" s="308">
        <v>0.54374999999999996</v>
      </c>
      <c r="T35" s="308">
        <v>0.59444444444444444</v>
      </c>
      <c r="U35" s="417">
        <f t="shared" si="30"/>
        <v>57.999999999999957</v>
      </c>
      <c r="V35" s="423">
        <f t="shared" si="29"/>
        <v>73.000000000000057</v>
      </c>
      <c r="W35" s="310"/>
      <c r="X35" s="310"/>
      <c r="Y35" s="570"/>
      <c r="Z35" s="570"/>
      <c r="AA35" s="306">
        <f t="shared" si="8"/>
        <v>-87.945205479453762</v>
      </c>
      <c r="AB35" s="418">
        <f t="shared" si="9"/>
        <v>0.96335616438356098</v>
      </c>
      <c r="AC35" s="571"/>
    </row>
    <row r="36" spans="1:29">
      <c r="A36" s="589" t="s">
        <v>181</v>
      </c>
      <c r="B36" s="313" t="s">
        <v>1870</v>
      </c>
      <c r="C36" s="572"/>
      <c r="D36" s="572"/>
      <c r="E36" s="419"/>
      <c r="F36" s="313"/>
      <c r="G36" s="304"/>
      <c r="H36" s="425"/>
      <c r="I36" s="314">
        <v>16.833333333333332</v>
      </c>
      <c r="J36" s="303">
        <v>2400</v>
      </c>
      <c r="K36" s="304">
        <f t="shared" si="1"/>
        <v>142.57425742574259</v>
      </c>
      <c r="L36" s="314">
        <v>16.833333333333332</v>
      </c>
      <c r="M36" s="305">
        <f>AVERAGE(M30:M35)</f>
        <v>2300.5598970663982</v>
      </c>
      <c r="N36" s="304">
        <f t="shared" si="3"/>
        <v>136.66692457820187</v>
      </c>
      <c r="O36" s="306">
        <f t="shared" si="4"/>
        <v>0</v>
      </c>
      <c r="P36" s="307">
        <f t="shared" si="5"/>
        <v>-5.9073328475407152</v>
      </c>
      <c r="Q36" s="418">
        <f t="shared" si="6"/>
        <v>0.95856662377766577</v>
      </c>
      <c r="R36" s="571"/>
      <c r="S36" s="308"/>
      <c r="T36" s="308"/>
      <c r="U36" s="304"/>
      <c r="V36" s="423"/>
      <c r="W36" s="304"/>
      <c r="X36" s="304"/>
      <c r="Y36" s="570"/>
      <c r="Z36" s="570"/>
      <c r="AA36" s="306">
        <f t="shared" si="8"/>
        <v>-99.440102933601793</v>
      </c>
      <c r="AB36" s="418">
        <f t="shared" si="9"/>
        <v>0.95856662377766588</v>
      </c>
      <c r="AC36" s="571"/>
    </row>
    <row r="37" spans="1:29" ht="15.75" customHeight="1">
      <c r="A37" s="585" t="s">
        <v>30</v>
      </c>
      <c r="B37" s="300" t="s">
        <v>67</v>
      </c>
      <c r="C37" s="580" t="s">
        <v>68</v>
      </c>
      <c r="D37" s="581"/>
      <c r="E37" s="300">
        <v>21.13</v>
      </c>
      <c r="F37" s="425">
        <v>4381</v>
      </c>
      <c r="G37" s="417">
        <f t="shared" ref="G37:G43" si="31">E37*F37</f>
        <v>92570.53</v>
      </c>
      <c r="H37" s="426" t="s">
        <v>35</v>
      </c>
      <c r="I37" s="422">
        <v>10</v>
      </c>
      <c r="J37" s="303">
        <v>3000</v>
      </c>
      <c r="K37" s="304">
        <f t="shared" si="1"/>
        <v>300</v>
      </c>
      <c r="L37" s="422">
        <v>10</v>
      </c>
      <c r="M37" s="305">
        <f t="shared" ref="M37:M43" si="32">F37/V37*60</f>
        <v>2857.1739130434776</v>
      </c>
      <c r="N37" s="305">
        <f t="shared" si="3"/>
        <v>285.71739130434776</v>
      </c>
      <c r="O37" s="306">
        <f t="shared" si="4"/>
        <v>0</v>
      </c>
      <c r="P37" s="307">
        <f t="shared" si="5"/>
        <v>-14.282608695652243</v>
      </c>
      <c r="Q37" s="418">
        <f t="shared" si="6"/>
        <v>0.95239130434782582</v>
      </c>
      <c r="R37" s="582">
        <f>Q44</f>
        <v>0.95465298036992419</v>
      </c>
      <c r="S37" s="308">
        <v>0.20833333333333334</v>
      </c>
      <c r="T37" s="308">
        <v>0.27222222222222225</v>
      </c>
      <c r="U37" s="315"/>
      <c r="V37" s="423">
        <f t="shared" ref="V37:V43" si="33">(T37-S37)*24*60</f>
        <v>92.000000000000028</v>
      </c>
      <c r="W37" s="310"/>
      <c r="X37" s="310"/>
      <c r="Y37" s="566"/>
      <c r="Z37" s="567"/>
      <c r="AA37" s="306">
        <f t="shared" si="8"/>
        <v>-142.82608695652243</v>
      </c>
      <c r="AB37" s="418">
        <f t="shared" si="9"/>
        <v>0.95239130434782582</v>
      </c>
      <c r="AC37" s="582">
        <f>AB44</f>
        <v>0.95465298036992419</v>
      </c>
    </row>
    <row r="38" spans="1:29" ht="15.75" customHeight="1">
      <c r="A38" s="586" t="s">
        <v>1876</v>
      </c>
      <c r="B38" s="300" t="s">
        <v>67</v>
      </c>
      <c r="C38" s="580" t="s">
        <v>69</v>
      </c>
      <c r="D38" s="581"/>
      <c r="E38" s="300">
        <v>27.17</v>
      </c>
      <c r="F38" s="425">
        <v>3300</v>
      </c>
      <c r="G38" s="417">
        <f t="shared" si="31"/>
        <v>89661</v>
      </c>
      <c r="H38" s="426">
        <v>2</v>
      </c>
      <c r="I38" s="422">
        <v>10</v>
      </c>
      <c r="J38" s="303">
        <v>3000</v>
      </c>
      <c r="K38" s="304">
        <f t="shared" si="1"/>
        <v>300</v>
      </c>
      <c r="L38" s="422">
        <v>10</v>
      </c>
      <c r="M38" s="305">
        <f t="shared" si="32"/>
        <v>2869.5652173913045</v>
      </c>
      <c r="N38" s="305">
        <f t="shared" si="3"/>
        <v>286.95652173913044</v>
      </c>
      <c r="O38" s="306">
        <f t="shared" si="4"/>
        <v>0</v>
      </c>
      <c r="P38" s="307">
        <f t="shared" si="5"/>
        <v>-13.043478260869563</v>
      </c>
      <c r="Q38" s="418">
        <f t="shared" si="6"/>
        <v>0.95652173913043481</v>
      </c>
      <c r="R38" s="583"/>
      <c r="S38" s="308">
        <v>0.27708333333333335</v>
      </c>
      <c r="T38" s="308">
        <v>0.32500000000000001</v>
      </c>
      <c r="U38" s="417">
        <f t="shared" ref="U38:U43" si="34">(S38-T37)*24*60</f>
        <v>6.9999999999999751</v>
      </c>
      <c r="V38" s="423">
        <f t="shared" si="33"/>
        <v>69</v>
      </c>
      <c r="W38" s="310"/>
      <c r="X38" s="310"/>
      <c r="Y38" s="566"/>
      <c r="Z38" s="567"/>
      <c r="AA38" s="306">
        <f t="shared" si="8"/>
        <v>-130.43478260869551</v>
      </c>
      <c r="AB38" s="418">
        <f t="shared" si="9"/>
        <v>0.95652173913043481</v>
      </c>
      <c r="AC38" s="583"/>
    </row>
    <row r="39" spans="1:29" ht="15.75" customHeight="1">
      <c r="A39" s="586" t="s">
        <v>1876</v>
      </c>
      <c r="B39" s="300" t="s">
        <v>67</v>
      </c>
      <c r="C39" s="580" t="s">
        <v>70</v>
      </c>
      <c r="D39" s="581"/>
      <c r="E39" s="300">
        <v>35.119999999999997</v>
      </c>
      <c r="F39" s="425">
        <v>4207</v>
      </c>
      <c r="G39" s="417">
        <f t="shared" si="31"/>
        <v>147749.84</v>
      </c>
      <c r="H39" s="426" t="s">
        <v>35</v>
      </c>
      <c r="I39" s="422">
        <v>10</v>
      </c>
      <c r="J39" s="303">
        <v>3000</v>
      </c>
      <c r="K39" s="304">
        <f t="shared" si="1"/>
        <v>300</v>
      </c>
      <c r="L39" s="422">
        <v>10</v>
      </c>
      <c r="M39" s="305">
        <f t="shared" si="32"/>
        <v>2868.409090909091</v>
      </c>
      <c r="N39" s="305">
        <f t="shared" si="3"/>
        <v>286.84090909090912</v>
      </c>
      <c r="O39" s="306">
        <f t="shared" si="4"/>
        <v>0</v>
      </c>
      <c r="P39" s="307">
        <f t="shared" si="5"/>
        <v>-13.159090909090878</v>
      </c>
      <c r="Q39" s="418">
        <f t="shared" si="6"/>
        <v>0.95613636363636378</v>
      </c>
      <c r="R39" s="583"/>
      <c r="S39" s="308">
        <v>0.3298611111111111</v>
      </c>
      <c r="T39" s="308">
        <v>0.39097222222222222</v>
      </c>
      <c r="U39" s="417">
        <f t="shared" si="34"/>
        <v>6.9999999999999751</v>
      </c>
      <c r="V39" s="423">
        <f t="shared" si="33"/>
        <v>88</v>
      </c>
      <c r="W39" s="310"/>
      <c r="X39" s="310"/>
      <c r="Y39" s="566"/>
      <c r="Z39" s="567"/>
      <c r="AA39" s="306">
        <f t="shared" si="8"/>
        <v>-131.59090909090901</v>
      </c>
      <c r="AB39" s="418">
        <f t="shared" si="9"/>
        <v>0.95613636363636367</v>
      </c>
      <c r="AC39" s="583"/>
    </row>
    <row r="40" spans="1:29" ht="15.75" customHeight="1">
      <c r="A40" s="586" t="s">
        <v>1876</v>
      </c>
      <c r="B40" s="300" t="s">
        <v>67</v>
      </c>
      <c r="C40" s="580" t="s">
        <v>71</v>
      </c>
      <c r="D40" s="581"/>
      <c r="E40" s="300">
        <v>35.869999999999997</v>
      </c>
      <c r="F40" s="425">
        <v>2807</v>
      </c>
      <c r="G40" s="417">
        <f t="shared" si="31"/>
        <v>100687.09</v>
      </c>
      <c r="H40" s="426" t="s">
        <v>35</v>
      </c>
      <c r="I40" s="422">
        <v>10</v>
      </c>
      <c r="J40" s="303">
        <v>3000</v>
      </c>
      <c r="K40" s="304">
        <f t="shared" si="1"/>
        <v>300</v>
      </c>
      <c r="L40" s="422">
        <v>10</v>
      </c>
      <c r="M40" s="305">
        <f t="shared" si="32"/>
        <v>2854.5762711864395</v>
      </c>
      <c r="N40" s="305">
        <f t="shared" si="3"/>
        <v>285.45762711864393</v>
      </c>
      <c r="O40" s="306">
        <f t="shared" si="4"/>
        <v>0</v>
      </c>
      <c r="P40" s="307">
        <f t="shared" si="5"/>
        <v>-14.542372881356073</v>
      </c>
      <c r="Q40" s="418">
        <f t="shared" si="6"/>
        <v>0.9515254237288131</v>
      </c>
      <c r="R40" s="583"/>
      <c r="S40" s="308">
        <v>0.39583333333333331</v>
      </c>
      <c r="T40" s="308">
        <v>0.43680555555555556</v>
      </c>
      <c r="U40" s="417">
        <f t="shared" si="34"/>
        <v>6.9999999999999751</v>
      </c>
      <c r="V40" s="423">
        <f t="shared" si="33"/>
        <v>59.000000000000028</v>
      </c>
      <c r="W40" s="310"/>
      <c r="X40" s="310"/>
      <c r="Y40" s="566"/>
      <c r="Z40" s="567"/>
      <c r="AA40" s="306">
        <f t="shared" si="8"/>
        <v>-145.4237288135605</v>
      </c>
      <c r="AB40" s="418">
        <f t="shared" si="9"/>
        <v>0.95152542372881321</v>
      </c>
      <c r="AC40" s="583"/>
    </row>
    <row r="41" spans="1:29" ht="15.75" customHeight="1">
      <c r="A41" s="586" t="s">
        <v>1876</v>
      </c>
      <c r="B41" s="300" t="s">
        <v>67</v>
      </c>
      <c r="C41" s="580" t="s">
        <v>72</v>
      </c>
      <c r="D41" s="581"/>
      <c r="E41" s="300">
        <v>36.14</v>
      </c>
      <c r="F41" s="425">
        <v>1669</v>
      </c>
      <c r="G41" s="417">
        <f t="shared" si="31"/>
        <v>60317.66</v>
      </c>
      <c r="H41" s="426" t="s">
        <v>35</v>
      </c>
      <c r="I41" s="422">
        <v>8</v>
      </c>
      <c r="J41" s="303">
        <v>3000</v>
      </c>
      <c r="K41" s="304">
        <f t="shared" si="1"/>
        <v>375</v>
      </c>
      <c r="L41" s="422">
        <v>8</v>
      </c>
      <c r="M41" s="305">
        <f t="shared" si="32"/>
        <v>2861.1428571428546</v>
      </c>
      <c r="N41" s="305">
        <f t="shared" si="3"/>
        <v>357.64285714285683</v>
      </c>
      <c r="O41" s="306">
        <f t="shared" si="4"/>
        <v>0</v>
      </c>
      <c r="P41" s="307">
        <f t="shared" si="5"/>
        <v>-17.357142857143174</v>
      </c>
      <c r="Q41" s="418">
        <f t="shared" si="6"/>
        <v>0.95371428571428485</v>
      </c>
      <c r="R41" s="583"/>
      <c r="S41" s="308">
        <v>0.44027777777777777</v>
      </c>
      <c r="T41" s="308">
        <v>0.46458333333333335</v>
      </c>
      <c r="U41" s="417">
        <f t="shared" si="34"/>
        <v>4.9999999999999822</v>
      </c>
      <c r="V41" s="423">
        <f t="shared" si="33"/>
        <v>35.000000000000036</v>
      </c>
      <c r="W41" s="310"/>
      <c r="X41" s="310"/>
      <c r="Y41" s="566"/>
      <c r="Z41" s="567"/>
      <c r="AA41" s="306">
        <f t="shared" si="8"/>
        <v>-138.85714285714539</v>
      </c>
      <c r="AB41" s="418">
        <f t="shared" si="9"/>
        <v>0.95371428571428485</v>
      </c>
      <c r="AC41" s="583"/>
    </row>
    <row r="42" spans="1:29" ht="15.75" customHeight="1">
      <c r="A42" s="586" t="s">
        <v>1876</v>
      </c>
      <c r="B42" s="300" t="s">
        <v>67</v>
      </c>
      <c r="C42" s="580" t="s">
        <v>664</v>
      </c>
      <c r="D42" s="581"/>
      <c r="E42" s="300">
        <v>34.36</v>
      </c>
      <c r="F42" s="425">
        <v>3001</v>
      </c>
      <c r="G42" s="417">
        <f t="shared" si="31"/>
        <v>103114.36</v>
      </c>
      <c r="H42" s="426" t="s">
        <v>35</v>
      </c>
      <c r="I42" s="422">
        <v>10</v>
      </c>
      <c r="J42" s="303">
        <v>3000</v>
      </c>
      <c r="K42" s="304">
        <f t="shared" si="1"/>
        <v>300</v>
      </c>
      <c r="L42" s="422">
        <v>10</v>
      </c>
      <c r="M42" s="305">
        <f t="shared" si="32"/>
        <v>2858.0952380952408</v>
      </c>
      <c r="N42" s="305">
        <f t="shared" si="3"/>
        <v>285.80952380952408</v>
      </c>
      <c r="O42" s="306">
        <f t="shared" si="4"/>
        <v>0</v>
      </c>
      <c r="P42" s="307">
        <f t="shared" si="5"/>
        <v>-14.19047619047592</v>
      </c>
      <c r="Q42" s="418">
        <f t="shared" si="6"/>
        <v>0.9526984126984136</v>
      </c>
      <c r="R42" s="583"/>
      <c r="S42" s="308">
        <v>0.46944444444444444</v>
      </c>
      <c r="T42" s="308">
        <v>0.5131944444444444</v>
      </c>
      <c r="U42" s="417">
        <f t="shared" si="34"/>
        <v>6.9999999999999751</v>
      </c>
      <c r="V42" s="423">
        <f t="shared" si="33"/>
        <v>62.999999999999936</v>
      </c>
      <c r="W42" s="310">
        <f>T42</f>
        <v>0.5131944444444444</v>
      </c>
      <c r="X42" s="310">
        <f>S43</f>
        <v>0.55138888888888882</v>
      </c>
      <c r="Y42" s="566"/>
      <c r="Z42" s="567"/>
      <c r="AA42" s="306">
        <f t="shared" si="8"/>
        <v>-141.9047619047592</v>
      </c>
      <c r="AB42" s="418">
        <f t="shared" si="9"/>
        <v>0.9526984126984136</v>
      </c>
      <c r="AC42" s="583"/>
    </row>
    <row r="43" spans="1:29" ht="15.75" customHeight="1">
      <c r="A43" s="586" t="s">
        <v>1876</v>
      </c>
      <c r="B43" s="300" t="s">
        <v>67</v>
      </c>
      <c r="C43" s="580" t="s">
        <v>69</v>
      </c>
      <c r="D43" s="581"/>
      <c r="E43" s="300">
        <v>27.17</v>
      </c>
      <c r="F43" s="425">
        <v>2303</v>
      </c>
      <c r="G43" s="417">
        <f t="shared" si="31"/>
        <v>62572.51</v>
      </c>
      <c r="H43" s="426" t="s">
        <v>35</v>
      </c>
      <c r="I43" s="422">
        <v>10</v>
      </c>
      <c r="J43" s="303">
        <v>3000</v>
      </c>
      <c r="K43" s="304">
        <f t="shared" si="1"/>
        <v>300</v>
      </c>
      <c r="L43" s="422">
        <v>10</v>
      </c>
      <c r="M43" s="305">
        <f t="shared" si="32"/>
        <v>2878.7500000000009</v>
      </c>
      <c r="N43" s="305">
        <f t="shared" si="3"/>
        <v>287.87500000000011</v>
      </c>
      <c r="O43" s="306">
        <f t="shared" si="4"/>
        <v>0</v>
      </c>
      <c r="P43" s="307">
        <f t="shared" si="5"/>
        <v>-12.124999999999886</v>
      </c>
      <c r="Q43" s="418">
        <f t="shared" si="6"/>
        <v>0.95958333333333368</v>
      </c>
      <c r="R43" s="583"/>
      <c r="S43" s="308">
        <v>0.55138888888888882</v>
      </c>
      <c r="T43" s="308">
        <v>0.58472222222222214</v>
      </c>
      <c r="U43" s="417">
        <f t="shared" si="34"/>
        <v>54.999999999999964</v>
      </c>
      <c r="V43" s="423">
        <f t="shared" si="33"/>
        <v>47.999999999999986</v>
      </c>
      <c r="W43" s="310"/>
      <c r="X43" s="310"/>
      <c r="Y43" s="566"/>
      <c r="Z43" s="567"/>
      <c r="AA43" s="306">
        <f t="shared" si="8"/>
        <v>-121.24999999999909</v>
      </c>
      <c r="AB43" s="418">
        <f t="shared" si="9"/>
        <v>0.95958333333333368</v>
      </c>
      <c r="AC43" s="583"/>
    </row>
    <row r="44" spans="1:29" ht="15.75" customHeight="1">
      <c r="A44" s="587" t="s">
        <v>1876</v>
      </c>
      <c r="B44" s="300" t="s">
        <v>1870</v>
      </c>
      <c r="C44" s="568"/>
      <c r="D44" s="569"/>
      <c r="E44" s="416"/>
      <c r="F44" s="425"/>
      <c r="G44" s="417"/>
      <c r="H44" s="425"/>
      <c r="I44" s="314">
        <v>9.7142857142857135</v>
      </c>
      <c r="J44" s="303">
        <v>3000</v>
      </c>
      <c r="K44" s="304">
        <f t="shared" si="1"/>
        <v>308.82352941176475</v>
      </c>
      <c r="L44" s="314">
        <v>9.7142857142857135</v>
      </c>
      <c r="M44" s="305">
        <f>AVERAGE(M37:M43)</f>
        <v>2863.9589411097727</v>
      </c>
      <c r="N44" s="304">
        <f t="shared" si="3"/>
        <v>294.81930276130015</v>
      </c>
      <c r="O44" s="306">
        <f t="shared" si="4"/>
        <v>0</v>
      </c>
      <c r="P44" s="307">
        <f t="shared" si="5"/>
        <v>-14.004226650464602</v>
      </c>
      <c r="Q44" s="418">
        <f t="shared" si="6"/>
        <v>0.95465298036992419</v>
      </c>
      <c r="R44" s="584"/>
      <c r="S44" s="308"/>
      <c r="T44" s="308"/>
      <c r="U44" s="417"/>
      <c r="V44" s="423"/>
      <c r="W44" s="310"/>
      <c r="X44" s="310"/>
      <c r="Y44" s="566"/>
      <c r="Z44" s="567"/>
      <c r="AA44" s="306">
        <f t="shared" si="8"/>
        <v>-136.0410588902273</v>
      </c>
      <c r="AB44" s="418">
        <f t="shared" si="9"/>
        <v>0.95465298036992419</v>
      </c>
      <c r="AC44" s="584"/>
    </row>
    <row r="45" spans="1:29" ht="15.75" customHeight="1">
      <c r="A45" s="578" t="s">
        <v>1877</v>
      </c>
      <c r="B45" s="300" t="s">
        <v>40</v>
      </c>
      <c r="C45" s="565" t="s">
        <v>73</v>
      </c>
      <c r="D45" s="565"/>
      <c r="E45" s="300">
        <v>46</v>
      </c>
      <c r="F45" s="317">
        <v>2103</v>
      </c>
      <c r="G45" s="417">
        <f t="shared" ref="G45:G48" si="35">E45*F45</f>
        <v>96738</v>
      </c>
      <c r="H45" s="426" t="s">
        <v>35</v>
      </c>
      <c r="I45" s="422">
        <v>17</v>
      </c>
      <c r="J45" s="303">
        <v>2000</v>
      </c>
      <c r="K45" s="304">
        <f t="shared" si="1"/>
        <v>117.64705882352941</v>
      </c>
      <c r="L45" s="422">
        <v>17</v>
      </c>
      <c r="M45" s="305">
        <f t="shared" ref="M45:M48" si="36">F45/V45*60</f>
        <v>1911.8181818181818</v>
      </c>
      <c r="N45" s="305">
        <f t="shared" si="3"/>
        <v>112.45989304812834</v>
      </c>
      <c r="O45" s="306">
        <f t="shared" si="4"/>
        <v>0</v>
      </c>
      <c r="P45" s="307">
        <f t="shared" si="5"/>
        <v>-5.1871657754010698</v>
      </c>
      <c r="Q45" s="418">
        <f t="shared" si="6"/>
        <v>0.95590909090909093</v>
      </c>
      <c r="R45" s="571">
        <f>Q49</f>
        <v>0.9561389713797841</v>
      </c>
      <c r="S45" s="308">
        <v>0.29166666666666669</v>
      </c>
      <c r="T45" s="308">
        <v>0.33750000000000002</v>
      </c>
      <c r="U45" s="315"/>
      <c r="V45" s="423">
        <f t="shared" ref="V45:V48" si="37">(T45-S45)*24*60</f>
        <v>66</v>
      </c>
      <c r="W45" s="315"/>
      <c r="X45" s="315"/>
      <c r="Y45" s="570"/>
      <c r="Z45" s="570"/>
      <c r="AA45" s="306">
        <f t="shared" si="8"/>
        <v>-88.181818181818244</v>
      </c>
      <c r="AB45" s="418">
        <f t="shared" si="9"/>
        <v>0.95590909090909093</v>
      </c>
      <c r="AC45" s="571">
        <f>AB49</f>
        <v>0.9561389713797841</v>
      </c>
    </row>
    <row r="46" spans="1:29" ht="15.75" customHeight="1">
      <c r="A46" s="578" t="s">
        <v>188</v>
      </c>
      <c r="B46" s="300" t="s">
        <v>40</v>
      </c>
      <c r="C46" s="565" t="s">
        <v>74</v>
      </c>
      <c r="D46" s="565"/>
      <c r="E46" s="300">
        <v>46</v>
      </c>
      <c r="F46" s="317">
        <v>2385</v>
      </c>
      <c r="G46" s="417">
        <f t="shared" si="35"/>
        <v>109710</v>
      </c>
      <c r="H46" s="426" t="s">
        <v>35</v>
      </c>
      <c r="I46" s="422">
        <v>17</v>
      </c>
      <c r="J46" s="303">
        <v>2000</v>
      </c>
      <c r="K46" s="304">
        <f t="shared" si="1"/>
        <v>117.64705882352941</v>
      </c>
      <c r="L46" s="422">
        <v>17</v>
      </c>
      <c r="M46" s="305">
        <f t="shared" si="36"/>
        <v>1908.0000000000007</v>
      </c>
      <c r="N46" s="305">
        <f t="shared" si="3"/>
        <v>112.2352941176471</v>
      </c>
      <c r="O46" s="306">
        <f t="shared" si="4"/>
        <v>0</v>
      </c>
      <c r="P46" s="307">
        <f t="shared" si="5"/>
        <v>-5.4117647058823053</v>
      </c>
      <c r="Q46" s="418">
        <f t="shared" si="6"/>
        <v>0.9540000000000004</v>
      </c>
      <c r="R46" s="571"/>
      <c r="S46" s="308">
        <v>0.34166666666666667</v>
      </c>
      <c r="T46" s="308">
        <v>0.39374999999999999</v>
      </c>
      <c r="U46" s="417">
        <f t="shared" ref="U46:U48" si="38">IF(S46=TIME(17,0,0),"",(S46-T45)*24*60)</f>
        <v>5.9999999999999787</v>
      </c>
      <c r="V46" s="423">
        <f t="shared" si="37"/>
        <v>74.999999999999972</v>
      </c>
      <c r="W46" s="310"/>
      <c r="X46" s="310"/>
      <c r="Y46" s="570"/>
      <c r="Z46" s="570"/>
      <c r="AA46" s="306">
        <f t="shared" si="8"/>
        <v>-91.999999999999318</v>
      </c>
      <c r="AB46" s="418">
        <f t="shared" si="9"/>
        <v>0.95400000000000029</v>
      </c>
      <c r="AC46" s="571"/>
    </row>
    <row r="47" spans="1:29" ht="15.75" customHeight="1">
      <c r="A47" s="578" t="s">
        <v>188</v>
      </c>
      <c r="B47" s="300" t="s">
        <v>36</v>
      </c>
      <c r="C47" s="580" t="s">
        <v>76</v>
      </c>
      <c r="D47" s="581"/>
      <c r="E47" s="300">
        <v>55.56</v>
      </c>
      <c r="F47" s="317">
        <v>2519</v>
      </c>
      <c r="G47" s="417">
        <f t="shared" si="35"/>
        <v>139955.64000000001</v>
      </c>
      <c r="H47" s="426" t="s">
        <v>35</v>
      </c>
      <c r="I47" s="422">
        <v>17</v>
      </c>
      <c r="J47" s="303">
        <v>2000</v>
      </c>
      <c r="K47" s="304">
        <f t="shared" si="1"/>
        <v>117.64705882352941</v>
      </c>
      <c r="L47" s="422">
        <v>17</v>
      </c>
      <c r="M47" s="305">
        <f t="shared" si="36"/>
        <v>1913.1645569620243</v>
      </c>
      <c r="N47" s="305">
        <f t="shared" si="3"/>
        <v>112.53909158600143</v>
      </c>
      <c r="O47" s="306">
        <f t="shared" si="4"/>
        <v>0</v>
      </c>
      <c r="P47" s="307">
        <f t="shared" si="5"/>
        <v>-5.1079672375279728</v>
      </c>
      <c r="Q47" s="418">
        <f t="shared" si="6"/>
        <v>0.95658227848101218</v>
      </c>
      <c r="R47" s="571"/>
      <c r="S47" s="308">
        <v>0.70833333333333337</v>
      </c>
      <c r="T47" s="308">
        <v>0.76319444444444451</v>
      </c>
      <c r="U47" s="417" t="str">
        <f t="shared" si="38"/>
        <v/>
      </c>
      <c r="V47" s="423">
        <f t="shared" si="37"/>
        <v>79.000000000000043</v>
      </c>
      <c r="W47" s="310"/>
      <c r="X47" s="310"/>
      <c r="Y47" s="414"/>
      <c r="Z47" s="415"/>
      <c r="AA47" s="306">
        <f t="shared" si="8"/>
        <v>-86.835443037975665</v>
      </c>
      <c r="AB47" s="418">
        <f t="shared" si="9"/>
        <v>0.95658227848101218</v>
      </c>
      <c r="AC47" s="571"/>
    </row>
    <row r="48" spans="1:29" ht="15.75" customHeight="1">
      <c r="A48" s="578" t="s">
        <v>188</v>
      </c>
      <c r="B48" s="300" t="s">
        <v>36</v>
      </c>
      <c r="C48" s="420" t="s">
        <v>77</v>
      </c>
      <c r="D48" s="421"/>
      <c r="E48" s="300">
        <v>55.32</v>
      </c>
      <c r="F48" s="317">
        <v>1980</v>
      </c>
      <c r="G48" s="417">
        <f t="shared" si="35"/>
        <v>109533.6</v>
      </c>
      <c r="H48" s="426" t="s">
        <v>35</v>
      </c>
      <c r="I48" s="422">
        <v>15</v>
      </c>
      <c r="J48" s="303">
        <v>2000</v>
      </c>
      <c r="K48" s="304">
        <f t="shared" si="1"/>
        <v>133.33333333333334</v>
      </c>
      <c r="L48" s="422">
        <v>15</v>
      </c>
      <c r="M48" s="305">
        <f t="shared" si="36"/>
        <v>1916.1290322580662</v>
      </c>
      <c r="N48" s="305">
        <f t="shared" si="3"/>
        <v>127.74193548387107</v>
      </c>
      <c r="O48" s="306">
        <f t="shared" si="4"/>
        <v>0</v>
      </c>
      <c r="P48" s="307">
        <f t="shared" si="5"/>
        <v>-5.5913978494622683</v>
      </c>
      <c r="Q48" s="418">
        <f t="shared" si="6"/>
        <v>0.95806451612903298</v>
      </c>
      <c r="R48" s="571"/>
      <c r="S48" s="308">
        <v>0.76666666666666672</v>
      </c>
      <c r="T48" s="308">
        <v>0.80972222222222223</v>
      </c>
      <c r="U48" s="417">
        <f t="shared" si="38"/>
        <v>4.9999999999999822</v>
      </c>
      <c r="V48" s="423">
        <f t="shared" si="37"/>
        <v>61.999999999999943</v>
      </c>
      <c r="W48" s="310"/>
      <c r="X48" s="310"/>
      <c r="Y48" s="414"/>
      <c r="Z48" s="415"/>
      <c r="AA48" s="306">
        <f t="shared" si="8"/>
        <v>-83.870967741933782</v>
      </c>
      <c r="AB48" s="418">
        <f t="shared" si="9"/>
        <v>0.95806451612903309</v>
      </c>
      <c r="AC48" s="571"/>
    </row>
    <row r="49" spans="1:29">
      <c r="A49" s="579" t="s">
        <v>188</v>
      </c>
      <c r="B49" s="300" t="s">
        <v>22</v>
      </c>
      <c r="C49" s="572"/>
      <c r="D49" s="572"/>
      <c r="E49" s="419"/>
      <c r="F49" s="313"/>
      <c r="G49" s="304"/>
      <c r="H49" s="425"/>
      <c r="I49" s="314">
        <v>16.5</v>
      </c>
      <c r="J49" s="303">
        <v>2000</v>
      </c>
      <c r="K49" s="304">
        <f t="shared" si="1"/>
        <v>121.21212121212122</v>
      </c>
      <c r="L49" s="314">
        <v>16.5</v>
      </c>
      <c r="M49" s="305">
        <f>AVERAGE(M45:M48)</f>
        <v>1912.2779427595683</v>
      </c>
      <c r="N49" s="304">
        <f t="shared" si="3"/>
        <v>115.8956328945193</v>
      </c>
      <c r="O49" s="306">
        <f t="shared" si="4"/>
        <v>0</v>
      </c>
      <c r="P49" s="307">
        <f t="shared" si="5"/>
        <v>-5.3164883176019231</v>
      </c>
      <c r="Q49" s="418">
        <f t="shared" si="6"/>
        <v>0.9561389713797841</v>
      </c>
      <c r="R49" s="571"/>
      <c r="S49" s="322"/>
      <c r="T49" s="308"/>
      <c r="U49" s="304"/>
      <c r="V49" s="423"/>
      <c r="W49" s="304"/>
      <c r="X49" s="304"/>
      <c r="Y49" s="570"/>
      <c r="Z49" s="570"/>
      <c r="AA49" s="306">
        <f t="shared" si="8"/>
        <v>-87.722057240431695</v>
      </c>
      <c r="AB49" s="418">
        <f t="shared" si="9"/>
        <v>0.9561389713797841</v>
      </c>
      <c r="AC49" s="571"/>
    </row>
    <row r="50" spans="1:29" ht="15.75" customHeight="1">
      <c r="A50" s="576" t="s">
        <v>1936</v>
      </c>
      <c r="B50" s="425" t="s">
        <v>40</v>
      </c>
      <c r="C50" s="565" t="s">
        <v>82</v>
      </c>
      <c r="D50" s="565"/>
      <c r="E50" s="300">
        <v>26.97</v>
      </c>
      <c r="F50" s="317">
        <v>2708</v>
      </c>
      <c r="G50" s="417">
        <f t="shared" ref="G50:G53" si="39">E50*F50</f>
        <v>73034.759999999995</v>
      </c>
      <c r="H50" s="426" t="s">
        <v>35</v>
      </c>
      <c r="I50" s="422">
        <v>8</v>
      </c>
      <c r="J50" s="303">
        <v>1500</v>
      </c>
      <c r="K50" s="304">
        <f t="shared" si="1"/>
        <v>187.5</v>
      </c>
      <c r="L50" s="422">
        <v>8</v>
      </c>
      <c r="M50" s="305">
        <f t="shared" ref="M50:M53" si="40">F50/V50*60</f>
        <v>1437.8761061946909</v>
      </c>
      <c r="N50" s="304">
        <f t="shared" si="3"/>
        <v>179.73451327433636</v>
      </c>
      <c r="O50" s="306">
        <f t="shared" si="4"/>
        <v>0</v>
      </c>
      <c r="P50" s="307">
        <f t="shared" si="5"/>
        <v>-7.7654867256636351</v>
      </c>
      <c r="Q50" s="418">
        <f t="shared" si="6"/>
        <v>0.95858407079646057</v>
      </c>
      <c r="R50" s="571">
        <f>Q54</f>
        <v>0.95886958587135618</v>
      </c>
      <c r="S50" s="308">
        <v>0.20833333333333334</v>
      </c>
      <c r="T50" s="308">
        <v>0.28680555555555554</v>
      </c>
      <c r="U50" s="417"/>
      <c r="V50" s="423">
        <f t="shared" ref="V50:V53" si="41">(T50-S50)*24*60</f>
        <v>112.99999999999996</v>
      </c>
      <c r="W50" s="315"/>
      <c r="X50" s="315"/>
      <c r="Y50" s="570"/>
      <c r="Z50" s="570"/>
      <c r="AA50" s="306">
        <f t="shared" si="8"/>
        <v>-62.123893805309081</v>
      </c>
      <c r="AB50" s="418">
        <f t="shared" si="9"/>
        <v>0.95858407079646057</v>
      </c>
      <c r="AC50" s="571">
        <f>AB54</f>
        <v>0.95886958587135629</v>
      </c>
    </row>
    <row r="51" spans="1:29" ht="15.75" customHeight="1">
      <c r="A51" s="576" t="s">
        <v>1878</v>
      </c>
      <c r="B51" s="425" t="s">
        <v>67</v>
      </c>
      <c r="C51" s="565" t="s">
        <v>79</v>
      </c>
      <c r="D51" s="565"/>
      <c r="E51" s="300">
        <v>26.78</v>
      </c>
      <c r="F51" s="317">
        <v>2404</v>
      </c>
      <c r="G51" s="417">
        <f t="shared" si="39"/>
        <v>64379.12</v>
      </c>
      <c r="H51" s="426" t="s">
        <v>35</v>
      </c>
      <c r="I51" s="422">
        <v>10</v>
      </c>
      <c r="J51" s="303">
        <v>3000</v>
      </c>
      <c r="K51" s="304">
        <f t="shared" si="1"/>
        <v>300</v>
      </c>
      <c r="L51" s="422">
        <v>10</v>
      </c>
      <c r="M51" s="305">
        <f t="shared" si="40"/>
        <v>2884.8000000000006</v>
      </c>
      <c r="N51" s="304">
        <f t="shared" si="3"/>
        <v>288.48000000000008</v>
      </c>
      <c r="O51" s="306">
        <f t="shared" si="4"/>
        <v>0</v>
      </c>
      <c r="P51" s="307">
        <f t="shared" si="5"/>
        <v>-11.519999999999925</v>
      </c>
      <c r="Q51" s="418">
        <f t="shared" si="6"/>
        <v>0.96160000000000023</v>
      </c>
      <c r="R51" s="571"/>
      <c r="S51" s="308">
        <v>0.29236111111111107</v>
      </c>
      <c r="T51" s="308">
        <v>0.32708333333333328</v>
      </c>
      <c r="U51" s="417">
        <f t="shared" ref="U51:U53" si="42">(S51-T50)*24*60</f>
        <v>7.9999999999999716</v>
      </c>
      <c r="V51" s="423">
        <f t="shared" si="41"/>
        <v>49.999999999999986</v>
      </c>
      <c r="W51" s="417"/>
      <c r="X51" s="417"/>
      <c r="Y51" s="570"/>
      <c r="Z51" s="570"/>
      <c r="AA51" s="306">
        <f t="shared" si="8"/>
        <v>-115.19999999999936</v>
      </c>
      <c r="AB51" s="418">
        <f t="shared" si="9"/>
        <v>0.96160000000000023</v>
      </c>
      <c r="AC51" s="571"/>
    </row>
    <row r="52" spans="1:29" ht="15.75" customHeight="1">
      <c r="A52" s="576" t="s">
        <v>32</v>
      </c>
      <c r="B52" s="425" t="s">
        <v>67</v>
      </c>
      <c r="C52" s="565" t="s">
        <v>83</v>
      </c>
      <c r="D52" s="565"/>
      <c r="E52" s="300">
        <v>35.369999999999997</v>
      </c>
      <c r="F52" s="317">
        <v>1430</v>
      </c>
      <c r="G52" s="417">
        <f t="shared" si="39"/>
        <v>50579.1</v>
      </c>
      <c r="H52" s="426" t="s">
        <v>35</v>
      </c>
      <c r="I52" s="422">
        <v>10</v>
      </c>
      <c r="J52" s="303">
        <v>3000</v>
      </c>
      <c r="K52" s="304">
        <f t="shared" si="1"/>
        <v>300</v>
      </c>
      <c r="L52" s="422">
        <v>10</v>
      </c>
      <c r="M52" s="305">
        <f t="shared" si="40"/>
        <v>2860.0000000000027</v>
      </c>
      <c r="N52" s="304">
        <f t="shared" si="3"/>
        <v>286.00000000000028</v>
      </c>
      <c r="O52" s="306">
        <f t="shared" si="4"/>
        <v>0</v>
      </c>
      <c r="P52" s="307">
        <f t="shared" si="5"/>
        <v>-13.999999999999716</v>
      </c>
      <c r="Q52" s="418">
        <f t="shared" si="6"/>
        <v>0.95333333333333425</v>
      </c>
      <c r="R52" s="571"/>
      <c r="S52" s="308">
        <v>0.33124999999999993</v>
      </c>
      <c r="T52" s="308">
        <v>0.35208333333333325</v>
      </c>
      <c r="U52" s="417">
        <f t="shared" si="42"/>
        <v>5.9999999999999787</v>
      </c>
      <c r="V52" s="423">
        <f t="shared" si="41"/>
        <v>29.999999999999972</v>
      </c>
      <c r="W52" s="417"/>
      <c r="X52" s="417"/>
      <c r="Y52" s="570"/>
      <c r="Z52" s="570"/>
      <c r="AA52" s="306">
        <f t="shared" si="8"/>
        <v>-139.99999999999727</v>
      </c>
      <c r="AB52" s="418">
        <f t="shared" si="9"/>
        <v>0.95333333333333425</v>
      </c>
      <c r="AC52" s="571"/>
    </row>
    <row r="53" spans="1:29" ht="15.75" customHeight="1">
      <c r="A53" s="576" t="s">
        <v>32</v>
      </c>
      <c r="B53" s="425" t="s">
        <v>67</v>
      </c>
      <c r="C53" s="565" t="s">
        <v>666</v>
      </c>
      <c r="D53" s="565"/>
      <c r="E53" s="300">
        <v>37.880000000000003</v>
      </c>
      <c r="F53" s="317">
        <v>3703</v>
      </c>
      <c r="G53" s="417">
        <f t="shared" si="39"/>
        <v>140269.64000000001</v>
      </c>
      <c r="H53" s="426" t="s">
        <v>35</v>
      </c>
      <c r="I53" s="422">
        <v>11</v>
      </c>
      <c r="J53" s="303">
        <v>3000</v>
      </c>
      <c r="K53" s="304">
        <f t="shared" si="1"/>
        <v>272.72727272727275</v>
      </c>
      <c r="L53" s="422">
        <v>11</v>
      </c>
      <c r="M53" s="305">
        <f t="shared" si="40"/>
        <v>2885.4545454545464</v>
      </c>
      <c r="N53" s="304">
        <f t="shared" si="3"/>
        <v>262.31404958677695</v>
      </c>
      <c r="O53" s="306">
        <f t="shared" si="4"/>
        <v>0</v>
      </c>
      <c r="P53" s="307">
        <f t="shared" si="5"/>
        <v>-10.413223140495802</v>
      </c>
      <c r="Q53" s="418">
        <f t="shared" si="6"/>
        <v>0.96181818181818202</v>
      </c>
      <c r="R53" s="571"/>
      <c r="S53" s="308">
        <v>0.35555555555555546</v>
      </c>
      <c r="T53" s="308">
        <v>0.40902777777777766</v>
      </c>
      <c r="U53" s="417">
        <f t="shared" si="42"/>
        <v>4.9999999999999822</v>
      </c>
      <c r="V53" s="423">
        <f t="shared" si="41"/>
        <v>76.999999999999972</v>
      </c>
      <c r="W53" s="417"/>
      <c r="X53" s="417"/>
      <c r="Y53" s="570"/>
      <c r="Z53" s="570"/>
      <c r="AA53" s="306">
        <f t="shared" si="8"/>
        <v>-114.54545454545359</v>
      </c>
      <c r="AB53" s="418">
        <f t="shared" si="9"/>
        <v>0.96181818181818213</v>
      </c>
      <c r="AC53" s="571"/>
    </row>
    <row r="54" spans="1:29">
      <c r="A54" s="577" t="s">
        <v>1936</v>
      </c>
      <c r="B54" s="300" t="s">
        <v>22</v>
      </c>
      <c r="C54" s="572"/>
      <c r="D54" s="572"/>
      <c r="E54" s="419"/>
      <c r="F54" s="313"/>
      <c r="G54" s="304"/>
      <c r="H54" s="425"/>
      <c r="I54" s="314">
        <v>9.75</v>
      </c>
      <c r="J54" s="303">
        <v>2625</v>
      </c>
      <c r="K54" s="304">
        <f t="shared" si="1"/>
        <v>269.23076923076923</v>
      </c>
      <c r="L54" s="314">
        <v>9.75</v>
      </c>
      <c r="M54" s="305">
        <f>AVERAGE(M50:M53)</f>
        <v>2517.0326629123101</v>
      </c>
      <c r="N54" s="304">
        <f t="shared" si="3"/>
        <v>258.15719619613435</v>
      </c>
      <c r="O54" s="306">
        <f t="shared" si="4"/>
        <v>0</v>
      </c>
      <c r="P54" s="307">
        <f t="shared" si="5"/>
        <v>-11.073573034634876</v>
      </c>
      <c r="Q54" s="418">
        <f t="shared" si="6"/>
        <v>0.95886958587135618</v>
      </c>
      <c r="R54" s="571"/>
      <c r="S54" s="308"/>
      <c r="T54" s="308"/>
      <c r="U54" s="304"/>
      <c r="V54" s="423"/>
      <c r="W54" s="304"/>
      <c r="X54" s="304"/>
      <c r="Y54" s="570"/>
      <c r="Z54" s="570"/>
      <c r="AA54" s="306">
        <f t="shared" si="8"/>
        <v>-107.96733708768988</v>
      </c>
      <c r="AB54" s="418">
        <f t="shared" si="9"/>
        <v>0.95886958587135629</v>
      </c>
      <c r="AC54" s="571"/>
    </row>
    <row r="55" spans="1:29" ht="15.75" customHeight="1">
      <c r="A55" s="573" t="s">
        <v>33</v>
      </c>
      <c r="B55" s="425" t="s">
        <v>46</v>
      </c>
      <c r="C55" s="565" t="s">
        <v>84</v>
      </c>
      <c r="D55" s="565"/>
      <c r="E55" s="300">
        <v>20.2</v>
      </c>
      <c r="F55" s="425">
        <v>1777</v>
      </c>
      <c r="G55" s="417">
        <f t="shared" ref="G55:G62" si="43">E55*F55</f>
        <v>35895.4</v>
      </c>
      <c r="H55" s="426" t="s">
        <v>35</v>
      </c>
      <c r="I55" s="422">
        <v>19</v>
      </c>
      <c r="J55" s="303">
        <v>2400</v>
      </c>
      <c r="K55" s="304">
        <f t="shared" si="1"/>
        <v>126.31578947368421</v>
      </c>
      <c r="L55" s="422">
        <v>19</v>
      </c>
      <c r="M55" s="305">
        <f t="shared" ref="M55:M62" si="44">F55/V55*60</f>
        <v>2317.8260869565215</v>
      </c>
      <c r="N55" s="304">
        <f t="shared" si="3"/>
        <v>121.99084668192218</v>
      </c>
      <c r="O55" s="306">
        <f t="shared" si="4"/>
        <v>0</v>
      </c>
      <c r="P55" s="307">
        <f t="shared" si="5"/>
        <v>-4.3249427917620267</v>
      </c>
      <c r="Q55" s="418">
        <f t="shared" si="6"/>
        <v>0.96576086956521734</v>
      </c>
      <c r="R55" s="571">
        <f>Q63</f>
        <v>0.9619808182601316</v>
      </c>
      <c r="S55" s="308">
        <v>0.125</v>
      </c>
      <c r="T55" s="308">
        <v>0.15694444444444444</v>
      </c>
      <c r="U55" s="315"/>
      <c r="V55" s="423">
        <f t="shared" ref="V55:V62" si="45">(T55-S55)*24*60</f>
        <v>46</v>
      </c>
      <c r="W55" s="310">
        <f>T55</f>
        <v>0.15694444444444444</v>
      </c>
      <c r="X55" s="310">
        <f>S56</f>
        <v>0.17708333333333334</v>
      </c>
      <c r="Y55" s="570"/>
      <c r="Z55" s="570"/>
      <c r="AA55" s="306">
        <f t="shared" si="8"/>
        <v>-82.173913043478478</v>
      </c>
      <c r="AB55" s="418">
        <f t="shared" si="9"/>
        <v>0.96576086956521734</v>
      </c>
      <c r="AC55" s="571">
        <f>AB63</f>
        <v>0.96198081826013171</v>
      </c>
    </row>
    <row r="56" spans="1:29" ht="15.75" customHeight="1">
      <c r="A56" s="574" t="s">
        <v>1879</v>
      </c>
      <c r="B56" s="425" t="s">
        <v>46</v>
      </c>
      <c r="C56" s="565" t="s">
        <v>85</v>
      </c>
      <c r="D56" s="565"/>
      <c r="E56" s="300">
        <v>19.02</v>
      </c>
      <c r="F56" s="425">
        <v>4500</v>
      </c>
      <c r="G56" s="417">
        <f t="shared" si="43"/>
        <v>85590</v>
      </c>
      <c r="H56" s="426">
        <v>2</v>
      </c>
      <c r="I56" s="422">
        <v>15</v>
      </c>
      <c r="J56" s="303">
        <v>2400</v>
      </c>
      <c r="K56" s="304">
        <f t="shared" si="1"/>
        <v>160</v>
      </c>
      <c r="L56" s="422">
        <v>15</v>
      </c>
      <c r="M56" s="305">
        <f t="shared" si="44"/>
        <v>2288.1355932203387</v>
      </c>
      <c r="N56" s="304">
        <f t="shared" si="3"/>
        <v>152.5423728813559</v>
      </c>
      <c r="O56" s="306">
        <f t="shared" si="4"/>
        <v>0</v>
      </c>
      <c r="P56" s="307">
        <f t="shared" si="5"/>
        <v>-7.4576271186440977</v>
      </c>
      <c r="Q56" s="418">
        <f t="shared" si="6"/>
        <v>0.95338983050847437</v>
      </c>
      <c r="R56" s="571"/>
      <c r="S56" s="308">
        <v>0.17708333333333334</v>
      </c>
      <c r="T56" s="308">
        <v>0.2590277777777778</v>
      </c>
      <c r="U56" s="417">
        <f t="shared" ref="U56:U62" si="46">(S56-T55)*24*60</f>
        <v>29.000000000000018</v>
      </c>
      <c r="V56" s="423">
        <f t="shared" si="45"/>
        <v>118.00000000000001</v>
      </c>
      <c r="W56" s="310"/>
      <c r="X56" s="310"/>
      <c r="Y56" s="570"/>
      <c r="Z56" s="570"/>
      <c r="AA56" s="306">
        <f t="shared" si="8"/>
        <v>-111.86440677966129</v>
      </c>
      <c r="AB56" s="418">
        <f t="shared" si="9"/>
        <v>0.95338983050847448</v>
      </c>
      <c r="AC56" s="571"/>
    </row>
    <row r="57" spans="1:29" ht="15.75" customHeight="1">
      <c r="A57" s="574" t="s">
        <v>1880</v>
      </c>
      <c r="B57" s="425" t="s">
        <v>46</v>
      </c>
      <c r="C57" s="565" t="s">
        <v>88</v>
      </c>
      <c r="D57" s="565"/>
      <c r="E57" s="300">
        <v>24.25</v>
      </c>
      <c r="F57" s="425">
        <v>2417</v>
      </c>
      <c r="G57" s="417">
        <f t="shared" si="43"/>
        <v>58612.25</v>
      </c>
      <c r="H57" s="426" t="s">
        <v>35</v>
      </c>
      <c r="I57" s="422">
        <v>17</v>
      </c>
      <c r="J57" s="303">
        <v>2400</v>
      </c>
      <c r="K57" s="304">
        <f t="shared" si="1"/>
        <v>141.1764705882353</v>
      </c>
      <c r="L57" s="422">
        <v>17</v>
      </c>
      <c r="M57" s="305">
        <f t="shared" si="44"/>
        <v>2301.904761904761</v>
      </c>
      <c r="N57" s="304">
        <f t="shared" si="3"/>
        <v>135.40616246498595</v>
      </c>
      <c r="O57" s="306">
        <f t="shared" si="4"/>
        <v>0</v>
      </c>
      <c r="P57" s="307">
        <f t="shared" si="5"/>
        <v>-5.7703081232493503</v>
      </c>
      <c r="Q57" s="418">
        <f t="shared" si="6"/>
        <v>0.95912698412698372</v>
      </c>
      <c r="R57" s="571"/>
      <c r="S57" s="308">
        <v>0.26319444444444445</v>
      </c>
      <c r="T57" s="308">
        <v>0.30694444444444446</v>
      </c>
      <c r="U57" s="417">
        <f t="shared" si="46"/>
        <v>5.9999999999999787</v>
      </c>
      <c r="V57" s="423">
        <f t="shared" si="45"/>
        <v>63.000000000000014</v>
      </c>
      <c r="W57" s="310"/>
      <c r="X57" s="310"/>
      <c r="Y57" s="570"/>
      <c r="Z57" s="570"/>
      <c r="AA57" s="306">
        <f t="shared" si="8"/>
        <v>-98.095238095238983</v>
      </c>
      <c r="AB57" s="418">
        <f t="shared" si="9"/>
        <v>0.95912698412698372</v>
      </c>
      <c r="AC57" s="571"/>
    </row>
    <row r="58" spans="1:29" ht="15.75" customHeight="1">
      <c r="A58" s="574" t="s">
        <v>1880</v>
      </c>
      <c r="B58" s="425" t="s">
        <v>46</v>
      </c>
      <c r="C58" s="565" t="s">
        <v>47</v>
      </c>
      <c r="D58" s="565"/>
      <c r="E58" s="300">
        <v>24.45</v>
      </c>
      <c r="F58" s="425">
        <v>1749</v>
      </c>
      <c r="G58" s="417">
        <f t="shared" si="43"/>
        <v>42763.049999999996</v>
      </c>
      <c r="H58" s="426" t="s">
        <v>35</v>
      </c>
      <c r="I58" s="422">
        <v>20</v>
      </c>
      <c r="J58" s="303">
        <v>2400</v>
      </c>
      <c r="K58" s="304">
        <f t="shared" si="1"/>
        <v>120</v>
      </c>
      <c r="L58" s="422">
        <v>20</v>
      </c>
      <c r="M58" s="305">
        <f t="shared" si="44"/>
        <v>2332</v>
      </c>
      <c r="N58" s="304">
        <f t="shared" si="3"/>
        <v>116.6</v>
      </c>
      <c r="O58" s="306">
        <f t="shared" si="4"/>
        <v>0</v>
      </c>
      <c r="P58" s="307">
        <f t="shared" si="5"/>
        <v>-3.4000000000000057</v>
      </c>
      <c r="Q58" s="418">
        <f t="shared" si="6"/>
        <v>0.97166666666666657</v>
      </c>
      <c r="R58" s="571"/>
      <c r="S58" s="308">
        <v>0.31041666666666667</v>
      </c>
      <c r="T58" s="308">
        <v>0.34166666666666667</v>
      </c>
      <c r="U58" s="417">
        <f t="shared" si="46"/>
        <v>4.9999999999999822</v>
      </c>
      <c r="V58" s="423">
        <f t="shared" si="45"/>
        <v>45</v>
      </c>
      <c r="W58" s="310"/>
      <c r="X58" s="310"/>
      <c r="Y58" s="570"/>
      <c r="Z58" s="570"/>
      <c r="AA58" s="306">
        <f t="shared" si="8"/>
        <v>-68</v>
      </c>
      <c r="AB58" s="418">
        <f t="shared" si="9"/>
        <v>0.97166666666666668</v>
      </c>
      <c r="AC58" s="571"/>
    </row>
    <row r="59" spans="1:29" ht="15.75" customHeight="1">
      <c r="A59" s="574" t="s">
        <v>1880</v>
      </c>
      <c r="B59" s="425" t="s">
        <v>46</v>
      </c>
      <c r="C59" s="565" t="s">
        <v>66</v>
      </c>
      <c r="D59" s="565"/>
      <c r="E59" s="300">
        <v>24.25</v>
      </c>
      <c r="F59" s="425">
        <v>3715</v>
      </c>
      <c r="G59" s="417">
        <f t="shared" si="43"/>
        <v>90088.75</v>
      </c>
      <c r="H59" s="426" t="s">
        <v>35</v>
      </c>
      <c r="I59" s="422">
        <v>14</v>
      </c>
      <c r="J59" s="303">
        <v>2400</v>
      </c>
      <c r="K59" s="304">
        <f t="shared" si="1"/>
        <v>171.42857142857142</v>
      </c>
      <c r="L59" s="422">
        <v>14</v>
      </c>
      <c r="M59" s="305">
        <f t="shared" si="44"/>
        <v>2297.9381443298976</v>
      </c>
      <c r="N59" s="304">
        <f t="shared" si="3"/>
        <v>164.13843888070696</v>
      </c>
      <c r="O59" s="306">
        <f t="shared" si="4"/>
        <v>0</v>
      </c>
      <c r="P59" s="307">
        <f t="shared" si="5"/>
        <v>-7.2901325478644594</v>
      </c>
      <c r="Q59" s="418">
        <f t="shared" si="6"/>
        <v>0.95747422680412397</v>
      </c>
      <c r="R59" s="571"/>
      <c r="S59" s="308">
        <v>0.34583333333333333</v>
      </c>
      <c r="T59" s="308">
        <v>0.41319444444444442</v>
      </c>
      <c r="U59" s="417">
        <f t="shared" si="46"/>
        <v>5.9999999999999787</v>
      </c>
      <c r="V59" s="423">
        <f t="shared" si="45"/>
        <v>96.999999999999972</v>
      </c>
      <c r="W59" s="310"/>
      <c r="X59" s="310"/>
      <c r="Y59" s="570"/>
      <c r="Z59" s="570"/>
      <c r="AA59" s="306">
        <f t="shared" si="8"/>
        <v>-102.06185567010243</v>
      </c>
      <c r="AB59" s="418">
        <f t="shared" si="9"/>
        <v>0.95747422680412397</v>
      </c>
      <c r="AC59" s="571"/>
    </row>
    <row r="60" spans="1:29" ht="15.75" customHeight="1">
      <c r="A60" s="574" t="s">
        <v>1937</v>
      </c>
      <c r="B60" s="425" t="s">
        <v>46</v>
      </c>
      <c r="C60" s="565" t="s">
        <v>58</v>
      </c>
      <c r="D60" s="565"/>
      <c r="E60" s="300">
        <v>25.98</v>
      </c>
      <c r="F60" s="425">
        <v>1057</v>
      </c>
      <c r="G60" s="417">
        <f t="shared" si="43"/>
        <v>27460.86</v>
      </c>
      <c r="H60" s="426" t="s">
        <v>35</v>
      </c>
      <c r="I60" s="422">
        <v>17</v>
      </c>
      <c r="J60" s="303">
        <v>2400</v>
      </c>
      <c r="K60" s="304">
        <f t="shared" si="1"/>
        <v>141.1764705882353</v>
      </c>
      <c r="L60" s="422">
        <v>17</v>
      </c>
      <c r="M60" s="305">
        <f t="shared" si="44"/>
        <v>2348.8888888888901</v>
      </c>
      <c r="N60" s="304">
        <f t="shared" si="3"/>
        <v>138.16993464052294</v>
      </c>
      <c r="O60" s="306">
        <f t="shared" si="4"/>
        <v>0</v>
      </c>
      <c r="P60" s="307">
        <f t="shared" si="5"/>
        <v>-3.006535947712365</v>
      </c>
      <c r="Q60" s="418">
        <f t="shared" si="6"/>
        <v>0.97870370370370408</v>
      </c>
      <c r="R60" s="571"/>
      <c r="S60" s="308">
        <v>0.41736111111111107</v>
      </c>
      <c r="T60" s="308">
        <v>0.43611111111111106</v>
      </c>
      <c r="U60" s="417">
        <f t="shared" si="46"/>
        <v>5.9999999999999787</v>
      </c>
      <c r="V60" s="423">
        <f t="shared" si="45"/>
        <v>26.999999999999986</v>
      </c>
      <c r="W60" s="310"/>
      <c r="X60" s="310"/>
      <c r="Y60" s="570"/>
      <c r="Z60" s="570"/>
      <c r="AA60" s="306">
        <f t="shared" si="8"/>
        <v>-51.111111111109949</v>
      </c>
      <c r="AB60" s="418">
        <f t="shared" si="9"/>
        <v>0.97870370370370419</v>
      </c>
      <c r="AC60" s="571"/>
    </row>
    <row r="61" spans="1:29" ht="15.75" customHeight="1">
      <c r="A61" s="574" t="s">
        <v>33</v>
      </c>
      <c r="B61" s="425" t="s">
        <v>46</v>
      </c>
      <c r="C61" s="565" t="s">
        <v>57</v>
      </c>
      <c r="D61" s="565"/>
      <c r="E61" s="300">
        <v>20.52</v>
      </c>
      <c r="F61" s="425">
        <v>2596</v>
      </c>
      <c r="G61" s="417">
        <f t="shared" si="43"/>
        <v>53269.919999999998</v>
      </c>
      <c r="H61" s="426" t="s">
        <v>35</v>
      </c>
      <c r="I61" s="422">
        <v>18</v>
      </c>
      <c r="J61" s="303">
        <v>2400</v>
      </c>
      <c r="K61" s="304">
        <f t="shared" si="1"/>
        <v>133.33333333333334</v>
      </c>
      <c r="L61" s="422">
        <v>18</v>
      </c>
      <c r="M61" s="305">
        <f t="shared" si="44"/>
        <v>2290.588235294118</v>
      </c>
      <c r="N61" s="304">
        <f t="shared" si="3"/>
        <v>127.25490196078434</v>
      </c>
      <c r="O61" s="306">
        <f t="shared" si="4"/>
        <v>0</v>
      </c>
      <c r="P61" s="307">
        <f t="shared" si="5"/>
        <v>-6.0784313725490051</v>
      </c>
      <c r="Q61" s="418">
        <f t="shared" si="6"/>
        <v>0.95441176470588251</v>
      </c>
      <c r="R61" s="571"/>
      <c r="S61" s="308">
        <v>0.4416666666666666</v>
      </c>
      <c r="T61" s="308">
        <v>0.48888888888888882</v>
      </c>
      <c r="U61" s="417">
        <f t="shared" si="46"/>
        <v>7.9999999999999716</v>
      </c>
      <c r="V61" s="423">
        <f t="shared" si="45"/>
        <v>68</v>
      </c>
      <c r="W61" s="310">
        <f>T61</f>
        <v>0.48888888888888882</v>
      </c>
      <c r="X61" s="310">
        <f>S62</f>
        <v>0.52916666666666656</v>
      </c>
      <c r="Y61" s="566"/>
      <c r="Z61" s="567"/>
      <c r="AA61" s="306">
        <f t="shared" si="8"/>
        <v>-109.41176470588198</v>
      </c>
      <c r="AB61" s="418">
        <f t="shared" si="9"/>
        <v>0.95441176470588251</v>
      </c>
      <c r="AC61" s="571"/>
    </row>
    <row r="62" spans="1:29" ht="15.75" customHeight="1">
      <c r="A62" s="574" t="s">
        <v>1937</v>
      </c>
      <c r="B62" s="425" t="s">
        <v>46</v>
      </c>
      <c r="C62" s="565" t="s">
        <v>85</v>
      </c>
      <c r="D62" s="565"/>
      <c r="E62" s="300">
        <v>19.02</v>
      </c>
      <c r="F62" s="425">
        <v>3057</v>
      </c>
      <c r="G62" s="417">
        <f t="shared" si="43"/>
        <v>58144.14</v>
      </c>
      <c r="H62" s="426" t="s">
        <v>35</v>
      </c>
      <c r="I62" s="422">
        <v>15</v>
      </c>
      <c r="J62" s="303">
        <v>2400</v>
      </c>
      <c r="K62" s="304">
        <f t="shared" si="1"/>
        <v>160</v>
      </c>
      <c r="L62" s="422">
        <v>15</v>
      </c>
      <c r="M62" s="305">
        <f t="shared" si="44"/>
        <v>2292.7499999999991</v>
      </c>
      <c r="N62" s="304">
        <f t="shared" si="3"/>
        <v>152.84999999999994</v>
      </c>
      <c r="O62" s="306">
        <f t="shared" si="4"/>
        <v>0</v>
      </c>
      <c r="P62" s="307">
        <f t="shared" si="5"/>
        <v>-7.1500000000000625</v>
      </c>
      <c r="Q62" s="418">
        <f t="shared" si="6"/>
        <v>0.95531249999999956</v>
      </c>
      <c r="R62" s="571"/>
      <c r="S62" s="308">
        <v>0.52916666666666656</v>
      </c>
      <c r="T62" s="308">
        <v>0.58472222222222214</v>
      </c>
      <c r="U62" s="417">
        <f t="shared" si="46"/>
        <v>57.999999999999957</v>
      </c>
      <c r="V62" s="423">
        <f t="shared" si="45"/>
        <v>80.000000000000028</v>
      </c>
      <c r="W62" s="310"/>
      <c r="X62" s="310"/>
      <c r="Y62" s="566"/>
      <c r="Z62" s="567"/>
      <c r="AA62" s="306">
        <f t="shared" si="8"/>
        <v>-107.25000000000091</v>
      </c>
      <c r="AB62" s="418">
        <f t="shared" si="9"/>
        <v>0.95531249999999968</v>
      </c>
      <c r="AC62" s="571"/>
    </row>
    <row r="63" spans="1:29" ht="16.5" customHeight="1">
      <c r="A63" s="575" t="s">
        <v>1880</v>
      </c>
      <c r="B63" s="300" t="s">
        <v>1935</v>
      </c>
      <c r="C63" s="568"/>
      <c r="D63" s="569"/>
      <c r="E63" s="419"/>
      <c r="F63" s="313"/>
      <c r="G63" s="304"/>
      <c r="H63" s="425"/>
      <c r="I63" s="314">
        <v>16.875</v>
      </c>
      <c r="J63" s="303">
        <v>2400</v>
      </c>
      <c r="K63" s="304">
        <f t="shared" si="1"/>
        <v>142.22222222222223</v>
      </c>
      <c r="L63" s="314">
        <v>16.875</v>
      </c>
      <c r="M63" s="305">
        <f>AVERAGE(M55:M62)</f>
        <v>2308.7539638243161</v>
      </c>
      <c r="N63" s="304">
        <f t="shared" si="3"/>
        <v>136.81504970810761</v>
      </c>
      <c r="O63" s="306">
        <f t="shared" si="4"/>
        <v>0</v>
      </c>
      <c r="P63" s="307">
        <f t="shared" si="5"/>
        <v>-5.4071725141146203</v>
      </c>
      <c r="Q63" s="418">
        <f t="shared" si="6"/>
        <v>0.9619808182601316</v>
      </c>
      <c r="R63" s="571"/>
      <c r="S63" s="308"/>
      <c r="T63" s="308"/>
      <c r="U63" s="304"/>
      <c r="V63" s="423"/>
      <c r="W63" s="304"/>
      <c r="X63" s="304"/>
      <c r="Y63" s="570"/>
      <c r="Z63" s="570"/>
      <c r="AA63" s="306">
        <f t="shared" si="8"/>
        <v>-91.246036175683912</v>
      </c>
      <c r="AB63" s="418">
        <f t="shared" si="9"/>
        <v>0.96198081826013171</v>
      </c>
      <c r="AC63" s="571"/>
    </row>
    <row r="64" spans="1:29">
      <c r="D64" s="323"/>
      <c r="E64" s="323"/>
    </row>
  </sheetData>
  <mergeCells count="176">
    <mergeCell ref="S1:X2"/>
    <mergeCell ref="Y1:Z2"/>
    <mergeCell ref="AA1:AC2"/>
    <mergeCell ref="A3:A4"/>
    <mergeCell ref="B3:B4"/>
    <mergeCell ref="C3:D4"/>
    <mergeCell ref="E3:E4"/>
    <mergeCell ref="F3:F4"/>
    <mergeCell ref="G3:G4"/>
    <mergeCell ref="I1:K2"/>
    <mergeCell ref="L1:N2"/>
    <mergeCell ref="O1:R2"/>
    <mergeCell ref="P3:P4"/>
    <mergeCell ref="Q3:Q4"/>
    <mergeCell ref="R3:R4"/>
    <mergeCell ref="S3:T3"/>
    <mergeCell ref="H3:H4"/>
    <mergeCell ref="I3:I4"/>
    <mergeCell ref="J3:J4"/>
    <mergeCell ref="K3:K4"/>
    <mergeCell ref="L3:L4"/>
    <mergeCell ref="M3:M4"/>
    <mergeCell ref="C8:D8"/>
    <mergeCell ref="Y8:Z8"/>
    <mergeCell ref="A9:A11"/>
    <mergeCell ref="C9:D9"/>
    <mergeCell ref="R9:R11"/>
    <mergeCell ref="Y9:Z9"/>
    <mergeCell ref="AC3:AC4"/>
    <mergeCell ref="A5:A8"/>
    <mergeCell ref="C5:D5"/>
    <mergeCell ref="R5:R8"/>
    <mergeCell ref="Y5:Z5"/>
    <mergeCell ref="AC5:AC8"/>
    <mergeCell ref="C6:D6"/>
    <mergeCell ref="Y6:Z6"/>
    <mergeCell ref="C7:D7"/>
    <mergeCell ref="Y7:Z7"/>
    <mergeCell ref="U3:U4"/>
    <mergeCell ref="V3:V4"/>
    <mergeCell ref="W3:X3"/>
    <mergeCell ref="Y3:Z4"/>
    <mergeCell ref="AA3:AA4"/>
    <mergeCell ref="AB3:AB4"/>
    <mergeCell ref="N3:N4"/>
    <mergeCell ref="O3:O4"/>
    <mergeCell ref="A23:A29"/>
    <mergeCell ref="C23:D23"/>
    <mergeCell ref="R23:R29"/>
    <mergeCell ref="Y23:Z23"/>
    <mergeCell ref="AC9:AC11"/>
    <mergeCell ref="C10:D10"/>
    <mergeCell ref="Y10:Z10"/>
    <mergeCell ref="C11:D11"/>
    <mergeCell ref="Y11:Z11"/>
    <mergeCell ref="A12:A17"/>
    <mergeCell ref="C12:D12"/>
    <mergeCell ref="R12:R17"/>
    <mergeCell ref="Y12:Z12"/>
    <mergeCell ref="AC12:AC17"/>
    <mergeCell ref="C16:D16"/>
    <mergeCell ref="Y16:Z16"/>
    <mergeCell ref="C17:D17"/>
    <mergeCell ref="Y17:Z17"/>
    <mergeCell ref="A18:A22"/>
    <mergeCell ref="C18:D18"/>
    <mergeCell ref="R18:R22"/>
    <mergeCell ref="Y18:Z18"/>
    <mergeCell ref="C13:D13"/>
    <mergeCell ref="Y13:Z13"/>
    <mergeCell ref="C14:D14"/>
    <mergeCell ref="Y14:Z14"/>
    <mergeCell ref="C15:D15"/>
    <mergeCell ref="Y15:Z15"/>
    <mergeCell ref="AC18:AC22"/>
    <mergeCell ref="C19:D19"/>
    <mergeCell ref="Y19:Z19"/>
    <mergeCell ref="C20:D20"/>
    <mergeCell ref="Y20:Z20"/>
    <mergeCell ref="C21:D21"/>
    <mergeCell ref="Y21:Z21"/>
    <mergeCell ref="C22:D22"/>
    <mergeCell ref="Y22:Z22"/>
    <mergeCell ref="A30:A36"/>
    <mergeCell ref="C30:D30"/>
    <mergeCell ref="R30:R36"/>
    <mergeCell ref="Y30:Z30"/>
    <mergeCell ref="AC30:AC36"/>
    <mergeCell ref="C31:D31"/>
    <mergeCell ref="Y31:Z31"/>
    <mergeCell ref="C32:D32"/>
    <mergeCell ref="Y32:Z32"/>
    <mergeCell ref="C33:D33"/>
    <mergeCell ref="AC23:AC29"/>
    <mergeCell ref="C24:D24"/>
    <mergeCell ref="Y24:Z24"/>
    <mergeCell ref="C25:D25"/>
    <mergeCell ref="Y25:Z25"/>
    <mergeCell ref="C26:D26"/>
    <mergeCell ref="Y26:Z26"/>
    <mergeCell ref="C27:D27"/>
    <mergeCell ref="Y27:Z27"/>
    <mergeCell ref="C28:D28"/>
    <mergeCell ref="Y28:Z28"/>
    <mergeCell ref="C29:D29"/>
    <mergeCell ref="Y29:Z29"/>
    <mergeCell ref="AC37:AC44"/>
    <mergeCell ref="C38:D38"/>
    <mergeCell ref="Y38:Z38"/>
    <mergeCell ref="C39:D39"/>
    <mergeCell ref="Y39:Z39"/>
    <mergeCell ref="C40:D40"/>
    <mergeCell ref="Y33:Z33"/>
    <mergeCell ref="C34:D34"/>
    <mergeCell ref="Y34:Z34"/>
    <mergeCell ref="C35:D35"/>
    <mergeCell ref="Y35:Z35"/>
    <mergeCell ref="C36:D36"/>
    <mergeCell ref="Y36:Z36"/>
    <mergeCell ref="C44:D44"/>
    <mergeCell ref="Y44:Z44"/>
    <mergeCell ref="A45:A49"/>
    <mergeCell ref="C45:D45"/>
    <mergeCell ref="R45:R49"/>
    <mergeCell ref="Y45:Z45"/>
    <mergeCell ref="Y40:Z40"/>
    <mergeCell ref="C41:D41"/>
    <mergeCell ref="Y41:Z41"/>
    <mergeCell ref="C42:D42"/>
    <mergeCell ref="Y42:Z42"/>
    <mergeCell ref="C43:D43"/>
    <mergeCell ref="Y43:Z43"/>
    <mergeCell ref="A37:A44"/>
    <mergeCell ref="C37:D37"/>
    <mergeCell ref="R37:R44"/>
    <mergeCell ref="Y37:Z37"/>
    <mergeCell ref="AC50:AC54"/>
    <mergeCell ref="C51:D51"/>
    <mergeCell ref="Y51:Z51"/>
    <mergeCell ref="C52:D52"/>
    <mergeCell ref="Y52:Z52"/>
    <mergeCell ref="C53:D53"/>
    <mergeCell ref="AC45:AC49"/>
    <mergeCell ref="C46:D46"/>
    <mergeCell ref="Y46:Z46"/>
    <mergeCell ref="C47:D47"/>
    <mergeCell ref="C49:D49"/>
    <mergeCell ref="Y49:Z49"/>
    <mergeCell ref="Y53:Z53"/>
    <mergeCell ref="C54:D54"/>
    <mergeCell ref="Y54:Z54"/>
    <mergeCell ref="A55:A63"/>
    <mergeCell ref="C55:D55"/>
    <mergeCell ref="R55:R63"/>
    <mergeCell ref="Y55:Z55"/>
    <mergeCell ref="Y60:Z60"/>
    <mergeCell ref="C61:D61"/>
    <mergeCell ref="Y61:Z61"/>
    <mergeCell ref="A50:A54"/>
    <mergeCell ref="C50:D50"/>
    <mergeCell ref="R50:R54"/>
    <mergeCell ref="Y50:Z50"/>
    <mergeCell ref="C62:D62"/>
    <mergeCell ref="Y62:Z62"/>
    <mergeCell ref="C63:D63"/>
    <mergeCell ref="Y63:Z63"/>
    <mergeCell ref="AC55:AC63"/>
    <mergeCell ref="C56:D56"/>
    <mergeCell ref="Y56:Z56"/>
    <mergeCell ref="C57:D57"/>
    <mergeCell ref="Y57:Z57"/>
    <mergeCell ref="C58:D58"/>
    <mergeCell ref="Y58:Z58"/>
    <mergeCell ref="C59:D59"/>
    <mergeCell ref="Y59:Z59"/>
    <mergeCell ref="C60:D60"/>
  </mergeCells>
  <phoneticPr fontId="3" type="noConversion"/>
  <conditionalFormatting sqref="O53:O60 O63 O5:O9 O11:O13 O44:O50 O17:O42">
    <cfRule type="cellIs" dxfId="1522" priority="52" operator="greaterThan">
      <formula>0</formula>
    </cfRule>
  </conditionalFormatting>
  <conditionalFormatting sqref="P5:P7 P53 AA53 P55:P60 P23:P28 P50 P9 P11:P13 P18:P21 P45:P48 P30:P42 AA5:AA50 AA55:AA63">
    <cfRule type="cellIs" dxfId="1521" priority="56" operator="lessThan">
      <formula>0</formula>
    </cfRule>
  </conditionalFormatting>
  <conditionalFormatting sqref="AB53 Q53:Q60 Q63 Q5:Q9 Q11:Q13 Q44:Q50 Q17:Q42 AB5:AB50 AB55:AB63">
    <cfRule type="cellIs" dxfId="1520" priority="53" operator="greaterThan">
      <formula>1</formula>
    </cfRule>
    <cfRule type="cellIs" dxfId="1519" priority="54" operator="lessThan">
      <formula>0.8</formula>
    </cfRule>
  </conditionalFormatting>
  <conditionalFormatting sqref="AC12:AC13 R12:R13 AC53 R53:R60 R63 AC5:AC9 R5:R9 R17:R42 AC17:AC42 AC44:AC50 R44:R50">
    <cfRule type="cellIs" dxfId="1518" priority="58" operator="lessThan">
      <formula>0.8</formula>
    </cfRule>
  </conditionalFormatting>
  <conditionalFormatting sqref="AC37">
    <cfRule type="cellIs" dxfId="1517" priority="60" operator="lessThan">
      <formula>0.8</formula>
    </cfRule>
  </conditionalFormatting>
  <conditionalFormatting sqref="AC18:AC21">
    <cfRule type="cellIs" dxfId="1516" priority="57" operator="lessThan">
      <formula>0.8</formula>
    </cfRule>
  </conditionalFormatting>
  <conditionalFormatting sqref="AC23">
    <cfRule type="cellIs" dxfId="1515" priority="59" operator="lessThan">
      <formula>0.8</formula>
    </cfRule>
  </conditionalFormatting>
  <conditionalFormatting sqref="AC30:AC35">
    <cfRule type="cellIs" dxfId="1514" priority="55" operator="lessThan">
      <formula>0.8</formula>
    </cfRule>
  </conditionalFormatting>
  <conditionalFormatting sqref="AA54">
    <cfRule type="cellIs" dxfId="1513" priority="51" operator="lessThan">
      <formula>0</formula>
    </cfRule>
  </conditionalFormatting>
  <conditionalFormatting sqref="AB54">
    <cfRule type="cellIs" dxfId="1512" priority="49" operator="greaterThan">
      <formula>1</formula>
    </cfRule>
    <cfRule type="cellIs" dxfId="1511" priority="50" operator="lessThan">
      <formula>0.8</formula>
    </cfRule>
  </conditionalFormatting>
  <conditionalFormatting sqref="O14:O15">
    <cfRule type="cellIs" dxfId="1510" priority="44" operator="greaterThan">
      <formula>0</formula>
    </cfRule>
  </conditionalFormatting>
  <conditionalFormatting sqref="P14:P15">
    <cfRule type="cellIs" dxfId="1509" priority="47" operator="lessThan">
      <formula>0</formula>
    </cfRule>
  </conditionalFormatting>
  <conditionalFormatting sqref="Q14:Q15">
    <cfRule type="cellIs" dxfId="1508" priority="45" operator="greaterThan">
      <formula>1</formula>
    </cfRule>
    <cfRule type="cellIs" dxfId="1507" priority="46" operator="lessThan">
      <formula>0.8</formula>
    </cfRule>
  </conditionalFormatting>
  <conditionalFormatting sqref="R14:R15 AC14:AC15">
    <cfRule type="cellIs" dxfId="1506" priority="48" operator="lessThan">
      <formula>0.8</formula>
    </cfRule>
  </conditionalFormatting>
  <conditionalFormatting sqref="O10">
    <cfRule type="cellIs" dxfId="1505" priority="40" operator="greaterThan">
      <formula>0</formula>
    </cfRule>
  </conditionalFormatting>
  <conditionalFormatting sqref="P10">
    <cfRule type="cellIs" dxfId="1504" priority="43" operator="lessThan">
      <formula>0</formula>
    </cfRule>
  </conditionalFormatting>
  <conditionalFormatting sqref="Q10">
    <cfRule type="cellIs" dxfId="1503" priority="41" operator="greaterThan">
      <formula>1</formula>
    </cfRule>
    <cfRule type="cellIs" dxfId="1502" priority="42" operator="lessThan">
      <formula>0.8</formula>
    </cfRule>
  </conditionalFormatting>
  <conditionalFormatting sqref="O52">
    <cfRule type="cellIs" dxfId="1501" priority="35" operator="greaterThan">
      <formula>0</formula>
    </cfRule>
  </conditionalFormatting>
  <conditionalFormatting sqref="P52 AA52">
    <cfRule type="cellIs" dxfId="1500" priority="38" operator="lessThan">
      <formula>0</formula>
    </cfRule>
  </conditionalFormatting>
  <conditionalFormatting sqref="Q52 AB52">
    <cfRule type="cellIs" dxfId="1499" priority="36" operator="greaterThan">
      <formula>1</formula>
    </cfRule>
    <cfRule type="cellIs" dxfId="1498" priority="37" operator="lessThan">
      <formula>0.8</formula>
    </cfRule>
  </conditionalFormatting>
  <conditionalFormatting sqref="R52 AC52">
    <cfRule type="cellIs" dxfId="1497" priority="39" operator="lessThan">
      <formula>0.8</formula>
    </cfRule>
  </conditionalFormatting>
  <conditionalFormatting sqref="O61">
    <cfRule type="cellIs" dxfId="1496" priority="30" operator="greaterThan">
      <formula>0</formula>
    </cfRule>
  </conditionalFormatting>
  <conditionalFormatting sqref="P61">
    <cfRule type="cellIs" dxfId="1495" priority="33" operator="lessThan">
      <formula>0</formula>
    </cfRule>
  </conditionalFormatting>
  <conditionalFormatting sqref="Q61">
    <cfRule type="cellIs" dxfId="1494" priority="31" operator="greaterThan">
      <formula>1</formula>
    </cfRule>
    <cfRule type="cellIs" dxfId="1493" priority="32" operator="lessThan">
      <formula>0.8</formula>
    </cfRule>
  </conditionalFormatting>
  <conditionalFormatting sqref="R61">
    <cfRule type="cellIs" dxfId="1492" priority="34" operator="lessThan">
      <formula>0.8</formula>
    </cfRule>
  </conditionalFormatting>
  <conditionalFormatting sqref="O16">
    <cfRule type="cellIs" dxfId="1491" priority="25" operator="greaterThan">
      <formula>0</formula>
    </cfRule>
  </conditionalFormatting>
  <conditionalFormatting sqref="P16">
    <cfRule type="cellIs" dxfId="1490" priority="28" operator="lessThan">
      <formula>0</formula>
    </cfRule>
  </conditionalFormatting>
  <conditionalFormatting sqref="Q16">
    <cfRule type="cellIs" dxfId="1489" priority="26" operator="greaterThan">
      <formula>1</formula>
    </cfRule>
    <cfRule type="cellIs" dxfId="1488" priority="27" operator="lessThan">
      <formula>0.8</formula>
    </cfRule>
  </conditionalFormatting>
  <conditionalFormatting sqref="R16 AC16">
    <cfRule type="cellIs" dxfId="1487" priority="29" operator="lessThan">
      <formula>0.8</formula>
    </cfRule>
  </conditionalFormatting>
  <conditionalFormatting sqref="O43">
    <cfRule type="cellIs" dxfId="1486" priority="19" operator="greaterThan">
      <formula>0</formula>
    </cfRule>
  </conditionalFormatting>
  <conditionalFormatting sqref="P43">
    <cfRule type="cellIs" dxfId="1485" priority="23" operator="lessThan">
      <formula>0</formula>
    </cfRule>
  </conditionalFormatting>
  <conditionalFormatting sqref="Q43">
    <cfRule type="cellIs" dxfId="1484" priority="20" operator="greaterThan">
      <formula>1</formula>
    </cfRule>
    <cfRule type="cellIs" dxfId="1483" priority="21" operator="lessThan">
      <formula>0.8</formula>
    </cfRule>
  </conditionalFormatting>
  <conditionalFormatting sqref="R43 AC43">
    <cfRule type="cellIs" dxfId="1482" priority="24" operator="lessThan">
      <formula>0.8</formula>
    </cfRule>
  </conditionalFormatting>
  <conditionalFormatting sqref="AC43">
    <cfRule type="cellIs" dxfId="1481" priority="22" operator="lessThan">
      <formula>0.8</formula>
    </cfRule>
  </conditionalFormatting>
  <conditionalFormatting sqref="O51">
    <cfRule type="cellIs" dxfId="1480" priority="14" operator="greaterThan">
      <formula>0</formula>
    </cfRule>
  </conditionalFormatting>
  <conditionalFormatting sqref="P51 AA51">
    <cfRule type="cellIs" dxfId="1479" priority="17" operator="lessThan">
      <formula>0</formula>
    </cfRule>
  </conditionalFormatting>
  <conditionalFormatting sqref="Q51 AB51">
    <cfRule type="cellIs" dxfId="1478" priority="15" operator="greaterThan">
      <formula>1</formula>
    </cfRule>
    <cfRule type="cellIs" dxfId="1477" priority="16" operator="lessThan">
      <formula>0.8</formula>
    </cfRule>
  </conditionalFormatting>
  <conditionalFormatting sqref="R51 AC51">
    <cfRule type="cellIs" dxfId="1476" priority="18" operator="lessThan">
      <formula>0.8</formula>
    </cfRule>
  </conditionalFormatting>
  <conditionalFormatting sqref="P8">
    <cfRule type="cellIs" dxfId="1475" priority="13" operator="lessThan">
      <formula>0</formula>
    </cfRule>
  </conditionalFormatting>
  <conditionalFormatting sqref="P17">
    <cfRule type="cellIs" dxfId="1474" priority="12" operator="lessThan">
      <formula>0</formula>
    </cfRule>
  </conditionalFormatting>
  <conditionalFormatting sqref="P22">
    <cfRule type="cellIs" dxfId="1473" priority="11" operator="lessThan">
      <formula>0</formula>
    </cfRule>
  </conditionalFormatting>
  <conditionalFormatting sqref="P29">
    <cfRule type="cellIs" dxfId="1472" priority="10" operator="lessThan">
      <formula>0</formula>
    </cfRule>
  </conditionalFormatting>
  <conditionalFormatting sqref="P44">
    <cfRule type="cellIs" dxfId="1471" priority="9" operator="lessThan">
      <formula>0</formula>
    </cfRule>
  </conditionalFormatting>
  <conditionalFormatting sqref="P49">
    <cfRule type="cellIs" dxfId="1470" priority="8" operator="lessThan">
      <formula>0</formula>
    </cfRule>
  </conditionalFormatting>
  <conditionalFormatting sqref="P54">
    <cfRule type="cellIs" dxfId="1469" priority="7" operator="lessThan">
      <formula>0</formula>
    </cfRule>
  </conditionalFormatting>
  <conditionalFormatting sqref="P63">
    <cfRule type="cellIs" dxfId="1468" priority="6" operator="lessThan">
      <formula>0</formula>
    </cfRule>
  </conditionalFormatting>
  <conditionalFormatting sqref="O62">
    <cfRule type="cellIs" dxfId="1467" priority="1" operator="greaterThan">
      <formula>0</formula>
    </cfRule>
  </conditionalFormatting>
  <conditionalFormatting sqref="P62">
    <cfRule type="cellIs" dxfId="1466" priority="4" operator="lessThan">
      <formula>0</formula>
    </cfRule>
  </conditionalFormatting>
  <conditionalFormatting sqref="Q62">
    <cfRule type="cellIs" dxfId="1465" priority="2" operator="greaterThan">
      <formula>1</formula>
    </cfRule>
    <cfRule type="cellIs" dxfId="1464" priority="3" operator="lessThan">
      <formula>0.8</formula>
    </cfRule>
  </conditionalFormatting>
  <conditionalFormatting sqref="R62">
    <cfRule type="cellIs" dxfId="1463" priority="5" operator="lessThan">
      <formula>0.8</formula>
    </cfRule>
  </conditionalFormatting>
  <dataValidations count="1">
    <dataValidation type="list" allowBlank="1" showInputMessage="1" showErrorMessage="1" sqref="Z8 Y5:Z7 Y8:Y53 Z10:Z50 Y54:Z63">
      <formula1>#REF!</formula1>
    </dataValidation>
  </dataValidations>
  <pageMargins left="0" right="0" top="0" bottom="0" header="0" footer="0"/>
  <pageSetup paperSize="9" scale="11" orientation="landscape" horizontalDpi="300" verticalDpi="300" r:id="rId1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工作表14"/>
  <dimension ref="B1:Q28"/>
  <sheetViews>
    <sheetView zoomScale="85" zoomScaleNormal="85" workbookViewId="0">
      <selection activeCell="C3" sqref="C3:D4"/>
    </sheetView>
  </sheetViews>
  <sheetFormatPr defaultColWidth="8.75" defaultRowHeight="15.75"/>
  <cols>
    <col min="1" max="1" width="8.75" style="30"/>
    <col min="2" max="2" width="17.875" style="30" customWidth="1"/>
    <col min="3" max="3" width="9.25" style="37" customWidth="1"/>
    <col min="4" max="13" width="12.625" style="30" customWidth="1"/>
    <col min="14" max="14" width="11" style="30" bestFit="1" customWidth="1"/>
    <col min="15" max="15" width="17.75" style="30" bestFit="1" customWidth="1"/>
    <col min="16" max="16" width="12.25" style="30" bestFit="1" customWidth="1"/>
    <col min="17" max="22" width="9.25" style="30" customWidth="1"/>
    <col min="23" max="23" width="10.75" style="30" customWidth="1"/>
    <col min="24" max="24" width="11" style="30" customWidth="1"/>
    <col min="25" max="16384" width="8.75" style="30"/>
  </cols>
  <sheetData>
    <row r="1" spans="2:17" ht="27.75" customHeight="1">
      <c r="B1" s="552" t="s">
        <v>1776</v>
      </c>
      <c r="C1" s="552"/>
      <c r="D1" s="552"/>
      <c r="E1" s="552"/>
      <c r="F1" s="552"/>
      <c r="G1" s="552"/>
      <c r="H1" s="552"/>
      <c r="I1" s="552"/>
      <c r="J1" s="552"/>
      <c r="K1" s="29"/>
      <c r="L1" s="29"/>
      <c r="M1" s="29"/>
      <c r="N1" s="29"/>
      <c r="O1" s="29"/>
      <c r="P1" s="29"/>
    </row>
    <row r="2" spans="2:17" ht="27.75" customHeight="1">
      <c r="B2" s="553"/>
      <c r="C2" s="553"/>
      <c r="D2" s="553"/>
      <c r="E2" s="553"/>
      <c r="F2" s="553"/>
      <c r="G2" s="553"/>
      <c r="H2" s="553"/>
      <c r="I2" s="553"/>
      <c r="J2" s="553"/>
      <c r="K2" s="31"/>
      <c r="L2" s="31"/>
      <c r="M2" s="31"/>
      <c r="N2" s="29"/>
      <c r="O2" s="29"/>
      <c r="P2" s="29"/>
    </row>
    <row r="3" spans="2:17" ht="46.5" customHeight="1">
      <c r="B3" s="32" t="s">
        <v>1777</v>
      </c>
      <c r="C3" s="554" t="str">
        <f>TEXT('1024 4度C'!A2,"yyyy.mm.ddaaaa")</f>
        <v>2025.10.24星期五</v>
      </c>
      <c r="D3" s="555"/>
      <c r="E3" s="32" t="s">
        <v>1778</v>
      </c>
      <c r="F3" s="556">
        <f>'1024 4度C'!D1</f>
        <v>130486</v>
      </c>
      <c r="G3" s="557"/>
      <c r="H3" s="32" t="s">
        <v>1779</v>
      </c>
      <c r="I3" s="558">
        <f>'1024 4度C'!F1</f>
        <v>4362067.58</v>
      </c>
      <c r="J3" s="559"/>
      <c r="K3" s="33"/>
      <c r="L3" s="34"/>
      <c r="M3" s="35"/>
      <c r="N3" s="35"/>
    </row>
    <row r="4" spans="2:17" ht="28.5" customHeight="1">
      <c r="B4" s="560" t="s">
        <v>1780</v>
      </c>
      <c r="C4" s="542" t="s">
        <v>1781</v>
      </c>
      <c r="D4" s="543"/>
      <c r="E4" s="563" t="s">
        <v>1782</v>
      </c>
      <c r="F4" s="564"/>
      <c r="G4" s="563" t="s">
        <v>1783</v>
      </c>
      <c r="H4" s="564"/>
      <c r="I4" s="563" t="s">
        <v>1784</v>
      </c>
      <c r="J4" s="564"/>
      <c r="L4" s="35"/>
      <c r="M4" s="35"/>
      <c r="N4" s="35"/>
    </row>
    <row r="5" spans="2:17" ht="28.5" customHeight="1">
      <c r="B5" s="561"/>
      <c r="C5" s="542" t="s">
        <v>1785</v>
      </c>
      <c r="D5" s="543"/>
      <c r="E5" s="542" t="s">
        <v>1786</v>
      </c>
      <c r="F5" s="543"/>
      <c r="G5" s="544" t="s">
        <v>1787</v>
      </c>
      <c r="H5" s="545"/>
      <c r="I5" s="546" t="s">
        <v>1788</v>
      </c>
      <c r="J5" s="547"/>
      <c r="K5" s="35"/>
      <c r="L5" s="35"/>
      <c r="M5" s="35"/>
      <c r="N5" s="35"/>
    </row>
    <row r="6" spans="2:17" ht="28.5" customHeight="1">
      <c r="B6" s="561"/>
      <c r="C6" s="542" t="s">
        <v>92</v>
      </c>
      <c r="D6" s="543"/>
      <c r="E6" s="548">
        <f>AVERAGE(D13:M13)</f>
        <v>153.4576205038255</v>
      </c>
      <c r="F6" s="549">
        <f>AVERAGE(D27:O27,D13:J13)</f>
        <v>159.66709052102442</v>
      </c>
      <c r="G6" s="550">
        <f>AVERAGE(D13:J13)</f>
        <v>159.66709052102442</v>
      </c>
      <c r="H6" s="551"/>
      <c r="I6" s="550">
        <f>AVERAGE(K13:M13)</f>
        <v>138.96885713036136</v>
      </c>
      <c r="J6" s="551"/>
      <c r="K6" s="35"/>
      <c r="L6" s="35"/>
      <c r="M6" s="35"/>
      <c r="N6" s="35"/>
    </row>
    <row r="7" spans="2:17" ht="28.5" customHeight="1">
      <c r="B7" s="561"/>
      <c r="C7" s="532" t="s">
        <v>93</v>
      </c>
      <c r="D7" s="533"/>
      <c r="E7" s="534">
        <f>AVERAGE(D14:M14)</f>
        <v>147.08814743506176</v>
      </c>
      <c r="F7" s="535">
        <f>AVERAGE(D28:O28,D14:J14)</f>
        <v>153.04122352663791</v>
      </c>
      <c r="G7" s="536">
        <f>AVERAGE(D14:J14)</f>
        <v>153.04122352663791</v>
      </c>
      <c r="H7" s="537"/>
      <c r="I7" s="536">
        <f>AVERAGE(K14:M14)</f>
        <v>133.19763655471735</v>
      </c>
      <c r="J7" s="537"/>
      <c r="K7" s="35"/>
      <c r="L7" s="35"/>
      <c r="M7" s="35"/>
      <c r="N7" s="35"/>
    </row>
    <row r="8" spans="2:17" ht="28.5" customHeight="1">
      <c r="B8" s="562"/>
      <c r="C8" s="532" t="s">
        <v>94</v>
      </c>
      <c r="D8" s="533"/>
      <c r="E8" s="538">
        <f>AVERAGE(D15:M15)</f>
        <v>0.95801674496587985</v>
      </c>
      <c r="F8" s="539">
        <f>AVERAGE(D15:J15,D29:O29)</f>
        <v>0.95783324389822533</v>
      </c>
      <c r="G8" s="540">
        <f>AVERAGE(D15:J15)</f>
        <v>0.95783324389822533</v>
      </c>
      <c r="H8" s="541"/>
      <c r="I8" s="540">
        <f>AVERAGE(K15:M15)</f>
        <v>0.95844491412374022</v>
      </c>
      <c r="J8" s="541"/>
      <c r="K8" s="36" t="s">
        <v>1789</v>
      </c>
      <c r="L8" s="35"/>
      <c r="M8" s="35"/>
      <c r="N8" s="35"/>
    </row>
    <row r="9" spans="2:17" ht="28.5" customHeight="1" thickBot="1">
      <c r="H9" s="38"/>
      <c r="N9" s="35"/>
      <c r="O9" s="35"/>
      <c r="P9" s="35"/>
      <c r="Q9" s="35"/>
    </row>
    <row r="10" spans="2:17" ht="30" customHeight="1">
      <c r="B10" s="515" t="s">
        <v>1790</v>
      </c>
      <c r="C10" s="516"/>
      <c r="D10" s="517" t="s">
        <v>1791</v>
      </c>
      <c r="E10" s="518"/>
      <c r="F10" s="518"/>
      <c r="G10" s="518"/>
      <c r="H10" s="518"/>
      <c r="I10" s="518"/>
      <c r="J10" s="519"/>
      <c r="K10" s="520" t="s">
        <v>1792</v>
      </c>
      <c r="L10" s="521"/>
      <c r="M10" s="522"/>
      <c r="P10" s="39"/>
      <c r="Q10" s="39"/>
    </row>
    <row r="11" spans="2:17" ht="17.25" customHeight="1">
      <c r="B11" s="523" t="s">
        <v>1793</v>
      </c>
      <c r="C11" s="524"/>
      <c r="D11" s="40">
        <v>1</v>
      </c>
      <c r="E11" s="41">
        <v>2</v>
      </c>
      <c r="F11" s="41">
        <v>3</v>
      </c>
      <c r="G11" s="41">
        <v>4</v>
      </c>
      <c r="H11" s="41">
        <v>5</v>
      </c>
      <c r="I11" s="41">
        <v>6</v>
      </c>
      <c r="J11" s="42">
        <v>7</v>
      </c>
      <c r="K11" s="40">
        <v>1</v>
      </c>
      <c r="L11" s="41">
        <v>2</v>
      </c>
      <c r="M11" s="42">
        <v>3</v>
      </c>
      <c r="P11" s="39"/>
      <c r="Q11" s="39"/>
    </row>
    <row r="12" spans="2:17" ht="34.15" customHeight="1">
      <c r="B12" s="525"/>
      <c r="C12" s="526"/>
      <c r="D12" s="43" t="s">
        <v>96</v>
      </c>
      <c r="E12" s="44" t="s">
        <v>97</v>
      </c>
      <c r="F12" s="44" t="s">
        <v>98</v>
      </c>
      <c r="G12" s="44" t="s">
        <v>99</v>
      </c>
      <c r="H12" s="44" t="s">
        <v>100</v>
      </c>
      <c r="I12" s="44" t="s">
        <v>101</v>
      </c>
      <c r="J12" s="45" t="s">
        <v>102</v>
      </c>
      <c r="K12" s="43" t="s">
        <v>103</v>
      </c>
      <c r="L12" s="44" t="s">
        <v>104</v>
      </c>
      <c r="M12" s="45" t="s">
        <v>105</v>
      </c>
    </row>
    <row r="13" spans="2:17" ht="40.15" customHeight="1">
      <c r="B13" s="527" t="s">
        <v>1794</v>
      </c>
      <c r="C13" s="46" t="s">
        <v>1795</v>
      </c>
      <c r="D13" s="47">
        <f>SUMIFS('1024 4度C'!$K:$K,'1024 4度C'!$A:$A,"新豐6線",'1024 4度C'!$B:$B,"平均")</f>
        <v>125</v>
      </c>
      <c r="E13" s="48">
        <f>SUMIFS('1024 4度C'!$K:$K,'1024 4度C'!$A:$A,"新豐2線",'1024 4度C'!$B:$B,"平均")</f>
        <v>81.081081081081081</v>
      </c>
      <c r="F13" s="49">
        <f>SUMIFS('1024 4度C'!$K:$K,'1024 4度C'!$A:$A,"新豐5線",'1024 4度C'!$B:$B,"平均")</f>
        <v>91.397849462365585</v>
      </c>
      <c r="G13" s="49">
        <f>SUMIFS('1024 4度C'!$K:$K,'1024 4度C'!$A:$A,"新豐7線",'1024 4度C'!$B:$B,"平均")</f>
        <v>119.40298507462687</v>
      </c>
      <c r="H13" s="49">
        <f>SUMIFS('1024 4度C'!$K:$K,'1024 4度C'!$A:$A,"新豐3線",'1024 4度C'!$B:$B,"平均")</f>
        <v>310.34482758620692</v>
      </c>
      <c r="I13" s="49">
        <f>SUMIFS('1024 4度C'!$K:$K,'1024 4度C'!$A:$A,"新豐1線",'1024 4度C'!$B:$B,"平均")</f>
        <v>121.21212121212122</v>
      </c>
      <c r="J13" s="50">
        <f>SUMIFS('1024 4度C'!$K:$K,'1024 4度C'!$A:$A,"新豐10線",'1024 4度C'!$B:$B,"平均")</f>
        <v>269.23076923076923</v>
      </c>
      <c r="K13" s="51">
        <f>SUMIFS('1024 4度C'!$K:$K,'1024 4度C'!$A:$A,"新豐8線",'1024 4度C'!$B:$B,"平均")</f>
        <v>132.11009174311926</v>
      </c>
      <c r="L13" s="52">
        <f>SUMIFS('1024 4度C'!$K:$K,'1024 4度C'!$A:$A,"新豐9線",'1024 4度C'!$B:$B,"平均")</f>
        <v>142.57425742574259</v>
      </c>
      <c r="M13" s="50">
        <f>SUMIFS('1024 4度C'!$K:$K,'1024 4度C'!$A:$A,"新豐4線",'1024 4度C'!$B:$B,"平均")</f>
        <v>142.22222222222223</v>
      </c>
    </row>
    <row r="14" spans="2:17" ht="39.6" customHeight="1">
      <c r="B14" s="528"/>
      <c r="C14" s="53" t="s">
        <v>1796</v>
      </c>
      <c r="D14" s="54">
        <f>SUMIFS('1024 4度C'!$N:$N,'1024 4度C'!$A:$A,"新豐6線",'1024 4度C'!$B:$B,"平均")</f>
        <v>120.17412655570548</v>
      </c>
      <c r="E14" s="55">
        <f>SUMIFS('1024 4度C'!$N:$N,'1024 4度C'!$A:$A,"新豐2線",'1024 4度C'!$B:$B,"平均")</f>
        <v>77.363393306715267</v>
      </c>
      <c r="F14" s="55">
        <f>SUMIFS('1024 4度C'!$N:$N,'1024 4度C'!$A:$A,"新豐5線",'1024 4度C'!$B:$B,"平均")</f>
        <v>87.311301925898121</v>
      </c>
      <c r="G14" s="55">
        <f>SUMIFS('1024 4度C'!$N:$N,'1024 4度C'!$A:$A,"新豐7線",'1024 4度C'!$B:$B,"平均")</f>
        <v>114.54070727737678</v>
      </c>
      <c r="H14" s="55">
        <f>SUMIFS('1024 4度C'!$N:$N,'1024 4度C'!$A:$A,"新豐3線",'1024 4度C'!$B:$B,"平均")</f>
        <v>297.71442296950255</v>
      </c>
      <c r="I14" s="55">
        <f>SUMIFS('1024 4度C'!$N:$N,'1024 4度C'!$A:$A,"新豐1線",'1024 4度C'!$B:$B,"平均")</f>
        <v>115.87894821929929</v>
      </c>
      <c r="J14" s="56">
        <f>SUMIFS('1024 4度C'!$N:$N,'1024 4度C'!$A:$A,"新豐10線",'1024 4度C'!$B:$B,"平均")</f>
        <v>258.30566443196784</v>
      </c>
      <c r="K14" s="57">
        <f>SUMIFS('1024 4度C'!$N:$N,'1024 4度C'!$A:$A,"新豐8線",'1024 4度C'!$B:$B,"平均")</f>
        <v>126.47941737161921</v>
      </c>
      <c r="L14" s="58">
        <f>SUMIFS('1024 4度C'!$N:$N,'1024 4度C'!$A:$A,"新豐9線",'1024 4度C'!$B:$B,"平均")</f>
        <v>136.70919191946825</v>
      </c>
      <c r="M14" s="56">
        <f>SUMIFS('1024 4度C'!$N:$N,'1024 4度C'!$A:$A,"新豐4線",'1024 4度C'!$B:$B,"平均")</f>
        <v>136.40430037306459</v>
      </c>
    </row>
    <row r="15" spans="2:17" ht="40.15" customHeight="1">
      <c r="B15" s="529"/>
      <c r="C15" s="59" t="s">
        <v>1797</v>
      </c>
      <c r="D15" s="60">
        <f t="shared" ref="D15:M15" si="0">D14/D13</f>
        <v>0.9613930124456439</v>
      </c>
      <c r="E15" s="61">
        <f t="shared" si="0"/>
        <v>0.95414851744948825</v>
      </c>
      <c r="F15" s="61">
        <f t="shared" si="0"/>
        <v>0.95528836224806191</v>
      </c>
      <c r="G15" s="61">
        <f t="shared" si="0"/>
        <v>0.95927842344803049</v>
      </c>
      <c r="H15" s="61">
        <f t="shared" si="0"/>
        <v>0.95930202956839705</v>
      </c>
      <c r="I15" s="61">
        <f t="shared" si="0"/>
        <v>0.95600132280921912</v>
      </c>
      <c r="J15" s="62">
        <f t="shared" si="0"/>
        <v>0.95942103931873768</v>
      </c>
      <c r="K15" s="60">
        <f t="shared" si="0"/>
        <v>0.95737892316017326</v>
      </c>
      <c r="L15" s="61">
        <f t="shared" si="0"/>
        <v>0.95886308221293692</v>
      </c>
      <c r="M15" s="62">
        <f t="shared" si="0"/>
        <v>0.95909273699811037</v>
      </c>
    </row>
    <row r="16" spans="2:17" ht="17.25" customHeight="1">
      <c r="B16" s="530" t="s">
        <v>1798</v>
      </c>
      <c r="C16" s="63" t="s">
        <v>1799</v>
      </c>
      <c r="D16" s="284">
        <f>VLOOKUP("新豐6線",'1024 4度C'!$A:$T,19,0)</f>
        <v>0.70833333333333337</v>
      </c>
      <c r="E16" s="285">
        <f>VLOOKUP("新豐2線",'1024 4度C'!$A:$T,19,0)</f>
        <v>0.20833333333333334</v>
      </c>
      <c r="F16" s="285">
        <f>VLOOKUP("新豐5線",'1024 4度C'!$A:$T,19,0)</f>
        <v>0.125</v>
      </c>
      <c r="G16" s="285">
        <f>VLOOKUP("新豐7線",'1024 4度C'!$A:$T,19,0)</f>
        <v>0.20833333333333334</v>
      </c>
      <c r="H16" s="285">
        <f>VLOOKUP("新豐3線",'1024 4度C'!$A:$T,19,0)</f>
        <v>0.20833333333333334</v>
      </c>
      <c r="I16" s="285">
        <f>VLOOKUP("新豐1線",'1024 4度C'!$A:$T,19,0)</f>
        <v>0.29166666666666669</v>
      </c>
      <c r="J16" s="286">
        <f>VLOOKUP("新豐10線",'1024 4度C'!$A:$T,19,0)</f>
        <v>0.20833333333333334</v>
      </c>
      <c r="K16" s="66">
        <f>VLOOKUP("新豐8線",'1024 4度C'!$A:$T,19,0)</f>
        <v>0.125</v>
      </c>
      <c r="L16" s="67">
        <f>VLOOKUP("新豐9線",'1024 4度C'!$A:$T,19,0)</f>
        <v>0.125</v>
      </c>
      <c r="M16" s="68">
        <f>VLOOKUP("新豐4線",'1024 4度C'!$A:$T,19,0)</f>
        <v>0.125</v>
      </c>
    </row>
    <row r="17" spans="2:13" ht="17.25" customHeight="1">
      <c r="B17" s="531"/>
      <c r="C17" s="63" t="s">
        <v>1800</v>
      </c>
      <c r="D17" s="66">
        <f>LOOKUP(2,1/(('1024 4度C'!$A:$A="新豐6線")*('1024 4度C'!$T:$T&lt;&gt;"")),'1024 4度C'!$T:$T)</f>
        <v>0.81874999999999998</v>
      </c>
      <c r="E17" s="285">
        <f>LOOKUP(2,1/(('1024 4度C'!$A:$A="新豐2線")*('1024 4度C'!$T:$T&lt;&gt;"")),'1024 4度C'!$T:$T)</f>
        <v>0.40833333333333333</v>
      </c>
      <c r="F17" s="285">
        <f>LOOKUP(2,1/(('1024 4度C'!$A:$A="新豐5線")*('1024 4度C'!$T:$T&lt;&gt;"")),'1024 4度C'!$T:$T)</f>
        <v>0.84375</v>
      </c>
      <c r="G17" s="285">
        <f>LOOKUP(2,1/(('1024 4度C'!$A:$A="新豐7線")*('1024 4度C'!$T:$T&lt;&gt;"")),'1024 4度C'!$T:$T)</f>
        <v>0.75833333333333341</v>
      </c>
      <c r="H17" s="285">
        <f>LOOKUP(2,1/(('1024 4度C'!$A:$A="新豐3線")*('1024 4度C'!$T:$T&lt;&gt;"")),'1024 4度C'!$T:$T)</f>
        <v>0.53194444444444433</v>
      </c>
      <c r="I17" s="285">
        <f>LOOKUP(2,1/(('1024 4度C'!$A:$A="新豐1線")*('1024 4度C'!$T:$T&lt;&gt;"")),'1024 4度C'!$T:$T)</f>
        <v>0.79652777777777772</v>
      </c>
      <c r="J17" s="286">
        <f>LOOKUP(2,1/(('1024 4度C'!$A:$A="新豐10線")*('1024 4度C'!$T:$T&lt;&gt;"")),'1024 4度C'!$T:$T)</f>
        <v>0.39722222222222214</v>
      </c>
      <c r="K17" s="284">
        <f>LOOKUP(2,1/(('1024 4度C'!$A:$A="新豐8線")*('1024 4度C'!$T:$T&lt;&gt;"")),'1024 4度C'!$T:$T)</f>
        <v>0.54513888888888884</v>
      </c>
      <c r="L17" s="285">
        <f>LOOKUP(2,1/(('1024 4度C'!$A:$A="新豐9線")*('1024 4度C'!$T:$T&lt;&gt;"")),'1024 4度C'!$T:$T)</f>
        <v>0.57638888888888884</v>
      </c>
      <c r="M17" s="286">
        <f>LOOKUP(2,1/(('1024 4度C'!$A:$A="新豐4線")*('1024 4度C'!$T:$T&lt;&gt;"")),'1024 4度C'!$T:$T)</f>
        <v>0.5576388888888888</v>
      </c>
    </row>
    <row r="18" spans="2:13" ht="17.25" customHeight="1">
      <c r="B18" s="509" t="s">
        <v>1801</v>
      </c>
      <c r="C18" s="510"/>
      <c r="D18" s="69">
        <f>SUMIFS('1024 4度C'!$I:$I,'1024 4度C'!$A:$A,"新豐6線",'1024 4度C'!$B:$B,"平均")</f>
        <v>16</v>
      </c>
      <c r="E18" s="70">
        <f>SUMIFS('1024 4度C'!$I:$I,'1024 4度C'!$A:$A,"新豐2線",'1024 4度C'!$B:$B,"平均")</f>
        <v>18.5</v>
      </c>
      <c r="F18" s="70">
        <f>SUMIFS('1024 4度C'!$I:$I,'1024 4度C'!$A:$A,"新豐5線",'1024 4度C'!$B:$B,"平均")</f>
        <v>18.600000000000001</v>
      </c>
      <c r="G18" s="70">
        <f>SUMIFS('1024 4度C'!$I:$I,'1024 4度C'!$A:$A,"新豐7線",'1024 4度C'!$B:$B,"平均")</f>
        <v>16.75</v>
      </c>
      <c r="H18" s="70">
        <f>SUMIFS('1024 4度C'!$I:$I,'1024 4度C'!$A:$A,"新豐3線",'1024 4度C'!$B:$B,"平均")</f>
        <v>9.6666666666666661</v>
      </c>
      <c r="I18" s="70">
        <f>SUMIFS('1024 4度C'!$I:$I,'1024 4度C'!$A:$A,"新豐1線",'1024 4度C'!$B:$B,"平均")</f>
        <v>16.5</v>
      </c>
      <c r="J18" s="71">
        <f>SUMIFS('1024 4度C'!$I:$I,'1024 4度C'!$A:$A,"新豐10線",'1024 4度C'!$B:$B,"平均")</f>
        <v>9.75</v>
      </c>
      <c r="K18" s="69">
        <f>SUMIFS('1024 4度C'!$I:$I,'1024 4度C'!$A:$A,"新豐8線",'1024 4度C'!$B:$B,"平均")</f>
        <v>18.166666666666668</v>
      </c>
      <c r="L18" s="70">
        <f>SUMIFS('1024 4度C'!$I:$I,'1024 4度C'!$A:$A,"新豐9線",'1024 4度C'!$B:$B,"平均")</f>
        <v>16.833333333333332</v>
      </c>
      <c r="M18" s="71">
        <f>SUMIFS('1024 4度C'!$I:$I,'1024 4度C'!$A:$A,"新豐4線",'1024 4度C'!$B:$B,"平均")</f>
        <v>16.875</v>
      </c>
    </row>
    <row r="19" spans="2:13" ht="17.25" customHeight="1">
      <c r="B19" s="509" t="s">
        <v>1802</v>
      </c>
      <c r="C19" s="510"/>
      <c r="D19" s="72" t="s">
        <v>109</v>
      </c>
      <c r="E19" s="73" t="s">
        <v>110</v>
      </c>
      <c r="F19" s="73" t="s">
        <v>1803</v>
      </c>
      <c r="G19" s="73" t="s">
        <v>1803</v>
      </c>
      <c r="H19" s="73" t="s">
        <v>111</v>
      </c>
      <c r="I19" s="73" t="s">
        <v>109</v>
      </c>
      <c r="J19" s="74" t="s">
        <v>111</v>
      </c>
      <c r="K19" s="72" t="s">
        <v>1804</v>
      </c>
      <c r="L19" s="73" t="s">
        <v>136</v>
      </c>
      <c r="M19" s="74" t="s">
        <v>1804</v>
      </c>
    </row>
    <row r="20" spans="2:13" ht="17.25" customHeight="1">
      <c r="B20" s="509" t="s">
        <v>1805</v>
      </c>
      <c r="C20" s="510"/>
      <c r="D20" s="72"/>
      <c r="E20" s="73"/>
      <c r="F20" s="73" t="s">
        <v>1806</v>
      </c>
      <c r="G20" s="73" t="s">
        <v>109</v>
      </c>
      <c r="H20" s="73"/>
      <c r="I20" s="73"/>
      <c r="J20" s="74"/>
      <c r="K20" s="72"/>
      <c r="L20" s="73"/>
      <c r="M20" s="74"/>
    </row>
    <row r="21" spans="2:13" ht="17.25" customHeight="1" thickBot="1">
      <c r="B21" s="511" t="s">
        <v>1807</v>
      </c>
      <c r="C21" s="512"/>
      <c r="D21" s="75"/>
      <c r="E21" s="76" t="s">
        <v>1808</v>
      </c>
      <c r="F21" s="513" t="s">
        <v>1809</v>
      </c>
      <c r="G21" s="514"/>
      <c r="H21" s="76" t="s">
        <v>144</v>
      </c>
      <c r="I21" s="76" t="s">
        <v>1810</v>
      </c>
      <c r="J21" s="77" t="s">
        <v>1811</v>
      </c>
      <c r="K21" s="78"/>
      <c r="L21" s="76"/>
      <c r="M21" s="77"/>
    </row>
    <row r="22" spans="2:13" ht="17.25" customHeight="1"/>
    <row r="23" spans="2:13" ht="17.25" customHeight="1"/>
    <row r="24" spans="2:13" ht="17.25" customHeight="1"/>
    <row r="25" spans="2:13" ht="37.5" customHeight="1"/>
    <row r="26" spans="2:13" ht="35.25" customHeight="1"/>
    <row r="27" spans="2:13" ht="35.25" customHeight="1"/>
    <row r="28" spans="2:13" ht="39.75" customHeight="1"/>
  </sheetData>
  <mergeCells count="36">
    <mergeCell ref="B1:J2"/>
    <mergeCell ref="C3:D3"/>
    <mergeCell ref="F3:G3"/>
    <mergeCell ref="I3:J3"/>
    <mergeCell ref="B4:B8"/>
    <mergeCell ref="C4:D4"/>
    <mergeCell ref="E4:F4"/>
    <mergeCell ref="G4:H4"/>
    <mergeCell ref="I4:J4"/>
    <mergeCell ref="C5:D5"/>
    <mergeCell ref="E5:F5"/>
    <mergeCell ref="G5:H5"/>
    <mergeCell ref="I5:J5"/>
    <mergeCell ref="C6:D6"/>
    <mergeCell ref="E6:F6"/>
    <mergeCell ref="G6:H6"/>
    <mergeCell ref="I6:J6"/>
    <mergeCell ref="B16:B17"/>
    <mergeCell ref="C7:D7"/>
    <mergeCell ref="E7:F7"/>
    <mergeCell ref="G7:H7"/>
    <mergeCell ref="I7:J7"/>
    <mergeCell ref="C8:D8"/>
    <mergeCell ref="E8:F8"/>
    <mergeCell ref="G8:H8"/>
    <mergeCell ref="I8:J8"/>
    <mergeCell ref="B10:C10"/>
    <mergeCell ref="D10:J10"/>
    <mergeCell ref="B20:C20"/>
    <mergeCell ref="B21:C21"/>
    <mergeCell ref="F21:G21"/>
    <mergeCell ref="K10:M10"/>
    <mergeCell ref="B11:C12"/>
    <mergeCell ref="B13:B15"/>
    <mergeCell ref="B18:C18"/>
    <mergeCell ref="B19:C19"/>
  </mergeCells>
  <phoneticPr fontId="3" type="noConversion"/>
  <conditionalFormatting sqref="D15:M15">
    <cfRule type="cellIs" dxfId="1462" priority="1" operator="lessThan">
      <formula>0.8</formula>
    </cfRule>
  </conditionalFormatting>
  <pageMargins left="0.7" right="0.7" top="0.75" bottom="0.75" header="0.3" footer="0.3"/>
  <pageSetup paperSize="9" orientation="portrait" horizontalDpi="300" verticalDpi="300" r:id="rId1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工作表15">
    <pageSetUpPr fitToPage="1"/>
  </sheetPr>
  <dimension ref="A1:AC63"/>
  <sheetViews>
    <sheetView zoomScale="80" zoomScaleNormal="80" workbookViewId="0">
      <pane ySplit="4" topLeftCell="A5" activePane="bottomLeft" state="frozen"/>
      <selection activeCell="C3" sqref="C3:D4"/>
      <selection pane="bottomLeft" activeCell="C3" sqref="C3:D4"/>
    </sheetView>
  </sheetViews>
  <sheetFormatPr defaultColWidth="8" defaultRowHeight="15.75"/>
  <cols>
    <col min="1" max="1" width="15.125" style="291" customWidth="1"/>
    <col min="2" max="2" width="19.375" style="291" customWidth="1"/>
    <col min="3" max="3" width="15.25" style="291" customWidth="1"/>
    <col min="4" max="4" width="17.5" style="291" customWidth="1"/>
    <col min="5" max="5" width="7.5" style="291" bestFit="1" customWidth="1"/>
    <col min="6" max="6" width="14.375" style="291" bestFit="1" customWidth="1"/>
    <col min="7" max="7" width="14.375" style="291" customWidth="1"/>
    <col min="8" max="8" width="8" style="291" customWidth="1"/>
    <col min="9" max="9" width="5.875" style="291" customWidth="1"/>
    <col min="10" max="10" width="10.625" style="291" customWidth="1"/>
    <col min="11" max="11" width="14.625" style="291" customWidth="1"/>
    <col min="12" max="12" width="7.25" style="291" bestFit="1" customWidth="1"/>
    <col min="13" max="13" width="8" style="291" customWidth="1"/>
    <col min="14" max="14" width="12" style="291" customWidth="1"/>
    <col min="15" max="15" width="6" style="291" customWidth="1"/>
    <col min="16" max="16" width="9.25" style="291" customWidth="1"/>
    <col min="17" max="17" width="11.5" style="291" customWidth="1"/>
    <col min="18" max="18" width="8.5" style="291" customWidth="1"/>
    <col min="19" max="19" width="10.125" style="291" bestFit="1" customWidth="1"/>
    <col min="20" max="20" width="7.625" style="291" bestFit="1" customWidth="1"/>
    <col min="21" max="21" width="10.25" style="291" bestFit="1" customWidth="1"/>
    <col min="22" max="22" width="8.75" style="325" customWidth="1"/>
    <col min="23" max="23" width="7.375" style="291" customWidth="1"/>
    <col min="24" max="24" width="6.875" style="291" bestFit="1" customWidth="1"/>
    <col min="25" max="25" width="12.75" style="291" customWidth="1"/>
    <col min="26" max="26" width="18.875" style="291" customWidth="1"/>
    <col min="27" max="27" width="13.125" style="291" bestFit="1" customWidth="1"/>
    <col min="28" max="28" width="10.375" style="291" customWidth="1"/>
    <col min="29" max="29" width="9.375" style="291" customWidth="1"/>
    <col min="30" max="30" width="8" style="291"/>
    <col min="31" max="31" width="24.625" style="291" bestFit="1" customWidth="1"/>
    <col min="32" max="16384" width="8" style="291"/>
  </cols>
  <sheetData>
    <row r="1" spans="1:29" ht="26.25" customHeight="1">
      <c r="A1" s="287" t="s">
        <v>1812</v>
      </c>
      <c r="B1" s="287"/>
      <c r="C1" s="288" t="s">
        <v>1813</v>
      </c>
      <c r="D1" s="289">
        <f>SUM(F5:F62)</f>
        <v>130486</v>
      </c>
      <c r="E1" s="402" t="s">
        <v>1814</v>
      </c>
      <c r="F1" s="287">
        <f>SUM(G5:G62)</f>
        <v>4362067.58</v>
      </c>
      <c r="G1" s="287" t="s">
        <v>1815</v>
      </c>
      <c r="H1" s="290">
        <f>L8+L11+L43+L48+L17+L53+L29+L36+L22+L62</f>
        <v>157.64166666666665</v>
      </c>
      <c r="I1" s="611" t="s">
        <v>1816</v>
      </c>
      <c r="J1" s="611"/>
      <c r="K1" s="611"/>
      <c r="L1" s="611" t="s">
        <v>1817</v>
      </c>
      <c r="M1" s="611"/>
      <c r="N1" s="611"/>
      <c r="O1" s="611" t="s">
        <v>1818</v>
      </c>
      <c r="P1" s="611"/>
      <c r="Q1" s="611"/>
      <c r="R1" s="611"/>
      <c r="S1" s="611" t="s">
        <v>1819</v>
      </c>
      <c r="T1" s="611"/>
      <c r="U1" s="611"/>
      <c r="V1" s="611"/>
      <c r="W1" s="611"/>
      <c r="X1" s="611"/>
      <c r="Y1" s="611" t="s">
        <v>1820</v>
      </c>
      <c r="Z1" s="611"/>
      <c r="AA1" s="611" t="s">
        <v>1821</v>
      </c>
      <c r="AB1" s="612"/>
      <c r="AC1" s="612"/>
    </row>
    <row r="2" spans="1:29" ht="26.25" customHeight="1">
      <c r="A2" s="292">
        <v>45954</v>
      </c>
      <c r="B2" s="293" t="s">
        <v>315</v>
      </c>
      <c r="C2" s="288" t="s">
        <v>1794</v>
      </c>
      <c r="D2" s="294">
        <f>AVERAGE(N8,N11,N43,N48,N17,N53,N22,N29,N36,N62)</f>
        <v>147.0881474350617</v>
      </c>
      <c r="E2" s="295" t="s">
        <v>2</v>
      </c>
      <c r="F2" s="296">
        <f>F1/D1</f>
        <v>33.429391505602133</v>
      </c>
      <c r="G2" s="287" t="s">
        <v>1822</v>
      </c>
      <c r="H2" s="412">
        <f>COUNT(H5:H62)</f>
        <v>3</v>
      </c>
      <c r="I2" s="611"/>
      <c r="J2" s="611"/>
      <c r="K2" s="611"/>
      <c r="L2" s="611"/>
      <c r="M2" s="611"/>
      <c r="N2" s="611"/>
      <c r="O2" s="611"/>
      <c r="P2" s="611"/>
      <c r="Q2" s="611"/>
      <c r="R2" s="611"/>
      <c r="S2" s="611"/>
      <c r="T2" s="611"/>
      <c r="U2" s="611"/>
      <c r="V2" s="611"/>
      <c r="W2" s="611"/>
      <c r="X2" s="611"/>
      <c r="Y2" s="611"/>
      <c r="Z2" s="611"/>
      <c r="AA2" s="612"/>
      <c r="AB2" s="612"/>
      <c r="AC2" s="612"/>
    </row>
    <row r="3" spans="1:29" ht="23.25" customHeight="1">
      <c r="A3" s="570" t="s">
        <v>1823</v>
      </c>
      <c r="B3" s="570" t="s">
        <v>1824</v>
      </c>
      <c r="C3" s="570" t="s">
        <v>1825</v>
      </c>
      <c r="D3" s="570"/>
      <c r="E3" s="609" t="s">
        <v>1826</v>
      </c>
      <c r="F3" s="570" t="s">
        <v>1827</v>
      </c>
      <c r="G3" s="609" t="s">
        <v>1828</v>
      </c>
      <c r="H3" s="602" t="s">
        <v>1829</v>
      </c>
      <c r="I3" s="600" t="s">
        <v>1830</v>
      </c>
      <c r="J3" s="605" t="s">
        <v>1831</v>
      </c>
      <c r="K3" s="607" t="s">
        <v>1794</v>
      </c>
      <c r="L3" s="600" t="s">
        <v>1830</v>
      </c>
      <c r="M3" s="605" t="s">
        <v>1831</v>
      </c>
      <c r="N3" s="607" t="s">
        <v>1794</v>
      </c>
      <c r="O3" s="600" t="s">
        <v>1830</v>
      </c>
      <c r="P3" s="607" t="s">
        <v>1794</v>
      </c>
      <c r="Q3" s="606" t="s">
        <v>1832</v>
      </c>
      <c r="R3" s="578" t="s">
        <v>1833</v>
      </c>
      <c r="S3" s="570" t="s">
        <v>14</v>
      </c>
      <c r="T3" s="570"/>
      <c r="U3" s="602" t="s">
        <v>15</v>
      </c>
      <c r="V3" s="602" t="s">
        <v>1834</v>
      </c>
      <c r="W3" s="570" t="s">
        <v>1835</v>
      </c>
      <c r="X3" s="570"/>
      <c r="Y3" s="603" t="s">
        <v>1836</v>
      </c>
      <c r="Z3" s="604"/>
      <c r="AA3" s="605" t="s">
        <v>1837</v>
      </c>
      <c r="AB3" s="606" t="s">
        <v>1832</v>
      </c>
      <c r="AC3" s="578" t="s">
        <v>1838</v>
      </c>
    </row>
    <row r="4" spans="1:29">
      <c r="A4" s="570"/>
      <c r="B4" s="570"/>
      <c r="C4" s="570"/>
      <c r="D4" s="570"/>
      <c r="E4" s="610"/>
      <c r="F4" s="570"/>
      <c r="G4" s="610"/>
      <c r="H4" s="602"/>
      <c r="I4" s="600"/>
      <c r="J4" s="605"/>
      <c r="K4" s="607"/>
      <c r="L4" s="600"/>
      <c r="M4" s="605"/>
      <c r="N4" s="607"/>
      <c r="O4" s="600"/>
      <c r="P4" s="607"/>
      <c r="Q4" s="606"/>
      <c r="R4" s="578"/>
      <c r="S4" s="402" t="s">
        <v>18</v>
      </c>
      <c r="T4" s="402" t="s">
        <v>19</v>
      </c>
      <c r="U4" s="602"/>
      <c r="V4" s="602"/>
      <c r="W4" s="402" t="s">
        <v>1839</v>
      </c>
      <c r="X4" s="402" t="s">
        <v>1840</v>
      </c>
      <c r="Y4" s="604"/>
      <c r="Z4" s="604"/>
      <c r="AA4" s="605"/>
      <c r="AB4" s="606"/>
      <c r="AC4" s="578"/>
    </row>
    <row r="5" spans="1:29">
      <c r="A5" s="599" t="s">
        <v>1841</v>
      </c>
      <c r="B5" s="300" t="s">
        <v>36</v>
      </c>
      <c r="C5" s="601" t="s">
        <v>37</v>
      </c>
      <c r="D5" s="601"/>
      <c r="E5" s="300">
        <v>46.93</v>
      </c>
      <c r="F5" s="411">
        <v>869</v>
      </c>
      <c r="G5" s="402">
        <f t="shared" ref="G5:G7" si="0">E5*F5</f>
        <v>40782.17</v>
      </c>
      <c r="H5" s="413" t="s">
        <v>35</v>
      </c>
      <c r="I5" s="409">
        <v>16</v>
      </c>
      <c r="J5" s="303">
        <v>2000</v>
      </c>
      <c r="K5" s="304">
        <f t="shared" ref="K5:K62" si="1">J5/I5</f>
        <v>125</v>
      </c>
      <c r="L5" s="409">
        <v>16</v>
      </c>
      <c r="M5" s="305">
        <f t="shared" ref="M5:M7" si="2">F5/V5*60</f>
        <v>1931.1111111111068</v>
      </c>
      <c r="N5" s="304">
        <f t="shared" ref="N5:N62" si="3">M5/L5</f>
        <v>120.69444444444417</v>
      </c>
      <c r="O5" s="306">
        <f t="shared" ref="O5:O62" si="4">L5-I5</f>
        <v>0</v>
      </c>
      <c r="P5" s="307">
        <f t="shared" ref="P5:P62" si="5">N5-K5</f>
        <v>-4.3055555555558271</v>
      </c>
      <c r="Q5" s="405">
        <f t="shared" ref="Q5:Q62" si="6">N5/K5</f>
        <v>0.96555555555555339</v>
      </c>
      <c r="R5" s="571">
        <f>Q8</f>
        <v>0.9613930124456439</v>
      </c>
      <c r="S5" s="308">
        <v>0.70833333333333337</v>
      </c>
      <c r="T5" s="308">
        <v>0.72708333333333341</v>
      </c>
      <c r="U5" s="402"/>
      <c r="V5" s="410">
        <f t="shared" ref="V5:V7" si="7">(T5-S5)*24*60</f>
        <v>27.000000000000064</v>
      </c>
      <c r="W5" s="310"/>
      <c r="X5" s="311"/>
      <c r="Y5" s="570"/>
      <c r="Z5" s="570"/>
      <c r="AA5" s="306">
        <f t="shared" ref="AA5:AA62" si="8">M5-J5</f>
        <v>-68.888888888893234</v>
      </c>
      <c r="AB5" s="405">
        <f t="shared" ref="AB5:AB62" si="9">M5/J5</f>
        <v>0.96555555555555339</v>
      </c>
      <c r="AC5" s="571">
        <f>AB8</f>
        <v>0.9613930124456439</v>
      </c>
    </row>
    <row r="6" spans="1:29">
      <c r="A6" s="600" t="s">
        <v>1842</v>
      </c>
      <c r="B6" s="300" t="s">
        <v>36</v>
      </c>
      <c r="C6" s="601" t="s">
        <v>38</v>
      </c>
      <c r="D6" s="601"/>
      <c r="E6" s="300">
        <v>50.49</v>
      </c>
      <c r="F6" s="411">
        <v>2085</v>
      </c>
      <c r="G6" s="402">
        <f t="shared" si="0"/>
        <v>105271.65000000001</v>
      </c>
      <c r="H6" s="413" t="s">
        <v>35</v>
      </c>
      <c r="I6" s="409">
        <v>15</v>
      </c>
      <c r="J6" s="303">
        <v>2000</v>
      </c>
      <c r="K6" s="304">
        <f t="shared" si="1"/>
        <v>133.33333333333334</v>
      </c>
      <c r="L6" s="409">
        <v>15</v>
      </c>
      <c r="M6" s="305">
        <f t="shared" si="2"/>
        <v>1924.6153846153866</v>
      </c>
      <c r="N6" s="304">
        <f t="shared" si="3"/>
        <v>128.30769230769243</v>
      </c>
      <c r="O6" s="306">
        <f t="shared" si="4"/>
        <v>0</v>
      </c>
      <c r="P6" s="307">
        <f t="shared" si="5"/>
        <v>-5.0256410256409083</v>
      </c>
      <c r="Q6" s="405">
        <f t="shared" si="6"/>
        <v>0.9623076923076932</v>
      </c>
      <c r="R6" s="571"/>
      <c r="S6" s="308">
        <v>0.73055555555555562</v>
      </c>
      <c r="T6" s="308">
        <v>0.77569444444444446</v>
      </c>
      <c r="U6" s="402">
        <f t="shared" ref="U6:U7" si="10">IF(S6=TIME(17,0,0),"",(S6-T5)*24*60)</f>
        <v>4.9999999999999822</v>
      </c>
      <c r="V6" s="410">
        <f t="shared" si="7"/>
        <v>64.999999999999929</v>
      </c>
      <c r="W6" s="310"/>
      <c r="X6" s="310"/>
      <c r="Y6" s="570"/>
      <c r="Z6" s="570"/>
      <c r="AA6" s="306">
        <f t="shared" si="8"/>
        <v>-75.384615384613426</v>
      </c>
      <c r="AB6" s="405">
        <f t="shared" si="9"/>
        <v>0.96230769230769331</v>
      </c>
      <c r="AC6" s="571"/>
    </row>
    <row r="7" spans="1:29">
      <c r="A7" s="600" t="s">
        <v>1842</v>
      </c>
      <c r="B7" s="300" t="s">
        <v>36</v>
      </c>
      <c r="C7" s="594" t="s">
        <v>39</v>
      </c>
      <c r="D7" s="595"/>
      <c r="E7" s="300">
        <v>50.67</v>
      </c>
      <c r="F7" s="411">
        <v>1817</v>
      </c>
      <c r="G7" s="402">
        <f t="shared" si="0"/>
        <v>92067.39</v>
      </c>
      <c r="H7" s="413" t="s">
        <v>35</v>
      </c>
      <c r="I7" s="409">
        <v>17</v>
      </c>
      <c r="J7" s="303">
        <v>2000</v>
      </c>
      <c r="K7" s="304">
        <f t="shared" si="1"/>
        <v>117.64705882352941</v>
      </c>
      <c r="L7" s="409">
        <v>17</v>
      </c>
      <c r="M7" s="305">
        <f t="shared" si="2"/>
        <v>1912.6315789473699</v>
      </c>
      <c r="N7" s="304">
        <f t="shared" si="3"/>
        <v>112.50773993808059</v>
      </c>
      <c r="O7" s="306">
        <f t="shared" si="4"/>
        <v>0</v>
      </c>
      <c r="P7" s="307">
        <f t="shared" si="5"/>
        <v>-5.1393188854488159</v>
      </c>
      <c r="Q7" s="405">
        <f t="shared" si="6"/>
        <v>0.95631578947368512</v>
      </c>
      <c r="R7" s="571"/>
      <c r="S7" s="308">
        <v>0.77916666666666667</v>
      </c>
      <c r="T7" s="308">
        <v>0.81874999999999998</v>
      </c>
      <c r="U7" s="402">
        <f t="shared" si="10"/>
        <v>4.9999999999999822</v>
      </c>
      <c r="V7" s="410">
        <f t="shared" si="7"/>
        <v>56.999999999999957</v>
      </c>
      <c r="W7" s="310"/>
      <c r="X7" s="310"/>
      <c r="Y7" s="566"/>
      <c r="Z7" s="567"/>
      <c r="AA7" s="306">
        <f t="shared" si="8"/>
        <v>-87.368421052630083</v>
      </c>
      <c r="AB7" s="405">
        <f t="shared" si="9"/>
        <v>0.95631578947368501</v>
      </c>
      <c r="AC7" s="571"/>
    </row>
    <row r="8" spans="1:29">
      <c r="A8" s="600" t="s">
        <v>1842</v>
      </c>
      <c r="B8" s="300" t="s">
        <v>1843</v>
      </c>
      <c r="C8" s="572"/>
      <c r="D8" s="572"/>
      <c r="E8" s="406"/>
      <c r="F8" s="313"/>
      <c r="G8" s="304"/>
      <c r="H8" s="411"/>
      <c r="I8" s="314">
        <v>16</v>
      </c>
      <c r="J8" s="303">
        <v>2000</v>
      </c>
      <c r="K8" s="304">
        <f t="shared" si="1"/>
        <v>125</v>
      </c>
      <c r="L8" s="314">
        <v>16</v>
      </c>
      <c r="M8" s="305">
        <f>AVERAGE(M5:M7)</f>
        <v>1922.7860248912878</v>
      </c>
      <c r="N8" s="304">
        <f t="shared" si="3"/>
        <v>120.17412655570548</v>
      </c>
      <c r="O8" s="306">
        <f t="shared" si="4"/>
        <v>0</v>
      </c>
      <c r="P8" s="307">
        <f t="shared" si="5"/>
        <v>-4.8258734442945155</v>
      </c>
      <c r="Q8" s="405">
        <f t="shared" si="6"/>
        <v>0.9613930124456439</v>
      </c>
      <c r="R8" s="571"/>
      <c r="S8" s="308"/>
      <c r="T8" s="308"/>
      <c r="U8" s="402"/>
      <c r="V8" s="410"/>
      <c r="W8" s="304"/>
      <c r="X8" s="304"/>
      <c r="Y8" s="570"/>
      <c r="Z8" s="570"/>
      <c r="AA8" s="306">
        <f t="shared" si="8"/>
        <v>-77.213975108712248</v>
      </c>
      <c r="AB8" s="405">
        <f t="shared" si="9"/>
        <v>0.9613930124456439</v>
      </c>
      <c r="AC8" s="571"/>
    </row>
    <row r="9" spans="1:29" ht="15.75" customHeight="1">
      <c r="A9" s="598" t="s">
        <v>1844</v>
      </c>
      <c r="B9" s="300" t="s">
        <v>40</v>
      </c>
      <c r="C9" s="594" t="s">
        <v>42</v>
      </c>
      <c r="D9" s="595"/>
      <c r="E9" s="300">
        <v>39.36</v>
      </c>
      <c r="F9" s="411">
        <v>1768</v>
      </c>
      <c r="G9" s="402">
        <f t="shared" ref="G9:G10" si="11">E9*F9</f>
        <v>69588.479999999996</v>
      </c>
      <c r="H9" s="413" t="s">
        <v>35</v>
      </c>
      <c r="I9" s="409">
        <v>20</v>
      </c>
      <c r="J9" s="303">
        <v>1500</v>
      </c>
      <c r="K9" s="304">
        <f t="shared" si="1"/>
        <v>75</v>
      </c>
      <c r="L9" s="409">
        <v>20</v>
      </c>
      <c r="M9" s="305">
        <f t="shared" ref="M9:M10" si="12">F9/V9*60</f>
        <v>1433.5135135135133</v>
      </c>
      <c r="N9" s="304">
        <f t="shared" si="3"/>
        <v>71.675675675675663</v>
      </c>
      <c r="O9" s="306">
        <f t="shared" si="4"/>
        <v>0</v>
      </c>
      <c r="P9" s="307">
        <f t="shared" si="5"/>
        <v>-3.324324324324337</v>
      </c>
      <c r="Q9" s="405">
        <f t="shared" si="6"/>
        <v>0.95567567567567546</v>
      </c>
      <c r="R9" s="571">
        <f>Q11</f>
        <v>0.95414851744948825</v>
      </c>
      <c r="S9" s="308">
        <v>0.20833333333333334</v>
      </c>
      <c r="T9" s="308">
        <v>0.25972222222222224</v>
      </c>
      <c r="U9" s="402"/>
      <c r="V9" s="410">
        <f t="shared" ref="V9:V10" si="13">(T9-S9)*24*60</f>
        <v>74.000000000000014</v>
      </c>
      <c r="W9" s="310"/>
      <c r="X9" s="310"/>
      <c r="Y9" s="570"/>
      <c r="Z9" s="570"/>
      <c r="AA9" s="306">
        <f t="shared" si="8"/>
        <v>-66.486486486486683</v>
      </c>
      <c r="AB9" s="405">
        <f t="shared" si="9"/>
        <v>0.95567567567567557</v>
      </c>
      <c r="AC9" s="571">
        <f>AB11</f>
        <v>0.95414851744948825</v>
      </c>
    </row>
    <row r="10" spans="1:29" ht="15.75" customHeight="1">
      <c r="A10" s="598" t="s">
        <v>1844</v>
      </c>
      <c r="B10" s="300" t="s">
        <v>40</v>
      </c>
      <c r="C10" s="594" t="s">
        <v>41</v>
      </c>
      <c r="D10" s="595"/>
      <c r="E10" s="300">
        <v>39.799999999999997</v>
      </c>
      <c r="F10" s="411">
        <v>4906</v>
      </c>
      <c r="G10" s="402">
        <f t="shared" si="11"/>
        <v>195258.8</v>
      </c>
      <c r="H10" s="413" t="s">
        <v>35</v>
      </c>
      <c r="I10" s="409">
        <v>17</v>
      </c>
      <c r="J10" s="303">
        <v>1500</v>
      </c>
      <c r="K10" s="304">
        <f t="shared" si="1"/>
        <v>88.235294117647058</v>
      </c>
      <c r="L10" s="409">
        <v>17</v>
      </c>
      <c r="M10" s="305">
        <f t="shared" si="12"/>
        <v>1428.9320388349515</v>
      </c>
      <c r="N10" s="304">
        <f t="shared" si="3"/>
        <v>84.054825813820685</v>
      </c>
      <c r="O10" s="306">
        <f t="shared" si="4"/>
        <v>0</v>
      </c>
      <c r="P10" s="307">
        <f t="shared" si="5"/>
        <v>-4.1804683038263732</v>
      </c>
      <c r="Q10" s="405">
        <f t="shared" si="6"/>
        <v>0.95262135922330116</v>
      </c>
      <c r="R10" s="571"/>
      <c r="S10" s="308">
        <v>0.26527777777777778</v>
      </c>
      <c r="T10" s="308">
        <v>0.40833333333333333</v>
      </c>
      <c r="U10" s="402">
        <f t="shared" ref="U10" si="14">IF(S10=TIME(17,0,0),"",(S10-T9)*24*60)</f>
        <v>7.9999999999999716</v>
      </c>
      <c r="V10" s="410">
        <f t="shared" si="13"/>
        <v>206</v>
      </c>
      <c r="W10" s="310"/>
      <c r="X10" s="310"/>
      <c r="Y10" s="570"/>
      <c r="Z10" s="570"/>
      <c r="AA10" s="306">
        <f t="shared" si="8"/>
        <v>-71.067961165048473</v>
      </c>
      <c r="AB10" s="405">
        <f t="shared" si="9"/>
        <v>0.95262135922330105</v>
      </c>
      <c r="AC10" s="571"/>
    </row>
    <row r="11" spans="1:29" ht="16.5" customHeight="1">
      <c r="A11" s="598" t="s">
        <v>1844</v>
      </c>
      <c r="B11" s="300" t="s">
        <v>1843</v>
      </c>
      <c r="C11" s="572"/>
      <c r="D11" s="572"/>
      <c r="E11" s="406"/>
      <c r="F11" s="303"/>
      <c r="G11" s="305"/>
      <c r="H11" s="411"/>
      <c r="I11" s="314">
        <v>18.5</v>
      </c>
      <c r="J11" s="303">
        <v>1500</v>
      </c>
      <c r="K11" s="304">
        <f t="shared" si="1"/>
        <v>81.081081081081081</v>
      </c>
      <c r="L11" s="314">
        <v>18.5</v>
      </c>
      <c r="M11" s="305">
        <f>AVERAGE(M9:M10)</f>
        <v>1431.2227761742324</v>
      </c>
      <c r="N11" s="304">
        <f t="shared" si="3"/>
        <v>77.363393306715267</v>
      </c>
      <c r="O11" s="306">
        <f t="shared" si="4"/>
        <v>0</v>
      </c>
      <c r="P11" s="307">
        <f t="shared" si="5"/>
        <v>-3.7176877743658139</v>
      </c>
      <c r="Q11" s="405">
        <f t="shared" si="6"/>
        <v>0.95414851744948825</v>
      </c>
      <c r="R11" s="571"/>
      <c r="S11" s="308"/>
      <c r="T11" s="308"/>
      <c r="U11" s="304"/>
      <c r="V11" s="410"/>
      <c r="W11" s="304"/>
      <c r="X11" s="304"/>
      <c r="Y11" s="570"/>
      <c r="Z11" s="570"/>
      <c r="AA11" s="306">
        <f t="shared" si="8"/>
        <v>-68.777223825767578</v>
      </c>
      <c r="AB11" s="405">
        <f t="shared" si="9"/>
        <v>0.95414851744948825</v>
      </c>
      <c r="AC11" s="571"/>
    </row>
    <row r="12" spans="1:29" ht="16.5" customHeight="1">
      <c r="A12" s="596" t="s">
        <v>1845</v>
      </c>
      <c r="B12" s="411" t="s">
        <v>43</v>
      </c>
      <c r="C12" s="590" t="s">
        <v>44</v>
      </c>
      <c r="D12" s="590"/>
      <c r="E12" s="300">
        <v>41</v>
      </c>
      <c r="F12" s="411">
        <v>2300</v>
      </c>
      <c r="G12" s="402">
        <f t="shared" ref="G12:G16" si="15">E12*F12</f>
        <v>94300</v>
      </c>
      <c r="H12" s="413" t="s">
        <v>35</v>
      </c>
      <c r="I12" s="409">
        <v>26</v>
      </c>
      <c r="J12" s="303">
        <v>1500</v>
      </c>
      <c r="K12" s="304">
        <f t="shared" si="1"/>
        <v>57.692307692307693</v>
      </c>
      <c r="L12" s="409">
        <v>26</v>
      </c>
      <c r="M12" s="305">
        <f t="shared" ref="M12:M16" si="16">F12/V12*60</f>
        <v>1437.5000000000005</v>
      </c>
      <c r="N12" s="304">
        <f t="shared" si="3"/>
        <v>55.288461538461554</v>
      </c>
      <c r="O12" s="306">
        <f t="shared" si="4"/>
        <v>0</v>
      </c>
      <c r="P12" s="307">
        <f t="shared" si="5"/>
        <v>-2.4038461538461391</v>
      </c>
      <c r="Q12" s="405">
        <f t="shared" si="6"/>
        <v>0.95833333333333359</v>
      </c>
      <c r="R12" s="571">
        <f>Q17</f>
        <v>0.95528836224806191</v>
      </c>
      <c r="S12" s="308">
        <v>0.125</v>
      </c>
      <c r="T12" s="308">
        <v>0.19166666666666665</v>
      </c>
      <c r="U12" s="402"/>
      <c r="V12" s="410">
        <f t="shared" ref="V12:V16" si="17">(T12-S12)*24*60</f>
        <v>95.999999999999972</v>
      </c>
      <c r="W12" s="310">
        <f>T12</f>
        <v>0.19166666666666665</v>
      </c>
      <c r="X12" s="310">
        <f>S13</f>
        <v>0.21249999999999999</v>
      </c>
      <c r="Y12" s="570"/>
      <c r="Z12" s="570"/>
      <c r="AA12" s="306">
        <f t="shared" si="8"/>
        <v>-62.499999999999545</v>
      </c>
      <c r="AB12" s="405">
        <f t="shared" si="9"/>
        <v>0.95833333333333359</v>
      </c>
      <c r="AC12" s="571">
        <f>AB17</f>
        <v>0.9552883622480618</v>
      </c>
    </row>
    <row r="13" spans="1:29" ht="16.5" customHeight="1">
      <c r="A13" s="597" t="s">
        <v>1845</v>
      </c>
      <c r="B13" s="411" t="s">
        <v>40</v>
      </c>
      <c r="C13" s="590" t="s">
        <v>45</v>
      </c>
      <c r="D13" s="590"/>
      <c r="E13" s="300">
        <v>39.619999999999997</v>
      </c>
      <c r="F13" s="411">
        <v>3320</v>
      </c>
      <c r="G13" s="402">
        <f t="shared" si="15"/>
        <v>131538.4</v>
      </c>
      <c r="H13" s="413" t="s">
        <v>35</v>
      </c>
      <c r="I13" s="409">
        <v>19</v>
      </c>
      <c r="J13" s="303">
        <v>1500</v>
      </c>
      <c r="K13" s="304">
        <f t="shared" si="1"/>
        <v>78.94736842105263</v>
      </c>
      <c r="L13" s="409">
        <v>19</v>
      </c>
      <c r="M13" s="305">
        <f t="shared" si="16"/>
        <v>1433.0935251798558</v>
      </c>
      <c r="N13" s="304">
        <f t="shared" si="3"/>
        <v>75.425975009466086</v>
      </c>
      <c r="O13" s="306">
        <f t="shared" si="4"/>
        <v>0</v>
      </c>
      <c r="P13" s="307">
        <f t="shared" si="5"/>
        <v>-3.5213934115865442</v>
      </c>
      <c r="Q13" s="405">
        <f t="shared" si="6"/>
        <v>0.95539568345323711</v>
      </c>
      <c r="R13" s="571"/>
      <c r="S13" s="308">
        <v>0.21249999999999999</v>
      </c>
      <c r="T13" s="308">
        <v>0.30902777777777779</v>
      </c>
      <c r="U13" s="402">
        <f t="shared" ref="U13:U16" si="18">IF(S13=TIME(17,0,0),"",(S13-T12)*24*60)</f>
        <v>30.000000000000014</v>
      </c>
      <c r="V13" s="410">
        <f t="shared" si="17"/>
        <v>139.00000000000003</v>
      </c>
      <c r="W13" s="310"/>
      <c r="X13" s="310"/>
      <c r="Y13" s="570"/>
      <c r="Z13" s="570"/>
      <c r="AA13" s="306">
        <f t="shared" si="8"/>
        <v>-66.90647482014424</v>
      </c>
      <c r="AB13" s="405">
        <f t="shared" si="9"/>
        <v>0.95539568345323722</v>
      </c>
      <c r="AC13" s="571"/>
    </row>
    <row r="14" spans="1:29" ht="16.5" customHeight="1">
      <c r="A14" s="597" t="s">
        <v>1845</v>
      </c>
      <c r="B14" s="411" t="s">
        <v>1182</v>
      </c>
      <c r="C14" s="590" t="s">
        <v>1041</v>
      </c>
      <c r="D14" s="590"/>
      <c r="E14" s="300">
        <v>57.3</v>
      </c>
      <c r="F14" s="411">
        <v>1956</v>
      </c>
      <c r="G14" s="402">
        <f t="shared" si="15"/>
        <v>112078.79999999999</v>
      </c>
      <c r="H14" s="413" t="s">
        <v>35</v>
      </c>
      <c r="I14" s="409">
        <v>17</v>
      </c>
      <c r="J14" s="303">
        <v>1500</v>
      </c>
      <c r="K14" s="304">
        <f t="shared" si="1"/>
        <v>88.235294117647058</v>
      </c>
      <c r="L14" s="409">
        <v>17</v>
      </c>
      <c r="M14" s="305">
        <f t="shared" si="16"/>
        <v>1431.2195121951213</v>
      </c>
      <c r="N14" s="304">
        <f t="shared" si="3"/>
        <v>84.189383070301247</v>
      </c>
      <c r="O14" s="306">
        <f t="shared" si="4"/>
        <v>0</v>
      </c>
      <c r="P14" s="307">
        <f t="shared" si="5"/>
        <v>-4.0459110473458111</v>
      </c>
      <c r="Q14" s="405">
        <f t="shared" si="6"/>
        <v>0.95414634146341415</v>
      </c>
      <c r="R14" s="571"/>
      <c r="S14" s="308">
        <v>0.3125</v>
      </c>
      <c r="T14" s="308">
        <v>0.36944444444444446</v>
      </c>
      <c r="U14" s="402">
        <f t="shared" si="18"/>
        <v>4.9999999999999822</v>
      </c>
      <c r="V14" s="410">
        <f t="shared" si="17"/>
        <v>82.000000000000028</v>
      </c>
      <c r="W14" s="310"/>
      <c r="X14" s="310"/>
      <c r="Y14" s="570"/>
      <c r="Z14" s="570"/>
      <c r="AA14" s="306">
        <f t="shared" si="8"/>
        <v>-68.780487804878703</v>
      </c>
      <c r="AB14" s="405">
        <f t="shared" si="9"/>
        <v>0.95414634146341415</v>
      </c>
      <c r="AC14" s="571"/>
    </row>
    <row r="15" spans="1:29" ht="16.5" customHeight="1">
      <c r="A15" s="597" t="s">
        <v>1845</v>
      </c>
      <c r="B15" s="411" t="s">
        <v>36</v>
      </c>
      <c r="C15" s="590" t="s">
        <v>49</v>
      </c>
      <c r="D15" s="590"/>
      <c r="E15" s="300">
        <v>50.98</v>
      </c>
      <c r="F15" s="411">
        <v>2841</v>
      </c>
      <c r="G15" s="402">
        <f t="shared" si="15"/>
        <v>144834.18</v>
      </c>
      <c r="H15" s="413" t="s">
        <v>35</v>
      </c>
      <c r="I15" s="409">
        <v>16</v>
      </c>
      <c r="J15" s="303">
        <v>2000</v>
      </c>
      <c r="K15" s="304">
        <f t="shared" si="1"/>
        <v>125</v>
      </c>
      <c r="L15" s="409">
        <v>16</v>
      </c>
      <c r="M15" s="305">
        <f t="shared" si="16"/>
        <v>1915.2808988764045</v>
      </c>
      <c r="N15" s="304">
        <f t="shared" si="3"/>
        <v>119.70505617977528</v>
      </c>
      <c r="O15" s="306">
        <f t="shared" si="4"/>
        <v>0</v>
      </c>
      <c r="P15" s="307">
        <f t="shared" si="5"/>
        <v>-5.2949438202247165</v>
      </c>
      <c r="Q15" s="405">
        <f t="shared" si="6"/>
        <v>0.95764044943820226</v>
      </c>
      <c r="R15" s="571"/>
      <c r="S15" s="308">
        <v>0.70833333333333337</v>
      </c>
      <c r="T15" s="308">
        <v>0.77013888888888893</v>
      </c>
      <c r="U15" s="402" t="str">
        <f t="shared" si="18"/>
        <v/>
      </c>
      <c r="V15" s="410">
        <f t="shared" si="17"/>
        <v>89</v>
      </c>
      <c r="W15" s="310"/>
      <c r="X15" s="310"/>
      <c r="Y15" s="570"/>
      <c r="Z15" s="570"/>
      <c r="AA15" s="306">
        <f t="shared" si="8"/>
        <v>-84.719101123595465</v>
      </c>
      <c r="AB15" s="405">
        <f t="shared" si="9"/>
        <v>0.95764044943820226</v>
      </c>
      <c r="AC15" s="571"/>
    </row>
    <row r="16" spans="1:29" ht="16.5" customHeight="1">
      <c r="A16" s="597" t="s">
        <v>1845</v>
      </c>
      <c r="B16" s="411" t="s">
        <v>36</v>
      </c>
      <c r="C16" s="590" t="s">
        <v>50</v>
      </c>
      <c r="D16" s="590"/>
      <c r="E16" s="300">
        <v>50.92</v>
      </c>
      <c r="F16" s="411">
        <v>3108</v>
      </c>
      <c r="G16" s="402">
        <f t="shared" si="15"/>
        <v>158259.36000000002</v>
      </c>
      <c r="H16" s="413" t="s">
        <v>35</v>
      </c>
      <c r="I16" s="409">
        <v>15</v>
      </c>
      <c r="J16" s="303">
        <v>2000</v>
      </c>
      <c r="K16" s="304">
        <f t="shared" si="1"/>
        <v>133.33333333333334</v>
      </c>
      <c r="L16" s="409">
        <v>15</v>
      </c>
      <c r="M16" s="305">
        <f t="shared" si="16"/>
        <v>1902.8571428571433</v>
      </c>
      <c r="N16" s="304">
        <f t="shared" si="3"/>
        <v>126.85714285714289</v>
      </c>
      <c r="O16" s="306">
        <f t="shared" si="4"/>
        <v>0</v>
      </c>
      <c r="P16" s="307">
        <f t="shared" si="5"/>
        <v>-6.4761904761904532</v>
      </c>
      <c r="Q16" s="405">
        <f t="shared" si="6"/>
        <v>0.95142857142857162</v>
      </c>
      <c r="R16" s="571"/>
      <c r="S16" s="308">
        <v>0.77569444444444446</v>
      </c>
      <c r="T16" s="308">
        <v>0.84375</v>
      </c>
      <c r="U16" s="402">
        <f t="shared" si="18"/>
        <v>7.9999999999999716</v>
      </c>
      <c r="V16" s="410">
        <f t="shared" si="17"/>
        <v>97.999999999999972</v>
      </c>
      <c r="W16" s="310"/>
      <c r="X16" s="310"/>
      <c r="Y16" s="570"/>
      <c r="Z16" s="570"/>
      <c r="AA16" s="306">
        <f t="shared" si="8"/>
        <v>-97.142857142856656</v>
      </c>
      <c r="AB16" s="405">
        <f t="shared" si="9"/>
        <v>0.95142857142857162</v>
      </c>
      <c r="AC16" s="571"/>
    </row>
    <row r="17" spans="1:29" ht="16.5" customHeight="1">
      <c r="A17" s="597" t="s">
        <v>1845</v>
      </c>
      <c r="B17" s="300" t="s">
        <v>1843</v>
      </c>
      <c r="C17" s="572"/>
      <c r="D17" s="572"/>
      <c r="E17" s="406"/>
      <c r="F17" s="313"/>
      <c r="G17" s="304"/>
      <c r="H17" s="411"/>
      <c r="I17" s="314">
        <v>18.600000000000001</v>
      </c>
      <c r="J17" s="303">
        <v>1700</v>
      </c>
      <c r="K17" s="304">
        <f t="shared" si="1"/>
        <v>91.397849462365585</v>
      </c>
      <c r="L17" s="314">
        <v>18.600000000000001</v>
      </c>
      <c r="M17" s="305">
        <f>AVERAGE(M12:M16)</f>
        <v>1623.9902158217051</v>
      </c>
      <c r="N17" s="304">
        <f t="shared" si="3"/>
        <v>87.311301925898121</v>
      </c>
      <c r="O17" s="306">
        <f t="shared" si="4"/>
        <v>0</v>
      </c>
      <c r="P17" s="307">
        <f t="shared" si="5"/>
        <v>-4.0865475364674637</v>
      </c>
      <c r="Q17" s="405">
        <f t="shared" si="6"/>
        <v>0.95528836224806191</v>
      </c>
      <c r="R17" s="571"/>
      <c r="S17" s="308"/>
      <c r="T17" s="308"/>
      <c r="U17" s="402"/>
      <c r="V17" s="410"/>
      <c r="W17" s="304"/>
      <c r="X17" s="304"/>
      <c r="Y17" s="570"/>
      <c r="Z17" s="570"/>
      <c r="AA17" s="306">
        <f t="shared" si="8"/>
        <v>-76.009784178294922</v>
      </c>
      <c r="AB17" s="405">
        <f t="shared" si="9"/>
        <v>0.9552883622480618</v>
      </c>
      <c r="AC17" s="571"/>
    </row>
    <row r="18" spans="1:29" ht="15.75" customHeight="1">
      <c r="A18" s="592" t="s">
        <v>1846</v>
      </c>
      <c r="B18" s="300" t="s">
        <v>43</v>
      </c>
      <c r="C18" s="590" t="s">
        <v>51</v>
      </c>
      <c r="D18" s="590"/>
      <c r="E18" s="300">
        <v>43.14</v>
      </c>
      <c r="F18" s="411">
        <v>1101</v>
      </c>
      <c r="G18" s="402">
        <f t="shared" ref="G18:G21" si="19">E18*F18</f>
        <v>47497.14</v>
      </c>
      <c r="H18" s="413" t="s">
        <v>35</v>
      </c>
      <c r="I18" s="409">
        <v>17</v>
      </c>
      <c r="J18" s="303">
        <v>2000</v>
      </c>
      <c r="K18" s="304">
        <f t="shared" si="1"/>
        <v>117.64705882352941</v>
      </c>
      <c r="L18" s="409">
        <v>17</v>
      </c>
      <c r="M18" s="305">
        <f t="shared" ref="M18:M21" si="20">F18/V18*60</f>
        <v>1942.9411764705883</v>
      </c>
      <c r="N18" s="304">
        <f t="shared" si="3"/>
        <v>114.29065743944636</v>
      </c>
      <c r="O18" s="306">
        <f t="shared" si="4"/>
        <v>0</v>
      </c>
      <c r="P18" s="307">
        <f t="shared" si="5"/>
        <v>-3.3564013840830427</v>
      </c>
      <c r="Q18" s="405">
        <f t="shared" si="6"/>
        <v>0.97147058823529409</v>
      </c>
      <c r="R18" s="571">
        <f>Q22</f>
        <v>0.95927842344803049</v>
      </c>
      <c r="S18" s="308">
        <v>0.20833333333333334</v>
      </c>
      <c r="T18" s="308">
        <v>0.23194444444444445</v>
      </c>
      <c r="U18" s="402"/>
      <c r="V18" s="410">
        <f t="shared" ref="V18:V21" si="21">(T18-S18)*24*60</f>
        <v>34</v>
      </c>
      <c r="W18" s="315"/>
      <c r="X18" s="315"/>
      <c r="Y18" s="570"/>
      <c r="Z18" s="570"/>
      <c r="AA18" s="306">
        <f t="shared" si="8"/>
        <v>-57.058823529411711</v>
      </c>
      <c r="AB18" s="405">
        <f t="shared" si="9"/>
        <v>0.9714705882352942</v>
      </c>
      <c r="AC18" s="571">
        <f>AB22</f>
        <v>0.9592784234480306</v>
      </c>
    </row>
    <row r="19" spans="1:29" ht="15.75" customHeight="1">
      <c r="A19" s="593" t="s">
        <v>1846</v>
      </c>
      <c r="B19" s="300" t="s">
        <v>36</v>
      </c>
      <c r="C19" s="590" t="s">
        <v>53</v>
      </c>
      <c r="D19" s="590"/>
      <c r="E19" s="300">
        <v>53.68</v>
      </c>
      <c r="F19" s="411">
        <v>1553</v>
      </c>
      <c r="G19" s="402">
        <f t="shared" si="19"/>
        <v>83365.039999999994</v>
      </c>
      <c r="H19" s="413" t="s">
        <v>35</v>
      </c>
      <c r="I19" s="409">
        <v>16</v>
      </c>
      <c r="J19" s="303">
        <v>2000</v>
      </c>
      <c r="K19" s="304">
        <f t="shared" si="1"/>
        <v>125</v>
      </c>
      <c r="L19" s="409">
        <v>16</v>
      </c>
      <c r="M19" s="305">
        <f t="shared" si="20"/>
        <v>1901.6326530612234</v>
      </c>
      <c r="N19" s="304">
        <f t="shared" si="3"/>
        <v>118.85204081632646</v>
      </c>
      <c r="O19" s="306">
        <f t="shared" si="4"/>
        <v>0</v>
      </c>
      <c r="P19" s="307">
        <f t="shared" si="5"/>
        <v>-6.1479591836735352</v>
      </c>
      <c r="Q19" s="405">
        <f t="shared" si="6"/>
        <v>0.95081632653061177</v>
      </c>
      <c r="R19" s="571"/>
      <c r="S19" s="308">
        <v>0.23680555555555557</v>
      </c>
      <c r="T19" s="308">
        <v>0.27083333333333337</v>
      </c>
      <c r="U19" s="402">
        <f t="shared" ref="U19:U21" si="22">IF(S19=TIME(17,0,0),"",(S19-T18)*24*60)</f>
        <v>7.0000000000000151</v>
      </c>
      <c r="V19" s="410">
        <f t="shared" si="21"/>
        <v>49.000000000000028</v>
      </c>
      <c r="W19" s="310"/>
      <c r="X19" s="402"/>
      <c r="Y19" s="570"/>
      <c r="Z19" s="570"/>
      <c r="AA19" s="306">
        <f t="shared" si="8"/>
        <v>-98.367346938776564</v>
      </c>
      <c r="AB19" s="405">
        <f t="shared" si="9"/>
        <v>0.95081632653061177</v>
      </c>
      <c r="AC19" s="571"/>
    </row>
    <row r="20" spans="1:29" ht="15.75" customHeight="1">
      <c r="A20" s="593" t="s">
        <v>1846</v>
      </c>
      <c r="B20" s="300" t="s">
        <v>36</v>
      </c>
      <c r="C20" s="590" t="s">
        <v>52</v>
      </c>
      <c r="D20" s="590"/>
      <c r="E20" s="300">
        <v>57.73</v>
      </c>
      <c r="F20" s="411">
        <v>2824</v>
      </c>
      <c r="G20" s="402">
        <f t="shared" si="19"/>
        <v>163029.51999999999</v>
      </c>
      <c r="H20" s="413" t="s">
        <v>35</v>
      </c>
      <c r="I20" s="409">
        <v>15</v>
      </c>
      <c r="J20" s="303">
        <v>2000</v>
      </c>
      <c r="K20" s="304">
        <f t="shared" si="1"/>
        <v>133.33333333333334</v>
      </c>
      <c r="L20" s="409">
        <v>15</v>
      </c>
      <c r="M20" s="305">
        <f t="shared" si="20"/>
        <v>1903.8202247191011</v>
      </c>
      <c r="N20" s="304">
        <f t="shared" si="3"/>
        <v>126.92134831460675</v>
      </c>
      <c r="O20" s="306">
        <f t="shared" si="4"/>
        <v>0</v>
      </c>
      <c r="P20" s="307">
        <f t="shared" si="5"/>
        <v>-6.4119850187265968</v>
      </c>
      <c r="Q20" s="405">
        <f t="shared" si="6"/>
        <v>0.95191011235955048</v>
      </c>
      <c r="R20" s="571"/>
      <c r="S20" s="308">
        <v>0.27638888888888891</v>
      </c>
      <c r="T20" s="308">
        <v>0.33819444444444446</v>
      </c>
      <c r="U20" s="402">
        <f t="shared" si="22"/>
        <v>7.9999999999999716</v>
      </c>
      <c r="V20" s="410">
        <f t="shared" si="21"/>
        <v>89</v>
      </c>
      <c r="W20" s="310"/>
      <c r="X20" s="402"/>
      <c r="Y20" s="570"/>
      <c r="Z20" s="570"/>
      <c r="AA20" s="306">
        <f t="shared" si="8"/>
        <v>-96.179775280898866</v>
      </c>
      <c r="AB20" s="405">
        <f t="shared" si="9"/>
        <v>0.95191011235955059</v>
      </c>
      <c r="AC20" s="571"/>
    </row>
    <row r="21" spans="1:29" ht="15.75" customHeight="1">
      <c r="A21" s="593" t="s">
        <v>1846</v>
      </c>
      <c r="B21" s="300" t="s">
        <v>36</v>
      </c>
      <c r="C21" s="590" t="s">
        <v>55</v>
      </c>
      <c r="D21" s="590"/>
      <c r="E21" s="300">
        <v>54.09</v>
      </c>
      <c r="F21" s="411">
        <v>2311</v>
      </c>
      <c r="G21" s="402">
        <f t="shared" si="19"/>
        <v>125001.99</v>
      </c>
      <c r="H21" s="413" t="s">
        <v>35</v>
      </c>
      <c r="I21" s="409">
        <v>19</v>
      </c>
      <c r="J21" s="303">
        <v>2000</v>
      </c>
      <c r="K21" s="304">
        <f t="shared" si="1"/>
        <v>105.26315789473684</v>
      </c>
      <c r="L21" s="409">
        <v>19</v>
      </c>
      <c r="M21" s="305">
        <f t="shared" si="20"/>
        <v>1925.8333333333321</v>
      </c>
      <c r="N21" s="304">
        <f t="shared" si="3"/>
        <v>101.35964912280696</v>
      </c>
      <c r="O21" s="306">
        <f t="shared" si="4"/>
        <v>0</v>
      </c>
      <c r="P21" s="307">
        <f t="shared" si="5"/>
        <v>-3.9035087719298787</v>
      </c>
      <c r="Q21" s="405">
        <f t="shared" si="6"/>
        <v>0.9629166666666662</v>
      </c>
      <c r="R21" s="571"/>
      <c r="S21" s="308">
        <v>0.70833333333333337</v>
      </c>
      <c r="T21" s="308">
        <v>0.75833333333333341</v>
      </c>
      <c r="U21" s="402" t="str">
        <f t="shared" si="22"/>
        <v/>
      </c>
      <c r="V21" s="410">
        <f t="shared" si="21"/>
        <v>72.000000000000057</v>
      </c>
      <c r="W21" s="310"/>
      <c r="X21" s="402"/>
      <c r="Y21" s="570"/>
      <c r="Z21" s="570"/>
      <c r="AA21" s="306">
        <f t="shared" si="8"/>
        <v>-74.166666666667879</v>
      </c>
      <c r="AB21" s="405">
        <f t="shared" si="9"/>
        <v>0.96291666666666609</v>
      </c>
      <c r="AC21" s="571"/>
    </row>
    <row r="22" spans="1:29" ht="15.75" customHeight="1">
      <c r="A22" s="593" t="s">
        <v>1846</v>
      </c>
      <c r="B22" s="300" t="s">
        <v>1843</v>
      </c>
      <c r="C22" s="572"/>
      <c r="D22" s="572"/>
      <c r="E22" s="406"/>
      <c r="F22" s="411"/>
      <c r="G22" s="402"/>
      <c r="H22" s="411"/>
      <c r="I22" s="314">
        <v>16.75</v>
      </c>
      <c r="J22" s="303">
        <v>2000</v>
      </c>
      <c r="K22" s="304">
        <f t="shared" si="1"/>
        <v>119.40298507462687</v>
      </c>
      <c r="L22" s="314">
        <v>16.75</v>
      </c>
      <c r="M22" s="305">
        <f>AVERAGE(M18:M21)</f>
        <v>1918.5568468960612</v>
      </c>
      <c r="N22" s="304">
        <f t="shared" si="3"/>
        <v>114.54070727737678</v>
      </c>
      <c r="O22" s="306">
        <f t="shared" si="4"/>
        <v>0</v>
      </c>
      <c r="P22" s="307">
        <f t="shared" si="5"/>
        <v>-4.862277797250087</v>
      </c>
      <c r="Q22" s="405">
        <f t="shared" si="6"/>
        <v>0.95927842344803049</v>
      </c>
      <c r="R22" s="571"/>
      <c r="S22" s="308"/>
      <c r="T22" s="308"/>
      <c r="U22" s="304"/>
      <c r="V22" s="410"/>
      <c r="W22" s="304"/>
      <c r="X22" s="304"/>
      <c r="Y22" s="570"/>
      <c r="Z22" s="570"/>
      <c r="AA22" s="306">
        <f t="shared" si="8"/>
        <v>-81.443153103938812</v>
      </c>
      <c r="AB22" s="405">
        <f t="shared" si="9"/>
        <v>0.9592784234480306</v>
      </c>
      <c r="AC22" s="571"/>
    </row>
    <row r="23" spans="1:29" ht="15.75" customHeight="1">
      <c r="A23" s="591" t="s">
        <v>1847</v>
      </c>
      <c r="B23" s="300" t="s">
        <v>46</v>
      </c>
      <c r="C23" s="590" t="s">
        <v>61</v>
      </c>
      <c r="D23" s="590"/>
      <c r="E23" s="300">
        <v>31.29</v>
      </c>
      <c r="F23" s="411">
        <v>4000</v>
      </c>
      <c r="G23" s="402">
        <f t="shared" ref="G23:G28" si="23">E23*F23</f>
        <v>125160</v>
      </c>
      <c r="H23" s="413">
        <v>2</v>
      </c>
      <c r="I23" s="409">
        <v>18</v>
      </c>
      <c r="J23" s="303">
        <v>2400</v>
      </c>
      <c r="K23" s="304">
        <f t="shared" si="1"/>
        <v>133.33333333333334</v>
      </c>
      <c r="L23" s="409">
        <v>18</v>
      </c>
      <c r="M23" s="305">
        <f t="shared" ref="M23:M28" si="24">F23/V23*60</f>
        <v>2285.7142857142853</v>
      </c>
      <c r="N23" s="304">
        <f t="shared" si="3"/>
        <v>126.98412698412696</v>
      </c>
      <c r="O23" s="306">
        <f t="shared" si="4"/>
        <v>0</v>
      </c>
      <c r="P23" s="307">
        <f t="shared" si="5"/>
        <v>-6.3492063492063835</v>
      </c>
      <c r="Q23" s="405">
        <f t="shared" si="6"/>
        <v>0.95238095238095211</v>
      </c>
      <c r="R23" s="571">
        <f>Q29</f>
        <v>0.95737892316017326</v>
      </c>
      <c r="S23" s="308">
        <v>0.125</v>
      </c>
      <c r="T23" s="308">
        <v>0.19791666666666669</v>
      </c>
      <c r="U23" s="402"/>
      <c r="V23" s="410">
        <f t="shared" ref="V23:V28" si="25">(T23-S23)*24*60</f>
        <v>105.00000000000003</v>
      </c>
      <c r="W23" s="310">
        <f>T23</f>
        <v>0.19791666666666669</v>
      </c>
      <c r="X23" s="310">
        <f>S24</f>
        <v>0.2166666666666667</v>
      </c>
      <c r="Y23" s="570"/>
      <c r="Z23" s="570"/>
      <c r="AA23" s="306">
        <f t="shared" si="8"/>
        <v>-114.28571428571468</v>
      </c>
      <c r="AB23" s="405">
        <f t="shared" si="9"/>
        <v>0.95238095238095222</v>
      </c>
      <c r="AC23" s="571">
        <f>AB29</f>
        <v>0.95737892316017315</v>
      </c>
    </row>
    <row r="24" spans="1:29" ht="15.75" customHeight="1">
      <c r="A24" s="591" t="s">
        <v>1847</v>
      </c>
      <c r="B24" s="300" t="s">
        <v>46</v>
      </c>
      <c r="C24" s="590" t="s">
        <v>59</v>
      </c>
      <c r="D24" s="590"/>
      <c r="E24" s="300">
        <v>26.18</v>
      </c>
      <c r="F24" s="411">
        <v>2678</v>
      </c>
      <c r="G24" s="402">
        <f t="shared" si="23"/>
        <v>70110.039999999994</v>
      </c>
      <c r="H24" s="413" t="s">
        <v>35</v>
      </c>
      <c r="I24" s="409">
        <v>19</v>
      </c>
      <c r="J24" s="303">
        <v>2400</v>
      </c>
      <c r="K24" s="304">
        <f t="shared" si="1"/>
        <v>126.31578947368421</v>
      </c>
      <c r="L24" s="409">
        <v>19</v>
      </c>
      <c r="M24" s="305">
        <f t="shared" si="24"/>
        <v>2295.4285714285702</v>
      </c>
      <c r="N24" s="304">
        <f t="shared" si="3"/>
        <v>120.81203007518791</v>
      </c>
      <c r="O24" s="306">
        <f t="shared" si="4"/>
        <v>0</v>
      </c>
      <c r="P24" s="307">
        <f t="shared" si="5"/>
        <v>-5.5037593984962996</v>
      </c>
      <c r="Q24" s="405">
        <f t="shared" si="6"/>
        <v>0.95642857142857096</v>
      </c>
      <c r="R24" s="571"/>
      <c r="S24" s="308">
        <v>0.2166666666666667</v>
      </c>
      <c r="T24" s="308">
        <v>0.26527777777777783</v>
      </c>
      <c r="U24" s="402">
        <f t="shared" ref="U24:U28" si="26">(S24-T23)*24*60</f>
        <v>27.000000000000025</v>
      </c>
      <c r="V24" s="410">
        <f t="shared" si="25"/>
        <v>70.000000000000028</v>
      </c>
      <c r="W24" s="310"/>
      <c r="X24" s="310"/>
      <c r="Y24" s="570"/>
      <c r="Z24" s="570"/>
      <c r="AA24" s="306">
        <f t="shared" si="8"/>
        <v>-104.57142857142981</v>
      </c>
      <c r="AB24" s="405">
        <f t="shared" si="9"/>
        <v>0.95642857142857096</v>
      </c>
      <c r="AC24" s="571"/>
    </row>
    <row r="25" spans="1:29" ht="15.75" customHeight="1">
      <c r="A25" s="591" t="s">
        <v>1847</v>
      </c>
      <c r="B25" s="300" t="s">
        <v>46</v>
      </c>
      <c r="C25" s="590" t="s">
        <v>60</v>
      </c>
      <c r="D25" s="590"/>
      <c r="E25" s="300">
        <v>26.2</v>
      </c>
      <c r="F25" s="411">
        <v>3450</v>
      </c>
      <c r="G25" s="402">
        <f t="shared" si="23"/>
        <v>90390</v>
      </c>
      <c r="H25" s="413" t="s">
        <v>35</v>
      </c>
      <c r="I25" s="409">
        <v>19</v>
      </c>
      <c r="J25" s="303">
        <v>2400</v>
      </c>
      <c r="K25" s="304">
        <f t="shared" si="1"/>
        <v>126.31578947368421</v>
      </c>
      <c r="L25" s="409">
        <v>19</v>
      </c>
      <c r="M25" s="305">
        <f t="shared" si="24"/>
        <v>2300</v>
      </c>
      <c r="N25" s="304">
        <f t="shared" si="3"/>
        <v>121.05263157894737</v>
      </c>
      <c r="O25" s="306">
        <f t="shared" si="4"/>
        <v>0</v>
      </c>
      <c r="P25" s="307">
        <f t="shared" si="5"/>
        <v>-5.2631578947368354</v>
      </c>
      <c r="Q25" s="405">
        <f t="shared" si="6"/>
        <v>0.95833333333333337</v>
      </c>
      <c r="R25" s="571"/>
      <c r="S25" s="308">
        <v>0.26875000000000004</v>
      </c>
      <c r="T25" s="308">
        <v>0.33125000000000004</v>
      </c>
      <c r="U25" s="402">
        <f t="shared" si="26"/>
        <v>4.9999999999999822</v>
      </c>
      <c r="V25" s="410">
        <f t="shared" si="25"/>
        <v>90</v>
      </c>
      <c r="W25" s="310"/>
      <c r="X25" s="310"/>
      <c r="Y25" s="570"/>
      <c r="Z25" s="570"/>
      <c r="AA25" s="306">
        <f t="shared" si="8"/>
        <v>-100</v>
      </c>
      <c r="AB25" s="405">
        <f t="shared" si="9"/>
        <v>0.95833333333333337</v>
      </c>
      <c r="AC25" s="571"/>
    </row>
    <row r="26" spans="1:29" ht="15.75" customHeight="1">
      <c r="A26" s="591" t="s">
        <v>1847</v>
      </c>
      <c r="B26" s="300" t="s">
        <v>46</v>
      </c>
      <c r="C26" s="590" t="s">
        <v>56</v>
      </c>
      <c r="D26" s="590"/>
      <c r="E26" s="300">
        <v>26.2</v>
      </c>
      <c r="F26" s="411">
        <v>3678</v>
      </c>
      <c r="G26" s="402">
        <f t="shared" si="23"/>
        <v>96363.599999999991</v>
      </c>
      <c r="H26" s="413" t="s">
        <v>35</v>
      </c>
      <c r="I26" s="409">
        <v>20</v>
      </c>
      <c r="J26" s="303">
        <v>2400</v>
      </c>
      <c r="K26" s="304">
        <f t="shared" si="1"/>
        <v>120</v>
      </c>
      <c r="L26" s="409">
        <v>20</v>
      </c>
      <c r="M26" s="305">
        <f t="shared" si="24"/>
        <v>2298.7500000000009</v>
      </c>
      <c r="N26" s="304">
        <f t="shared" si="3"/>
        <v>114.93750000000004</v>
      </c>
      <c r="O26" s="306">
        <f t="shared" si="4"/>
        <v>0</v>
      </c>
      <c r="P26" s="307">
        <f t="shared" si="5"/>
        <v>-5.0624999999999574</v>
      </c>
      <c r="Q26" s="405">
        <f t="shared" si="6"/>
        <v>0.9578125000000004</v>
      </c>
      <c r="R26" s="571"/>
      <c r="S26" s="308">
        <v>0.33611111111111114</v>
      </c>
      <c r="T26" s="308">
        <v>0.40277777777777779</v>
      </c>
      <c r="U26" s="402">
        <f t="shared" si="26"/>
        <v>6.9999999999999751</v>
      </c>
      <c r="V26" s="410">
        <f t="shared" si="25"/>
        <v>95.999999999999972</v>
      </c>
      <c r="W26" s="310"/>
      <c r="X26" s="310"/>
      <c r="Y26" s="570"/>
      <c r="Z26" s="570"/>
      <c r="AA26" s="306">
        <f t="shared" si="8"/>
        <v>-101.24999999999909</v>
      </c>
      <c r="AB26" s="405">
        <f t="shared" si="9"/>
        <v>0.9578125000000004</v>
      </c>
      <c r="AC26" s="571"/>
    </row>
    <row r="27" spans="1:29" ht="15.75" customHeight="1">
      <c r="A27" s="591" t="s">
        <v>1847</v>
      </c>
      <c r="B27" s="300" t="s">
        <v>46</v>
      </c>
      <c r="C27" s="590" t="s">
        <v>62</v>
      </c>
      <c r="D27" s="590"/>
      <c r="E27" s="300">
        <v>25</v>
      </c>
      <c r="F27" s="411">
        <v>3356</v>
      </c>
      <c r="G27" s="402">
        <f t="shared" si="23"/>
        <v>83900</v>
      </c>
      <c r="H27" s="413" t="s">
        <v>35</v>
      </c>
      <c r="I27" s="409">
        <v>15</v>
      </c>
      <c r="J27" s="303">
        <v>2400</v>
      </c>
      <c r="K27" s="304">
        <f t="shared" si="1"/>
        <v>160</v>
      </c>
      <c r="L27" s="409">
        <v>15</v>
      </c>
      <c r="M27" s="305">
        <f t="shared" si="24"/>
        <v>2288.181818181818</v>
      </c>
      <c r="N27" s="304">
        <f t="shared" si="3"/>
        <v>152.54545454545453</v>
      </c>
      <c r="O27" s="306">
        <f t="shared" si="4"/>
        <v>0</v>
      </c>
      <c r="P27" s="307">
        <f t="shared" si="5"/>
        <v>-7.4545454545454675</v>
      </c>
      <c r="Q27" s="405">
        <f t="shared" si="6"/>
        <v>0.95340909090909087</v>
      </c>
      <c r="R27" s="571"/>
      <c r="S27" s="308">
        <v>0.40694444444444444</v>
      </c>
      <c r="T27" s="308">
        <v>0.46805555555555556</v>
      </c>
      <c r="U27" s="402">
        <f t="shared" si="26"/>
        <v>5.9999999999999787</v>
      </c>
      <c r="V27" s="410">
        <f t="shared" si="25"/>
        <v>88</v>
      </c>
      <c r="W27" s="310">
        <f>T27</f>
        <v>0.46805555555555556</v>
      </c>
      <c r="X27" s="310">
        <f>S28</f>
        <v>0.50694444444444442</v>
      </c>
      <c r="Y27" s="570"/>
      <c r="Z27" s="570"/>
      <c r="AA27" s="306">
        <f t="shared" si="8"/>
        <v>-111.81818181818198</v>
      </c>
      <c r="AB27" s="405">
        <f t="shared" si="9"/>
        <v>0.95340909090909087</v>
      </c>
      <c r="AC27" s="571"/>
    </row>
    <row r="28" spans="1:29" ht="15.75" customHeight="1">
      <c r="A28" s="591" t="s">
        <v>1847</v>
      </c>
      <c r="B28" s="300" t="s">
        <v>46</v>
      </c>
      <c r="C28" s="590" t="s">
        <v>61</v>
      </c>
      <c r="D28" s="590"/>
      <c r="E28" s="300">
        <v>31.29</v>
      </c>
      <c r="F28" s="411">
        <v>2125</v>
      </c>
      <c r="G28" s="402">
        <f t="shared" si="23"/>
        <v>66491.25</v>
      </c>
      <c r="H28" s="413" t="s">
        <v>35</v>
      </c>
      <c r="I28" s="409">
        <v>18</v>
      </c>
      <c r="J28" s="303">
        <v>2400</v>
      </c>
      <c r="K28" s="304">
        <f t="shared" si="1"/>
        <v>133.33333333333334</v>
      </c>
      <c r="L28" s="409">
        <v>18</v>
      </c>
      <c r="M28" s="305">
        <f t="shared" si="24"/>
        <v>2318.1818181818198</v>
      </c>
      <c r="N28" s="304">
        <f t="shared" si="3"/>
        <v>128.78787878787887</v>
      </c>
      <c r="O28" s="306">
        <f t="shared" si="4"/>
        <v>0</v>
      </c>
      <c r="P28" s="307">
        <f t="shared" si="5"/>
        <v>-4.5454545454544757</v>
      </c>
      <c r="Q28" s="405">
        <f t="shared" si="6"/>
        <v>0.96590909090909138</v>
      </c>
      <c r="R28" s="571"/>
      <c r="S28" s="308">
        <v>0.50694444444444442</v>
      </c>
      <c r="T28" s="308">
        <v>0.54513888888888884</v>
      </c>
      <c r="U28" s="402">
        <f t="shared" si="26"/>
        <v>55.999999999999957</v>
      </c>
      <c r="V28" s="410">
        <f t="shared" si="25"/>
        <v>54.999999999999964</v>
      </c>
      <c r="W28" s="310"/>
      <c r="X28" s="310"/>
      <c r="Y28" s="570"/>
      <c r="Z28" s="570"/>
      <c r="AA28" s="306">
        <f t="shared" si="8"/>
        <v>-81.818181818180165</v>
      </c>
      <c r="AB28" s="405">
        <f t="shared" si="9"/>
        <v>0.96590909090909161</v>
      </c>
      <c r="AC28" s="571"/>
    </row>
    <row r="29" spans="1:29" ht="15.75" customHeight="1">
      <c r="A29" s="591" t="s">
        <v>1847</v>
      </c>
      <c r="B29" s="300" t="s">
        <v>1843</v>
      </c>
      <c r="C29" s="572"/>
      <c r="D29" s="572"/>
      <c r="E29" s="406"/>
      <c r="F29" s="411"/>
      <c r="G29" s="402"/>
      <c r="H29" s="411"/>
      <c r="I29" s="314">
        <v>18.166666666666668</v>
      </c>
      <c r="J29" s="303">
        <v>2400</v>
      </c>
      <c r="K29" s="304">
        <f t="shared" si="1"/>
        <v>132.11009174311926</v>
      </c>
      <c r="L29" s="314">
        <v>18.166666666666668</v>
      </c>
      <c r="M29" s="305">
        <f>AVERAGE(M23:M28)</f>
        <v>2297.7094155844156</v>
      </c>
      <c r="N29" s="304">
        <f t="shared" si="3"/>
        <v>126.47941737161921</v>
      </c>
      <c r="O29" s="306">
        <f t="shared" si="4"/>
        <v>0</v>
      </c>
      <c r="P29" s="307">
        <f t="shared" si="5"/>
        <v>-5.6306743715000493</v>
      </c>
      <c r="Q29" s="405">
        <f t="shared" si="6"/>
        <v>0.95737892316017326</v>
      </c>
      <c r="R29" s="571"/>
      <c r="S29" s="308"/>
      <c r="T29" s="308"/>
      <c r="U29" s="402"/>
      <c r="V29" s="410"/>
      <c r="W29" s="402"/>
      <c r="X29" s="402"/>
      <c r="Y29" s="570"/>
      <c r="Z29" s="570"/>
      <c r="AA29" s="306">
        <f t="shared" si="8"/>
        <v>-102.29058441558436</v>
      </c>
      <c r="AB29" s="405">
        <f t="shared" si="9"/>
        <v>0.95737892316017315</v>
      </c>
      <c r="AC29" s="571"/>
    </row>
    <row r="30" spans="1:29" ht="15.75" customHeight="1">
      <c r="A30" s="588" t="s">
        <v>1848</v>
      </c>
      <c r="B30" s="300" t="s">
        <v>46</v>
      </c>
      <c r="C30" s="565" t="s">
        <v>63</v>
      </c>
      <c r="D30" s="565"/>
      <c r="E30" s="300">
        <v>26.2</v>
      </c>
      <c r="F30" s="411">
        <v>4912</v>
      </c>
      <c r="G30" s="402">
        <f t="shared" ref="G30:G35" si="27">E30*F30</f>
        <v>128694.39999999999</v>
      </c>
      <c r="H30" s="413" t="s">
        <v>35</v>
      </c>
      <c r="I30" s="409">
        <v>18</v>
      </c>
      <c r="J30" s="303">
        <v>2400</v>
      </c>
      <c r="K30" s="304">
        <f t="shared" si="1"/>
        <v>133.33333333333334</v>
      </c>
      <c r="L30" s="409">
        <v>18</v>
      </c>
      <c r="M30" s="305">
        <f t="shared" ref="M30:M35" si="28">F30/V30*60</f>
        <v>2302.4999999999995</v>
      </c>
      <c r="N30" s="304">
        <f t="shared" si="3"/>
        <v>127.91666666666664</v>
      </c>
      <c r="O30" s="306">
        <f t="shared" si="4"/>
        <v>0</v>
      </c>
      <c r="P30" s="307">
        <f t="shared" si="5"/>
        <v>-5.4166666666666998</v>
      </c>
      <c r="Q30" s="405">
        <f t="shared" si="6"/>
        <v>0.95937499999999976</v>
      </c>
      <c r="R30" s="571">
        <f>Q36</f>
        <v>0.95886308221293692</v>
      </c>
      <c r="S30" s="308">
        <v>0.125</v>
      </c>
      <c r="T30" s="308">
        <v>0.21388888888888891</v>
      </c>
      <c r="U30" s="402"/>
      <c r="V30" s="410">
        <f t="shared" ref="V30:V35" si="29">(T30-S30)*24*60</f>
        <v>128.00000000000003</v>
      </c>
      <c r="W30" s="315">
        <f>T30</f>
        <v>0.21388888888888891</v>
      </c>
      <c r="X30" s="315">
        <f>S31</f>
        <v>0.23402777777777781</v>
      </c>
      <c r="Y30" s="570"/>
      <c r="Z30" s="570"/>
      <c r="AA30" s="306">
        <f t="shared" si="8"/>
        <v>-97.500000000000455</v>
      </c>
      <c r="AB30" s="405">
        <f t="shared" si="9"/>
        <v>0.95937499999999976</v>
      </c>
      <c r="AC30" s="571">
        <f>AB36</f>
        <v>0.95886308221293703</v>
      </c>
    </row>
    <row r="31" spans="1:29" ht="15.75" customHeight="1">
      <c r="A31" s="588" t="s">
        <v>1848</v>
      </c>
      <c r="B31" s="300" t="s">
        <v>46</v>
      </c>
      <c r="C31" s="565" t="s">
        <v>64</v>
      </c>
      <c r="D31" s="565"/>
      <c r="E31" s="300">
        <v>26.39</v>
      </c>
      <c r="F31" s="411">
        <v>4608</v>
      </c>
      <c r="G31" s="402">
        <f t="shared" si="27"/>
        <v>121605.12</v>
      </c>
      <c r="H31" s="413" t="s">
        <v>35</v>
      </c>
      <c r="I31" s="409">
        <v>19</v>
      </c>
      <c r="J31" s="303">
        <v>2400</v>
      </c>
      <c r="K31" s="304">
        <f t="shared" si="1"/>
        <v>126.31578947368421</v>
      </c>
      <c r="L31" s="409">
        <v>19</v>
      </c>
      <c r="M31" s="305">
        <f t="shared" si="28"/>
        <v>2284.9586776859505</v>
      </c>
      <c r="N31" s="304">
        <f t="shared" si="3"/>
        <v>120.26098303610266</v>
      </c>
      <c r="O31" s="306">
        <f t="shared" si="4"/>
        <v>0</v>
      </c>
      <c r="P31" s="307">
        <f t="shared" si="5"/>
        <v>-6.0548064375815471</v>
      </c>
      <c r="Q31" s="405">
        <f t="shared" si="6"/>
        <v>0.95206611570247945</v>
      </c>
      <c r="R31" s="571"/>
      <c r="S31" s="308">
        <v>0.23402777777777781</v>
      </c>
      <c r="T31" s="308">
        <v>0.31805555555555559</v>
      </c>
      <c r="U31" s="402">
        <f t="shared" ref="U31:U35" si="30">(S31-T30)*24*60</f>
        <v>29.000000000000018</v>
      </c>
      <c r="V31" s="410">
        <f t="shared" si="29"/>
        <v>121</v>
      </c>
      <c r="W31" s="402"/>
      <c r="X31" s="402"/>
      <c r="Y31" s="570"/>
      <c r="Z31" s="570"/>
      <c r="AA31" s="306">
        <f t="shared" si="8"/>
        <v>-115.04132231404947</v>
      </c>
      <c r="AB31" s="405">
        <f t="shared" si="9"/>
        <v>0.95206611570247934</v>
      </c>
      <c r="AC31" s="571"/>
    </row>
    <row r="32" spans="1:29">
      <c r="A32" s="589" t="s">
        <v>1848</v>
      </c>
      <c r="B32" s="300" t="s">
        <v>46</v>
      </c>
      <c r="C32" s="565" t="s">
        <v>87</v>
      </c>
      <c r="D32" s="565"/>
      <c r="E32" s="300">
        <v>20.52</v>
      </c>
      <c r="F32" s="411">
        <v>3587</v>
      </c>
      <c r="G32" s="402">
        <f t="shared" si="27"/>
        <v>73605.240000000005</v>
      </c>
      <c r="H32" s="413" t="s">
        <v>35</v>
      </c>
      <c r="I32" s="409">
        <v>18</v>
      </c>
      <c r="J32" s="303">
        <v>2400</v>
      </c>
      <c r="K32" s="304">
        <f t="shared" si="1"/>
        <v>133.33333333333334</v>
      </c>
      <c r="L32" s="409">
        <v>18</v>
      </c>
      <c r="M32" s="305">
        <f t="shared" si="28"/>
        <v>2289.5744680851067</v>
      </c>
      <c r="N32" s="304">
        <f t="shared" si="3"/>
        <v>127.1985815602837</v>
      </c>
      <c r="O32" s="306">
        <f t="shared" si="4"/>
        <v>0</v>
      </c>
      <c r="P32" s="307">
        <f t="shared" si="5"/>
        <v>-6.1347517730496435</v>
      </c>
      <c r="Q32" s="405">
        <f t="shared" si="6"/>
        <v>0.95398936170212767</v>
      </c>
      <c r="R32" s="571"/>
      <c r="S32" s="308">
        <v>0.32361111111111113</v>
      </c>
      <c r="T32" s="308">
        <v>0.3888888888888889</v>
      </c>
      <c r="U32" s="402">
        <f t="shared" si="30"/>
        <v>7.9999999999999716</v>
      </c>
      <c r="V32" s="410">
        <f t="shared" si="29"/>
        <v>93.999999999999986</v>
      </c>
      <c r="W32" s="402"/>
      <c r="X32" s="402"/>
      <c r="Y32" s="570"/>
      <c r="Z32" s="570"/>
      <c r="AA32" s="306">
        <f t="shared" si="8"/>
        <v>-110.42553191489333</v>
      </c>
      <c r="AB32" s="405">
        <f t="shared" si="9"/>
        <v>0.95398936170212778</v>
      </c>
      <c r="AC32" s="571"/>
    </row>
    <row r="33" spans="1:29">
      <c r="A33" s="589" t="s">
        <v>1848</v>
      </c>
      <c r="B33" s="300" t="s">
        <v>46</v>
      </c>
      <c r="C33" s="565" t="s">
        <v>48</v>
      </c>
      <c r="D33" s="565"/>
      <c r="E33" s="300">
        <v>22.35</v>
      </c>
      <c r="F33" s="411">
        <v>1399</v>
      </c>
      <c r="G33" s="402">
        <f t="shared" si="27"/>
        <v>31267.65</v>
      </c>
      <c r="H33" s="413" t="s">
        <v>35</v>
      </c>
      <c r="I33" s="409">
        <v>16</v>
      </c>
      <c r="J33" s="303">
        <v>2400</v>
      </c>
      <c r="K33" s="304">
        <f t="shared" si="1"/>
        <v>150</v>
      </c>
      <c r="L33" s="409">
        <v>16</v>
      </c>
      <c r="M33" s="305">
        <f t="shared" si="28"/>
        <v>2331.6666666666647</v>
      </c>
      <c r="N33" s="304">
        <f t="shared" si="3"/>
        <v>145.72916666666654</v>
      </c>
      <c r="O33" s="306">
        <f t="shared" si="4"/>
        <v>0</v>
      </c>
      <c r="P33" s="307">
        <f t="shared" si="5"/>
        <v>-4.2708333333334565</v>
      </c>
      <c r="Q33" s="405">
        <f t="shared" si="6"/>
        <v>0.97152777777777699</v>
      </c>
      <c r="R33" s="571"/>
      <c r="S33" s="308">
        <v>0.39305555555555555</v>
      </c>
      <c r="T33" s="308">
        <v>0.41805555555555557</v>
      </c>
      <c r="U33" s="402">
        <f t="shared" si="30"/>
        <v>5.9999999999999787</v>
      </c>
      <c r="V33" s="410">
        <f t="shared" si="29"/>
        <v>36.000000000000028</v>
      </c>
      <c r="W33" s="310"/>
      <c r="X33" s="310"/>
      <c r="Y33" s="570"/>
      <c r="Z33" s="570"/>
      <c r="AA33" s="306">
        <f t="shared" si="8"/>
        <v>-68.333333333335304</v>
      </c>
      <c r="AB33" s="405">
        <f t="shared" si="9"/>
        <v>0.97152777777777699</v>
      </c>
      <c r="AC33" s="571"/>
    </row>
    <row r="34" spans="1:29">
      <c r="A34" s="589" t="s">
        <v>1848</v>
      </c>
      <c r="B34" s="300" t="s">
        <v>46</v>
      </c>
      <c r="C34" s="565" t="s">
        <v>65</v>
      </c>
      <c r="D34" s="565"/>
      <c r="E34" s="300">
        <v>24.43</v>
      </c>
      <c r="F34" s="411">
        <v>4000</v>
      </c>
      <c r="G34" s="402">
        <f t="shared" si="27"/>
        <v>97720</v>
      </c>
      <c r="H34" s="413">
        <v>2</v>
      </c>
      <c r="I34" s="409">
        <v>15</v>
      </c>
      <c r="J34" s="303">
        <v>2400</v>
      </c>
      <c r="K34" s="304">
        <f t="shared" si="1"/>
        <v>160</v>
      </c>
      <c r="L34" s="409">
        <v>15</v>
      </c>
      <c r="M34" s="305">
        <f t="shared" si="28"/>
        <v>2285.7142857142853</v>
      </c>
      <c r="N34" s="304">
        <f t="shared" si="3"/>
        <v>152.38095238095235</v>
      </c>
      <c r="O34" s="306">
        <f t="shared" si="4"/>
        <v>0</v>
      </c>
      <c r="P34" s="307">
        <f t="shared" si="5"/>
        <v>-7.6190476190476488</v>
      </c>
      <c r="Q34" s="405">
        <f t="shared" si="6"/>
        <v>0.95238095238095222</v>
      </c>
      <c r="R34" s="571"/>
      <c r="S34" s="308">
        <v>0.4236111111111111</v>
      </c>
      <c r="T34" s="308">
        <v>0.49652777777777779</v>
      </c>
      <c r="U34" s="402">
        <f t="shared" si="30"/>
        <v>7.9999999999999716</v>
      </c>
      <c r="V34" s="410">
        <f t="shared" si="29"/>
        <v>105.00000000000003</v>
      </c>
      <c r="W34" s="315">
        <f>T34</f>
        <v>0.49652777777777779</v>
      </c>
      <c r="X34" s="315">
        <f>S35</f>
        <v>0.53749999999999998</v>
      </c>
      <c r="Y34" s="570"/>
      <c r="Z34" s="570"/>
      <c r="AA34" s="306">
        <f t="shared" si="8"/>
        <v>-114.28571428571468</v>
      </c>
      <c r="AB34" s="405">
        <f t="shared" si="9"/>
        <v>0.95238095238095222</v>
      </c>
      <c r="AC34" s="571"/>
    </row>
    <row r="35" spans="1:29">
      <c r="A35" s="589" t="s">
        <v>1848</v>
      </c>
      <c r="B35" s="300" t="s">
        <v>46</v>
      </c>
      <c r="C35" s="565" t="s">
        <v>65</v>
      </c>
      <c r="D35" s="565"/>
      <c r="E35" s="300">
        <v>24.43</v>
      </c>
      <c r="F35" s="411">
        <v>2159</v>
      </c>
      <c r="G35" s="402">
        <f t="shared" si="27"/>
        <v>52744.37</v>
      </c>
      <c r="H35" s="413" t="s">
        <v>35</v>
      </c>
      <c r="I35" s="409">
        <v>15</v>
      </c>
      <c r="J35" s="303">
        <v>2400</v>
      </c>
      <c r="K35" s="304">
        <f t="shared" si="1"/>
        <v>160</v>
      </c>
      <c r="L35" s="409">
        <v>15</v>
      </c>
      <c r="M35" s="305">
        <f t="shared" si="28"/>
        <v>2313.2142857142876</v>
      </c>
      <c r="N35" s="304">
        <f t="shared" si="3"/>
        <v>154.21428571428584</v>
      </c>
      <c r="O35" s="306">
        <f t="shared" si="4"/>
        <v>0</v>
      </c>
      <c r="P35" s="307">
        <f t="shared" si="5"/>
        <v>-5.7857142857141639</v>
      </c>
      <c r="Q35" s="405">
        <f t="shared" si="6"/>
        <v>0.96383928571428645</v>
      </c>
      <c r="R35" s="571"/>
      <c r="S35" s="308">
        <v>0.53749999999999998</v>
      </c>
      <c r="T35" s="308">
        <v>0.57638888888888884</v>
      </c>
      <c r="U35" s="402">
        <f t="shared" si="30"/>
        <v>58.99999999999995</v>
      </c>
      <c r="V35" s="410">
        <f t="shared" si="29"/>
        <v>55.999999999999957</v>
      </c>
      <c r="W35" s="310"/>
      <c r="X35" s="310"/>
      <c r="Y35" s="570"/>
      <c r="Z35" s="570"/>
      <c r="AA35" s="306">
        <f t="shared" si="8"/>
        <v>-86.785714285712402</v>
      </c>
      <c r="AB35" s="405">
        <f t="shared" si="9"/>
        <v>0.96383928571428645</v>
      </c>
      <c r="AC35" s="571"/>
    </row>
    <row r="36" spans="1:29">
      <c r="A36" s="589" t="s">
        <v>1848</v>
      </c>
      <c r="B36" s="313" t="s">
        <v>1843</v>
      </c>
      <c r="C36" s="572"/>
      <c r="D36" s="572"/>
      <c r="E36" s="406"/>
      <c r="F36" s="313"/>
      <c r="G36" s="304"/>
      <c r="H36" s="411"/>
      <c r="I36" s="314">
        <v>16.833333333333332</v>
      </c>
      <c r="J36" s="303">
        <v>2400</v>
      </c>
      <c r="K36" s="304">
        <f t="shared" si="1"/>
        <v>142.57425742574259</v>
      </c>
      <c r="L36" s="314">
        <v>16.833333333333332</v>
      </c>
      <c r="M36" s="305">
        <f>AVERAGE(M30:M35)</f>
        <v>2301.271397311049</v>
      </c>
      <c r="N36" s="304">
        <f t="shared" si="3"/>
        <v>136.70919191946825</v>
      </c>
      <c r="O36" s="306">
        <f t="shared" si="4"/>
        <v>0</v>
      </c>
      <c r="P36" s="307">
        <f t="shared" si="5"/>
        <v>-5.865065506274334</v>
      </c>
      <c r="Q36" s="405">
        <f t="shared" si="6"/>
        <v>0.95886308221293692</v>
      </c>
      <c r="R36" s="571"/>
      <c r="S36" s="308"/>
      <c r="T36" s="308"/>
      <c r="U36" s="304"/>
      <c r="V36" s="410"/>
      <c r="W36" s="304"/>
      <c r="X36" s="304"/>
      <c r="Y36" s="570"/>
      <c r="Z36" s="570"/>
      <c r="AA36" s="306">
        <f t="shared" si="8"/>
        <v>-98.728602688951014</v>
      </c>
      <c r="AB36" s="405">
        <f t="shared" si="9"/>
        <v>0.95886308221293703</v>
      </c>
      <c r="AC36" s="571"/>
    </row>
    <row r="37" spans="1:29" ht="15.75" customHeight="1">
      <c r="A37" s="585" t="s">
        <v>1849</v>
      </c>
      <c r="B37" s="300" t="s">
        <v>67</v>
      </c>
      <c r="C37" s="580" t="s">
        <v>68</v>
      </c>
      <c r="D37" s="581"/>
      <c r="E37" s="300">
        <v>21.13</v>
      </c>
      <c r="F37" s="411">
        <v>4350</v>
      </c>
      <c r="G37" s="402">
        <f t="shared" ref="G37:G42" si="31">E37*F37</f>
        <v>91915.5</v>
      </c>
      <c r="H37" s="413" t="s">
        <v>35</v>
      </c>
      <c r="I37" s="409">
        <v>10</v>
      </c>
      <c r="J37" s="303">
        <v>3000</v>
      </c>
      <c r="K37" s="304">
        <f t="shared" si="1"/>
        <v>300</v>
      </c>
      <c r="L37" s="409">
        <v>10</v>
      </c>
      <c r="M37" s="305">
        <f t="shared" ref="M37:M42" si="32">F37/V37*60</f>
        <v>2868.1318681318671</v>
      </c>
      <c r="N37" s="305">
        <f t="shared" si="3"/>
        <v>286.81318681318669</v>
      </c>
      <c r="O37" s="306">
        <f t="shared" si="4"/>
        <v>0</v>
      </c>
      <c r="P37" s="307">
        <f t="shared" si="5"/>
        <v>-13.18681318681331</v>
      </c>
      <c r="Q37" s="405">
        <f t="shared" si="6"/>
        <v>0.95604395604395565</v>
      </c>
      <c r="R37" s="582">
        <f>Q43</f>
        <v>0.95930202956839705</v>
      </c>
      <c r="S37" s="308">
        <v>0.20833333333333334</v>
      </c>
      <c r="T37" s="308">
        <v>0.27152777777777781</v>
      </c>
      <c r="U37" s="315"/>
      <c r="V37" s="410">
        <f t="shared" ref="V37:V42" si="33">(T37-S37)*24*60</f>
        <v>91.000000000000043</v>
      </c>
      <c r="W37" s="310"/>
      <c r="X37" s="310"/>
      <c r="Y37" s="566"/>
      <c r="Z37" s="567"/>
      <c r="AA37" s="306">
        <f t="shared" si="8"/>
        <v>-131.86813186813288</v>
      </c>
      <c r="AB37" s="405">
        <f t="shared" si="9"/>
        <v>0.95604395604395576</v>
      </c>
      <c r="AC37" s="582">
        <f>AB43</f>
        <v>0.95930202956839705</v>
      </c>
    </row>
    <row r="38" spans="1:29" ht="15.75" customHeight="1">
      <c r="A38" s="586" t="s">
        <v>1849</v>
      </c>
      <c r="B38" s="300" t="s">
        <v>67</v>
      </c>
      <c r="C38" s="580" t="s">
        <v>69</v>
      </c>
      <c r="D38" s="581"/>
      <c r="E38" s="300">
        <v>27.17</v>
      </c>
      <c r="F38" s="411">
        <v>5436</v>
      </c>
      <c r="G38" s="402">
        <f t="shared" si="31"/>
        <v>147696.12</v>
      </c>
      <c r="H38" s="413" t="s">
        <v>35</v>
      </c>
      <c r="I38" s="409">
        <v>10</v>
      </c>
      <c r="J38" s="303">
        <v>3000</v>
      </c>
      <c r="K38" s="304">
        <f t="shared" si="1"/>
        <v>300</v>
      </c>
      <c r="L38" s="409">
        <v>10</v>
      </c>
      <c r="M38" s="305">
        <f t="shared" si="32"/>
        <v>2861.0526315789471</v>
      </c>
      <c r="N38" s="305">
        <f t="shared" si="3"/>
        <v>286.10526315789468</v>
      </c>
      <c r="O38" s="306">
        <f t="shared" si="4"/>
        <v>0</v>
      </c>
      <c r="P38" s="307">
        <f t="shared" si="5"/>
        <v>-13.894736842105317</v>
      </c>
      <c r="Q38" s="405">
        <f t="shared" si="6"/>
        <v>0.95368421052631558</v>
      </c>
      <c r="R38" s="583"/>
      <c r="S38" s="308">
        <v>0.27638888888888891</v>
      </c>
      <c r="T38" s="308">
        <v>0.35555555555555557</v>
      </c>
      <c r="U38" s="402">
        <f t="shared" ref="U38:U42" si="34">(S38-T37)*24*60</f>
        <v>6.9999999999999751</v>
      </c>
      <c r="V38" s="410">
        <f t="shared" si="33"/>
        <v>114</v>
      </c>
      <c r="W38" s="310"/>
      <c r="X38" s="310"/>
      <c r="Y38" s="566"/>
      <c r="Z38" s="567"/>
      <c r="AA38" s="306">
        <f t="shared" si="8"/>
        <v>-138.94736842105294</v>
      </c>
      <c r="AB38" s="405">
        <f t="shared" si="9"/>
        <v>0.95368421052631569</v>
      </c>
      <c r="AC38" s="583"/>
    </row>
    <row r="39" spans="1:29" ht="15.75" customHeight="1">
      <c r="A39" s="586" t="s">
        <v>1849</v>
      </c>
      <c r="B39" s="300" t="s">
        <v>67</v>
      </c>
      <c r="C39" s="580" t="s">
        <v>70</v>
      </c>
      <c r="D39" s="581"/>
      <c r="E39" s="300">
        <v>35.119999999999997</v>
      </c>
      <c r="F39" s="411">
        <v>3945</v>
      </c>
      <c r="G39" s="402">
        <f t="shared" si="31"/>
        <v>138548.4</v>
      </c>
      <c r="H39" s="413" t="s">
        <v>35</v>
      </c>
      <c r="I39" s="409">
        <v>10</v>
      </c>
      <c r="J39" s="303">
        <v>3000</v>
      </c>
      <c r="K39" s="304">
        <f t="shared" si="1"/>
        <v>300</v>
      </c>
      <c r="L39" s="409">
        <v>10</v>
      </c>
      <c r="M39" s="305">
        <f t="shared" si="32"/>
        <v>2886.5853658536575</v>
      </c>
      <c r="N39" s="305">
        <f t="shared" si="3"/>
        <v>288.65853658536577</v>
      </c>
      <c r="O39" s="306">
        <f t="shared" si="4"/>
        <v>0</v>
      </c>
      <c r="P39" s="307">
        <f t="shared" si="5"/>
        <v>-11.341463414634234</v>
      </c>
      <c r="Q39" s="405">
        <f t="shared" si="6"/>
        <v>0.96219512195121926</v>
      </c>
      <c r="R39" s="583"/>
      <c r="S39" s="308">
        <v>0.35972222222222222</v>
      </c>
      <c r="T39" s="308">
        <v>0.41666666666666669</v>
      </c>
      <c r="U39" s="402">
        <f t="shared" si="34"/>
        <v>5.9999999999999787</v>
      </c>
      <c r="V39" s="410">
        <f t="shared" si="33"/>
        <v>82.000000000000028</v>
      </c>
      <c r="W39" s="310"/>
      <c r="X39" s="310"/>
      <c r="Y39" s="566"/>
      <c r="Z39" s="567"/>
      <c r="AA39" s="306">
        <f t="shared" si="8"/>
        <v>-113.41463414634245</v>
      </c>
      <c r="AB39" s="405">
        <f t="shared" si="9"/>
        <v>0.96219512195121915</v>
      </c>
      <c r="AC39" s="583"/>
    </row>
    <row r="40" spans="1:29" ht="15.75" customHeight="1">
      <c r="A40" s="586" t="s">
        <v>1849</v>
      </c>
      <c r="B40" s="300" t="s">
        <v>67</v>
      </c>
      <c r="C40" s="580" t="s">
        <v>71</v>
      </c>
      <c r="D40" s="581"/>
      <c r="E40" s="300">
        <v>35.869999999999997</v>
      </c>
      <c r="F40" s="411">
        <v>2580</v>
      </c>
      <c r="G40" s="402">
        <f t="shared" si="31"/>
        <v>92544.599999999991</v>
      </c>
      <c r="H40" s="413" t="s">
        <v>35</v>
      </c>
      <c r="I40" s="409">
        <v>10</v>
      </c>
      <c r="J40" s="303">
        <v>3000</v>
      </c>
      <c r="K40" s="304">
        <f t="shared" si="1"/>
        <v>300</v>
      </c>
      <c r="L40" s="409">
        <v>10</v>
      </c>
      <c r="M40" s="305">
        <f t="shared" si="32"/>
        <v>2866.6666666666679</v>
      </c>
      <c r="N40" s="305">
        <f t="shared" si="3"/>
        <v>286.6666666666668</v>
      </c>
      <c r="O40" s="306">
        <f t="shared" si="4"/>
        <v>0</v>
      </c>
      <c r="P40" s="307">
        <f t="shared" si="5"/>
        <v>-13.333333333333201</v>
      </c>
      <c r="Q40" s="405">
        <f t="shared" si="6"/>
        <v>0.95555555555555605</v>
      </c>
      <c r="R40" s="583"/>
      <c r="S40" s="308">
        <v>0.42222222222222222</v>
      </c>
      <c r="T40" s="308">
        <v>0.4597222222222222</v>
      </c>
      <c r="U40" s="402">
        <f t="shared" si="34"/>
        <v>7.9999999999999716</v>
      </c>
      <c r="V40" s="410">
        <f t="shared" si="33"/>
        <v>53.999999999999972</v>
      </c>
      <c r="W40" s="310"/>
      <c r="X40" s="310"/>
      <c r="Y40" s="566"/>
      <c r="Z40" s="567"/>
      <c r="AA40" s="306">
        <f t="shared" si="8"/>
        <v>-133.33333333333212</v>
      </c>
      <c r="AB40" s="405">
        <f t="shared" si="9"/>
        <v>0.95555555555555594</v>
      </c>
      <c r="AC40" s="583"/>
    </row>
    <row r="41" spans="1:29" ht="15.75" customHeight="1">
      <c r="A41" s="586" t="s">
        <v>1849</v>
      </c>
      <c r="B41" s="300" t="s">
        <v>67</v>
      </c>
      <c r="C41" s="580" t="s">
        <v>72</v>
      </c>
      <c r="D41" s="581"/>
      <c r="E41" s="300">
        <v>36.14</v>
      </c>
      <c r="F41" s="411">
        <v>1460</v>
      </c>
      <c r="G41" s="402">
        <f t="shared" si="31"/>
        <v>52764.4</v>
      </c>
      <c r="H41" s="413" t="s">
        <v>35</v>
      </c>
      <c r="I41" s="409">
        <v>8</v>
      </c>
      <c r="J41" s="303">
        <v>3000</v>
      </c>
      <c r="K41" s="304">
        <f t="shared" si="1"/>
        <v>375</v>
      </c>
      <c r="L41" s="409">
        <v>8</v>
      </c>
      <c r="M41" s="305">
        <f t="shared" si="32"/>
        <v>2920.0000000000027</v>
      </c>
      <c r="N41" s="305">
        <f t="shared" si="3"/>
        <v>365.00000000000034</v>
      </c>
      <c r="O41" s="306">
        <f t="shared" si="4"/>
        <v>0</v>
      </c>
      <c r="P41" s="307">
        <f t="shared" si="5"/>
        <v>-9.9999999999996589</v>
      </c>
      <c r="Q41" s="405">
        <f t="shared" si="6"/>
        <v>0.97333333333333427</v>
      </c>
      <c r="R41" s="583"/>
      <c r="S41" s="308">
        <v>0.46319444444444441</v>
      </c>
      <c r="T41" s="308">
        <v>0.48402777777777772</v>
      </c>
      <c r="U41" s="402">
        <f t="shared" si="34"/>
        <v>4.9999999999999822</v>
      </c>
      <c r="V41" s="410">
        <f t="shared" si="33"/>
        <v>29.999999999999972</v>
      </c>
      <c r="W41" s="310"/>
      <c r="X41" s="310"/>
      <c r="Y41" s="566"/>
      <c r="Z41" s="567"/>
      <c r="AA41" s="306">
        <f t="shared" si="8"/>
        <v>-79.999999999997272</v>
      </c>
      <c r="AB41" s="405">
        <f t="shared" si="9"/>
        <v>0.97333333333333427</v>
      </c>
      <c r="AC41" s="583"/>
    </row>
    <row r="42" spans="1:29" ht="15.75" customHeight="1">
      <c r="A42" s="586" t="s">
        <v>1849</v>
      </c>
      <c r="B42" s="300" t="s">
        <v>67</v>
      </c>
      <c r="C42" s="580" t="s">
        <v>664</v>
      </c>
      <c r="D42" s="581"/>
      <c r="E42" s="300">
        <v>34.36</v>
      </c>
      <c r="F42" s="411">
        <v>3056</v>
      </c>
      <c r="G42" s="402">
        <f t="shared" si="31"/>
        <v>105004.16</v>
      </c>
      <c r="H42" s="413" t="s">
        <v>35</v>
      </c>
      <c r="I42" s="409">
        <v>10</v>
      </c>
      <c r="J42" s="303">
        <v>3000</v>
      </c>
      <c r="K42" s="304">
        <f t="shared" si="1"/>
        <v>300</v>
      </c>
      <c r="L42" s="409">
        <v>10</v>
      </c>
      <c r="M42" s="305">
        <f t="shared" si="32"/>
        <v>2865.0000000000032</v>
      </c>
      <c r="N42" s="305">
        <f t="shared" si="3"/>
        <v>286.50000000000034</v>
      </c>
      <c r="O42" s="306">
        <f t="shared" si="4"/>
        <v>0</v>
      </c>
      <c r="P42" s="307">
        <f t="shared" si="5"/>
        <v>-13.499999999999659</v>
      </c>
      <c r="Q42" s="405">
        <f t="shared" si="6"/>
        <v>0.95500000000000118</v>
      </c>
      <c r="R42" s="583"/>
      <c r="S42" s="308">
        <v>0.48749999999999993</v>
      </c>
      <c r="T42" s="308">
        <v>0.53194444444444433</v>
      </c>
      <c r="U42" s="402">
        <f t="shared" si="34"/>
        <v>4.9999999999999822</v>
      </c>
      <c r="V42" s="410">
        <f t="shared" si="33"/>
        <v>63.999999999999929</v>
      </c>
      <c r="W42" s="310"/>
      <c r="X42" s="310"/>
      <c r="Y42" s="566"/>
      <c r="Z42" s="567"/>
      <c r="AA42" s="306">
        <f t="shared" si="8"/>
        <v>-134.99999999999682</v>
      </c>
      <c r="AB42" s="405">
        <f t="shared" si="9"/>
        <v>0.95500000000000107</v>
      </c>
      <c r="AC42" s="583"/>
    </row>
    <row r="43" spans="1:29" ht="15.75" customHeight="1">
      <c r="A43" s="587" t="s">
        <v>1849</v>
      </c>
      <c r="B43" s="300" t="s">
        <v>1843</v>
      </c>
      <c r="C43" s="568"/>
      <c r="D43" s="569"/>
      <c r="E43" s="401"/>
      <c r="F43" s="411"/>
      <c r="G43" s="402"/>
      <c r="H43" s="411"/>
      <c r="I43" s="314">
        <v>9.6666666666666661</v>
      </c>
      <c r="J43" s="303">
        <v>3000</v>
      </c>
      <c r="K43" s="304">
        <f t="shared" si="1"/>
        <v>310.34482758620692</v>
      </c>
      <c r="L43" s="314">
        <v>9.6666666666666661</v>
      </c>
      <c r="M43" s="305">
        <f>AVERAGE(M37:M42)</f>
        <v>2877.906088705191</v>
      </c>
      <c r="N43" s="304">
        <f t="shared" si="3"/>
        <v>297.71442296950255</v>
      </c>
      <c r="O43" s="306">
        <f t="shared" si="4"/>
        <v>0</v>
      </c>
      <c r="P43" s="307">
        <f t="shared" si="5"/>
        <v>-12.630404616704368</v>
      </c>
      <c r="Q43" s="405">
        <f t="shared" si="6"/>
        <v>0.95930202956839705</v>
      </c>
      <c r="R43" s="584"/>
      <c r="S43" s="308"/>
      <c r="T43" s="308"/>
      <c r="U43" s="402"/>
      <c r="V43" s="410"/>
      <c r="W43" s="310"/>
      <c r="X43" s="310"/>
      <c r="Y43" s="566"/>
      <c r="Z43" s="567"/>
      <c r="AA43" s="306">
        <f t="shared" si="8"/>
        <v>-122.093911294809</v>
      </c>
      <c r="AB43" s="405">
        <f t="shared" si="9"/>
        <v>0.95930202956839705</v>
      </c>
      <c r="AC43" s="584"/>
    </row>
    <row r="44" spans="1:29" ht="15.75" customHeight="1">
      <c r="A44" s="578" t="s">
        <v>1850</v>
      </c>
      <c r="B44" s="300" t="s">
        <v>40</v>
      </c>
      <c r="C44" s="565" t="s">
        <v>73</v>
      </c>
      <c r="D44" s="565"/>
      <c r="E44" s="300">
        <v>46</v>
      </c>
      <c r="F44" s="317">
        <v>1990</v>
      </c>
      <c r="G44" s="402">
        <f t="shared" ref="G44:G47" si="35">E44*F44</f>
        <v>91540</v>
      </c>
      <c r="H44" s="413" t="s">
        <v>35</v>
      </c>
      <c r="I44" s="409">
        <v>17</v>
      </c>
      <c r="J44" s="303">
        <v>2000</v>
      </c>
      <c r="K44" s="304">
        <f t="shared" si="1"/>
        <v>117.64705882352941</v>
      </c>
      <c r="L44" s="409">
        <v>17</v>
      </c>
      <c r="M44" s="305">
        <f t="shared" ref="M44:M47" si="36">F44/V44*60</f>
        <v>1925.8064516129027</v>
      </c>
      <c r="N44" s="305">
        <f t="shared" si="3"/>
        <v>113.28273244781781</v>
      </c>
      <c r="O44" s="306">
        <f t="shared" si="4"/>
        <v>0</v>
      </c>
      <c r="P44" s="307">
        <f t="shared" si="5"/>
        <v>-4.3643263757115989</v>
      </c>
      <c r="Q44" s="405">
        <f t="shared" si="6"/>
        <v>0.96290322580645138</v>
      </c>
      <c r="R44" s="571">
        <f>Q48</f>
        <v>0.95600132280921912</v>
      </c>
      <c r="S44" s="308">
        <v>0.29166666666666669</v>
      </c>
      <c r="T44" s="308">
        <v>0.33472222222222225</v>
      </c>
      <c r="U44" s="315"/>
      <c r="V44" s="410">
        <f t="shared" ref="V44:V47" si="37">(T44-S44)*24*60</f>
        <v>62.000000000000021</v>
      </c>
      <c r="W44" s="315"/>
      <c r="X44" s="315"/>
      <c r="Y44" s="570"/>
      <c r="Z44" s="570"/>
      <c r="AA44" s="306">
        <f t="shared" si="8"/>
        <v>-74.19354838709728</v>
      </c>
      <c r="AB44" s="405">
        <f t="shared" si="9"/>
        <v>0.96290322580645138</v>
      </c>
      <c r="AC44" s="571">
        <f>AB48</f>
        <v>0.95600132280921912</v>
      </c>
    </row>
    <row r="45" spans="1:29" ht="15.75" customHeight="1">
      <c r="A45" s="578" t="s">
        <v>1850</v>
      </c>
      <c r="B45" s="300" t="s">
        <v>40</v>
      </c>
      <c r="C45" s="565" t="s">
        <v>74</v>
      </c>
      <c r="D45" s="565"/>
      <c r="E45" s="300">
        <v>46</v>
      </c>
      <c r="F45" s="317">
        <v>2123</v>
      </c>
      <c r="G45" s="402">
        <f t="shared" si="35"/>
        <v>97658</v>
      </c>
      <c r="H45" s="413" t="s">
        <v>35</v>
      </c>
      <c r="I45" s="409">
        <v>17</v>
      </c>
      <c r="J45" s="303">
        <v>2000</v>
      </c>
      <c r="K45" s="304">
        <f t="shared" si="1"/>
        <v>117.64705882352941</v>
      </c>
      <c r="L45" s="409">
        <v>17</v>
      </c>
      <c r="M45" s="305">
        <f t="shared" si="36"/>
        <v>1901.1940298507463</v>
      </c>
      <c r="N45" s="305">
        <f t="shared" si="3"/>
        <v>111.83494293239684</v>
      </c>
      <c r="O45" s="306">
        <f t="shared" si="4"/>
        <v>0</v>
      </c>
      <c r="P45" s="307">
        <f t="shared" si="5"/>
        <v>-5.8121158911325637</v>
      </c>
      <c r="Q45" s="405">
        <f t="shared" si="6"/>
        <v>0.95059701492537318</v>
      </c>
      <c r="R45" s="571"/>
      <c r="S45" s="308">
        <v>0.33958333333333335</v>
      </c>
      <c r="T45" s="308">
        <v>0.38611111111111113</v>
      </c>
      <c r="U45" s="402">
        <f t="shared" ref="U45:U47" si="38">IF(S45=TIME(17,0,0),"",(S45-T44)*24*60)</f>
        <v>6.9999999999999751</v>
      </c>
      <c r="V45" s="410">
        <f t="shared" si="37"/>
        <v>67</v>
      </c>
      <c r="W45" s="310"/>
      <c r="X45" s="310"/>
      <c r="Y45" s="570"/>
      <c r="Z45" s="570"/>
      <c r="AA45" s="306">
        <f t="shared" si="8"/>
        <v>-98.805970149253653</v>
      </c>
      <c r="AB45" s="405">
        <f t="shared" si="9"/>
        <v>0.95059701492537318</v>
      </c>
      <c r="AC45" s="571"/>
    </row>
    <row r="46" spans="1:29" ht="15.75" customHeight="1">
      <c r="A46" s="578" t="s">
        <v>1850</v>
      </c>
      <c r="B46" s="300" t="s">
        <v>36</v>
      </c>
      <c r="C46" s="580" t="s">
        <v>76</v>
      </c>
      <c r="D46" s="581"/>
      <c r="E46" s="300">
        <v>55.56</v>
      </c>
      <c r="F46" s="317">
        <v>2107</v>
      </c>
      <c r="G46" s="402">
        <f t="shared" si="35"/>
        <v>117064.92</v>
      </c>
      <c r="H46" s="413" t="s">
        <v>35</v>
      </c>
      <c r="I46" s="409">
        <v>17</v>
      </c>
      <c r="J46" s="303">
        <v>2000</v>
      </c>
      <c r="K46" s="304">
        <f t="shared" si="1"/>
        <v>117.64705882352941</v>
      </c>
      <c r="L46" s="409">
        <v>17</v>
      </c>
      <c r="M46" s="305">
        <f t="shared" si="36"/>
        <v>1915.4545454545475</v>
      </c>
      <c r="N46" s="305">
        <f t="shared" si="3"/>
        <v>112.67379679144398</v>
      </c>
      <c r="O46" s="306">
        <f t="shared" si="4"/>
        <v>0</v>
      </c>
      <c r="P46" s="307">
        <f t="shared" si="5"/>
        <v>-4.9732620320854295</v>
      </c>
      <c r="Q46" s="405">
        <f t="shared" si="6"/>
        <v>0.95772727272727387</v>
      </c>
      <c r="R46" s="571"/>
      <c r="S46" s="308">
        <v>0.70833333333333337</v>
      </c>
      <c r="T46" s="308">
        <v>0.75416666666666665</v>
      </c>
      <c r="U46" s="402" t="str">
        <f t="shared" si="38"/>
        <v/>
      </c>
      <c r="V46" s="410">
        <f t="shared" si="37"/>
        <v>65.999999999999929</v>
      </c>
      <c r="W46" s="310"/>
      <c r="X46" s="310"/>
      <c r="Y46" s="403"/>
      <c r="Z46" s="404"/>
      <c r="AA46" s="306">
        <f t="shared" si="8"/>
        <v>-84.545454545452458</v>
      </c>
      <c r="AB46" s="405">
        <f t="shared" si="9"/>
        <v>0.95772727272727376</v>
      </c>
      <c r="AC46" s="571"/>
    </row>
    <row r="47" spans="1:29" ht="15.75" customHeight="1">
      <c r="A47" s="578" t="s">
        <v>1850</v>
      </c>
      <c r="B47" s="300" t="s">
        <v>36</v>
      </c>
      <c r="C47" s="407" t="s">
        <v>77</v>
      </c>
      <c r="D47" s="408"/>
      <c r="E47" s="300">
        <v>55.32</v>
      </c>
      <c r="F47" s="317">
        <v>1715</v>
      </c>
      <c r="G47" s="402">
        <f t="shared" si="35"/>
        <v>94873.8</v>
      </c>
      <c r="H47" s="413" t="s">
        <v>35</v>
      </c>
      <c r="I47" s="409">
        <v>15</v>
      </c>
      <c r="J47" s="303">
        <v>2000</v>
      </c>
      <c r="K47" s="304">
        <f t="shared" si="1"/>
        <v>133.33333333333334</v>
      </c>
      <c r="L47" s="409">
        <v>15</v>
      </c>
      <c r="M47" s="305">
        <f t="shared" si="36"/>
        <v>1905.5555555555566</v>
      </c>
      <c r="N47" s="305">
        <f t="shared" si="3"/>
        <v>127.03703703703711</v>
      </c>
      <c r="O47" s="306">
        <f t="shared" si="4"/>
        <v>0</v>
      </c>
      <c r="P47" s="307">
        <f t="shared" si="5"/>
        <v>-6.2962962962962337</v>
      </c>
      <c r="Q47" s="405">
        <f t="shared" si="6"/>
        <v>0.95277777777777828</v>
      </c>
      <c r="R47" s="571"/>
      <c r="S47" s="308">
        <v>0.75902777777777775</v>
      </c>
      <c r="T47" s="308">
        <v>0.79652777777777772</v>
      </c>
      <c r="U47" s="402">
        <f t="shared" si="38"/>
        <v>6.9999999999999751</v>
      </c>
      <c r="V47" s="410">
        <f t="shared" si="37"/>
        <v>53.999999999999972</v>
      </c>
      <c r="W47" s="310"/>
      <c r="X47" s="310"/>
      <c r="Y47" s="403"/>
      <c r="Z47" s="404"/>
      <c r="AA47" s="306">
        <f t="shared" si="8"/>
        <v>-94.444444444443434</v>
      </c>
      <c r="AB47" s="405">
        <f t="shared" si="9"/>
        <v>0.95277777777777828</v>
      </c>
      <c r="AC47" s="571"/>
    </row>
    <row r="48" spans="1:29">
      <c r="A48" s="579" t="s">
        <v>1850</v>
      </c>
      <c r="B48" s="300" t="s">
        <v>1843</v>
      </c>
      <c r="C48" s="572"/>
      <c r="D48" s="572"/>
      <c r="E48" s="406"/>
      <c r="F48" s="313"/>
      <c r="G48" s="304"/>
      <c r="H48" s="411"/>
      <c r="I48" s="314">
        <v>16.5</v>
      </c>
      <c r="J48" s="303">
        <v>2000</v>
      </c>
      <c r="K48" s="304">
        <f t="shared" si="1"/>
        <v>121.21212121212122</v>
      </c>
      <c r="L48" s="314">
        <v>16.5</v>
      </c>
      <c r="M48" s="305">
        <f>AVERAGE(M44:M47)</f>
        <v>1912.0026456184382</v>
      </c>
      <c r="N48" s="304">
        <f t="shared" si="3"/>
        <v>115.87894821929929</v>
      </c>
      <c r="O48" s="306">
        <f t="shared" si="4"/>
        <v>0</v>
      </c>
      <c r="P48" s="307">
        <f t="shared" si="5"/>
        <v>-5.3331729928219289</v>
      </c>
      <c r="Q48" s="405">
        <f t="shared" si="6"/>
        <v>0.95600132280921912</v>
      </c>
      <c r="R48" s="571"/>
      <c r="S48" s="322"/>
      <c r="T48" s="308"/>
      <c r="U48" s="304"/>
      <c r="V48" s="410"/>
      <c r="W48" s="304"/>
      <c r="X48" s="304"/>
      <c r="Y48" s="570"/>
      <c r="Z48" s="570"/>
      <c r="AA48" s="306">
        <f t="shared" si="8"/>
        <v>-87.997354381561763</v>
      </c>
      <c r="AB48" s="405">
        <f t="shared" si="9"/>
        <v>0.95600132280921912</v>
      </c>
      <c r="AC48" s="571"/>
    </row>
    <row r="49" spans="1:29" ht="15.75" customHeight="1">
      <c r="A49" s="576" t="s">
        <v>1851</v>
      </c>
      <c r="B49" s="411" t="s">
        <v>40</v>
      </c>
      <c r="C49" s="565" t="s">
        <v>82</v>
      </c>
      <c r="D49" s="565"/>
      <c r="E49" s="300">
        <v>26.97</v>
      </c>
      <c r="F49" s="317">
        <v>2445</v>
      </c>
      <c r="G49" s="402">
        <f t="shared" ref="G49:G52" si="39">E49*F49</f>
        <v>65941.649999999994</v>
      </c>
      <c r="H49" s="413" t="s">
        <v>35</v>
      </c>
      <c r="I49" s="409">
        <v>8</v>
      </c>
      <c r="J49" s="303">
        <v>1500</v>
      </c>
      <c r="K49" s="304">
        <f t="shared" si="1"/>
        <v>187.5</v>
      </c>
      <c r="L49" s="409">
        <v>8</v>
      </c>
      <c r="M49" s="305">
        <f t="shared" ref="M49:M52" si="40">F49/V49*60</f>
        <v>1438.2352941176468</v>
      </c>
      <c r="N49" s="304">
        <f t="shared" si="3"/>
        <v>179.77941176470586</v>
      </c>
      <c r="O49" s="306">
        <f t="shared" si="4"/>
        <v>0</v>
      </c>
      <c r="P49" s="307">
        <f t="shared" si="5"/>
        <v>-7.7205882352941444</v>
      </c>
      <c r="Q49" s="405">
        <f t="shared" si="6"/>
        <v>0.95882352941176452</v>
      </c>
      <c r="R49" s="571">
        <f>Q53</f>
        <v>0.95942103931873768</v>
      </c>
      <c r="S49" s="308">
        <v>0.20833333333333334</v>
      </c>
      <c r="T49" s="308">
        <v>0.27916666666666667</v>
      </c>
      <c r="U49" s="402"/>
      <c r="V49" s="410">
        <f t="shared" ref="V49:V52" si="41">(T49-S49)*24*60</f>
        <v>102</v>
      </c>
      <c r="W49" s="315"/>
      <c r="X49" s="315"/>
      <c r="Y49" s="570"/>
      <c r="Z49" s="570"/>
      <c r="AA49" s="306">
        <f t="shared" si="8"/>
        <v>-61.764705882353155</v>
      </c>
      <c r="AB49" s="405">
        <f t="shared" si="9"/>
        <v>0.95882352941176452</v>
      </c>
      <c r="AC49" s="571">
        <f>AB53</f>
        <v>0.95942103931873779</v>
      </c>
    </row>
    <row r="50" spans="1:29" ht="15.75" customHeight="1">
      <c r="A50" s="576" t="s">
        <v>1851</v>
      </c>
      <c r="B50" s="411" t="s">
        <v>67</v>
      </c>
      <c r="C50" s="565" t="s">
        <v>79</v>
      </c>
      <c r="D50" s="565"/>
      <c r="E50" s="300">
        <v>26.78</v>
      </c>
      <c r="F50" s="317">
        <v>2233</v>
      </c>
      <c r="G50" s="402">
        <f t="shared" si="39"/>
        <v>59799.740000000005</v>
      </c>
      <c r="H50" s="413" t="s">
        <v>35</v>
      </c>
      <c r="I50" s="409">
        <v>10</v>
      </c>
      <c r="J50" s="303">
        <v>3000</v>
      </c>
      <c r="K50" s="304">
        <f t="shared" si="1"/>
        <v>300</v>
      </c>
      <c r="L50" s="409">
        <v>10</v>
      </c>
      <c r="M50" s="305">
        <f t="shared" si="40"/>
        <v>2912.608695652174</v>
      </c>
      <c r="N50" s="304">
        <f t="shared" si="3"/>
        <v>291.26086956521738</v>
      </c>
      <c r="O50" s="306">
        <f t="shared" si="4"/>
        <v>0</v>
      </c>
      <c r="P50" s="307">
        <f t="shared" si="5"/>
        <v>-8.7391304347826235</v>
      </c>
      <c r="Q50" s="405">
        <f t="shared" si="6"/>
        <v>0.97086956521739121</v>
      </c>
      <c r="R50" s="571"/>
      <c r="S50" s="308">
        <v>0.28263888888888888</v>
      </c>
      <c r="T50" s="308">
        <v>0.31458333333333333</v>
      </c>
      <c r="U50" s="402">
        <f t="shared" ref="U50:U52" si="42">(S50-T49)*24*60</f>
        <v>4.9999999999999822</v>
      </c>
      <c r="V50" s="410">
        <f t="shared" si="41"/>
        <v>46</v>
      </c>
      <c r="W50" s="402"/>
      <c r="X50" s="402"/>
      <c r="Y50" s="570"/>
      <c r="Z50" s="570"/>
      <c r="AA50" s="306">
        <f t="shared" si="8"/>
        <v>-87.391304347826008</v>
      </c>
      <c r="AB50" s="405">
        <f t="shared" si="9"/>
        <v>0.97086956521739132</v>
      </c>
      <c r="AC50" s="571"/>
    </row>
    <row r="51" spans="1:29" ht="15.75" customHeight="1">
      <c r="A51" s="576" t="s">
        <v>1851</v>
      </c>
      <c r="B51" s="411" t="s">
        <v>67</v>
      </c>
      <c r="C51" s="565" t="s">
        <v>83</v>
      </c>
      <c r="D51" s="565"/>
      <c r="E51" s="300">
        <v>35.369999999999997</v>
      </c>
      <c r="F51" s="317">
        <v>1241</v>
      </c>
      <c r="G51" s="402">
        <f t="shared" si="39"/>
        <v>43894.17</v>
      </c>
      <c r="H51" s="413" t="s">
        <v>35</v>
      </c>
      <c r="I51" s="409">
        <v>10</v>
      </c>
      <c r="J51" s="303">
        <v>3000</v>
      </c>
      <c r="K51" s="304">
        <f t="shared" si="1"/>
        <v>300</v>
      </c>
      <c r="L51" s="409">
        <v>10</v>
      </c>
      <c r="M51" s="305">
        <f t="shared" si="40"/>
        <v>2863.8461538461552</v>
      </c>
      <c r="N51" s="304">
        <f t="shared" si="3"/>
        <v>286.38461538461553</v>
      </c>
      <c r="O51" s="306">
        <f t="shared" si="4"/>
        <v>0</v>
      </c>
      <c r="P51" s="307">
        <f t="shared" si="5"/>
        <v>-13.615384615384471</v>
      </c>
      <c r="Q51" s="405">
        <f t="shared" si="6"/>
        <v>0.95461538461538509</v>
      </c>
      <c r="R51" s="571"/>
      <c r="S51" s="308">
        <v>0.31944444444444442</v>
      </c>
      <c r="T51" s="308">
        <v>0.33749999999999997</v>
      </c>
      <c r="U51" s="402">
        <f t="shared" si="42"/>
        <v>6.9999999999999751</v>
      </c>
      <c r="V51" s="410">
        <f t="shared" si="41"/>
        <v>25.999999999999986</v>
      </c>
      <c r="W51" s="402"/>
      <c r="X51" s="402"/>
      <c r="Y51" s="570"/>
      <c r="Z51" s="570"/>
      <c r="AA51" s="306">
        <f t="shared" si="8"/>
        <v>-136.15384615384482</v>
      </c>
      <c r="AB51" s="405">
        <f t="shared" si="9"/>
        <v>0.95461538461538509</v>
      </c>
      <c r="AC51" s="571"/>
    </row>
    <row r="52" spans="1:29" ht="15.75" customHeight="1">
      <c r="A52" s="576" t="s">
        <v>1851</v>
      </c>
      <c r="B52" s="411" t="s">
        <v>67</v>
      </c>
      <c r="C52" s="565" t="s">
        <v>666</v>
      </c>
      <c r="D52" s="565"/>
      <c r="E52" s="300">
        <v>37.880000000000003</v>
      </c>
      <c r="F52" s="317">
        <v>3717</v>
      </c>
      <c r="G52" s="402">
        <f t="shared" si="39"/>
        <v>140799.96000000002</v>
      </c>
      <c r="H52" s="413" t="s">
        <v>35</v>
      </c>
      <c r="I52" s="409">
        <v>11</v>
      </c>
      <c r="J52" s="303">
        <v>3000</v>
      </c>
      <c r="K52" s="304">
        <f t="shared" si="1"/>
        <v>272.72727272727275</v>
      </c>
      <c r="L52" s="409">
        <v>11</v>
      </c>
      <c r="M52" s="305">
        <f t="shared" si="40"/>
        <v>2859.2307692307709</v>
      </c>
      <c r="N52" s="304">
        <f t="shared" si="3"/>
        <v>259.93006993007009</v>
      </c>
      <c r="O52" s="306">
        <f t="shared" si="4"/>
        <v>0</v>
      </c>
      <c r="P52" s="307">
        <f t="shared" si="5"/>
        <v>-12.797202797202658</v>
      </c>
      <c r="Q52" s="405">
        <f t="shared" si="6"/>
        <v>0.9530769230769236</v>
      </c>
      <c r="R52" s="571"/>
      <c r="S52" s="308">
        <v>0.3430555555555555</v>
      </c>
      <c r="T52" s="308">
        <v>0.39722222222222214</v>
      </c>
      <c r="U52" s="402">
        <f t="shared" si="42"/>
        <v>7.9999999999999716</v>
      </c>
      <c r="V52" s="410">
        <f t="shared" si="41"/>
        <v>77.999999999999957</v>
      </c>
      <c r="W52" s="402"/>
      <c r="X52" s="402"/>
      <c r="Y52" s="570"/>
      <c r="Z52" s="570"/>
      <c r="AA52" s="306">
        <f t="shared" si="8"/>
        <v>-140.76923076922913</v>
      </c>
      <c r="AB52" s="405">
        <f t="shared" si="9"/>
        <v>0.9530769230769236</v>
      </c>
      <c r="AC52" s="571"/>
    </row>
    <row r="53" spans="1:29">
      <c r="A53" s="577" t="s">
        <v>1851</v>
      </c>
      <c r="B53" s="300" t="s">
        <v>1843</v>
      </c>
      <c r="C53" s="572"/>
      <c r="D53" s="572"/>
      <c r="E53" s="406"/>
      <c r="F53" s="313"/>
      <c r="G53" s="304"/>
      <c r="H53" s="411"/>
      <c r="I53" s="314">
        <v>9.75</v>
      </c>
      <c r="J53" s="303">
        <v>2625</v>
      </c>
      <c r="K53" s="304">
        <f t="shared" si="1"/>
        <v>269.23076923076923</v>
      </c>
      <c r="L53" s="314">
        <v>9.75</v>
      </c>
      <c r="M53" s="305">
        <f>AVERAGE(M49:M52)</f>
        <v>2518.4802282116866</v>
      </c>
      <c r="N53" s="304">
        <f t="shared" si="3"/>
        <v>258.30566443196784</v>
      </c>
      <c r="O53" s="306">
        <f t="shared" si="4"/>
        <v>0</v>
      </c>
      <c r="P53" s="307">
        <f t="shared" si="5"/>
        <v>-10.925104798801385</v>
      </c>
      <c r="Q53" s="405">
        <f t="shared" si="6"/>
        <v>0.95942103931873768</v>
      </c>
      <c r="R53" s="571"/>
      <c r="S53" s="308"/>
      <c r="T53" s="308"/>
      <c r="U53" s="304"/>
      <c r="V53" s="410"/>
      <c r="W53" s="304"/>
      <c r="X53" s="304"/>
      <c r="Y53" s="570"/>
      <c r="Z53" s="570"/>
      <c r="AA53" s="306">
        <f t="shared" si="8"/>
        <v>-106.51977178831339</v>
      </c>
      <c r="AB53" s="405">
        <f t="shared" si="9"/>
        <v>0.95942103931873779</v>
      </c>
      <c r="AC53" s="571"/>
    </row>
    <row r="54" spans="1:29" ht="15.75" customHeight="1">
      <c r="A54" s="573" t="s">
        <v>1852</v>
      </c>
      <c r="B54" s="411" t="s">
        <v>46</v>
      </c>
      <c r="C54" s="565" t="s">
        <v>84</v>
      </c>
      <c r="D54" s="565"/>
      <c r="E54" s="300">
        <v>20.2</v>
      </c>
      <c r="F54" s="411">
        <v>1692</v>
      </c>
      <c r="G54" s="402">
        <f t="shared" ref="G54:G61" si="43">E54*F54</f>
        <v>34178.400000000001</v>
      </c>
      <c r="H54" s="413" t="s">
        <v>35</v>
      </c>
      <c r="I54" s="409">
        <v>19</v>
      </c>
      <c r="J54" s="303">
        <v>2400</v>
      </c>
      <c r="K54" s="304">
        <f t="shared" si="1"/>
        <v>126.31578947368421</v>
      </c>
      <c r="L54" s="409">
        <v>19</v>
      </c>
      <c r="M54" s="305">
        <f t="shared" ref="M54:M61" si="44">F54/V54*60</f>
        <v>2307.272727272727</v>
      </c>
      <c r="N54" s="304">
        <f t="shared" si="3"/>
        <v>121.43540669856458</v>
      </c>
      <c r="O54" s="306">
        <f t="shared" si="4"/>
        <v>0</v>
      </c>
      <c r="P54" s="307">
        <f t="shared" si="5"/>
        <v>-4.880382775119628</v>
      </c>
      <c r="Q54" s="405">
        <f t="shared" si="6"/>
        <v>0.96136363636363631</v>
      </c>
      <c r="R54" s="571">
        <f>Q62</f>
        <v>0.95909273699811037</v>
      </c>
      <c r="S54" s="308">
        <v>0.125</v>
      </c>
      <c r="T54" s="308">
        <v>0.15555555555555556</v>
      </c>
      <c r="U54" s="315"/>
      <c r="V54" s="410">
        <f t="shared" ref="V54:V61" si="45">(T54-S54)*24*60</f>
        <v>44</v>
      </c>
      <c r="W54" s="310">
        <f>T54</f>
        <v>0.15555555555555556</v>
      </c>
      <c r="X54" s="310">
        <f>S55</f>
        <v>0.17500000000000002</v>
      </c>
      <c r="Y54" s="570"/>
      <c r="Z54" s="570"/>
      <c r="AA54" s="306">
        <f t="shared" si="8"/>
        <v>-92.727272727272975</v>
      </c>
      <c r="AB54" s="405">
        <f t="shared" si="9"/>
        <v>0.96136363636363631</v>
      </c>
      <c r="AC54" s="571">
        <f>AB62</f>
        <v>0.95909273699811048</v>
      </c>
    </row>
    <row r="55" spans="1:29" ht="15.75" customHeight="1">
      <c r="A55" s="574" t="s">
        <v>1852</v>
      </c>
      <c r="B55" s="411" t="s">
        <v>46</v>
      </c>
      <c r="C55" s="565" t="s">
        <v>85</v>
      </c>
      <c r="D55" s="565"/>
      <c r="E55" s="300">
        <v>19.02</v>
      </c>
      <c r="F55" s="411">
        <v>4500</v>
      </c>
      <c r="G55" s="402">
        <f t="shared" si="43"/>
        <v>85590</v>
      </c>
      <c r="H55" s="413">
        <v>2</v>
      </c>
      <c r="I55" s="409">
        <v>15</v>
      </c>
      <c r="J55" s="303">
        <v>2400</v>
      </c>
      <c r="K55" s="304">
        <f t="shared" si="1"/>
        <v>160</v>
      </c>
      <c r="L55" s="409">
        <v>15</v>
      </c>
      <c r="M55" s="305">
        <f t="shared" si="44"/>
        <v>2288.1355932203387</v>
      </c>
      <c r="N55" s="304">
        <f t="shared" si="3"/>
        <v>152.5423728813559</v>
      </c>
      <c r="O55" s="306">
        <f t="shared" si="4"/>
        <v>0</v>
      </c>
      <c r="P55" s="307">
        <f t="shared" si="5"/>
        <v>-7.4576271186440977</v>
      </c>
      <c r="Q55" s="405">
        <f t="shared" si="6"/>
        <v>0.95338983050847437</v>
      </c>
      <c r="R55" s="571"/>
      <c r="S55" s="308">
        <v>0.17500000000000002</v>
      </c>
      <c r="T55" s="308">
        <v>0.25694444444444448</v>
      </c>
      <c r="U55" s="402">
        <f t="shared" ref="U55:U61" si="46">(S55-T54)*24*60</f>
        <v>28.000000000000021</v>
      </c>
      <c r="V55" s="410">
        <f t="shared" si="45"/>
        <v>118.00000000000001</v>
      </c>
      <c r="W55" s="310"/>
      <c r="X55" s="310"/>
      <c r="Y55" s="570"/>
      <c r="Z55" s="570"/>
      <c r="AA55" s="306">
        <f t="shared" si="8"/>
        <v>-111.86440677966129</v>
      </c>
      <c r="AB55" s="405">
        <f t="shared" si="9"/>
        <v>0.95338983050847448</v>
      </c>
      <c r="AC55" s="571"/>
    </row>
    <row r="56" spans="1:29" ht="15.75" customHeight="1">
      <c r="A56" s="574" t="s">
        <v>1852</v>
      </c>
      <c r="B56" s="411" t="s">
        <v>46</v>
      </c>
      <c r="C56" s="565" t="s">
        <v>88</v>
      </c>
      <c r="D56" s="565"/>
      <c r="E56" s="300">
        <v>24.25</v>
      </c>
      <c r="F56" s="411">
        <v>2374</v>
      </c>
      <c r="G56" s="402">
        <f t="shared" si="43"/>
        <v>57569.5</v>
      </c>
      <c r="H56" s="413" t="s">
        <v>35</v>
      </c>
      <c r="I56" s="409">
        <v>17</v>
      </c>
      <c r="J56" s="303">
        <v>2400</v>
      </c>
      <c r="K56" s="304">
        <f t="shared" si="1"/>
        <v>141.1764705882353</v>
      </c>
      <c r="L56" s="409">
        <v>17</v>
      </c>
      <c r="M56" s="305">
        <f t="shared" si="44"/>
        <v>2297.4193548387088</v>
      </c>
      <c r="N56" s="304">
        <f t="shared" si="3"/>
        <v>135.14231499051229</v>
      </c>
      <c r="O56" s="306">
        <f t="shared" si="4"/>
        <v>0</v>
      </c>
      <c r="P56" s="307">
        <f t="shared" si="5"/>
        <v>-6.0341555977230144</v>
      </c>
      <c r="Q56" s="405">
        <f t="shared" si="6"/>
        <v>0.9572580645161286</v>
      </c>
      <c r="R56" s="571"/>
      <c r="S56" s="308">
        <v>0.26180555555555557</v>
      </c>
      <c r="T56" s="308">
        <v>0.30486111111111114</v>
      </c>
      <c r="U56" s="402">
        <f t="shared" si="46"/>
        <v>6.9999999999999751</v>
      </c>
      <c r="V56" s="410">
        <f t="shared" si="45"/>
        <v>62.000000000000021</v>
      </c>
      <c r="W56" s="310"/>
      <c r="X56" s="310"/>
      <c r="Y56" s="570"/>
      <c r="Z56" s="570"/>
      <c r="AA56" s="306">
        <f t="shared" si="8"/>
        <v>-102.58064516129116</v>
      </c>
      <c r="AB56" s="405">
        <f t="shared" si="9"/>
        <v>0.95725806451612871</v>
      </c>
      <c r="AC56" s="571"/>
    </row>
    <row r="57" spans="1:29" ht="15.75" customHeight="1">
      <c r="A57" s="574" t="s">
        <v>1852</v>
      </c>
      <c r="B57" s="411" t="s">
        <v>46</v>
      </c>
      <c r="C57" s="565" t="s">
        <v>47</v>
      </c>
      <c r="D57" s="565"/>
      <c r="E57" s="300">
        <v>24.45</v>
      </c>
      <c r="F57" s="411">
        <v>1655</v>
      </c>
      <c r="G57" s="402">
        <f t="shared" si="43"/>
        <v>40464.75</v>
      </c>
      <c r="H57" s="413" t="s">
        <v>35</v>
      </c>
      <c r="I57" s="409">
        <v>20</v>
      </c>
      <c r="J57" s="303">
        <v>2400</v>
      </c>
      <c r="K57" s="304">
        <f t="shared" si="1"/>
        <v>120</v>
      </c>
      <c r="L57" s="409">
        <v>20</v>
      </c>
      <c r="M57" s="305">
        <f t="shared" si="44"/>
        <v>2309.3023255813951</v>
      </c>
      <c r="N57" s="304">
        <f t="shared" si="3"/>
        <v>115.46511627906975</v>
      </c>
      <c r="O57" s="306">
        <f t="shared" si="4"/>
        <v>0</v>
      </c>
      <c r="P57" s="307">
        <f t="shared" si="5"/>
        <v>-4.534883720930253</v>
      </c>
      <c r="Q57" s="405">
        <f t="shared" si="6"/>
        <v>0.96220930232558122</v>
      </c>
      <c r="R57" s="571"/>
      <c r="S57" s="308">
        <v>0.31041666666666667</v>
      </c>
      <c r="T57" s="308">
        <v>0.34027777777777779</v>
      </c>
      <c r="U57" s="402">
        <f t="shared" si="46"/>
        <v>7.9999999999999716</v>
      </c>
      <c r="V57" s="410">
        <f t="shared" si="45"/>
        <v>43.000000000000007</v>
      </c>
      <c r="W57" s="310"/>
      <c r="X57" s="310"/>
      <c r="Y57" s="570"/>
      <c r="Z57" s="570"/>
      <c r="AA57" s="306">
        <f t="shared" si="8"/>
        <v>-90.697674418604947</v>
      </c>
      <c r="AB57" s="405">
        <f t="shared" si="9"/>
        <v>0.96220930232558122</v>
      </c>
      <c r="AC57" s="571"/>
    </row>
    <row r="58" spans="1:29" ht="15.75" customHeight="1">
      <c r="A58" s="574" t="s">
        <v>1852</v>
      </c>
      <c r="B58" s="411" t="s">
        <v>46</v>
      </c>
      <c r="C58" s="565" t="s">
        <v>66</v>
      </c>
      <c r="D58" s="565"/>
      <c r="E58" s="300">
        <v>24.25</v>
      </c>
      <c r="F58" s="411">
        <v>3472</v>
      </c>
      <c r="G58" s="402">
        <f t="shared" si="43"/>
        <v>84196</v>
      </c>
      <c r="H58" s="413" t="s">
        <v>35</v>
      </c>
      <c r="I58" s="409">
        <v>14</v>
      </c>
      <c r="J58" s="303">
        <v>2400</v>
      </c>
      <c r="K58" s="304">
        <f t="shared" si="1"/>
        <v>171.42857142857142</v>
      </c>
      <c r="L58" s="409">
        <v>14</v>
      </c>
      <c r="M58" s="305">
        <f t="shared" si="44"/>
        <v>2289.2307692307691</v>
      </c>
      <c r="N58" s="304">
        <f t="shared" si="3"/>
        <v>163.5164835164835</v>
      </c>
      <c r="O58" s="306">
        <f t="shared" si="4"/>
        <v>0</v>
      </c>
      <c r="P58" s="307">
        <f t="shared" si="5"/>
        <v>-7.9120879120879124</v>
      </c>
      <c r="Q58" s="405">
        <f t="shared" si="6"/>
        <v>0.95384615384615379</v>
      </c>
      <c r="R58" s="571"/>
      <c r="S58" s="308">
        <v>0.34375</v>
      </c>
      <c r="T58" s="308">
        <v>0.40694444444444444</v>
      </c>
      <c r="U58" s="402">
        <f t="shared" si="46"/>
        <v>4.9999999999999822</v>
      </c>
      <c r="V58" s="410">
        <f t="shared" si="45"/>
        <v>91</v>
      </c>
      <c r="W58" s="310"/>
      <c r="X58" s="310"/>
      <c r="Y58" s="570"/>
      <c r="Z58" s="570"/>
      <c r="AA58" s="306">
        <f t="shared" si="8"/>
        <v>-110.76923076923094</v>
      </c>
      <c r="AB58" s="405">
        <f t="shared" si="9"/>
        <v>0.95384615384615379</v>
      </c>
      <c r="AC58" s="571"/>
    </row>
    <row r="59" spans="1:29" ht="15.75" customHeight="1">
      <c r="A59" s="574" t="s">
        <v>1852</v>
      </c>
      <c r="B59" s="411" t="s">
        <v>46</v>
      </c>
      <c r="C59" s="565" t="s">
        <v>58</v>
      </c>
      <c r="D59" s="565"/>
      <c r="E59" s="300">
        <v>25.98</v>
      </c>
      <c r="F59" s="411">
        <v>1044</v>
      </c>
      <c r="G59" s="402">
        <f t="shared" si="43"/>
        <v>27123.119999999999</v>
      </c>
      <c r="H59" s="413" t="s">
        <v>35</v>
      </c>
      <c r="I59" s="409">
        <v>17</v>
      </c>
      <c r="J59" s="303">
        <v>2400</v>
      </c>
      <c r="K59" s="304">
        <f t="shared" si="1"/>
        <v>141.1764705882353</v>
      </c>
      <c r="L59" s="409">
        <v>17</v>
      </c>
      <c r="M59" s="305">
        <f t="shared" si="44"/>
        <v>2320.0000000000009</v>
      </c>
      <c r="N59" s="304">
        <f t="shared" si="3"/>
        <v>136.47058823529417</v>
      </c>
      <c r="O59" s="306">
        <f t="shared" si="4"/>
        <v>0</v>
      </c>
      <c r="P59" s="307">
        <f t="shared" si="5"/>
        <v>-4.7058823529411313</v>
      </c>
      <c r="Q59" s="405">
        <f t="shared" si="6"/>
        <v>0.96666666666666701</v>
      </c>
      <c r="R59" s="571"/>
      <c r="S59" s="308">
        <v>0.41180555555555554</v>
      </c>
      <c r="T59" s="308">
        <v>0.43055555555555552</v>
      </c>
      <c r="U59" s="402">
        <f t="shared" si="46"/>
        <v>6.9999999999999751</v>
      </c>
      <c r="V59" s="410">
        <f t="shared" si="45"/>
        <v>26.999999999999986</v>
      </c>
      <c r="W59" s="310"/>
      <c r="X59" s="310"/>
      <c r="Y59" s="570"/>
      <c r="Z59" s="570"/>
      <c r="AA59" s="306">
        <f t="shared" si="8"/>
        <v>-79.999999999999091</v>
      </c>
      <c r="AB59" s="405">
        <f t="shared" si="9"/>
        <v>0.96666666666666701</v>
      </c>
      <c r="AC59" s="571"/>
    </row>
    <row r="60" spans="1:29" ht="15.75" customHeight="1">
      <c r="A60" s="574" t="s">
        <v>1852</v>
      </c>
      <c r="B60" s="411" t="s">
        <v>46</v>
      </c>
      <c r="C60" s="565" t="s">
        <v>57</v>
      </c>
      <c r="D60" s="565"/>
      <c r="E60" s="300">
        <v>20.52</v>
      </c>
      <c r="F60" s="411">
        <v>2482</v>
      </c>
      <c r="G60" s="402">
        <f t="shared" si="43"/>
        <v>50930.64</v>
      </c>
      <c r="H60" s="413" t="s">
        <v>35</v>
      </c>
      <c r="I60" s="409">
        <v>18</v>
      </c>
      <c r="J60" s="303">
        <v>2400</v>
      </c>
      <c r="K60" s="304">
        <f t="shared" si="1"/>
        <v>133.33333333333334</v>
      </c>
      <c r="L60" s="409">
        <v>18</v>
      </c>
      <c r="M60" s="305">
        <f t="shared" si="44"/>
        <v>2291.0769230769224</v>
      </c>
      <c r="N60" s="304">
        <f t="shared" si="3"/>
        <v>127.28205128205124</v>
      </c>
      <c r="O60" s="306">
        <f t="shared" si="4"/>
        <v>0</v>
      </c>
      <c r="P60" s="307">
        <f t="shared" si="5"/>
        <v>-6.0512820512821008</v>
      </c>
      <c r="Q60" s="405">
        <f t="shared" si="6"/>
        <v>0.9546153846153842</v>
      </c>
      <c r="R60" s="571"/>
      <c r="S60" s="308">
        <v>0.43472222222222218</v>
      </c>
      <c r="T60" s="308">
        <v>0.47986111111111107</v>
      </c>
      <c r="U60" s="402">
        <f t="shared" si="46"/>
        <v>5.9999999999999787</v>
      </c>
      <c r="V60" s="410">
        <f t="shared" si="45"/>
        <v>65.000000000000014</v>
      </c>
      <c r="W60" s="310">
        <f>T60</f>
        <v>0.47986111111111107</v>
      </c>
      <c r="X60" s="310">
        <f>S61</f>
        <v>0.51874999999999993</v>
      </c>
      <c r="Y60" s="566"/>
      <c r="Z60" s="567"/>
      <c r="AA60" s="306">
        <f t="shared" si="8"/>
        <v>-108.92307692307759</v>
      </c>
      <c r="AB60" s="405">
        <f t="shared" si="9"/>
        <v>0.95461538461538431</v>
      </c>
      <c r="AC60" s="571"/>
    </row>
    <row r="61" spans="1:29" ht="15.75" customHeight="1">
      <c r="A61" s="574" t="s">
        <v>1852</v>
      </c>
      <c r="B61" s="411" t="s">
        <v>46</v>
      </c>
      <c r="C61" s="565" t="s">
        <v>85</v>
      </c>
      <c r="D61" s="565"/>
      <c r="E61" s="300">
        <v>19.02</v>
      </c>
      <c r="F61" s="411">
        <v>2158</v>
      </c>
      <c r="G61" s="402">
        <f t="shared" si="43"/>
        <v>41045.159999999996</v>
      </c>
      <c r="H61" s="413" t="s">
        <v>35</v>
      </c>
      <c r="I61" s="409">
        <v>15</v>
      </c>
      <c r="J61" s="303">
        <v>2400</v>
      </c>
      <c r="K61" s="304">
        <f t="shared" si="1"/>
        <v>160</v>
      </c>
      <c r="L61" s="409">
        <v>15</v>
      </c>
      <c r="M61" s="305">
        <f t="shared" si="44"/>
        <v>2312.1428571428587</v>
      </c>
      <c r="N61" s="304">
        <f t="shared" si="3"/>
        <v>154.14285714285725</v>
      </c>
      <c r="O61" s="306">
        <f t="shared" si="4"/>
        <v>0</v>
      </c>
      <c r="P61" s="307">
        <f t="shared" si="5"/>
        <v>-5.8571428571427475</v>
      </c>
      <c r="Q61" s="405">
        <f t="shared" si="6"/>
        <v>0.96339285714285783</v>
      </c>
      <c r="R61" s="571"/>
      <c r="S61" s="308">
        <v>0.51874999999999993</v>
      </c>
      <c r="T61" s="308">
        <v>0.5576388888888888</v>
      </c>
      <c r="U61" s="402">
        <f t="shared" si="46"/>
        <v>55.999999999999957</v>
      </c>
      <c r="V61" s="410">
        <f t="shared" si="45"/>
        <v>55.999999999999957</v>
      </c>
      <c r="W61" s="310"/>
      <c r="X61" s="310"/>
      <c r="Y61" s="566"/>
      <c r="Z61" s="567"/>
      <c r="AA61" s="306">
        <f t="shared" si="8"/>
        <v>-87.857142857141298</v>
      </c>
      <c r="AB61" s="405">
        <f t="shared" si="9"/>
        <v>0.96339285714285783</v>
      </c>
      <c r="AC61" s="571"/>
    </row>
    <row r="62" spans="1:29" ht="16.5" customHeight="1">
      <c r="A62" s="575" t="s">
        <v>1852</v>
      </c>
      <c r="B62" s="300" t="s">
        <v>1843</v>
      </c>
      <c r="C62" s="568"/>
      <c r="D62" s="569"/>
      <c r="E62" s="406"/>
      <c r="F62" s="313"/>
      <c r="G62" s="304"/>
      <c r="H62" s="411"/>
      <c r="I62" s="314">
        <v>16.875</v>
      </c>
      <c r="J62" s="303">
        <v>2400</v>
      </c>
      <c r="K62" s="304">
        <f t="shared" si="1"/>
        <v>142.22222222222223</v>
      </c>
      <c r="L62" s="314">
        <v>16.875</v>
      </c>
      <c r="M62" s="305">
        <f>AVERAGE(M54:M61)</f>
        <v>2301.822568795465</v>
      </c>
      <c r="N62" s="304">
        <f t="shared" si="3"/>
        <v>136.40430037306459</v>
      </c>
      <c r="O62" s="306">
        <f t="shared" si="4"/>
        <v>0</v>
      </c>
      <c r="P62" s="307">
        <f t="shared" si="5"/>
        <v>-5.8179218491576421</v>
      </c>
      <c r="Q62" s="405">
        <f t="shared" si="6"/>
        <v>0.95909273699811037</v>
      </c>
      <c r="R62" s="571"/>
      <c r="S62" s="308"/>
      <c r="T62" s="308"/>
      <c r="U62" s="304"/>
      <c r="V62" s="410"/>
      <c r="W62" s="304"/>
      <c r="X62" s="304"/>
      <c r="Y62" s="570"/>
      <c r="Z62" s="570"/>
      <c r="AA62" s="306">
        <f t="shared" si="8"/>
        <v>-98.177431204534969</v>
      </c>
      <c r="AB62" s="405">
        <f t="shared" si="9"/>
        <v>0.95909273699811048</v>
      </c>
      <c r="AC62" s="571"/>
    </row>
    <row r="63" spans="1:29">
      <c r="D63" s="323"/>
      <c r="E63" s="323"/>
    </row>
  </sheetData>
  <mergeCells count="174">
    <mergeCell ref="S1:X2"/>
    <mergeCell ref="Y1:Z2"/>
    <mergeCell ref="AA1:AC2"/>
    <mergeCell ref="A3:A4"/>
    <mergeCell ref="B3:B4"/>
    <mergeCell ref="C3:D4"/>
    <mergeCell ref="E3:E4"/>
    <mergeCell ref="F3:F4"/>
    <mergeCell ref="G3:G4"/>
    <mergeCell ref="I1:K2"/>
    <mergeCell ref="L1:N2"/>
    <mergeCell ref="O1:R2"/>
    <mergeCell ref="P3:P4"/>
    <mergeCell ref="Q3:Q4"/>
    <mergeCell ref="R3:R4"/>
    <mergeCell ref="S3:T3"/>
    <mergeCell ref="H3:H4"/>
    <mergeCell ref="I3:I4"/>
    <mergeCell ref="J3:J4"/>
    <mergeCell ref="K3:K4"/>
    <mergeCell ref="L3:L4"/>
    <mergeCell ref="M3:M4"/>
    <mergeCell ref="C8:D8"/>
    <mergeCell ref="Y8:Z8"/>
    <mergeCell ref="A9:A11"/>
    <mergeCell ref="C9:D9"/>
    <mergeCell ref="R9:R11"/>
    <mergeCell ref="Y9:Z9"/>
    <mergeCell ref="AC3:AC4"/>
    <mergeCell ref="A5:A8"/>
    <mergeCell ref="C5:D5"/>
    <mergeCell ref="R5:R8"/>
    <mergeCell ref="Y5:Z5"/>
    <mergeCell ref="AC5:AC8"/>
    <mergeCell ref="C6:D6"/>
    <mergeCell ref="Y6:Z6"/>
    <mergeCell ref="C7:D7"/>
    <mergeCell ref="Y7:Z7"/>
    <mergeCell ref="U3:U4"/>
    <mergeCell ref="V3:V4"/>
    <mergeCell ref="W3:X3"/>
    <mergeCell ref="Y3:Z4"/>
    <mergeCell ref="AA3:AA4"/>
    <mergeCell ref="AB3:AB4"/>
    <mergeCell ref="N3:N4"/>
    <mergeCell ref="O3:O4"/>
    <mergeCell ref="AC9:AC11"/>
    <mergeCell ref="C10:D10"/>
    <mergeCell ref="Y10:Z10"/>
    <mergeCell ref="C11:D11"/>
    <mergeCell ref="Y11:Z11"/>
    <mergeCell ref="A12:A17"/>
    <mergeCell ref="C12:D12"/>
    <mergeCell ref="R12:R17"/>
    <mergeCell ref="Y12:Z12"/>
    <mergeCell ref="AC12:AC17"/>
    <mergeCell ref="C16:D16"/>
    <mergeCell ref="Y16:Z16"/>
    <mergeCell ref="C17:D17"/>
    <mergeCell ref="Y17:Z17"/>
    <mergeCell ref="A18:A22"/>
    <mergeCell ref="C18:D18"/>
    <mergeCell ref="R18:R22"/>
    <mergeCell ref="Y18:Z18"/>
    <mergeCell ref="C13:D13"/>
    <mergeCell ref="Y13:Z13"/>
    <mergeCell ref="C14:D14"/>
    <mergeCell ref="Y14:Z14"/>
    <mergeCell ref="C15:D15"/>
    <mergeCell ref="Y15:Z15"/>
    <mergeCell ref="AC18:AC22"/>
    <mergeCell ref="C19:D19"/>
    <mergeCell ref="Y19:Z19"/>
    <mergeCell ref="C20:D20"/>
    <mergeCell ref="Y20:Z20"/>
    <mergeCell ref="C21:D21"/>
    <mergeCell ref="Y21:Z21"/>
    <mergeCell ref="C22:D22"/>
    <mergeCell ref="Y22:Z22"/>
    <mergeCell ref="C35:D35"/>
    <mergeCell ref="Y35:Z35"/>
    <mergeCell ref="AC30:AC36"/>
    <mergeCell ref="C31:D31"/>
    <mergeCell ref="Y31:Z31"/>
    <mergeCell ref="C32:D32"/>
    <mergeCell ref="Y32:Z32"/>
    <mergeCell ref="C33:D33"/>
    <mergeCell ref="AC23:AC29"/>
    <mergeCell ref="C24:D24"/>
    <mergeCell ref="Y24:Z24"/>
    <mergeCell ref="C25:D25"/>
    <mergeCell ref="Y25:Z25"/>
    <mergeCell ref="C26:D26"/>
    <mergeCell ref="Y26:Z26"/>
    <mergeCell ref="C27:D27"/>
    <mergeCell ref="Y27:Z27"/>
    <mergeCell ref="C28:D28"/>
    <mergeCell ref="Y28:Z28"/>
    <mergeCell ref="C29:D29"/>
    <mergeCell ref="Y29:Z29"/>
    <mergeCell ref="C36:D36"/>
    <mergeCell ref="Y36:Z36"/>
    <mergeCell ref="C53:D53"/>
    <mergeCell ref="Y53:Z53"/>
    <mergeCell ref="C41:D41"/>
    <mergeCell ref="Y41:Z41"/>
    <mergeCell ref="C42:D42"/>
    <mergeCell ref="Y42:Z42"/>
    <mergeCell ref="C43:D43"/>
    <mergeCell ref="Y43:Z43"/>
    <mergeCell ref="A23:A29"/>
    <mergeCell ref="C23:D23"/>
    <mergeCell ref="R23:R29"/>
    <mergeCell ref="Y23:Z23"/>
    <mergeCell ref="A30:A36"/>
    <mergeCell ref="C30:D30"/>
    <mergeCell ref="R30:R36"/>
    <mergeCell ref="Y30:Z30"/>
    <mergeCell ref="C38:D38"/>
    <mergeCell ref="Y38:Z38"/>
    <mergeCell ref="C39:D39"/>
    <mergeCell ref="Y39:Z39"/>
    <mergeCell ref="C40:D40"/>
    <mergeCell ref="Y33:Z33"/>
    <mergeCell ref="C34:D34"/>
    <mergeCell ref="Y34:Z34"/>
    <mergeCell ref="Y57:Z57"/>
    <mergeCell ref="C58:D58"/>
    <mergeCell ref="Y40:Z40"/>
    <mergeCell ref="A37:A43"/>
    <mergeCell ref="C37:D37"/>
    <mergeCell ref="R37:R43"/>
    <mergeCell ref="Y37:Z37"/>
    <mergeCell ref="AC49:AC53"/>
    <mergeCell ref="C50:D50"/>
    <mergeCell ref="Y50:Z50"/>
    <mergeCell ref="C51:D51"/>
    <mergeCell ref="Y51:Z51"/>
    <mergeCell ref="C52:D52"/>
    <mergeCell ref="A44:A48"/>
    <mergeCell ref="C44:D44"/>
    <mergeCell ref="R44:R48"/>
    <mergeCell ref="Y44:Z44"/>
    <mergeCell ref="AC44:AC48"/>
    <mergeCell ref="C45:D45"/>
    <mergeCell ref="Y45:Z45"/>
    <mergeCell ref="C46:D46"/>
    <mergeCell ref="C48:D48"/>
    <mergeCell ref="Y48:Z48"/>
    <mergeCell ref="Y52:Z52"/>
    <mergeCell ref="Y58:Z58"/>
    <mergeCell ref="C59:D59"/>
    <mergeCell ref="AC37:AC43"/>
    <mergeCell ref="A54:A62"/>
    <mergeCell ref="C54:D54"/>
    <mergeCell ref="R54:R62"/>
    <mergeCell ref="Y54:Z54"/>
    <mergeCell ref="Y59:Z59"/>
    <mergeCell ref="C60:D60"/>
    <mergeCell ref="Y60:Z60"/>
    <mergeCell ref="A49:A53"/>
    <mergeCell ref="C49:D49"/>
    <mergeCell ref="R49:R53"/>
    <mergeCell ref="Y49:Z49"/>
    <mergeCell ref="C61:D61"/>
    <mergeCell ref="Y61:Z61"/>
    <mergeCell ref="C62:D62"/>
    <mergeCell ref="Y62:Z62"/>
    <mergeCell ref="AC54:AC62"/>
    <mergeCell ref="C55:D55"/>
    <mergeCell ref="Y55:Z55"/>
    <mergeCell ref="C56:D56"/>
    <mergeCell ref="Y56:Z56"/>
    <mergeCell ref="C57:D57"/>
  </mergeCells>
  <phoneticPr fontId="3" type="noConversion"/>
  <conditionalFormatting sqref="O52:O59 O62 O5:O9 O11:O13 O17:O49">
    <cfRule type="cellIs" dxfId="1461" priority="46" operator="greaterThan">
      <formula>0</formula>
    </cfRule>
  </conditionalFormatting>
  <conditionalFormatting sqref="P5:P7 P52 AA52 P54:P59 P23:P28 P49 P9 P11:P13 P18:P21 P44:P47 P30:P42 AA5:AA49 AA54:AA62">
    <cfRule type="cellIs" dxfId="1460" priority="50" operator="lessThan">
      <formula>0</formula>
    </cfRule>
  </conditionalFormatting>
  <conditionalFormatting sqref="AB52 Q52:Q59 Q62 Q5:Q9 Q11:Q13 Q17:Q49 AB5:AB49 AB54:AB62">
    <cfRule type="cellIs" dxfId="1459" priority="47" operator="greaterThan">
      <formula>1</formula>
    </cfRule>
    <cfRule type="cellIs" dxfId="1458" priority="48" operator="lessThan">
      <formula>0.8</formula>
    </cfRule>
  </conditionalFormatting>
  <conditionalFormatting sqref="AC12:AC13 R12:R13 AC52 R52:R59 R62 AC5:AC9 R5:R9 AC17:AC49 R17:R49">
    <cfRule type="cellIs" dxfId="1457" priority="52" operator="lessThan">
      <formula>0.8</formula>
    </cfRule>
  </conditionalFormatting>
  <conditionalFormatting sqref="AC37">
    <cfRule type="cellIs" dxfId="1456" priority="54" operator="lessThan">
      <formula>0.8</formula>
    </cfRule>
  </conditionalFormatting>
  <conditionalFormatting sqref="AC18:AC21">
    <cfRule type="cellIs" dxfId="1455" priority="51" operator="lessThan">
      <formula>0.8</formula>
    </cfRule>
  </conditionalFormatting>
  <conditionalFormatting sqref="AC23">
    <cfRule type="cellIs" dxfId="1454" priority="53" operator="lessThan">
      <formula>0.8</formula>
    </cfRule>
  </conditionalFormatting>
  <conditionalFormatting sqref="AC30:AC35">
    <cfRule type="cellIs" dxfId="1453" priority="49" operator="lessThan">
      <formula>0.8</formula>
    </cfRule>
  </conditionalFormatting>
  <conditionalFormatting sqref="AA53">
    <cfRule type="cellIs" dxfId="1452" priority="45" operator="lessThan">
      <formula>0</formula>
    </cfRule>
  </conditionalFormatting>
  <conditionalFormatting sqref="AB53">
    <cfRule type="cellIs" dxfId="1451" priority="43" operator="greaterThan">
      <formula>1</formula>
    </cfRule>
    <cfRule type="cellIs" dxfId="1450" priority="44" operator="lessThan">
      <formula>0.8</formula>
    </cfRule>
  </conditionalFormatting>
  <conditionalFormatting sqref="O14:O15">
    <cfRule type="cellIs" dxfId="1449" priority="38" operator="greaterThan">
      <formula>0</formula>
    </cfRule>
  </conditionalFormatting>
  <conditionalFormatting sqref="P14:P15">
    <cfRule type="cellIs" dxfId="1448" priority="41" operator="lessThan">
      <formula>0</formula>
    </cfRule>
  </conditionalFormatting>
  <conditionalFormatting sqref="Q14:Q15">
    <cfRule type="cellIs" dxfId="1447" priority="39" operator="greaterThan">
      <formula>1</formula>
    </cfRule>
    <cfRule type="cellIs" dxfId="1446" priority="40" operator="lessThan">
      <formula>0.8</formula>
    </cfRule>
  </conditionalFormatting>
  <conditionalFormatting sqref="R14:R15 AC14:AC15">
    <cfRule type="cellIs" dxfId="1445" priority="42" operator="lessThan">
      <formula>0.8</formula>
    </cfRule>
  </conditionalFormatting>
  <conditionalFormatting sqref="O10">
    <cfRule type="cellIs" dxfId="1444" priority="34" operator="greaterThan">
      <formula>0</formula>
    </cfRule>
  </conditionalFormatting>
  <conditionalFormatting sqref="P10">
    <cfRule type="cellIs" dxfId="1443" priority="37" operator="lessThan">
      <formula>0</formula>
    </cfRule>
  </conditionalFormatting>
  <conditionalFormatting sqref="Q10">
    <cfRule type="cellIs" dxfId="1442" priority="35" operator="greaterThan">
      <formula>1</formula>
    </cfRule>
    <cfRule type="cellIs" dxfId="1441" priority="36" operator="lessThan">
      <formula>0.8</formula>
    </cfRule>
  </conditionalFormatting>
  <conditionalFormatting sqref="O51">
    <cfRule type="cellIs" dxfId="1440" priority="29" operator="greaterThan">
      <formula>0</formula>
    </cfRule>
  </conditionalFormatting>
  <conditionalFormatting sqref="P51 AA51">
    <cfRule type="cellIs" dxfId="1439" priority="32" operator="lessThan">
      <formula>0</formula>
    </cfRule>
  </conditionalFormatting>
  <conditionalFormatting sqref="Q51 AB51">
    <cfRule type="cellIs" dxfId="1438" priority="30" operator="greaterThan">
      <formula>1</formula>
    </cfRule>
    <cfRule type="cellIs" dxfId="1437" priority="31" operator="lessThan">
      <formula>0.8</formula>
    </cfRule>
  </conditionalFormatting>
  <conditionalFormatting sqref="R51 AC51">
    <cfRule type="cellIs" dxfId="1436" priority="33" operator="lessThan">
      <formula>0.8</formula>
    </cfRule>
  </conditionalFormatting>
  <conditionalFormatting sqref="O60">
    <cfRule type="cellIs" dxfId="1435" priority="24" operator="greaterThan">
      <formula>0</formula>
    </cfRule>
  </conditionalFormatting>
  <conditionalFormatting sqref="P60">
    <cfRule type="cellIs" dxfId="1434" priority="27" operator="lessThan">
      <formula>0</formula>
    </cfRule>
  </conditionalFormatting>
  <conditionalFormatting sqref="Q60">
    <cfRule type="cellIs" dxfId="1433" priority="25" operator="greaterThan">
      <formula>1</formula>
    </cfRule>
    <cfRule type="cellIs" dxfId="1432" priority="26" operator="lessThan">
      <formula>0.8</formula>
    </cfRule>
  </conditionalFormatting>
  <conditionalFormatting sqref="R60">
    <cfRule type="cellIs" dxfId="1431" priority="28" operator="lessThan">
      <formula>0.8</formula>
    </cfRule>
  </conditionalFormatting>
  <conditionalFormatting sqref="O16">
    <cfRule type="cellIs" dxfId="1430" priority="19" operator="greaterThan">
      <formula>0</formula>
    </cfRule>
  </conditionalFormatting>
  <conditionalFormatting sqref="P16">
    <cfRule type="cellIs" dxfId="1429" priority="22" operator="lessThan">
      <formula>0</formula>
    </cfRule>
  </conditionalFormatting>
  <conditionalFormatting sqref="Q16">
    <cfRule type="cellIs" dxfId="1428" priority="20" operator="greaterThan">
      <formula>1</formula>
    </cfRule>
    <cfRule type="cellIs" dxfId="1427" priority="21" operator="lessThan">
      <formula>0.8</formula>
    </cfRule>
  </conditionalFormatting>
  <conditionalFormatting sqref="R16 AC16">
    <cfRule type="cellIs" dxfId="1426" priority="23" operator="lessThan">
      <formula>0.8</formula>
    </cfRule>
  </conditionalFormatting>
  <conditionalFormatting sqref="O50">
    <cfRule type="cellIs" dxfId="1425" priority="14" operator="greaterThan">
      <formula>0</formula>
    </cfRule>
  </conditionalFormatting>
  <conditionalFormatting sqref="P50 AA50">
    <cfRule type="cellIs" dxfId="1424" priority="17" operator="lessThan">
      <formula>0</formula>
    </cfRule>
  </conditionalFormatting>
  <conditionalFormatting sqref="Q50 AB50">
    <cfRule type="cellIs" dxfId="1423" priority="15" operator="greaterThan">
      <formula>1</formula>
    </cfRule>
    <cfRule type="cellIs" dxfId="1422" priority="16" operator="lessThan">
      <formula>0.8</formula>
    </cfRule>
  </conditionalFormatting>
  <conditionalFormatting sqref="R50 AC50">
    <cfRule type="cellIs" dxfId="1421" priority="18" operator="lessThan">
      <formula>0.8</formula>
    </cfRule>
  </conditionalFormatting>
  <conditionalFormatting sqref="P8">
    <cfRule type="cellIs" dxfId="1420" priority="13" operator="lessThan">
      <formula>0</formula>
    </cfRule>
  </conditionalFormatting>
  <conditionalFormatting sqref="P17">
    <cfRule type="cellIs" dxfId="1419" priority="12" operator="lessThan">
      <formula>0</formula>
    </cfRule>
  </conditionalFormatting>
  <conditionalFormatting sqref="P22">
    <cfRule type="cellIs" dxfId="1418" priority="11" operator="lessThan">
      <formula>0</formula>
    </cfRule>
  </conditionalFormatting>
  <conditionalFormatting sqref="P29">
    <cfRule type="cellIs" dxfId="1417" priority="10" operator="lessThan">
      <formula>0</formula>
    </cfRule>
  </conditionalFormatting>
  <conditionalFormatting sqref="P43">
    <cfRule type="cellIs" dxfId="1416" priority="9" operator="lessThan">
      <formula>0</formula>
    </cfRule>
  </conditionalFormatting>
  <conditionalFormatting sqref="P48">
    <cfRule type="cellIs" dxfId="1415" priority="8" operator="lessThan">
      <formula>0</formula>
    </cfRule>
  </conditionalFormatting>
  <conditionalFormatting sqref="P53">
    <cfRule type="cellIs" dxfId="1414" priority="7" operator="lessThan">
      <formula>0</formula>
    </cfRule>
  </conditionalFormatting>
  <conditionalFormatting sqref="P62">
    <cfRule type="cellIs" dxfId="1413" priority="6" operator="lessThan">
      <formula>0</formula>
    </cfRule>
  </conditionalFormatting>
  <conditionalFormatting sqref="O61">
    <cfRule type="cellIs" dxfId="1412" priority="1" operator="greaterThan">
      <formula>0</formula>
    </cfRule>
  </conditionalFormatting>
  <conditionalFormatting sqref="P61">
    <cfRule type="cellIs" dxfId="1411" priority="4" operator="lessThan">
      <formula>0</formula>
    </cfRule>
  </conditionalFormatting>
  <conditionalFormatting sqref="Q61">
    <cfRule type="cellIs" dxfId="1410" priority="2" operator="greaterThan">
      <formula>1</formula>
    </cfRule>
    <cfRule type="cellIs" dxfId="1409" priority="3" operator="lessThan">
      <formula>0.8</formula>
    </cfRule>
  </conditionalFormatting>
  <conditionalFormatting sqref="R61">
    <cfRule type="cellIs" dxfId="1408" priority="5" operator="lessThan">
      <formula>0.8</formula>
    </cfRule>
  </conditionalFormatting>
  <dataValidations count="1">
    <dataValidation type="list" allowBlank="1" showInputMessage="1" showErrorMessage="1" sqref="Z8 Y5:Z7 Y8:Y52 Z10:Z49 Y53:Z62">
      <formula1>#REF!</formula1>
    </dataValidation>
  </dataValidations>
  <pageMargins left="0" right="0" top="0" bottom="0" header="0" footer="0"/>
  <pageSetup paperSize="9" scale="11" orientation="landscape" horizontalDpi="300" verticalDpi="300" r:id="rId1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工作表16"/>
  <dimension ref="B1:Q28"/>
  <sheetViews>
    <sheetView zoomScale="85" zoomScaleNormal="85" workbookViewId="0">
      <selection activeCell="G14" sqref="G14"/>
    </sheetView>
  </sheetViews>
  <sheetFormatPr defaultColWidth="8.75" defaultRowHeight="15.75"/>
  <cols>
    <col min="1" max="1" width="8.75" style="30"/>
    <col min="2" max="2" width="17.875" style="30" customWidth="1"/>
    <col min="3" max="3" width="9.25" style="37" customWidth="1"/>
    <col min="4" max="13" width="12.625" style="30" customWidth="1"/>
    <col min="14" max="14" width="11" style="30" bestFit="1" customWidth="1"/>
    <col min="15" max="15" width="17.75" style="30" bestFit="1" customWidth="1"/>
    <col min="16" max="16" width="12.25" style="30" bestFit="1" customWidth="1"/>
    <col min="17" max="22" width="9.25" style="30" customWidth="1"/>
    <col min="23" max="23" width="10.75" style="30" customWidth="1"/>
    <col min="24" max="24" width="11" style="30" customWidth="1"/>
    <col min="25" max="16384" width="8.75" style="30"/>
  </cols>
  <sheetData>
    <row r="1" spans="2:17" ht="27.75" customHeight="1">
      <c r="B1" s="552" t="s">
        <v>1693</v>
      </c>
      <c r="C1" s="552"/>
      <c r="D1" s="552"/>
      <c r="E1" s="552"/>
      <c r="F1" s="552"/>
      <c r="G1" s="552"/>
      <c r="H1" s="552"/>
      <c r="I1" s="552"/>
      <c r="J1" s="552"/>
      <c r="K1" s="29"/>
      <c r="L1" s="29"/>
      <c r="M1" s="29"/>
      <c r="N1" s="29"/>
      <c r="O1" s="29"/>
      <c r="P1" s="29"/>
    </row>
    <row r="2" spans="2:17" ht="27.75" customHeight="1">
      <c r="B2" s="553"/>
      <c r="C2" s="553"/>
      <c r="D2" s="553"/>
      <c r="E2" s="553"/>
      <c r="F2" s="553"/>
      <c r="G2" s="553"/>
      <c r="H2" s="553"/>
      <c r="I2" s="553"/>
      <c r="J2" s="553"/>
      <c r="K2" s="31"/>
      <c r="L2" s="31"/>
      <c r="M2" s="31"/>
      <c r="N2" s="29"/>
      <c r="O2" s="29"/>
      <c r="P2" s="29"/>
    </row>
    <row r="3" spans="2:17" ht="46.5" customHeight="1">
      <c r="B3" s="32" t="s">
        <v>113</v>
      </c>
      <c r="C3" s="554" t="str">
        <f>TEXT('1023 4度C'!A2,"yyyy.mm.ddaaaa")</f>
        <v>2025.10.23星期四</v>
      </c>
      <c r="D3" s="555"/>
      <c r="E3" s="32" t="s">
        <v>89</v>
      </c>
      <c r="F3" s="556">
        <f>'1023 4度C'!D1</f>
        <v>141364</v>
      </c>
      <c r="G3" s="557"/>
      <c r="H3" s="32" t="s">
        <v>1694</v>
      </c>
      <c r="I3" s="558">
        <f>'1023 4度C'!F1</f>
        <v>4669261.7599999988</v>
      </c>
      <c r="J3" s="559"/>
      <c r="K3" s="33"/>
      <c r="L3" s="34"/>
      <c r="M3" s="35"/>
      <c r="N3" s="35"/>
    </row>
    <row r="4" spans="2:17" ht="28.5" customHeight="1">
      <c r="B4" s="560" t="s">
        <v>1695</v>
      </c>
      <c r="C4" s="542" t="s">
        <v>1696</v>
      </c>
      <c r="D4" s="543"/>
      <c r="E4" s="563" t="s">
        <v>1697</v>
      </c>
      <c r="F4" s="564"/>
      <c r="G4" s="563" t="s">
        <v>1698</v>
      </c>
      <c r="H4" s="564"/>
      <c r="I4" s="563" t="s">
        <v>1699</v>
      </c>
      <c r="J4" s="564"/>
      <c r="L4" s="35"/>
      <c r="M4" s="35"/>
      <c r="N4" s="35"/>
    </row>
    <row r="5" spans="2:17" ht="28.5" customHeight="1">
      <c r="B5" s="561"/>
      <c r="C5" s="542" t="s">
        <v>1700</v>
      </c>
      <c r="D5" s="543"/>
      <c r="E5" s="542" t="s">
        <v>1701</v>
      </c>
      <c r="F5" s="543"/>
      <c r="G5" s="544" t="s">
        <v>1702</v>
      </c>
      <c r="H5" s="545"/>
      <c r="I5" s="546" t="s">
        <v>1703</v>
      </c>
      <c r="J5" s="547"/>
      <c r="K5" s="35"/>
      <c r="L5" s="35"/>
      <c r="M5" s="35"/>
      <c r="N5" s="35"/>
    </row>
    <row r="6" spans="2:17" ht="28.5" customHeight="1">
      <c r="B6" s="561"/>
      <c r="C6" s="542" t="s">
        <v>92</v>
      </c>
      <c r="D6" s="543"/>
      <c r="E6" s="548">
        <f>AVERAGE(D13:M13)</f>
        <v>153.07110226016439</v>
      </c>
      <c r="F6" s="549">
        <f>AVERAGE(D27:O27,D13:J13)</f>
        <v>159.11492160150854</v>
      </c>
      <c r="G6" s="550">
        <f>AVERAGE(D13:J13)</f>
        <v>159.11492160150854</v>
      </c>
      <c r="H6" s="551"/>
      <c r="I6" s="550">
        <f>AVERAGE(K13:M13)</f>
        <v>138.96885713036136</v>
      </c>
      <c r="J6" s="551"/>
      <c r="K6" s="35"/>
      <c r="L6" s="35"/>
      <c r="M6" s="35"/>
      <c r="N6" s="35"/>
    </row>
    <row r="7" spans="2:17" ht="28.5" customHeight="1">
      <c r="B7" s="561"/>
      <c r="C7" s="532" t="s">
        <v>93</v>
      </c>
      <c r="D7" s="533"/>
      <c r="E7" s="534">
        <f>AVERAGE(D14:M14)</f>
        <v>146.72804136086529</v>
      </c>
      <c r="F7" s="535">
        <f>AVERAGE(D28:O28,D14:J14)</f>
        <v>152.66225449874915</v>
      </c>
      <c r="G7" s="536">
        <f>AVERAGE(D14:J14)</f>
        <v>152.66225449874915</v>
      </c>
      <c r="H7" s="537"/>
      <c r="I7" s="536">
        <f>AVERAGE(K14:M14)</f>
        <v>132.88154403913634</v>
      </c>
      <c r="J7" s="537"/>
      <c r="K7" s="35"/>
      <c r="L7" s="35"/>
      <c r="M7" s="35"/>
      <c r="N7" s="35"/>
    </row>
    <row r="8" spans="2:17" ht="28.5" customHeight="1">
      <c r="B8" s="562"/>
      <c r="C8" s="532" t="s">
        <v>94</v>
      </c>
      <c r="D8" s="533"/>
      <c r="E8" s="538">
        <f>AVERAGE(D15:M15)</f>
        <v>0.95886827389455953</v>
      </c>
      <c r="F8" s="539">
        <f>AVERAGE(D15:J15,D29:O29)</f>
        <v>0.96000406305364039</v>
      </c>
      <c r="G8" s="540">
        <f>AVERAGE(D15:J15)</f>
        <v>0.96000406305364039</v>
      </c>
      <c r="H8" s="541"/>
      <c r="I8" s="540">
        <f>AVERAGE(K15:M15)</f>
        <v>0.95621809919003742</v>
      </c>
      <c r="J8" s="541"/>
      <c r="K8" s="36" t="s">
        <v>1704</v>
      </c>
      <c r="L8" s="35"/>
      <c r="M8" s="35"/>
      <c r="N8" s="35"/>
    </row>
    <row r="9" spans="2:17" ht="28.5" customHeight="1" thickBot="1">
      <c r="H9" s="38"/>
      <c r="N9" s="35"/>
      <c r="O9" s="35"/>
      <c r="P9" s="35"/>
      <c r="Q9" s="35"/>
    </row>
    <row r="10" spans="2:17" ht="30" customHeight="1">
      <c r="B10" s="515" t="s">
        <v>1705</v>
      </c>
      <c r="C10" s="516"/>
      <c r="D10" s="517" t="s">
        <v>1706</v>
      </c>
      <c r="E10" s="518"/>
      <c r="F10" s="518"/>
      <c r="G10" s="518"/>
      <c r="H10" s="518"/>
      <c r="I10" s="518"/>
      <c r="J10" s="519"/>
      <c r="K10" s="520" t="s">
        <v>1707</v>
      </c>
      <c r="L10" s="521"/>
      <c r="M10" s="522"/>
      <c r="P10" s="39"/>
      <c r="Q10" s="39"/>
    </row>
    <row r="11" spans="2:17" ht="17.25" customHeight="1">
      <c r="B11" s="523" t="s">
        <v>1708</v>
      </c>
      <c r="C11" s="524"/>
      <c r="D11" s="40">
        <v>1</v>
      </c>
      <c r="E11" s="41">
        <v>2</v>
      </c>
      <c r="F11" s="41">
        <v>3</v>
      </c>
      <c r="G11" s="41">
        <v>4</v>
      </c>
      <c r="H11" s="41">
        <v>5</v>
      </c>
      <c r="I11" s="41">
        <v>6</v>
      </c>
      <c r="J11" s="42">
        <v>7</v>
      </c>
      <c r="K11" s="40">
        <v>1</v>
      </c>
      <c r="L11" s="41">
        <v>2</v>
      </c>
      <c r="M11" s="42">
        <v>3</v>
      </c>
      <c r="P11" s="39"/>
      <c r="Q11" s="39"/>
    </row>
    <row r="12" spans="2:17" ht="34.15" customHeight="1">
      <c r="B12" s="525"/>
      <c r="C12" s="526"/>
      <c r="D12" s="43" t="s">
        <v>96</v>
      </c>
      <c r="E12" s="44" t="s">
        <v>97</v>
      </c>
      <c r="F12" s="44" t="s">
        <v>98</v>
      </c>
      <c r="G12" s="44" t="s">
        <v>99</v>
      </c>
      <c r="H12" s="44" t="s">
        <v>100</v>
      </c>
      <c r="I12" s="44" t="s">
        <v>101</v>
      </c>
      <c r="J12" s="45" t="s">
        <v>102</v>
      </c>
      <c r="K12" s="43" t="s">
        <v>103</v>
      </c>
      <c r="L12" s="44" t="s">
        <v>104</v>
      </c>
      <c r="M12" s="45" t="s">
        <v>105</v>
      </c>
    </row>
    <row r="13" spans="2:17" ht="40.15" customHeight="1">
      <c r="B13" s="527" t="s">
        <v>1709</v>
      </c>
      <c r="C13" s="46" t="s">
        <v>1710</v>
      </c>
      <c r="D13" s="47">
        <f>SUMIFS('1023 4度C'!$K:$K,'1023 4度C'!$A:$A,"新豐6線",'1023 4度C'!$B:$B,"平均")</f>
        <v>125</v>
      </c>
      <c r="E13" s="48">
        <f>SUMIFS('1023 4度C'!$K:$K,'1023 4度C'!$A:$A,"新豐2線",'1023 4度C'!$B:$B,"平均")</f>
        <v>81.081081081081081</v>
      </c>
      <c r="F13" s="49">
        <f>SUMIFS('1023 4度C'!$K:$K,'1023 4度C'!$A:$A,"新豐5線",'1023 4度C'!$B:$B,"平均")</f>
        <v>91.397849462365585</v>
      </c>
      <c r="G13" s="49">
        <f>SUMIFS('1023 4度C'!$K:$K,'1023 4度C'!$A:$A,"新豐7線",'1023 4度C'!$B:$B,"平均")</f>
        <v>119.40298507462687</v>
      </c>
      <c r="H13" s="49">
        <f>SUMIFS('1023 4度C'!$K:$K,'1023 4度C'!$A:$A,"新豐3線",'1023 4度C'!$B:$B,"平均")</f>
        <v>310.34482758620692</v>
      </c>
      <c r="I13" s="49">
        <f>SUMIFS('1023 4度C'!$K:$K,'1023 4度C'!$A:$A,"新豐1線",'1023 4度C'!$B:$B,"平均")</f>
        <v>117.34693877551021</v>
      </c>
      <c r="J13" s="50">
        <f>SUMIFS('1023 4度C'!$K:$K,'1023 4度C'!$A:$A,"新豐10線",'1023 4度C'!$B:$B,"平均")</f>
        <v>269.23076923076923</v>
      </c>
      <c r="K13" s="51">
        <f>SUMIFS('1023 4度C'!$K:$K,'1023 4度C'!$A:$A,"新豐8線",'1023 4度C'!$B:$B,"平均")</f>
        <v>132.11009174311926</v>
      </c>
      <c r="L13" s="52">
        <f>SUMIFS('1023 4度C'!$K:$K,'1023 4度C'!$A:$A,"新豐9線",'1023 4度C'!$B:$B,"平均")</f>
        <v>142.57425742574259</v>
      </c>
      <c r="M13" s="50">
        <f>SUMIFS('1023 4度C'!$K:$K,'1023 4度C'!$A:$A,"新豐4線",'1023 4度C'!$B:$B,"平均")</f>
        <v>142.22222222222223</v>
      </c>
    </row>
    <row r="14" spans="2:17" ht="39.6" customHeight="1">
      <c r="B14" s="528"/>
      <c r="C14" s="53" t="s">
        <v>1711</v>
      </c>
      <c r="D14" s="54">
        <f>SUMIFS('1023 4度C'!$N:$N,'1023 4度C'!$A:$A,"新豐6線",'1023 4度C'!$B:$B,"平均")</f>
        <v>120.42504491431714</v>
      </c>
      <c r="E14" s="55">
        <f>SUMIFS('1023 4度C'!$N:$N,'1023 4度C'!$A:$A,"新豐2線",'1023 4度C'!$B:$B,"平均")</f>
        <v>77.412847630238915</v>
      </c>
      <c r="F14" s="55">
        <f>SUMIFS('1023 4度C'!$N:$N,'1023 4度C'!$A:$A,"新豐5線",'1023 4度C'!$B:$B,"平均")</f>
        <v>87.329507300079442</v>
      </c>
      <c r="G14" s="55">
        <f>SUMIFS('1023 4度C'!$N:$N,'1023 4度C'!$A:$A,"新豐7線",'1023 4度C'!$B:$B,"平均")</f>
        <v>114.65747752163985</v>
      </c>
      <c r="H14" s="55">
        <f>SUMIFS('1023 4度C'!$N:$N,'1023 4度C'!$A:$A,"新豐3線",'1023 4度C'!$B:$B,"平均")</f>
        <v>296.49723233295947</v>
      </c>
      <c r="I14" s="55">
        <f>SUMIFS('1023 4度C'!$N:$N,'1023 4度C'!$A:$A,"新豐1線",'1023 4度C'!$B:$B,"平均")</f>
        <v>113.96186974789923</v>
      </c>
      <c r="J14" s="56">
        <f>SUMIFS('1023 4度C'!$N:$N,'1023 4度C'!$A:$A,"新豐10線",'1023 4度C'!$B:$B,"平均")</f>
        <v>258.35180204410983</v>
      </c>
      <c r="K14" s="57">
        <f>SUMIFS('1023 4度C'!$N:$N,'1023 4度C'!$A:$A,"新豐8線",'1023 4度C'!$B:$B,"平均")</f>
        <v>126.44119228097881</v>
      </c>
      <c r="L14" s="58">
        <f>SUMIFS('1023 4度C'!$N:$N,'1023 4度C'!$A:$A,"新豐9線",'1023 4度C'!$B:$B,"平均")</f>
        <v>136.26542822250721</v>
      </c>
      <c r="M14" s="56">
        <f>SUMIFS('1023 4度C'!$N:$N,'1023 4度C'!$A:$A,"新豐4線",'1023 4度C'!$B:$B,"平均")</f>
        <v>135.93801161392298</v>
      </c>
    </row>
    <row r="15" spans="2:17" ht="40.15" customHeight="1">
      <c r="B15" s="529"/>
      <c r="C15" s="59" t="s">
        <v>1712</v>
      </c>
      <c r="D15" s="60">
        <f t="shared" ref="D15:M15" si="0">D14/D13</f>
        <v>0.96340035931453716</v>
      </c>
      <c r="E15" s="61">
        <f t="shared" si="0"/>
        <v>0.95475845410627991</v>
      </c>
      <c r="F15" s="61">
        <f t="shared" si="0"/>
        <v>0.9554875504596928</v>
      </c>
      <c r="G15" s="61">
        <f t="shared" si="0"/>
        <v>0.96025637424373367</v>
      </c>
      <c r="H15" s="61">
        <f t="shared" si="0"/>
        <v>0.95537997085064708</v>
      </c>
      <c r="I15" s="61">
        <f t="shared" si="0"/>
        <v>0.97115332480818473</v>
      </c>
      <c r="J15" s="62">
        <f t="shared" si="0"/>
        <v>0.95959240759240794</v>
      </c>
      <c r="K15" s="60">
        <f t="shared" si="0"/>
        <v>0.95708958046018688</v>
      </c>
      <c r="L15" s="61">
        <f t="shared" si="0"/>
        <v>0.9557505729495297</v>
      </c>
      <c r="M15" s="62">
        <f t="shared" si="0"/>
        <v>0.9558141441603959</v>
      </c>
    </row>
    <row r="16" spans="2:17" ht="17.25" customHeight="1">
      <c r="B16" s="530" t="s">
        <v>1713</v>
      </c>
      <c r="C16" s="63" t="s">
        <v>1714</v>
      </c>
      <c r="D16" s="284">
        <f>VLOOKUP("新豐6線",'1023 4度C'!$A:$T,19,0)</f>
        <v>0.70833333333333337</v>
      </c>
      <c r="E16" s="285">
        <f>VLOOKUP("新豐2線",'1023 4度C'!$A:$T,19,0)</f>
        <v>0.20833333333333334</v>
      </c>
      <c r="F16" s="285">
        <f>VLOOKUP("新豐5線",'1023 4度C'!$A:$T,19,0)</f>
        <v>0.125</v>
      </c>
      <c r="G16" s="285">
        <f>VLOOKUP("新豐7線",'1023 4度C'!$A:$T,19,0)</f>
        <v>0.20833333333333334</v>
      </c>
      <c r="H16" s="285">
        <f>VLOOKUP("新豐3線",'1023 4度C'!$A:$T,19,0)</f>
        <v>0.20833333333333334</v>
      </c>
      <c r="I16" s="285">
        <f>VLOOKUP("新豐1線",'1023 4度C'!$A:$T,19,0)</f>
        <v>0.29166666666666669</v>
      </c>
      <c r="J16" s="286">
        <f>VLOOKUP("新豐10線",'1023 4度C'!$A:$T,19,0)</f>
        <v>0.20833333333333334</v>
      </c>
      <c r="K16" s="66">
        <f>VLOOKUP("新豐8線",'1023 4度C'!$A:$T,19,0)</f>
        <v>0.125</v>
      </c>
      <c r="L16" s="67">
        <f>VLOOKUP("新豐9線",'1023 4度C'!$A:$T,19,0)</f>
        <v>0.125</v>
      </c>
      <c r="M16" s="68">
        <f>VLOOKUP("新豐4線",'1023 4度C'!$A:$T,19,0)</f>
        <v>0.125</v>
      </c>
    </row>
    <row r="17" spans="2:13" ht="17.25" customHeight="1">
      <c r="B17" s="531"/>
      <c r="C17" s="63" t="s">
        <v>1715</v>
      </c>
      <c r="D17" s="66">
        <f>LOOKUP(2,1/(('1023 4度C'!$A:$A="新豐6線")*('1023 4度C'!$T:$T&lt;&gt;"")),'1023 4度C'!$T:$T)</f>
        <v>0.81597222222222232</v>
      </c>
      <c r="E17" s="285">
        <f>LOOKUP(2,1/(('1023 4度C'!$A:$A="新豐2線")*('1023 4度C'!$T:$T&lt;&gt;"")),'1023 4度C'!$T:$T)</f>
        <v>0.40694444444444444</v>
      </c>
      <c r="F17" s="285">
        <f>LOOKUP(2,1/(('1023 4度C'!$A:$A="新豐5線")*('1023 4度C'!$T:$T&lt;&gt;"")),'1023 4度C'!$T:$T)</f>
        <v>0.85069444444444442</v>
      </c>
      <c r="G17" s="285">
        <f>LOOKUP(2,1/(('1023 4度C'!$A:$A="新豐7線")*('1023 4度C'!$T:$T&lt;&gt;"")),'1023 4度C'!$T:$T)</f>
        <v>0.76250000000000007</v>
      </c>
      <c r="H17" s="285">
        <f>LOOKUP(2,1/(('1023 4度C'!$A:$A="新豐3線")*('1023 4度C'!$T:$T&lt;&gt;"")),'1023 4度C'!$T:$T)</f>
        <v>0.5541666666666667</v>
      </c>
      <c r="I17" s="285">
        <f>LOOKUP(2,1/(('1023 4度C'!$A:$A="新豐1線")*('1023 4度C'!$T:$T&lt;&gt;"")),'1023 4度C'!$T:$T)</f>
        <v>0.81180555555555545</v>
      </c>
      <c r="J17" s="286">
        <f>LOOKUP(2,1/(('1023 4度C'!$A:$A="新豐10線")*('1023 4度C'!$T:$T&lt;&gt;"")),'1023 4度C'!$T:$T)</f>
        <v>0.40347222222222212</v>
      </c>
      <c r="K17" s="284">
        <f>LOOKUP(2,1/(('1023 4度C'!$A:$A="新豐8線")*('1023 4度C'!$T:$T&lt;&gt;"")),'1023 4度C'!$T:$T)</f>
        <v>0.59583333333333321</v>
      </c>
      <c r="L17" s="285">
        <f>LOOKUP(2,1/(('1023 4度C'!$A:$A="新豐9線")*('1023 4度C'!$T:$T&lt;&gt;"")),'1023 4度C'!$T:$T)</f>
        <v>0.61874999999999991</v>
      </c>
      <c r="M17" s="286">
        <f>LOOKUP(2,1/(('1023 4度C'!$A:$A="新豐4線")*('1023 4度C'!$T:$T&lt;&gt;"")),'1023 4度C'!$T:$T)</f>
        <v>0.60208333333333319</v>
      </c>
    </row>
    <row r="18" spans="2:13" ht="17.25" customHeight="1">
      <c r="B18" s="509" t="s">
        <v>1716</v>
      </c>
      <c r="C18" s="510"/>
      <c r="D18" s="69">
        <f>SUMIFS('1023 4度C'!$I:$I,'1023 4度C'!$A:$A,"新豐6線",'1023 4度C'!$B:$B,"平均")</f>
        <v>16</v>
      </c>
      <c r="E18" s="70">
        <f>SUMIFS('1023 4度C'!$I:$I,'1023 4度C'!$A:$A,"新豐2線",'1023 4度C'!$B:$B,"平均")</f>
        <v>18.5</v>
      </c>
      <c r="F18" s="70">
        <f>SUMIFS('1023 4度C'!$I:$I,'1023 4度C'!$A:$A,"新豐5線",'1023 4度C'!$B:$B,"平均")</f>
        <v>18.600000000000001</v>
      </c>
      <c r="G18" s="70">
        <f>SUMIFS('1023 4度C'!$I:$I,'1023 4度C'!$A:$A,"新豐7線",'1023 4度C'!$B:$B,"平均")</f>
        <v>16.75</v>
      </c>
      <c r="H18" s="70">
        <f>SUMIFS('1023 4度C'!$I:$I,'1023 4度C'!$A:$A,"新豐3線",'1023 4度C'!$B:$B,"平均")</f>
        <v>9.6666666666666661</v>
      </c>
      <c r="I18" s="70">
        <f>SUMIFS('1023 4度C'!$I:$I,'1023 4度C'!$A:$A,"新豐1線",'1023 4度C'!$B:$B,"平均")</f>
        <v>16.333333333333332</v>
      </c>
      <c r="J18" s="71">
        <f>SUMIFS('1023 4度C'!$I:$I,'1023 4度C'!$A:$A,"新豐10線",'1023 4度C'!$B:$B,"平均")</f>
        <v>9.75</v>
      </c>
      <c r="K18" s="69">
        <f>SUMIFS('1023 4度C'!$I:$I,'1023 4度C'!$A:$A,"新豐8線",'1023 4度C'!$B:$B,"平均")</f>
        <v>18.166666666666668</v>
      </c>
      <c r="L18" s="70">
        <f>SUMIFS('1023 4度C'!$I:$I,'1023 4度C'!$A:$A,"新豐9線",'1023 4度C'!$B:$B,"平均")</f>
        <v>16.833333333333332</v>
      </c>
      <c r="M18" s="71">
        <f>SUMIFS('1023 4度C'!$I:$I,'1023 4度C'!$A:$A,"新豐4線",'1023 4度C'!$B:$B,"平均")</f>
        <v>16.875</v>
      </c>
    </row>
    <row r="19" spans="2:13" ht="17.25" customHeight="1">
      <c r="B19" s="509" t="s">
        <v>1717</v>
      </c>
      <c r="C19" s="510"/>
      <c r="D19" s="72" t="s">
        <v>109</v>
      </c>
      <c r="E19" s="73" t="s">
        <v>110</v>
      </c>
      <c r="F19" s="73" t="s">
        <v>1718</v>
      </c>
      <c r="G19" s="73" t="s">
        <v>1719</v>
      </c>
      <c r="H19" s="73" t="s">
        <v>111</v>
      </c>
      <c r="I19" s="73" t="s">
        <v>109</v>
      </c>
      <c r="J19" s="74" t="s">
        <v>111</v>
      </c>
      <c r="K19" s="72" t="s">
        <v>1720</v>
      </c>
      <c r="L19" s="73" t="s">
        <v>1721</v>
      </c>
      <c r="M19" s="74" t="s">
        <v>1722</v>
      </c>
    </row>
    <row r="20" spans="2:13" ht="17.25" customHeight="1">
      <c r="B20" s="509" t="s">
        <v>1723</v>
      </c>
      <c r="C20" s="510"/>
      <c r="D20" s="72"/>
      <c r="E20" s="73"/>
      <c r="F20" s="73" t="s">
        <v>1724</v>
      </c>
      <c r="G20" s="73" t="s">
        <v>109</v>
      </c>
      <c r="H20" s="73"/>
      <c r="I20" s="73"/>
      <c r="J20" s="74"/>
      <c r="K20" s="72"/>
      <c r="L20" s="73"/>
      <c r="M20" s="74"/>
    </row>
    <row r="21" spans="2:13" ht="17.25" customHeight="1" thickBot="1">
      <c r="B21" s="511" t="s">
        <v>1725</v>
      </c>
      <c r="C21" s="512"/>
      <c r="D21" s="75"/>
      <c r="E21" s="76" t="s">
        <v>1726</v>
      </c>
      <c r="F21" s="513" t="s">
        <v>1727</v>
      </c>
      <c r="G21" s="514"/>
      <c r="H21" s="76" t="s">
        <v>1728</v>
      </c>
      <c r="I21" s="76" t="s">
        <v>1729</v>
      </c>
      <c r="J21" s="77" t="s">
        <v>1730</v>
      </c>
      <c r="K21" s="78"/>
      <c r="L21" s="76"/>
      <c r="M21" s="77"/>
    </row>
    <row r="22" spans="2:13" ht="17.25" customHeight="1"/>
    <row r="23" spans="2:13" ht="17.25" customHeight="1"/>
    <row r="24" spans="2:13" ht="17.25" customHeight="1"/>
    <row r="25" spans="2:13" ht="37.5" customHeight="1"/>
    <row r="26" spans="2:13" ht="35.25" customHeight="1"/>
    <row r="27" spans="2:13" ht="35.25" customHeight="1"/>
    <row r="28" spans="2:13" ht="39.75" customHeight="1"/>
  </sheetData>
  <mergeCells count="36">
    <mergeCell ref="B20:C20"/>
    <mergeCell ref="B21:C21"/>
    <mergeCell ref="F21:G21"/>
    <mergeCell ref="K10:M10"/>
    <mergeCell ref="B11:C12"/>
    <mergeCell ref="B13:B15"/>
    <mergeCell ref="B18:C18"/>
    <mergeCell ref="B19:C19"/>
    <mergeCell ref="I6:J6"/>
    <mergeCell ref="B16:B17"/>
    <mergeCell ref="C7:D7"/>
    <mergeCell ref="E7:F7"/>
    <mergeCell ref="G7:H7"/>
    <mergeCell ref="I7:J7"/>
    <mergeCell ref="C8:D8"/>
    <mergeCell ref="E8:F8"/>
    <mergeCell ref="G8:H8"/>
    <mergeCell ref="I8:J8"/>
    <mergeCell ref="B10:C10"/>
    <mergeCell ref="D10:J10"/>
    <mergeCell ref="B1:J2"/>
    <mergeCell ref="C3:D3"/>
    <mergeCell ref="F3:G3"/>
    <mergeCell ref="I3:J3"/>
    <mergeCell ref="B4:B8"/>
    <mergeCell ref="C4:D4"/>
    <mergeCell ref="E4:F4"/>
    <mergeCell ref="G4:H4"/>
    <mergeCell ref="I4:J4"/>
    <mergeCell ref="C5:D5"/>
    <mergeCell ref="E5:F5"/>
    <mergeCell ref="G5:H5"/>
    <mergeCell ref="I5:J5"/>
    <mergeCell ref="C6:D6"/>
    <mergeCell ref="E6:F6"/>
    <mergeCell ref="G6:H6"/>
  </mergeCells>
  <phoneticPr fontId="3" type="noConversion"/>
  <conditionalFormatting sqref="D15:M15">
    <cfRule type="cellIs" dxfId="1407" priority="1" operator="lessThan">
      <formula>0.8</formula>
    </cfRule>
  </conditionalFormatting>
  <pageMargins left="0.7" right="0.7" top="0.75" bottom="0.75" header="0.3" footer="0.3"/>
  <pageSetup paperSize="9" orientation="portrait" horizontalDpi="300" verticalDpi="300" r:id="rId1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工作表132">
    <pageSetUpPr fitToPage="1"/>
  </sheetPr>
  <dimension ref="A1:AC65"/>
  <sheetViews>
    <sheetView zoomScale="80" zoomScaleNormal="80" workbookViewId="0">
      <pane ySplit="4" topLeftCell="A5" activePane="bottomLeft" state="frozen"/>
      <selection activeCell="I6" sqref="I6:J6"/>
      <selection pane="bottomLeft" activeCell="I6" sqref="I6:J6"/>
    </sheetView>
  </sheetViews>
  <sheetFormatPr defaultColWidth="8" defaultRowHeight="15.75"/>
  <cols>
    <col min="1" max="1" width="15.125" style="291" customWidth="1"/>
    <col min="2" max="2" width="19.375" style="291" customWidth="1"/>
    <col min="3" max="3" width="15.25" style="291" customWidth="1"/>
    <col min="4" max="4" width="17.5" style="291" customWidth="1"/>
    <col min="5" max="5" width="7.5" style="291" bestFit="1" customWidth="1"/>
    <col min="6" max="6" width="14.375" style="291" bestFit="1" customWidth="1"/>
    <col min="7" max="7" width="14.375" style="291" customWidth="1"/>
    <col min="8" max="8" width="8" style="291" customWidth="1"/>
    <col min="9" max="9" width="5.875" style="291" customWidth="1"/>
    <col min="10" max="10" width="10.625" style="291" customWidth="1"/>
    <col min="11" max="11" width="14.625" style="291" customWidth="1"/>
    <col min="12" max="12" width="7.25" style="291" bestFit="1" customWidth="1"/>
    <col min="13" max="13" width="8" style="291" customWidth="1"/>
    <col min="14" max="14" width="12" style="291" customWidth="1"/>
    <col min="15" max="15" width="6" style="291" customWidth="1"/>
    <col min="16" max="16" width="9.25" style="291" customWidth="1"/>
    <col min="17" max="17" width="11.5" style="291" customWidth="1"/>
    <col min="18" max="18" width="8.5" style="291" customWidth="1"/>
    <col min="19" max="19" width="10.125" style="324" bestFit="1" customWidth="1"/>
    <col min="20" max="20" width="7.625" style="324" bestFit="1" customWidth="1"/>
    <col min="21" max="21" width="10.25" style="291" bestFit="1" customWidth="1"/>
    <col min="22" max="22" width="8.75" style="325" customWidth="1"/>
    <col min="23" max="23" width="7.375" style="291" customWidth="1"/>
    <col min="24" max="24" width="6.875" style="291" bestFit="1" customWidth="1"/>
    <col min="25" max="25" width="12.75" style="291" customWidth="1"/>
    <col min="26" max="26" width="18.875" style="291" customWidth="1"/>
    <col min="27" max="27" width="13.125" style="291" bestFit="1" customWidth="1"/>
    <col min="28" max="28" width="10.375" style="291" customWidth="1"/>
    <col min="29" max="29" width="9.375" style="291" customWidth="1"/>
    <col min="30" max="30" width="8" style="291"/>
    <col min="31" max="31" width="24.625" style="291" bestFit="1" customWidth="1"/>
    <col min="32" max="16384" width="8" style="291"/>
  </cols>
  <sheetData>
    <row r="1" spans="1:29" ht="26.25" customHeight="1">
      <c r="A1" s="287" t="s">
        <v>1731</v>
      </c>
      <c r="B1" s="287"/>
      <c r="C1" s="288" t="s">
        <v>1732</v>
      </c>
      <c r="D1" s="289">
        <f>SUM(F5:F64)</f>
        <v>141364</v>
      </c>
      <c r="E1" s="389" t="s">
        <v>1733</v>
      </c>
      <c r="F1" s="287">
        <f>SUM(G5:G64)</f>
        <v>4669261.7599999988</v>
      </c>
      <c r="G1" s="287" t="s">
        <v>1734</v>
      </c>
      <c r="H1" s="290">
        <f>L8+L11+L43+L50+L17+L55+L29+L36+L22+L64</f>
        <v>157.47499999999999</v>
      </c>
      <c r="I1" s="611" t="s">
        <v>1735</v>
      </c>
      <c r="J1" s="611"/>
      <c r="K1" s="611"/>
      <c r="L1" s="611" t="s">
        <v>1736</v>
      </c>
      <c r="M1" s="611"/>
      <c r="N1" s="611"/>
      <c r="O1" s="611" t="s">
        <v>1737</v>
      </c>
      <c r="P1" s="611"/>
      <c r="Q1" s="611"/>
      <c r="R1" s="611"/>
      <c r="S1" s="611" t="s">
        <v>1738</v>
      </c>
      <c r="T1" s="611"/>
      <c r="U1" s="611"/>
      <c r="V1" s="611"/>
      <c r="W1" s="611"/>
      <c r="X1" s="611"/>
      <c r="Y1" s="611" t="s">
        <v>1739</v>
      </c>
      <c r="Z1" s="611"/>
      <c r="AA1" s="611" t="s">
        <v>1740</v>
      </c>
      <c r="AB1" s="612"/>
      <c r="AC1" s="612"/>
    </row>
    <row r="2" spans="1:29" ht="26.25" customHeight="1">
      <c r="A2" s="292">
        <v>45953</v>
      </c>
      <c r="B2" s="293" t="s">
        <v>155</v>
      </c>
      <c r="C2" s="288" t="s">
        <v>1741</v>
      </c>
      <c r="D2" s="294">
        <f>AVERAGE(N8,N11,N43,N50,N17,N55,N22,N29,N36,N64)</f>
        <v>146.72804136086526</v>
      </c>
      <c r="E2" s="295" t="s">
        <v>2</v>
      </c>
      <c r="F2" s="296">
        <f>F1/D1</f>
        <v>33.030062533601189</v>
      </c>
      <c r="G2" s="287" t="s">
        <v>1742</v>
      </c>
      <c r="H2" s="388">
        <f>COUNT(H5:H64)</f>
        <v>3</v>
      </c>
      <c r="I2" s="611"/>
      <c r="J2" s="611"/>
      <c r="K2" s="611"/>
      <c r="L2" s="611"/>
      <c r="M2" s="611"/>
      <c r="N2" s="611"/>
      <c r="O2" s="611"/>
      <c r="P2" s="611"/>
      <c r="Q2" s="611"/>
      <c r="R2" s="611"/>
      <c r="S2" s="611"/>
      <c r="T2" s="611"/>
      <c r="U2" s="611"/>
      <c r="V2" s="611"/>
      <c r="W2" s="611"/>
      <c r="X2" s="611"/>
      <c r="Y2" s="611"/>
      <c r="Z2" s="611"/>
      <c r="AA2" s="612"/>
      <c r="AB2" s="612"/>
      <c r="AC2" s="612"/>
    </row>
    <row r="3" spans="1:29" ht="23.25" customHeight="1">
      <c r="A3" s="570" t="s">
        <v>1743</v>
      </c>
      <c r="B3" s="570" t="s">
        <v>1744</v>
      </c>
      <c r="C3" s="570" t="s">
        <v>1745</v>
      </c>
      <c r="D3" s="570"/>
      <c r="E3" s="609" t="s">
        <v>1746</v>
      </c>
      <c r="F3" s="570" t="s">
        <v>1747</v>
      </c>
      <c r="G3" s="609" t="s">
        <v>1748</v>
      </c>
      <c r="H3" s="602" t="s">
        <v>1749</v>
      </c>
      <c r="I3" s="600" t="s">
        <v>1750</v>
      </c>
      <c r="J3" s="605" t="s">
        <v>1751</v>
      </c>
      <c r="K3" s="607" t="s">
        <v>1741</v>
      </c>
      <c r="L3" s="600" t="s">
        <v>1750</v>
      </c>
      <c r="M3" s="605" t="s">
        <v>1751</v>
      </c>
      <c r="N3" s="607" t="s">
        <v>1741</v>
      </c>
      <c r="O3" s="600" t="s">
        <v>1750</v>
      </c>
      <c r="P3" s="607" t="s">
        <v>1741</v>
      </c>
      <c r="Q3" s="606" t="s">
        <v>1752</v>
      </c>
      <c r="R3" s="578" t="s">
        <v>1753</v>
      </c>
      <c r="S3" s="608" t="s">
        <v>14</v>
      </c>
      <c r="T3" s="608"/>
      <c r="U3" s="602" t="s">
        <v>15</v>
      </c>
      <c r="V3" s="602" t="s">
        <v>1754</v>
      </c>
      <c r="W3" s="570" t="s">
        <v>1755</v>
      </c>
      <c r="X3" s="570"/>
      <c r="Y3" s="603" t="s">
        <v>1756</v>
      </c>
      <c r="Z3" s="604"/>
      <c r="AA3" s="605" t="s">
        <v>1757</v>
      </c>
      <c r="AB3" s="606" t="s">
        <v>1758</v>
      </c>
      <c r="AC3" s="578" t="s">
        <v>1759</v>
      </c>
    </row>
    <row r="4" spans="1:29">
      <c r="A4" s="570"/>
      <c r="B4" s="570"/>
      <c r="C4" s="570"/>
      <c r="D4" s="570"/>
      <c r="E4" s="610"/>
      <c r="F4" s="570"/>
      <c r="G4" s="610"/>
      <c r="H4" s="602"/>
      <c r="I4" s="600"/>
      <c r="J4" s="605"/>
      <c r="K4" s="607"/>
      <c r="L4" s="600"/>
      <c r="M4" s="605"/>
      <c r="N4" s="607"/>
      <c r="O4" s="600"/>
      <c r="P4" s="607"/>
      <c r="Q4" s="606"/>
      <c r="R4" s="578"/>
      <c r="S4" s="390" t="s">
        <v>18</v>
      </c>
      <c r="T4" s="390" t="s">
        <v>19</v>
      </c>
      <c r="U4" s="602"/>
      <c r="V4" s="602"/>
      <c r="W4" s="389" t="s">
        <v>1760</v>
      </c>
      <c r="X4" s="389" t="s">
        <v>1761</v>
      </c>
      <c r="Y4" s="604"/>
      <c r="Z4" s="604"/>
      <c r="AA4" s="605"/>
      <c r="AB4" s="606"/>
      <c r="AC4" s="578"/>
    </row>
    <row r="5" spans="1:29">
      <c r="A5" s="599" t="s">
        <v>1762</v>
      </c>
      <c r="B5" s="300" t="s">
        <v>36</v>
      </c>
      <c r="C5" s="601" t="s">
        <v>37</v>
      </c>
      <c r="D5" s="601"/>
      <c r="E5" s="300">
        <v>46.93</v>
      </c>
      <c r="F5" s="390">
        <v>779</v>
      </c>
      <c r="G5" s="389">
        <f t="shared" ref="G5:G7" si="0">E5*F5</f>
        <v>36558.47</v>
      </c>
      <c r="H5" s="391" t="s">
        <v>35</v>
      </c>
      <c r="I5" s="392">
        <v>16</v>
      </c>
      <c r="J5" s="303">
        <v>2000</v>
      </c>
      <c r="K5" s="304">
        <f t="shared" ref="K5:K64" si="1">J5/I5</f>
        <v>125</v>
      </c>
      <c r="L5" s="392">
        <v>16</v>
      </c>
      <c r="M5" s="305">
        <f t="shared" ref="M5:M7" si="2">F5/V5*60</f>
        <v>1947.4999999999936</v>
      </c>
      <c r="N5" s="304">
        <f t="shared" ref="N5:N64" si="3">M5/L5</f>
        <v>121.7187499999996</v>
      </c>
      <c r="O5" s="306">
        <f t="shared" ref="O5:O64" si="4">L5-I5</f>
        <v>0</v>
      </c>
      <c r="P5" s="307">
        <f t="shared" ref="P5:P64" si="5">N5-K5</f>
        <v>-3.2812500000003979</v>
      </c>
      <c r="Q5" s="394">
        <f t="shared" ref="Q5:Q64" si="6">N5/K5</f>
        <v>0.97374999999999678</v>
      </c>
      <c r="R5" s="571">
        <f>Q8</f>
        <v>0.96340035931453716</v>
      </c>
      <c r="S5" s="308">
        <v>0.70833333333333337</v>
      </c>
      <c r="T5" s="308">
        <v>0.72500000000000009</v>
      </c>
      <c r="U5" s="389"/>
      <c r="V5" s="397">
        <f t="shared" ref="V5:V7" si="7">(T5-S5)*24*60</f>
        <v>24.000000000000075</v>
      </c>
      <c r="W5" s="310"/>
      <c r="X5" s="311"/>
      <c r="Y5" s="570"/>
      <c r="Z5" s="570"/>
      <c r="AA5" s="306">
        <f t="shared" ref="AA5:AA64" si="8">M5-J5</f>
        <v>-52.500000000006366</v>
      </c>
      <c r="AB5" s="394">
        <f t="shared" ref="AB5:AB64" si="9">M5/J5</f>
        <v>0.97374999999999678</v>
      </c>
      <c r="AC5" s="571">
        <f>AB8</f>
        <v>0.96340035931453716</v>
      </c>
    </row>
    <row r="6" spans="1:29">
      <c r="A6" s="600" t="s">
        <v>1763</v>
      </c>
      <c r="B6" s="300" t="s">
        <v>36</v>
      </c>
      <c r="C6" s="601" t="s">
        <v>38</v>
      </c>
      <c r="D6" s="601"/>
      <c r="E6" s="300">
        <v>50.49</v>
      </c>
      <c r="F6" s="390">
        <v>2146</v>
      </c>
      <c r="G6" s="389">
        <f t="shared" si="0"/>
        <v>108351.54000000001</v>
      </c>
      <c r="H6" s="391" t="s">
        <v>35</v>
      </c>
      <c r="I6" s="392">
        <v>15</v>
      </c>
      <c r="J6" s="303">
        <v>2000</v>
      </c>
      <c r="K6" s="304">
        <f t="shared" si="1"/>
        <v>133.33333333333334</v>
      </c>
      <c r="L6" s="392">
        <v>15</v>
      </c>
      <c r="M6" s="305">
        <f t="shared" si="2"/>
        <v>1921.7910447761169</v>
      </c>
      <c r="N6" s="304">
        <f t="shared" si="3"/>
        <v>128.11940298507446</v>
      </c>
      <c r="O6" s="306">
        <f t="shared" si="4"/>
        <v>0</v>
      </c>
      <c r="P6" s="307">
        <f t="shared" si="5"/>
        <v>-5.2139303482588844</v>
      </c>
      <c r="Q6" s="394">
        <f t="shared" si="6"/>
        <v>0.96089552238805842</v>
      </c>
      <c r="R6" s="571"/>
      <c r="S6" s="308">
        <v>0.7284722222222223</v>
      </c>
      <c r="T6" s="308">
        <v>0.77500000000000013</v>
      </c>
      <c r="U6" s="389">
        <f t="shared" ref="U6:U7" si="10">IF(S6=TIME(17,0,0),"",(S6-T5)*24*60)</f>
        <v>4.9999999999999822</v>
      </c>
      <c r="V6" s="397">
        <f t="shared" si="7"/>
        <v>67.000000000000085</v>
      </c>
      <c r="W6" s="310"/>
      <c r="X6" s="310"/>
      <c r="Y6" s="570"/>
      <c r="Z6" s="570"/>
      <c r="AA6" s="306">
        <f t="shared" si="8"/>
        <v>-78.208955223883095</v>
      </c>
      <c r="AB6" s="394">
        <f t="shared" si="9"/>
        <v>0.96089552238805842</v>
      </c>
      <c r="AC6" s="571"/>
    </row>
    <row r="7" spans="1:29">
      <c r="A7" s="600" t="s">
        <v>1763</v>
      </c>
      <c r="B7" s="300" t="s">
        <v>36</v>
      </c>
      <c r="C7" s="594" t="s">
        <v>39</v>
      </c>
      <c r="D7" s="595"/>
      <c r="E7" s="300">
        <v>50.67</v>
      </c>
      <c r="F7" s="390">
        <v>1720</v>
      </c>
      <c r="G7" s="389">
        <f t="shared" si="0"/>
        <v>87152.400000000009</v>
      </c>
      <c r="H7" s="391" t="s">
        <v>35</v>
      </c>
      <c r="I7" s="392">
        <v>17</v>
      </c>
      <c r="J7" s="303">
        <v>2000</v>
      </c>
      <c r="K7" s="304">
        <f t="shared" si="1"/>
        <v>117.64705882352941</v>
      </c>
      <c r="L7" s="392">
        <v>17</v>
      </c>
      <c r="M7" s="305">
        <f t="shared" si="2"/>
        <v>1911.1111111111122</v>
      </c>
      <c r="N7" s="304">
        <f t="shared" si="3"/>
        <v>112.41830065359484</v>
      </c>
      <c r="O7" s="306">
        <f t="shared" si="4"/>
        <v>0</v>
      </c>
      <c r="P7" s="307">
        <f t="shared" si="5"/>
        <v>-5.2287581699345651</v>
      </c>
      <c r="Q7" s="394">
        <f t="shared" si="6"/>
        <v>0.95555555555555616</v>
      </c>
      <c r="R7" s="571"/>
      <c r="S7" s="308">
        <v>0.77847222222222234</v>
      </c>
      <c r="T7" s="308">
        <v>0.81597222222222232</v>
      </c>
      <c r="U7" s="389">
        <f t="shared" si="10"/>
        <v>4.9999999999999822</v>
      </c>
      <c r="V7" s="397">
        <f t="shared" si="7"/>
        <v>53.999999999999972</v>
      </c>
      <c r="W7" s="310"/>
      <c r="X7" s="310"/>
      <c r="Y7" s="566"/>
      <c r="Z7" s="567"/>
      <c r="AA7" s="306">
        <f t="shared" si="8"/>
        <v>-88.888888888887777</v>
      </c>
      <c r="AB7" s="394">
        <f t="shared" si="9"/>
        <v>0.95555555555555616</v>
      </c>
      <c r="AC7" s="571"/>
    </row>
    <row r="8" spans="1:29">
      <c r="A8" s="600" t="s">
        <v>1763</v>
      </c>
      <c r="B8" s="300" t="s">
        <v>1764</v>
      </c>
      <c r="C8" s="572"/>
      <c r="D8" s="572"/>
      <c r="E8" s="393"/>
      <c r="F8" s="313"/>
      <c r="G8" s="304"/>
      <c r="H8" s="390"/>
      <c r="I8" s="314">
        <v>16</v>
      </c>
      <c r="J8" s="303">
        <v>2000</v>
      </c>
      <c r="K8" s="304">
        <f t="shared" si="1"/>
        <v>125</v>
      </c>
      <c r="L8" s="314">
        <v>16</v>
      </c>
      <c r="M8" s="305">
        <f>AVERAGE(M5:M7)</f>
        <v>1926.8007186290743</v>
      </c>
      <c r="N8" s="304">
        <f t="shared" si="3"/>
        <v>120.42504491431714</v>
      </c>
      <c r="O8" s="306">
        <f t="shared" si="4"/>
        <v>0</v>
      </c>
      <c r="P8" s="307">
        <f t="shared" si="5"/>
        <v>-4.5749550856828591</v>
      </c>
      <c r="Q8" s="394">
        <f t="shared" si="6"/>
        <v>0.96340035931453716</v>
      </c>
      <c r="R8" s="571"/>
      <c r="S8" s="308"/>
      <c r="T8" s="308"/>
      <c r="U8" s="389"/>
      <c r="V8" s="397"/>
      <c r="W8" s="304"/>
      <c r="X8" s="304"/>
      <c r="Y8" s="570"/>
      <c r="Z8" s="570"/>
      <c r="AA8" s="306">
        <f t="shared" si="8"/>
        <v>-73.199281370925746</v>
      </c>
      <c r="AB8" s="394">
        <f t="shared" si="9"/>
        <v>0.96340035931453716</v>
      </c>
      <c r="AC8" s="571"/>
    </row>
    <row r="9" spans="1:29" ht="15.75" customHeight="1">
      <c r="A9" s="598" t="s">
        <v>1765</v>
      </c>
      <c r="B9" s="300" t="s">
        <v>40</v>
      </c>
      <c r="C9" s="594" t="s">
        <v>42</v>
      </c>
      <c r="D9" s="595"/>
      <c r="E9" s="300">
        <v>39.36</v>
      </c>
      <c r="F9" s="390">
        <v>1722</v>
      </c>
      <c r="G9" s="389">
        <f t="shared" ref="G9:G10" si="11">E9*F9</f>
        <v>67777.919999999998</v>
      </c>
      <c r="H9" s="391" t="s">
        <v>35</v>
      </c>
      <c r="I9" s="392">
        <v>20</v>
      </c>
      <c r="J9" s="303">
        <v>1500</v>
      </c>
      <c r="K9" s="304">
        <f t="shared" si="1"/>
        <v>75</v>
      </c>
      <c r="L9" s="392">
        <v>20</v>
      </c>
      <c r="M9" s="305">
        <f t="shared" ref="M9:M10" si="12">F9/V9*60</f>
        <v>1434.9999999999995</v>
      </c>
      <c r="N9" s="304">
        <f t="shared" si="3"/>
        <v>71.749999999999972</v>
      </c>
      <c r="O9" s="306">
        <f t="shared" si="4"/>
        <v>0</v>
      </c>
      <c r="P9" s="307">
        <f t="shared" si="5"/>
        <v>-3.2500000000000284</v>
      </c>
      <c r="Q9" s="394">
        <f t="shared" si="6"/>
        <v>0.95666666666666633</v>
      </c>
      <c r="R9" s="571">
        <f>Q11</f>
        <v>0.95475845410627991</v>
      </c>
      <c r="S9" s="308">
        <v>0.20833333333333334</v>
      </c>
      <c r="T9" s="308">
        <v>0.25833333333333336</v>
      </c>
      <c r="U9" s="389"/>
      <c r="V9" s="397">
        <f t="shared" ref="V9:V10" si="13">(T9-S9)*24*60</f>
        <v>72.000000000000028</v>
      </c>
      <c r="W9" s="310"/>
      <c r="X9" s="310"/>
      <c r="Y9" s="570"/>
      <c r="Z9" s="570"/>
      <c r="AA9" s="306">
        <f t="shared" si="8"/>
        <v>-65.000000000000455</v>
      </c>
      <c r="AB9" s="394">
        <f t="shared" si="9"/>
        <v>0.95666666666666633</v>
      </c>
      <c r="AC9" s="571">
        <f>AB11</f>
        <v>0.95475845410628002</v>
      </c>
    </row>
    <row r="10" spans="1:29" ht="15.75" customHeight="1">
      <c r="A10" s="598" t="s">
        <v>1765</v>
      </c>
      <c r="B10" s="300" t="s">
        <v>40</v>
      </c>
      <c r="C10" s="594" t="s">
        <v>41</v>
      </c>
      <c r="D10" s="595"/>
      <c r="E10" s="300">
        <v>39.799999999999997</v>
      </c>
      <c r="F10" s="390">
        <v>4931</v>
      </c>
      <c r="G10" s="389">
        <f t="shared" si="11"/>
        <v>196253.8</v>
      </c>
      <c r="H10" s="391" t="s">
        <v>35</v>
      </c>
      <c r="I10" s="392">
        <v>17</v>
      </c>
      <c r="J10" s="303">
        <v>1500</v>
      </c>
      <c r="K10" s="304">
        <f t="shared" si="1"/>
        <v>88.235294117647058</v>
      </c>
      <c r="L10" s="392">
        <v>17</v>
      </c>
      <c r="M10" s="305">
        <f t="shared" si="12"/>
        <v>1429.2753623188407</v>
      </c>
      <c r="N10" s="304">
        <f t="shared" si="3"/>
        <v>84.075021312872991</v>
      </c>
      <c r="O10" s="306">
        <f t="shared" si="4"/>
        <v>0</v>
      </c>
      <c r="P10" s="307">
        <f t="shared" si="5"/>
        <v>-4.1602728047740669</v>
      </c>
      <c r="Q10" s="394">
        <f t="shared" si="6"/>
        <v>0.95285024154589393</v>
      </c>
      <c r="R10" s="571"/>
      <c r="S10" s="308">
        <v>0.26319444444444445</v>
      </c>
      <c r="T10" s="308">
        <v>0.40694444444444444</v>
      </c>
      <c r="U10" s="389">
        <f t="shared" ref="U10" si="14">IF(S10=TIME(17,0,0),"",(S10-T9)*24*60)</f>
        <v>6.9999999999999751</v>
      </c>
      <c r="V10" s="397">
        <f t="shared" si="13"/>
        <v>206.99999999999997</v>
      </c>
      <c r="W10" s="310"/>
      <c r="X10" s="310"/>
      <c r="Y10" s="570"/>
      <c r="Z10" s="570"/>
      <c r="AA10" s="306">
        <f t="shared" si="8"/>
        <v>-70.724637681159265</v>
      </c>
      <c r="AB10" s="394">
        <f t="shared" si="9"/>
        <v>0.95285024154589382</v>
      </c>
      <c r="AC10" s="571"/>
    </row>
    <row r="11" spans="1:29" ht="16.5" customHeight="1">
      <c r="A11" s="598" t="s">
        <v>1765</v>
      </c>
      <c r="B11" s="300" t="s">
        <v>1764</v>
      </c>
      <c r="C11" s="572"/>
      <c r="D11" s="572"/>
      <c r="E11" s="393"/>
      <c r="F11" s="303"/>
      <c r="G11" s="305"/>
      <c r="H11" s="390"/>
      <c r="I11" s="314">
        <v>18.5</v>
      </c>
      <c r="J11" s="303">
        <v>1500</v>
      </c>
      <c r="K11" s="304">
        <f t="shared" si="1"/>
        <v>81.081081081081081</v>
      </c>
      <c r="L11" s="314">
        <v>18.5</v>
      </c>
      <c r="M11" s="305">
        <f>AVERAGE(M9:M10)</f>
        <v>1432.13768115942</v>
      </c>
      <c r="N11" s="304">
        <f t="shared" si="3"/>
        <v>77.412847630238915</v>
      </c>
      <c r="O11" s="306">
        <f t="shared" si="4"/>
        <v>0</v>
      </c>
      <c r="P11" s="307">
        <f t="shared" si="5"/>
        <v>-3.6682334508421661</v>
      </c>
      <c r="Q11" s="394">
        <f t="shared" si="6"/>
        <v>0.95475845410627991</v>
      </c>
      <c r="R11" s="571"/>
      <c r="S11" s="308"/>
      <c r="T11" s="308"/>
      <c r="U11" s="304"/>
      <c r="V11" s="397"/>
      <c r="W11" s="304"/>
      <c r="X11" s="304"/>
      <c r="Y11" s="570"/>
      <c r="Z11" s="570"/>
      <c r="AA11" s="306">
        <f t="shared" si="8"/>
        <v>-67.862318840579974</v>
      </c>
      <c r="AB11" s="394">
        <f t="shared" si="9"/>
        <v>0.95475845410628002</v>
      </c>
      <c r="AC11" s="571"/>
    </row>
    <row r="12" spans="1:29" ht="16.5" customHeight="1">
      <c r="A12" s="596" t="s">
        <v>1766</v>
      </c>
      <c r="B12" s="390" t="s">
        <v>43</v>
      </c>
      <c r="C12" s="590" t="s">
        <v>44</v>
      </c>
      <c r="D12" s="590"/>
      <c r="E12" s="300">
        <v>41</v>
      </c>
      <c r="F12" s="390">
        <v>2381</v>
      </c>
      <c r="G12" s="389">
        <f t="shared" ref="G12:G16" si="15">E12*F12</f>
        <v>97621</v>
      </c>
      <c r="H12" s="391" t="s">
        <v>35</v>
      </c>
      <c r="I12" s="392">
        <v>26</v>
      </c>
      <c r="J12" s="303">
        <v>1500</v>
      </c>
      <c r="K12" s="304">
        <f t="shared" si="1"/>
        <v>57.692307692307693</v>
      </c>
      <c r="L12" s="392">
        <v>26</v>
      </c>
      <c r="M12" s="305">
        <f t="shared" ref="M12:M16" si="16">F12/V12*60</f>
        <v>1428.6</v>
      </c>
      <c r="N12" s="304">
        <f t="shared" si="3"/>
        <v>54.946153846153841</v>
      </c>
      <c r="O12" s="306">
        <f t="shared" si="4"/>
        <v>0</v>
      </c>
      <c r="P12" s="307">
        <f t="shared" si="5"/>
        <v>-2.7461538461538524</v>
      </c>
      <c r="Q12" s="394">
        <f t="shared" si="6"/>
        <v>0.95239999999999991</v>
      </c>
      <c r="R12" s="571">
        <f>Q17</f>
        <v>0.9554875504596928</v>
      </c>
      <c r="S12" s="308">
        <v>0.125</v>
      </c>
      <c r="T12" s="308">
        <v>0.19444444444444445</v>
      </c>
      <c r="U12" s="389"/>
      <c r="V12" s="397">
        <f t="shared" ref="V12:V16" si="17">(T12-S12)*24*60</f>
        <v>100</v>
      </c>
      <c r="W12" s="310">
        <f>T12</f>
        <v>0.19444444444444445</v>
      </c>
      <c r="X12" s="310">
        <f>S13</f>
        <v>0.21249999999999999</v>
      </c>
      <c r="Y12" s="570"/>
      <c r="Z12" s="570"/>
      <c r="AA12" s="306">
        <f t="shared" si="8"/>
        <v>-71.400000000000091</v>
      </c>
      <c r="AB12" s="394">
        <f t="shared" si="9"/>
        <v>0.95239999999999991</v>
      </c>
      <c r="AC12" s="571">
        <f>AB17</f>
        <v>0.95548755045969269</v>
      </c>
    </row>
    <row r="13" spans="1:29" ht="16.5" customHeight="1">
      <c r="A13" s="597" t="s">
        <v>1766</v>
      </c>
      <c r="B13" s="390" t="s">
        <v>40</v>
      </c>
      <c r="C13" s="590" t="s">
        <v>45</v>
      </c>
      <c r="D13" s="590"/>
      <c r="E13" s="300">
        <v>39.619999999999997</v>
      </c>
      <c r="F13" s="390">
        <v>3556</v>
      </c>
      <c r="G13" s="389">
        <f t="shared" si="15"/>
        <v>140888.72</v>
      </c>
      <c r="H13" s="391" t="s">
        <v>35</v>
      </c>
      <c r="I13" s="392">
        <v>19</v>
      </c>
      <c r="J13" s="303">
        <v>1500</v>
      </c>
      <c r="K13" s="304">
        <f t="shared" si="1"/>
        <v>78.94736842105263</v>
      </c>
      <c r="L13" s="392">
        <v>19</v>
      </c>
      <c r="M13" s="305">
        <f t="shared" si="16"/>
        <v>1431.9463087248323</v>
      </c>
      <c r="N13" s="304">
        <f t="shared" si="3"/>
        <v>75.365595196043799</v>
      </c>
      <c r="O13" s="306">
        <f t="shared" si="4"/>
        <v>0</v>
      </c>
      <c r="P13" s="307">
        <f t="shared" si="5"/>
        <v>-3.5817732250088312</v>
      </c>
      <c r="Q13" s="394">
        <f t="shared" si="6"/>
        <v>0.95463087248322143</v>
      </c>
      <c r="R13" s="571"/>
      <c r="S13" s="308">
        <v>0.21249999999999999</v>
      </c>
      <c r="T13" s="308">
        <v>0.31597222222222221</v>
      </c>
      <c r="U13" s="389">
        <f t="shared" ref="U13:U16" si="18">IF(S13=TIME(17,0,0),"",(S13-T12)*24*60)</f>
        <v>25.999999999999986</v>
      </c>
      <c r="V13" s="397">
        <f t="shared" si="17"/>
        <v>149</v>
      </c>
      <c r="W13" s="310"/>
      <c r="X13" s="310"/>
      <c r="Y13" s="570"/>
      <c r="Z13" s="570"/>
      <c r="AA13" s="306">
        <f t="shared" si="8"/>
        <v>-68.053691275167694</v>
      </c>
      <c r="AB13" s="394">
        <f t="shared" si="9"/>
        <v>0.95463087248322154</v>
      </c>
      <c r="AC13" s="571"/>
    </row>
    <row r="14" spans="1:29" ht="16.5" customHeight="1">
      <c r="A14" s="597" t="s">
        <v>1766</v>
      </c>
      <c r="B14" s="390" t="s">
        <v>1182</v>
      </c>
      <c r="C14" s="590" t="s">
        <v>1041</v>
      </c>
      <c r="D14" s="590"/>
      <c r="E14" s="300">
        <v>57.3</v>
      </c>
      <c r="F14" s="390">
        <v>1391</v>
      </c>
      <c r="G14" s="389">
        <f t="shared" si="15"/>
        <v>79704.3</v>
      </c>
      <c r="H14" s="391" t="s">
        <v>35</v>
      </c>
      <c r="I14" s="392">
        <v>17</v>
      </c>
      <c r="J14" s="303">
        <v>1500</v>
      </c>
      <c r="K14" s="304">
        <f t="shared" si="1"/>
        <v>88.235294117647058</v>
      </c>
      <c r="L14" s="392">
        <v>17</v>
      </c>
      <c r="M14" s="305">
        <f t="shared" si="16"/>
        <v>1438.9655172413784</v>
      </c>
      <c r="N14" s="304">
        <f t="shared" si="3"/>
        <v>84.645030425963441</v>
      </c>
      <c r="O14" s="306">
        <f t="shared" si="4"/>
        <v>0</v>
      </c>
      <c r="P14" s="307">
        <f t="shared" si="5"/>
        <v>-3.5902636916836173</v>
      </c>
      <c r="Q14" s="394">
        <f t="shared" si="6"/>
        <v>0.9593103448275857</v>
      </c>
      <c r="R14" s="571"/>
      <c r="S14" s="308">
        <v>0.32013888888888886</v>
      </c>
      <c r="T14" s="308">
        <v>0.36041666666666666</v>
      </c>
      <c r="U14" s="389">
        <f t="shared" si="18"/>
        <v>5.9999999999999787</v>
      </c>
      <c r="V14" s="397">
        <f t="shared" si="17"/>
        <v>58.000000000000036</v>
      </c>
      <c r="W14" s="310"/>
      <c r="X14" s="310"/>
      <c r="Y14" s="570"/>
      <c r="Z14" s="570"/>
      <c r="AA14" s="306">
        <f t="shared" si="8"/>
        <v>-61.034482758621607</v>
      </c>
      <c r="AB14" s="394">
        <f t="shared" si="9"/>
        <v>0.95931034482758559</v>
      </c>
      <c r="AC14" s="571"/>
    </row>
    <row r="15" spans="1:29" ht="16.5" customHeight="1">
      <c r="A15" s="597" t="s">
        <v>1766</v>
      </c>
      <c r="B15" s="390" t="s">
        <v>36</v>
      </c>
      <c r="C15" s="590" t="s">
        <v>49</v>
      </c>
      <c r="D15" s="590"/>
      <c r="E15" s="300">
        <v>50.98</v>
      </c>
      <c r="F15" s="390">
        <v>3066</v>
      </c>
      <c r="G15" s="389">
        <f t="shared" si="15"/>
        <v>156304.68</v>
      </c>
      <c r="H15" s="391" t="s">
        <v>35</v>
      </c>
      <c r="I15" s="392">
        <v>16</v>
      </c>
      <c r="J15" s="303">
        <v>2000</v>
      </c>
      <c r="K15" s="304">
        <f t="shared" si="1"/>
        <v>125</v>
      </c>
      <c r="L15" s="392">
        <v>16</v>
      </c>
      <c r="M15" s="305">
        <f t="shared" si="16"/>
        <v>1916.2500000000007</v>
      </c>
      <c r="N15" s="304">
        <f t="shared" si="3"/>
        <v>119.76562500000004</v>
      </c>
      <c r="O15" s="306">
        <f t="shared" si="4"/>
        <v>0</v>
      </c>
      <c r="P15" s="307">
        <f t="shared" si="5"/>
        <v>-5.2343749999999574</v>
      </c>
      <c r="Q15" s="394">
        <f t="shared" si="6"/>
        <v>0.95812500000000034</v>
      </c>
      <c r="R15" s="571"/>
      <c r="S15" s="308">
        <v>0.70833333333333337</v>
      </c>
      <c r="T15" s="308">
        <v>0.77500000000000002</v>
      </c>
      <c r="U15" s="389" t="str">
        <f t="shared" si="18"/>
        <v/>
      </c>
      <c r="V15" s="397">
        <f t="shared" si="17"/>
        <v>95.999999999999972</v>
      </c>
      <c r="W15" s="310"/>
      <c r="X15" s="310"/>
      <c r="Y15" s="570"/>
      <c r="Z15" s="570"/>
      <c r="AA15" s="306">
        <f t="shared" si="8"/>
        <v>-83.749999999999318</v>
      </c>
      <c r="AB15" s="394">
        <f t="shared" si="9"/>
        <v>0.95812500000000034</v>
      </c>
      <c r="AC15" s="571"/>
    </row>
    <row r="16" spans="1:29" ht="16.5" customHeight="1">
      <c r="A16" s="597" t="s">
        <v>1766</v>
      </c>
      <c r="B16" s="390" t="s">
        <v>36</v>
      </c>
      <c r="C16" s="590" t="s">
        <v>50</v>
      </c>
      <c r="D16" s="590"/>
      <c r="E16" s="300">
        <v>50.92</v>
      </c>
      <c r="F16" s="390">
        <v>3240</v>
      </c>
      <c r="G16" s="389">
        <f t="shared" si="15"/>
        <v>164980.80000000002</v>
      </c>
      <c r="H16" s="391" t="s">
        <v>35</v>
      </c>
      <c r="I16" s="392">
        <v>15</v>
      </c>
      <c r="J16" s="303">
        <v>2000</v>
      </c>
      <c r="K16" s="304">
        <f t="shared" si="1"/>
        <v>133.33333333333334</v>
      </c>
      <c r="L16" s="392">
        <v>15</v>
      </c>
      <c r="M16" s="305">
        <f t="shared" si="16"/>
        <v>1905.8823529411775</v>
      </c>
      <c r="N16" s="304">
        <f t="shared" si="3"/>
        <v>127.05882352941184</v>
      </c>
      <c r="O16" s="306">
        <f t="shared" si="4"/>
        <v>0</v>
      </c>
      <c r="P16" s="307">
        <f t="shared" si="5"/>
        <v>-6.2745098039215037</v>
      </c>
      <c r="Q16" s="394">
        <f t="shared" si="6"/>
        <v>0.95294117647058874</v>
      </c>
      <c r="R16" s="571"/>
      <c r="S16" s="308">
        <v>0.77986111111111112</v>
      </c>
      <c r="T16" s="308">
        <v>0.85069444444444442</v>
      </c>
      <c r="U16" s="389">
        <f t="shared" si="18"/>
        <v>6.9999999999999751</v>
      </c>
      <c r="V16" s="397">
        <f t="shared" si="17"/>
        <v>101.99999999999996</v>
      </c>
      <c r="W16" s="310"/>
      <c r="X16" s="310"/>
      <c r="Y16" s="570"/>
      <c r="Z16" s="570"/>
      <c r="AA16" s="306">
        <f t="shared" si="8"/>
        <v>-94.117647058822513</v>
      </c>
      <c r="AB16" s="394">
        <f t="shared" si="9"/>
        <v>0.95294117647058874</v>
      </c>
      <c r="AC16" s="571"/>
    </row>
    <row r="17" spans="1:29" ht="16.5" customHeight="1">
      <c r="A17" s="597" t="s">
        <v>1766</v>
      </c>
      <c r="B17" s="300" t="s">
        <v>1764</v>
      </c>
      <c r="C17" s="572"/>
      <c r="D17" s="572"/>
      <c r="E17" s="393"/>
      <c r="F17" s="313"/>
      <c r="G17" s="304"/>
      <c r="H17" s="390"/>
      <c r="I17" s="314">
        <v>18.600000000000001</v>
      </c>
      <c r="J17" s="303">
        <v>1700</v>
      </c>
      <c r="K17" s="304">
        <f t="shared" si="1"/>
        <v>91.397849462365585</v>
      </c>
      <c r="L17" s="314">
        <v>18.600000000000001</v>
      </c>
      <c r="M17" s="305">
        <f>AVERAGE(M12:M16)</f>
        <v>1624.3288357814777</v>
      </c>
      <c r="N17" s="304">
        <f t="shared" si="3"/>
        <v>87.329507300079442</v>
      </c>
      <c r="O17" s="306">
        <f t="shared" si="4"/>
        <v>0</v>
      </c>
      <c r="P17" s="307">
        <f t="shared" si="5"/>
        <v>-4.0683421622861431</v>
      </c>
      <c r="Q17" s="394">
        <f t="shared" si="6"/>
        <v>0.9554875504596928</v>
      </c>
      <c r="R17" s="571"/>
      <c r="S17" s="308"/>
      <c r="T17" s="308"/>
      <c r="U17" s="389"/>
      <c r="V17" s="397"/>
      <c r="W17" s="304"/>
      <c r="X17" s="304"/>
      <c r="Y17" s="570"/>
      <c r="Z17" s="570"/>
      <c r="AA17" s="306">
        <f t="shared" si="8"/>
        <v>-75.671164218522335</v>
      </c>
      <c r="AB17" s="394">
        <f t="shared" si="9"/>
        <v>0.95548755045969269</v>
      </c>
      <c r="AC17" s="571"/>
    </row>
    <row r="18" spans="1:29" ht="15.75" customHeight="1">
      <c r="A18" s="592" t="s">
        <v>1767</v>
      </c>
      <c r="B18" s="300" t="s">
        <v>43</v>
      </c>
      <c r="C18" s="590" t="s">
        <v>51</v>
      </c>
      <c r="D18" s="590"/>
      <c r="E18" s="300">
        <v>43.14</v>
      </c>
      <c r="F18" s="390">
        <v>1134</v>
      </c>
      <c r="G18" s="389">
        <f t="shared" ref="G18:G21" si="19">E18*F18</f>
        <v>48920.76</v>
      </c>
      <c r="H18" s="391" t="s">
        <v>35</v>
      </c>
      <c r="I18" s="392">
        <v>17</v>
      </c>
      <c r="J18" s="303">
        <v>2000</v>
      </c>
      <c r="K18" s="304">
        <f t="shared" si="1"/>
        <v>117.64705882352941</v>
      </c>
      <c r="L18" s="392">
        <v>17</v>
      </c>
      <c r="M18" s="305">
        <f t="shared" ref="M18:M21" si="20">F18/V18*60</f>
        <v>1944.0000000000005</v>
      </c>
      <c r="N18" s="304">
        <f t="shared" si="3"/>
        <v>114.35294117647061</v>
      </c>
      <c r="O18" s="306">
        <f t="shared" si="4"/>
        <v>0</v>
      </c>
      <c r="P18" s="307">
        <f t="shared" si="5"/>
        <v>-3.2941176470587976</v>
      </c>
      <c r="Q18" s="394">
        <f t="shared" si="6"/>
        <v>0.9720000000000002</v>
      </c>
      <c r="R18" s="571">
        <f>Q22</f>
        <v>0.96025637424373367</v>
      </c>
      <c r="S18" s="308">
        <v>0.20833333333333334</v>
      </c>
      <c r="T18" s="308">
        <v>0.2326388888888889</v>
      </c>
      <c r="U18" s="389"/>
      <c r="V18" s="397">
        <f t="shared" ref="V18:V21" si="21">(T18-S18)*24*60</f>
        <v>34.999999999999993</v>
      </c>
      <c r="W18" s="315"/>
      <c r="X18" s="315"/>
      <c r="Y18" s="570"/>
      <c r="Z18" s="570"/>
      <c r="AA18" s="306">
        <f t="shared" si="8"/>
        <v>-55.999999999999545</v>
      </c>
      <c r="AB18" s="394">
        <f t="shared" si="9"/>
        <v>0.9720000000000002</v>
      </c>
      <c r="AC18" s="571">
        <f>AB22</f>
        <v>0.96025637424373367</v>
      </c>
    </row>
    <row r="19" spans="1:29" ht="15.75" customHeight="1">
      <c r="A19" s="593" t="s">
        <v>1767</v>
      </c>
      <c r="B19" s="300" t="s">
        <v>36</v>
      </c>
      <c r="C19" s="590" t="s">
        <v>53</v>
      </c>
      <c r="D19" s="590"/>
      <c r="E19" s="300">
        <v>53.68</v>
      </c>
      <c r="F19" s="390">
        <v>1657</v>
      </c>
      <c r="G19" s="389">
        <f t="shared" si="19"/>
        <v>88947.76</v>
      </c>
      <c r="H19" s="391" t="s">
        <v>35</v>
      </c>
      <c r="I19" s="392">
        <v>16</v>
      </c>
      <c r="J19" s="303">
        <v>2000</v>
      </c>
      <c r="K19" s="304">
        <f t="shared" si="1"/>
        <v>125</v>
      </c>
      <c r="L19" s="392">
        <v>16</v>
      </c>
      <c r="M19" s="305">
        <f t="shared" si="20"/>
        <v>1911.9230769230765</v>
      </c>
      <c r="N19" s="304">
        <f t="shared" si="3"/>
        <v>119.49519230769228</v>
      </c>
      <c r="O19" s="306">
        <f t="shared" si="4"/>
        <v>0</v>
      </c>
      <c r="P19" s="307">
        <f t="shared" si="5"/>
        <v>-5.5048076923077218</v>
      </c>
      <c r="Q19" s="394">
        <f t="shared" si="6"/>
        <v>0.9559615384615382</v>
      </c>
      <c r="R19" s="571"/>
      <c r="S19" s="308">
        <v>0.23680555555555557</v>
      </c>
      <c r="T19" s="308">
        <v>0.2729166666666667</v>
      </c>
      <c r="U19" s="389">
        <f t="shared" ref="U19:U21" si="22">IF(S19=TIME(17,0,0),"",(S19-T18)*24*60)</f>
        <v>6.0000000000000187</v>
      </c>
      <c r="V19" s="397">
        <f t="shared" si="21"/>
        <v>52.000000000000014</v>
      </c>
      <c r="W19" s="310"/>
      <c r="X19" s="389"/>
      <c r="Y19" s="570"/>
      <c r="Z19" s="570"/>
      <c r="AA19" s="306">
        <f t="shared" si="8"/>
        <v>-88.076923076923549</v>
      </c>
      <c r="AB19" s="394">
        <f t="shared" si="9"/>
        <v>0.9559615384615382</v>
      </c>
      <c r="AC19" s="571"/>
    </row>
    <row r="20" spans="1:29" ht="15.75" customHeight="1">
      <c r="A20" s="593" t="s">
        <v>1767</v>
      </c>
      <c r="B20" s="300" t="s">
        <v>36</v>
      </c>
      <c r="C20" s="590" t="s">
        <v>52</v>
      </c>
      <c r="D20" s="590"/>
      <c r="E20" s="300">
        <v>57.73</v>
      </c>
      <c r="F20" s="390">
        <v>2824</v>
      </c>
      <c r="G20" s="389">
        <f t="shared" si="19"/>
        <v>163029.51999999999</v>
      </c>
      <c r="H20" s="391" t="s">
        <v>35</v>
      </c>
      <c r="I20" s="392">
        <v>15</v>
      </c>
      <c r="J20" s="303">
        <v>2000</v>
      </c>
      <c r="K20" s="304">
        <f t="shared" si="1"/>
        <v>133.33333333333334</v>
      </c>
      <c r="L20" s="392">
        <v>15</v>
      </c>
      <c r="M20" s="305">
        <f t="shared" si="20"/>
        <v>1903.8202247191011</v>
      </c>
      <c r="N20" s="304">
        <f t="shared" si="3"/>
        <v>126.92134831460675</v>
      </c>
      <c r="O20" s="306">
        <f t="shared" si="4"/>
        <v>0</v>
      </c>
      <c r="P20" s="307">
        <f t="shared" si="5"/>
        <v>-6.4119850187265968</v>
      </c>
      <c r="Q20" s="394">
        <f t="shared" si="6"/>
        <v>0.95191011235955048</v>
      </c>
      <c r="R20" s="571"/>
      <c r="S20" s="308">
        <v>0.27708333333333335</v>
      </c>
      <c r="T20" s="308">
        <v>0.33888888888888891</v>
      </c>
      <c r="U20" s="389">
        <f t="shared" si="22"/>
        <v>5.9999999999999787</v>
      </c>
      <c r="V20" s="397">
        <f t="shared" si="21"/>
        <v>89</v>
      </c>
      <c r="W20" s="310"/>
      <c r="X20" s="389"/>
      <c r="Y20" s="570"/>
      <c r="Z20" s="570"/>
      <c r="AA20" s="306">
        <f t="shared" si="8"/>
        <v>-96.179775280898866</v>
      </c>
      <c r="AB20" s="394">
        <f t="shared" si="9"/>
        <v>0.95191011235955059</v>
      </c>
      <c r="AC20" s="571"/>
    </row>
    <row r="21" spans="1:29" ht="15.75" customHeight="1">
      <c r="A21" s="593" t="s">
        <v>1767</v>
      </c>
      <c r="B21" s="300" t="s">
        <v>36</v>
      </c>
      <c r="C21" s="590" t="s">
        <v>55</v>
      </c>
      <c r="D21" s="590"/>
      <c r="E21" s="300">
        <v>54.09</v>
      </c>
      <c r="F21" s="390">
        <v>2499</v>
      </c>
      <c r="G21" s="389">
        <f t="shared" si="19"/>
        <v>135170.91</v>
      </c>
      <c r="H21" s="391" t="s">
        <v>35</v>
      </c>
      <c r="I21" s="392">
        <v>19</v>
      </c>
      <c r="J21" s="303">
        <v>2000</v>
      </c>
      <c r="K21" s="304">
        <f t="shared" si="1"/>
        <v>105.26315789473684</v>
      </c>
      <c r="L21" s="392">
        <v>19</v>
      </c>
      <c r="M21" s="305">
        <f t="shared" si="20"/>
        <v>1922.307692307691</v>
      </c>
      <c r="N21" s="304">
        <f t="shared" si="3"/>
        <v>101.17408906882584</v>
      </c>
      <c r="O21" s="306">
        <f t="shared" si="4"/>
        <v>0</v>
      </c>
      <c r="P21" s="307">
        <f t="shared" si="5"/>
        <v>-4.0890688259109993</v>
      </c>
      <c r="Q21" s="394">
        <f t="shared" si="6"/>
        <v>0.96115384615384547</v>
      </c>
      <c r="R21" s="571"/>
      <c r="S21" s="308">
        <v>0.70833333333333337</v>
      </c>
      <c r="T21" s="308">
        <v>0.76250000000000007</v>
      </c>
      <c r="U21" s="389" t="str">
        <f t="shared" si="22"/>
        <v/>
      </c>
      <c r="V21" s="397">
        <f t="shared" si="21"/>
        <v>78.000000000000043</v>
      </c>
      <c r="W21" s="310"/>
      <c r="X21" s="389"/>
      <c r="Y21" s="570"/>
      <c r="Z21" s="570"/>
      <c r="AA21" s="306">
        <f t="shared" si="8"/>
        <v>-77.692307692308987</v>
      </c>
      <c r="AB21" s="394">
        <f t="shared" si="9"/>
        <v>0.96115384615384547</v>
      </c>
      <c r="AC21" s="571"/>
    </row>
    <row r="22" spans="1:29" ht="15.75" customHeight="1">
      <c r="A22" s="593" t="s">
        <v>1767</v>
      </c>
      <c r="B22" s="300" t="s">
        <v>1764</v>
      </c>
      <c r="C22" s="572"/>
      <c r="D22" s="572"/>
      <c r="E22" s="393"/>
      <c r="F22" s="390"/>
      <c r="G22" s="389"/>
      <c r="H22" s="390"/>
      <c r="I22" s="314">
        <v>16.75</v>
      </c>
      <c r="J22" s="303">
        <v>2000</v>
      </c>
      <c r="K22" s="304">
        <f t="shared" si="1"/>
        <v>119.40298507462687</v>
      </c>
      <c r="L22" s="314">
        <v>16.75</v>
      </c>
      <c r="M22" s="305">
        <f>AVERAGE(M18:M21)</f>
        <v>1920.5127484874674</v>
      </c>
      <c r="N22" s="304">
        <f t="shared" si="3"/>
        <v>114.65747752163985</v>
      </c>
      <c r="O22" s="306">
        <f t="shared" si="4"/>
        <v>0</v>
      </c>
      <c r="P22" s="307">
        <f t="shared" si="5"/>
        <v>-4.7455075529870214</v>
      </c>
      <c r="Q22" s="394">
        <f t="shared" si="6"/>
        <v>0.96025637424373367</v>
      </c>
      <c r="R22" s="571"/>
      <c r="S22" s="308"/>
      <c r="T22" s="308"/>
      <c r="U22" s="304"/>
      <c r="V22" s="397"/>
      <c r="W22" s="304"/>
      <c r="X22" s="304"/>
      <c r="Y22" s="570"/>
      <c r="Z22" s="570"/>
      <c r="AA22" s="306">
        <f t="shared" si="8"/>
        <v>-79.487251512532566</v>
      </c>
      <c r="AB22" s="394">
        <f t="shared" si="9"/>
        <v>0.96025637424373367</v>
      </c>
      <c r="AC22" s="571"/>
    </row>
    <row r="23" spans="1:29" ht="15.75" customHeight="1">
      <c r="A23" s="591" t="s">
        <v>1768</v>
      </c>
      <c r="B23" s="300" t="s">
        <v>46</v>
      </c>
      <c r="C23" s="590" t="s">
        <v>61</v>
      </c>
      <c r="D23" s="590"/>
      <c r="E23" s="300">
        <v>31.29</v>
      </c>
      <c r="F23" s="390">
        <v>5900</v>
      </c>
      <c r="G23" s="389">
        <f t="shared" ref="G23:G28" si="23">E23*F23</f>
        <v>184611</v>
      </c>
      <c r="H23" s="391">
        <v>2</v>
      </c>
      <c r="I23" s="392">
        <v>18</v>
      </c>
      <c r="J23" s="303">
        <v>2400</v>
      </c>
      <c r="K23" s="304">
        <f t="shared" si="1"/>
        <v>133.33333333333334</v>
      </c>
      <c r="L23" s="392">
        <v>18</v>
      </c>
      <c r="M23" s="305">
        <f t="shared" ref="M23:M28" si="24">F23/V23*60</f>
        <v>2298.701298701299</v>
      </c>
      <c r="N23" s="304">
        <f t="shared" si="3"/>
        <v>127.70562770562772</v>
      </c>
      <c r="O23" s="306">
        <f t="shared" si="4"/>
        <v>0</v>
      </c>
      <c r="P23" s="307">
        <f t="shared" si="5"/>
        <v>-5.6277056277056232</v>
      </c>
      <c r="Q23" s="394">
        <f t="shared" si="6"/>
        <v>0.95779220779220786</v>
      </c>
      <c r="R23" s="571">
        <f>Q29</f>
        <v>0.95708958046018688</v>
      </c>
      <c r="S23" s="308">
        <v>0.125</v>
      </c>
      <c r="T23" s="308">
        <v>0.23194444444444445</v>
      </c>
      <c r="U23" s="389"/>
      <c r="V23" s="397">
        <v>154</v>
      </c>
      <c r="W23" s="315">
        <f>T23</f>
        <v>0.23194444444444445</v>
      </c>
      <c r="X23" s="315">
        <f>S24</f>
        <v>0.25</v>
      </c>
      <c r="Y23" s="570"/>
      <c r="Z23" s="570"/>
      <c r="AA23" s="306">
        <f t="shared" si="8"/>
        <v>-101.29870129870096</v>
      </c>
      <c r="AB23" s="394">
        <f t="shared" si="9"/>
        <v>0.95779220779220797</v>
      </c>
      <c r="AC23" s="571">
        <f>AB29</f>
        <v>0.95708958046018688</v>
      </c>
    </row>
    <row r="24" spans="1:29" ht="15.75" customHeight="1">
      <c r="A24" s="591" t="s">
        <v>1768</v>
      </c>
      <c r="B24" s="300" t="s">
        <v>46</v>
      </c>
      <c r="C24" s="590" t="s">
        <v>59</v>
      </c>
      <c r="D24" s="590"/>
      <c r="E24" s="300">
        <v>26.18</v>
      </c>
      <c r="F24" s="390">
        <v>2779</v>
      </c>
      <c r="G24" s="389">
        <f t="shared" si="23"/>
        <v>72754.22</v>
      </c>
      <c r="H24" s="391" t="s">
        <v>35</v>
      </c>
      <c r="I24" s="392">
        <v>19</v>
      </c>
      <c r="J24" s="303">
        <v>2400</v>
      </c>
      <c r="K24" s="304">
        <f t="shared" si="1"/>
        <v>126.31578947368421</v>
      </c>
      <c r="L24" s="392">
        <v>19</v>
      </c>
      <c r="M24" s="305">
        <f t="shared" si="24"/>
        <v>2284.1095890410961</v>
      </c>
      <c r="N24" s="304">
        <f t="shared" si="3"/>
        <v>120.21629416005769</v>
      </c>
      <c r="O24" s="306">
        <f t="shared" si="4"/>
        <v>0</v>
      </c>
      <c r="P24" s="307">
        <f t="shared" si="5"/>
        <v>-6.0994953136265195</v>
      </c>
      <c r="Q24" s="394">
        <f t="shared" si="6"/>
        <v>0.95171232876712342</v>
      </c>
      <c r="R24" s="571"/>
      <c r="S24" s="308">
        <v>0.25</v>
      </c>
      <c r="T24" s="308">
        <v>0.30069444444444443</v>
      </c>
      <c r="U24" s="389">
        <v>25.999999999999986</v>
      </c>
      <c r="V24" s="397">
        <v>72.999999999999986</v>
      </c>
      <c r="W24" s="310"/>
      <c r="X24" s="310"/>
      <c r="Y24" s="570"/>
      <c r="Z24" s="570"/>
      <c r="AA24" s="306">
        <f t="shared" si="8"/>
        <v>-115.89041095890389</v>
      </c>
      <c r="AB24" s="394">
        <f t="shared" si="9"/>
        <v>0.95171232876712342</v>
      </c>
      <c r="AC24" s="571"/>
    </row>
    <row r="25" spans="1:29" ht="15.75" customHeight="1">
      <c r="A25" s="591" t="s">
        <v>1768</v>
      </c>
      <c r="B25" s="300" t="s">
        <v>46</v>
      </c>
      <c r="C25" s="590" t="s">
        <v>60</v>
      </c>
      <c r="D25" s="590"/>
      <c r="E25" s="300">
        <v>26.2</v>
      </c>
      <c r="F25" s="390">
        <v>4279</v>
      </c>
      <c r="G25" s="389">
        <f t="shared" si="23"/>
        <v>112109.8</v>
      </c>
      <c r="H25" s="391" t="s">
        <v>35</v>
      </c>
      <c r="I25" s="392">
        <v>19</v>
      </c>
      <c r="J25" s="303">
        <v>2400</v>
      </c>
      <c r="K25" s="304">
        <f t="shared" si="1"/>
        <v>126.31578947368421</v>
      </c>
      <c r="L25" s="392">
        <v>19</v>
      </c>
      <c r="M25" s="305">
        <f t="shared" si="24"/>
        <v>2292.3214285714289</v>
      </c>
      <c r="N25" s="304">
        <f t="shared" si="3"/>
        <v>120.64849624060152</v>
      </c>
      <c r="O25" s="306">
        <f t="shared" si="4"/>
        <v>0</v>
      </c>
      <c r="P25" s="307">
        <f t="shared" si="5"/>
        <v>-5.6672932330826882</v>
      </c>
      <c r="Q25" s="394">
        <f t="shared" si="6"/>
        <v>0.95513392857142876</v>
      </c>
      <c r="R25" s="571"/>
      <c r="S25" s="308">
        <v>0.30416666666666664</v>
      </c>
      <c r="T25" s="308">
        <v>0.38194444444444442</v>
      </c>
      <c r="U25" s="389">
        <v>4.9999999999999822</v>
      </c>
      <c r="V25" s="397">
        <v>112</v>
      </c>
      <c r="W25" s="310"/>
      <c r="X25" s="310"/>
      <c r="Y25" s="570"/>
      <c r="Z25" s="570"/>
      <c r="AA25" s="306">
        <f t="shared" si="8"/>
        <v>-107.6785714285711</v>
      </c>
      <c r="AB25" s="394">
        <f t="shared" si="9"/>
        <v>0.95513392857142876</v>
      </c>
      <c r="AC25" s="571"/>
    </row>
    <row r="26" spans="1:29" ht="15.75" customHeight="1">
      <c r="A26" s="591" t="s">
        <v>1768</v>
      </c>
      <c r="B26" s="300" t="s">
        <v>46</v>
      </c>
      <c r="C26" s="590" t="s">
        <v>56</v>
      </c>
      <c r="D26" s="590"/>
      <c r="E26" s="300">
        <v>26.2</v>
      </c>
      <c r="F26" s="390">
        <v>3728</v>
      </c>
      <c r="G26" s="389">
        <f t="shared" si="23"/>
        <v>97673.599999999991</v>
      </c>
      <c r="H26" s="391" t="s">
        <v>35</v>
      </c>
      <c r="I26" s="392">
        <v>20</v>
      </c>
      <c r="J26" s="303">
        <v>2400</v>
      </c>
      <c r="K26" s="304">
        <f t="shared" si="1"/>
        <v>120</v>
      </c>
      <c r="L26" s="392">
        <v>20</v>
      </c>
      <c r="M26" s="305">
        <f t="shared" si="24"/>
        <v>2305.9793814432996</v>
      </c>
      <c r="N26" s="304">
        <f t="shared" si="3"/>
        <v>115.29896907216498</v>
      </c>
      <c r="O26" s="306">
        <f t="shared" si="4"/>
        <v>0</v>
      </c>
      <c r="P26" s="307">
        <f t="shared" si="5"/>
        <v>-4.7010309278350206</v>
      </c>
      <c r="Q26" s="394">
        <f t="shared" si="6"/>
        <v>0.96082474226804149</v>
      </c>
      <c r="R26" s="571"/>
      <c r="S26" s="308">
        <v>0.38541666666666663</v>
      </c>
      <c r="T26" s="308">
        <v>0.45277777777777772</v>
      </c>
      <c r="U26" s="389">
        <v>4.9999999999999822</v>
      </c>
      <c r="V26" s="397">
        <v>96.999999999999972</v>
      </c>
      <c r="W26" s="310"/>
      <c r="X26" s="310"/>
      <c r="Y26" s="570"/>
      <c r="Z26" s="570"/>
      <c r="AA26" s="306">
        <f t="shared" si="8"/>
        <v>-94.020618556700356</v>
      </c>
      <c r="AB26" s="394">
        <f t="shared" si="9"/>
        <v>0.96082474226804149</v>
      </c>
      <c r="AC26" s="571"/>
    </row>
    <row r="27" spans="1:29" ht="15.75" customHeight="1">
      <c r="A27" s="591" t="s">
        <v>1768</v>
      </c>
      <c r="B27" s="300" t="s">
        <v>46</v>
      </c>
      <c r="C27" s="590" t="s">
        <v>62</v>
      </c>
      <c r="D27" s="590"/>
      <c r="E27" s="300">
        <v>25</v>
      </c>
      <c r="F27" s="390">
        <v>3532</v>
      </c>
      <c r="G27" s="389">
        <f t="shared" si="23"/>
        <v>88300</v>
      </c>
      <c r="H27" s="391" t="s">
        <v>35</v>
      </c>
      <c r="I27" s="392">
        <v>15</v>
      </c>
      <c r="J27" s="303">
        <v>2400</v>
      </c>
      <c r="K27" s="304">
        <f t="shared" si="1"/>
        <v>160</v>
      </c>
      <c r="L27" s="392">
        <v>15</v>
      </c>
      <c r="M27" s="305">
        <f t="shared" si="24"/>
        <v>2303.478260869565</v>
      </c>
      <c r="N27" s="304">
        <f t="shared" si="3"/>
        <v>153.56521739130434</v>
      </c>
      <c r="O27" s="306">
        <f t="shared" si="4"/>
        <v>0</v>
      </c>
      <c r="P27" s="307">
        <f t="shared" si="5"/>
        <v>-6.4347826086956559</v>
      </c>
      <c r="Q27" s="394">
        <f t="shared" si="6"/>
        <v>0.95978260869565213</v>
      </c>
      <c r="R27" s="571"/>
      <c r="S27" s="308">
        <v>0.45833333333333326</v>
      </c>
      <c r="T27" s="308">
        <v>0.52222222222222214</v>
      </c>
      <c r="U27" s="389">
        <v>7.9999999999999716</v>
      </c>
      <c r="V27" s="397">
        <v>92</v>
      </c>
      <c r="W27" s="315">
        <f>T27</f>
        <v>0.52222222222222214</v>
      </c>
      <c r="X27" s="315">
        <f>S28</f>
        <v>0.56249999999999989</v>
      </c>
      <c r="Y27" s="570"/>
      <c r="Z27" s="570"/>
      <c r="AA27" s="306">
        <f t="shared" si="8"/>
        <v>-96.52173913043498</v>
      </c>
      <c r="AB27" s="394">
        <f t="shared" si="9"/>
        <v>0.95978260869565213</v>
      </c>
      <c r="AC27" s="571"/>
    </row>
    <row r="28" spans="1:29" ht="15.75" customHeight="1">
      <c r="A28" s="591" t="s">
        <v>1768</v>
      </c>
      <c r="B28" s="300" t="s">
        <v>46</v>
      </c>
      <c r="C28" s="590" t="s">
        <v>61</v>
      </c>
      <c r="D28" s="590"/>
      <c r="E28" s="300">
        <v>31.29</v>
      </c>
      <c r="F28" s="390">
        <v>1838</v>
      </c>
      <c r="G28" s="389">
        <f t="shared" si="23"/>
        <v>57511.02</v>
      </c>
      <c r="H28" s="391" t="s">
        <v>35</v>
      </c>
      <c r="I28" s="392">
        <v>18</v>
      </c>
      <c r="J28" s="303">
        <v>2400</v>
      </c>
      <c r="K28" s="304">
        <f t="shared" si="1"/>
        <v>133.33333333333334</v>
      </c>
      <c r="L28" s="392">
        <v>18</v>
      </c>
      <c r="M28" s="305">
        <f t="shared" si="24"/>
        <v>2297.5000000000009</v>
      </c>
      <c r="N28" s="304">
        <f t="shared" si="3"/>
        <v>127.63888888888894</v>
      </c>
      <c r="O28" s="306">
        <f t="shared" si="4"/>
        <v>0</v>
      </c>
      <c r="P28" s="307">
        <f t="shared" si="5"/>
        <v>-5.6944444444444002</v>
      </c>
      <c r="Q28" s="394">
        <f t="shared" si="6"/>
        <v>0.95729166666666698</v>
      </c>
      <c r="R28" s="571"/>
      <c r="S28" s="308">
        <v>0.56249999999999989</v>
      </c>
      <c r="T28" s="308">
        <v>0.59583333333333321</v>
      </c>
      <c r="U28" s="389">
        <v>57.999999999999957</v>
      </c>
      <c r="V28" s="397">
        <v>47.999999999999986</v>
      </c>
      <c r="W28" s="310"/>
      <c r="X28" s="310"/>
      <c r="Y28" s="570"/>
      <c r="Z28" s="570"/>
      <c r="AA28" s="306">
        <f t="shared" si="8"/>
        <v>-102.49999999999909</v>
      </c>
      <c r="AB28" s="394">
        <f t="shared" si="9"/>
        <v>0.9572916666666671</v>
      </c>
      <c r="AC28" s="571"/>
    </row>
    <row r="29" spans="1:29" ht="15.75" customHeight="1">
      <c r="A29" s="591" t="s">
        <v>1768</v>
      </c>
      <c r="B29" s="300" t="s">
        <v>1764</v>
      </c>
      <c r="C29" s="572"/>
      <c r="D29" s="572"/>
      <c r="E29" s="393"/>
      <c r="F29" s="390"/>
      <c r="G29" s="389"/>
      <c r="H29" s="390"/>
      <c r="I29" s="314">
        <v>18.166666666666668</v>
      </c>
      <c r="J29" s="303">
        <v>2400</v>
      </c>
      <c r="K29" s="304">
        <f t="shared" si="1"/>
        <v>132.11009174311926</v>
      </c>
      <c r="L29" s="314">
        <v>18.166666666666668</v>
      </c>
      <c r="M29" s="305">
        <f>AVERAGE(M23:M28)</f>
        <v>2297.0149931044484</v>
      </c>
      <c r="N29" s="304">
        <f t="shared" si="3"/>
        <v>126.44119228097881</v>
      </c>
      <c r="O29" s="306">
        <f t="shared" si="4"/>
        <v>0</v>
      </c>
      <c r="P29" s="307">
        <f t="shared" si="5"/>
        <v>-5.6688994621404447</v>
      </c>
      <c r="Q29" s="394">
        <f t="shared" si="6"/>
        <v>0.95708958046018688</v>
      </c>
      <c r="R29" s="571"/>
      <c r="S29" s="308"/>
      <c r="T29" s="308"/>
      <c r="U29" s="389"/>
      <c r="V29" s="397"/>
      <c r="W29" s="389"/>
      <c r="X29" s="389"/>
      <c r="Y29" s="570"/>
      <c r="Z29" s="570"/>
      <c r="AA29" s="306">
        <f t="shared" si="8"/>
        <v>-102.98500689555158</v>
      </c>
      <c r="AB29" s="394">
        <f t="shared" si="9"/>
        <v>0.95708958046018688</v>
      </c>
      <c r="AC29" s="571"/>
    </row>
    <row r="30" spans="1:29" ht="15.75" customHeight="1">
      <c r="A30" s="588" t="s">
        <v>1769</v>
      </c>
      <c r="B30" s="300" t="s">
        <v>46</v>
      </c>
      <c r="C30" s="565" t="s">
        <v>63</v>
      </c>
      <c r="D30" s="565"/>
      <c r="E30" s="300">
        <v>26.2</v>
      </c>
      <c r="F30" s="390">
        <v>5089</v>
      </c>
      <c r="G30" s="389">
        <f t="shared" ref="G30:G35" si="25">E30*F30</f>
        <v>133331.79999999999</v>
      </c>
      <c r="H30" s="391" t="s">
        <v>35</v>
      </c>
      <c r="I30" s="392">
        <v>18</v>
      </c>
      <c r="J30" s="303">
        <v>2400</v>
      </c>
      <c r="K30" s="304">
        <f t="shared" si="1"/>
        <v>133.33333333333334</v>
      </c>
      <c r="L30" s="392">
        <v>18</v>
      </c>
      <c r="M30" s="305">
        <f t="shared" ref="M30:M35" si="26">F30/V30*60</f>
        <v>2295.7894736842104</v>
      </c>
      <c r="N30" s="304">
        <f t="shared" si="3"/>
        <v>127.54385964912279</v>
      </c>
      <c r="O30" s="306">
        <f t="shared" si="4"/>
        <v>0</v>
      </c>
      <c r="P30" s="307">
        <f t="shared" si="5"/>
        <v>-5.7894736842105488</v>
      </c>
      <c r="Q30" s="394">
        <f t="shared" si="6"/>
        <v>0.95657894736842086</v>
      </c>
      <c r="R30" s="571">
        <f>Q36</f>
        <v>0.9557505729495297</v>
      </c>
      <c r="S30" s="308">
        <v>0.125</v>
      </c>
      <c r="T30" s="308">
        <v>0.21736111111111112</v>
      </c>
      <c r="U30" s="389"/>
      <c r="V30" s="397">
        <v>133</v>
      </c>
      <c r="W30" s="315">
        <f>T30</f>
        <v>0.21736111111111112</v>
      </c>
      <c r="X30" s="315">
        <f>S31</f>
        <v>0.23680555555555555</v>
      </c>
      <c r="Y30" s="570"/>
      <c r="Z30" s="570"/>
      <c r="AA30" s="306">
        <f t="shared" si="8"/>
        <v>-104.21052631578959</v>
      </c>
      <c r="AB30" s="394">
        <f t="shared" si="9"/>
        <v>0.95657894736842097</v>
      </c>
      <c r="AC30" s="571">
        <f>AB36</f>
        <v>0.9557505729495297</v>
      </c>
    </row>
    <row r="31" spans="1:29" ht="15.75" customHeight="1">
      <c r="A31" s="588" t="s">
        <v>1769</v>
      </c>
      <c r="B31" s="300" t="s">
        <v>46</v>
      </c>
      <c r="C31" s="565" t="s">
        <v>64</v>
      </c>
      <c r="D31" s="565"/>
      <c r="E31" s="300">
        <v>26.39</v>
      </c>
      <c r="F31" s="390">
        <v>4698</v>
      </c>
      <c r="G31" s="389">
        <f t="shared" si="25"/>
        <v>123980.22</v>
      </c>
      <c r="H31" s="391" t="s">
        <v>35</v>
      </c>
      <c r="I31" s="392">
        <v>19</v>
      </c>
      <c r="J31" s="303">
        <v>2400</v>
      </c>
      <c r="K31" s="304">
        <f t="shared" si="1"/>
        <v>126.31578947368421</v>
      </c>
      <c r="L31" s="392">
        <v>19</v>
      </c>
      <c r="M31" s="305">
        <f t="shared" si="26"/>
        <v>2291.7073170731715</v>
      </c>
      <c r="N31" s="304">
        <f t="shared" si="3"/>
        <v>120.61617458279849</v>
      </c>
      <c r="O31" s="306">
        <f t="shared" si="4"/>
        <v>0</v>
      </c>
      <c r="P31" s="307">
        <f t="shared" si="5"/>
        <v>-5.6996148908857123</v>
      </c>
      <c r="Q31" s="394">
        <f t="shared" si="6"/>
        <v>0.9548780487804881</v>
      </c>
      <c r="R31" s="571"/>
      <c r="S31" s="308">
        <v>0.23680555555555555</v>
      </c>
      <c r="T31" s="308">
        <v>0.32222222222222219</v>
      </c>
      <c r="U31" s="389">
        <v>27.999999999999979</v>
      </c>
      <c r="V31" s="397">
        <v>122.99999999999996</v>
      </c>
      <c r="W31" s="389"/>
      <c r="X31" s="389"/>
      <c r="Y31" s="570"/>
      <c r="Z31" s="570"/>
      <c r="AA31" s="306">
        <f t="shared" si="8"/>
        <v>-108.29268292682855</v>
      </c>
      <c r="AB31" s="394">
        <f t="shared" si="9"/>
        <v>0.9548780487804881</v>
      </c>
      <c r="AC31" s="571"/>
    </row>
    <row r="32" spans="1:29">
      <c r="A32" s="589" t="s">
        <v>1769</v>
      </c>
      <c r="B32" s="300" t="s">
        <v>46</v>
      </c>
      <c r="C32" s="565" t="s">
        <v>87</v>
      </c>
      <c r="D32" s="565"/>
      <c r="E32" s="300">
        <v>20.52</v>
      </c>
      <c r="F32" s="390">
        <v>4365</v>
      </c>
      <c r="G32" s="389">
        <f t="shared" si="25"/>
        <v>89569.8</v>
      </c>
      <c r="H32" s="391" t="s">
        <v>35</v>
      </c>
      <c r="I32" s="392">
        <v>18</v>
      </c>
      <c r="J32" s="303">
        <v>2400</v>
      </c>
      <c r="K32" s="304">
        <f t="shared" si="1"/>
        <v>133.33333333333334</v>
      </c>
      <c r="L32" s="392">
        <v>18</v>
      </c>
      <c r="M32" s="305">
        <f t="shared" si="26"/>
        <v>2297.3684210526317</v>
      </c>
      <c r="N32" s="304">
        <f t="shared" si="3"/>
        <v>127.63157894736842</v>
      </c>
      <c r="O32" s="306">
        <f t="shared" si="4"/>
        <v>0</v>
      </c>
      <c r="P32" s="307">
        <f t="shared" si="5"/>
        <v>-5.701754385964918</v>
      </c>
      <c r="Q32" s="394">
        <f t="shared" si="6"/>
        <v>0.95723684210526316</v>
      </c>
      <c r="R32" s="571"/>
      <c r="S32" s="308">
        <v>0.32638888888888884</v>
      </c>
      <c r="T32" s="308">
        <v>0.4055555555555555</v>
      </c>
      <c r="U32" s="389">
        <v>5.9999999999999787</v>
      </c>
      <c r="V32" s="397">
        <v>114</v>
      </c>
      <c r="W32" s="389"/>
      <c r="X32" s="389"/>
      <c r="Y32" s="570"/>
      <c r="Z32" s="570"/>
      <c r="AA32" s="306">
        <f t="shared" si="8"/>
        <v>-102.63157894736833</v>
      </c>
      <c r="AB32" s="394">
        <f t="shared" si="9"/>
        <v>0.95723684210526316</v>
      </c>
      <c r="AC32" s="571"/>
    </row>
    <row r="33" spans="1:29">
      <c r="A33" s="589" t="s">
        <v>1769</v>
      </c>
      <c r="B33" s="300" t="s">
        <v>46</v>
      </c>
      <c r="C33" s="565" t="s">
        <v>48</v>
      </c>
      <c r="D33" s="565"/>
      <c r="E33" s="300">
        <v>22.35</v>
      </c>
      <c r="F33" s="390">
        <v>1455</v>
      </c>
      <c r="G33" s="389">
        <f t="shared" si="25"/>
        <v>32519.250000000004</v>
      </c>
      <c r="H33" s="391" t="s">
        <v>35</v>
      </c>
      <c r="I33" s="392">
        <v>16</v>
      </c>
      <c r="J33" s="303">
        <v>2400</v>
      </c>
      <c r="K33" s="304">
        <f t="shared" si="1"/>
        <v>150</v>
      </c>
      <c r="L33" s="392">
        <v>16</v>
      </c>
      <c r="M33" s="305">
        <f t="shared" si="26"/>
        <v>2297.3684210526299</v>
      </c>
      <c r="N33" s="304">
        <f t="shared" si="3"/>
        <v>143.58552631578937</v>
      </c>
      <c r="O33" s="306">
        <f t="shared" si="4"/>
        <v>0</v>
      </c>
      <c r="P33" s="307">
        <f t="shared" si="5"/>
        <v>-6.414473684210634</v>
      </c>
      <c r="Q33" s="394">
        <f t="shared" si="6"/>
        <v>0.95723684210526239</v>
      </c>
      <c r="R33" s="571"/>
      <c r="S33" s="308">
        <v>0.40902777777777771</v>
      </c>
      <c r="T33" s="308">
        <v>0.43541666666666662</v>
      </c>
      <c r="U33" s="389">
        <v>4.9999999999999822</v>
      </c>
      <c r="V33" s="397">
        <v>38.000000000000028</v>
      </c>
      <c r="W33" s="310"/>
      <c r="X33" s="310"/>
      <c r="Y33" s="570"/>
      <c r="Z33" s="570"/>
      <c r="AA33" s="306">
        <f t="shared" si="8"/>
        <v>-102.63157894737014</v>
      </c>
      <c r="AB33" s="394">
        <f t="shared" si="9"/>
        <v>0.95723684210526239</v>
      </c>
      <c r="AC33" s="571"/>
    </row>
    <row r="34" spans="1:29">
      <c r="A34" s="589" t="s">
        <v>1769</v>
      </c>
      <c r="B34" s="300" t="s">
        <v>46</v>
      </c>
      <c r="C34" s="565" t="s">
        <v>65</v>
      </c>
      <c r="D34" s="565"/>
      <c r="E34" s="300">
        <v>24.43</v>
      </c>
      <c r="F34" s="390">
        <v>4500</v>
      </c>
      <c r="G34" s="389">
        <f t="shared" si="25"/>
        <v>109935</v>
      </c>
      <c r="H34" s="391">
        <v>2</v>
      </c>
      <c r="I34" s="392">
        <v>15</v>
      </c>
      <c r="J34" s="303">
        <v>2400</v>
      </c>
      <c r="K34" s="304">
        <f t="shared" si="1"/>
        <v>160</v>
      </c>
      <c r="L34" s="392">
        <v>15</v>
      </c>
      <c r="M34" s="305">
        <f t="shared" si="26"/>
        <v>2288.1355932203396</v>
      </c>
      <c r="N34" s="304">
        <f t="shared" si="3"/>
        <v>152.54237288135599</v>
      </c>
      <c r="O34" s="306">
        <f t="shared" si="4"/>
        <v>0</v>
      </c>
      <c r="P34" s="307">
        <f t="shared" si="5"/>
        <v>-7.4576271186440124</v>
      </c>
      <c r="Q34" s="394">
        <f t="shared" si="6"/>
        <v>0.95338983050847492</v>
      </c>
      <c r="R34" s="571"/>
      <c r="S34" s="308">
        <v>0.43958333333333327</v>
      </c>
      <c r="T34" s="308">
        <v>0.5215277777777777</v>
      </c>
      <c r="U34" s="389">
        <v>5.9999999999999787</v>
      </c>
      <c r="V34" s="397">
        <v>117.99999999999999</v>
      </c>
      <c r="W34" s="315">
        <f>T34</f>
        <v>0.5215277777777777</v>
      </c>
      <c r="X34" s="315">
        <f>S35</f>
        <v>0.56180555555555545</v>
      </c>
      <c r="Y34" s="570"/>
      <c r="Z34" s="570"/>
      <c r="AA34" s="306">
        <f t="shared" si="8"/>
        <v>-111.86440677966038</v>
      </c>
      <c r="AB34" s="394">
        <f t="shared" si="9"/>
        <v>0.95338983050847481</v>
      </c>
      <c r="AC34" s="571"/>
    </row>
    <row r="35" spans="1:29">
      <c r="A35" s="589" t="s">
        <v>1769</v>
      </c>
      <c r="B35" s="300" t="s">
        <v>46</v>
      </c>
      <c r="C35" s="565" t="s">
        <v>65</v>
      </c>
      <c r="D35" s="565"/>
      <c r="E35" s="300">
        <v>24.43</v>
      </c>
      <c r="F35" s="390">
        <v>3133</v>
      </c>
      <c r="G35" s="389">
        <f t="shared" si="25"/>
        <v>76539.19</v>
      </c>
      <c r="H35" s="391" t="s">
        <v>35</v>
      </c>
      <c r="I35" s="392">
        <v>15</v>
      </c>
      <c r="J35" s="303">
        <v>2400</v>
      </c>
      <c r="K35" s="304">
        <f t="shared" si="1"/>
        <v>160</v>
      </c>
      <c r="L35" s="392">
        <v>15</v>
      </c>
      <c r="M35" s="305">
        <f t="shared" si="26"/>
        <v>2292.439024390243</v>
      </c>
      <c r="N35" s="304">
        <f t="shared" si="3"/>
        <v>152.82926829268288</v>
      </c>
      <c r="O35" s="306">
        <f t="shared" si="4"/>
        <v>0</v>
      </c>
      <c r="P35" s="307">
        <f t="shared" si="5"/>
        <v>-7.1707317073171168</v>
      </c>
      <c r="Q35" s="394">
        <f t="shared" si="6"/>
        <v>0.95518292682926798</v>
      </c>
      <c r="R35" s="571"/>
      <c r="S35" s="308">
        <v>0.56180555555555545</v>
      </c>
      <c r="T35" s="308">
        <v>0.61874999999999991</v>
      </c>
      <c r="U35" s="389">
        <v>57.999999999999957</v>
      </c>
      <c r="V35" s="397">
        <v>82.000000000000028</v>
      </c>
      <c r="W35" s="310"/>
      <c r="X35" s="310"/>
      <c r="Y35" s="570"/>
      <c r="Z35" s="570"/>
      <c r="AA35" s="306">
        <f t="shared" si="8"/>
        <v>-107.56097560975695</v>
      </c>
      <c r="AB35" s="394">
        <f t="shared" si="9"/>
        <v>0.95518292682926798</v>
      </c>
      <c r="AC35" s="571"/>
    </row>
    <row r="36" spans="1:29">
      <c r="A36" s="589" t="s">
        <v>1769</v>
      </c>
      <c r="B36" s="313" t="s">
        <v>1764</v>
      </c>
      <c r="C36" s="572"/>
      <c r="D36" s="572"/>
      <c r="E36" s="393"/>
      <c r="F36" s="313"/>
      <c r="G36" s="304"/>
      <c r="H36" s="390"/>
      <c r="I36" s="314">
        <v>16.833333333333332</v>
      </c>
      <c r="J36" s="303">
        <v>2400</v>
      </c>
      <c r="K36" s="304">
        <f t="shared" si="1"/>
        <v>142.57425742574259</v>
      </c>
      <c r="L36" s="314">
        <v>16.833333333333332</v>
      </c>
      <c r="M36" s="305">
        <f>AVERAGE(M30:M35)</f>
        <v>2293.8013750788714</v>
      </c>
      <c r="N36" s="304">
        <f t="shared" si="3"/>
        <v>136.26542822250721</v>
      </c>
      <c r="O36" s="306">
        <f t="shared" si="4"/>
        <v>0</v>
      </c>
      <c r="P36" s="307">
        <f t="shared" si="5"/>
        <v>-6.3088292032353763</v>
      </c>
      <c r="Q36" s="394">
        <f t="shared" si="6"/>
        <v>0.9557505729495297</v>
      </c>
      <c r="R36" s="571"/>
      <c r="S36" s="308"/>
      <c r="T36" s="308"/>
      <c r="U36" s="304"/>
      <c r="V36" s="397"/>
      <c r="W36" s="304"/>
      <c r="X36" s="304"/>
      <c r="Y36" s="570"/>
      <c r="Z36" s="570"/>
      <c r="AA36" s="306">
        <f t="shared" si="8"/>
        <v>-106.19862492112861</v>
      </c>
      <c r="AB36" s="394">
        <f t="shared" si="9"/>
        <v>0.9557505729495297</v>
      </c>
      <c r="AC36" s="571"/>
    </row>
    <row r="37" spans="1:29" ht="15.75" customHeight="1">
      <c r="A37" s="585" t="s">
        <v>1770</v>
      </c>
      <c r="B37" s="300" t="s">
        <v>67</v>
      </c>
      <c r="C37" s="580" t="s">
        <v>68</v>
      </c>
      <c r="D37" s="581"/>
      <c r="E37" s="300">
        <v>21.13</v>
      </c>
      <c r="F37" s="390">
        <v>4675</v>
      </c>
      <c r="G37" s="389">
        <f t="shared" ref="G37:G42" si="27">E37*F37</f>
        <v>98782.75</v>
      </c>
      <c r="H37" s="391" t="s">
        <v>35</v>
      </c>
      <c r="I37" s="392">
        <v>10</v>
      </c>
      <c r="J37" s="303">
        <v>3000</v>
      </c>
      <c r="K37" s="304">
        <f t="shared" si="1"/>
        <v>300</v>
      </c>
      <c r="L37" s="392">
        <v>10</v>
      </c>
      <c r="M37" s="305">
        <f t="shared" ref="M37:M42" si="28">F37/V37*60</f>
        <v>2862.2448979591836</v>
      </c>
      <c r="N37" s="305">
        <f t="shared" si="3"/>
        <v>286.22448979591837</v>
      </c>
      <c r="O37" s="306">
        <f t="shared" si="4"/>
        <v>0</v>
      </c>
      <c r="P37" s="307">
        <f t="shared" si="5"/>
        <v>-13.775510204081627</v>
      </c>
      <c r="Q37" s="394">
        <f t="shared" si="6"/>
        <v>0.95408163265306123</v>
      </c>
      <c r="R37" s="582">
        <f>Q43</f>
        <v>0.95537997085064708</v>
      </c>
      <c r="S37" s="308">
        <v>0.20833333333333334</v>
      </c>
      <c r="T37" s="308">
        <v>0.27638888888888891</v>
      </c>
      <c r="U37" s="315"/>
      <c r="V37" s="397">
        <f t="shared" ref="V37:V42" si="29">(T37-S37)*24*60</f>
        <v>98.000000000000014</v>
      </c>
      <c r="W37" s="310"/>
      <c r="X37" s="310"/>
      <c r="Y37" s="566"/>
      <c r="Z37" s="567"/>
      <c r="AA37" s="306">
        <f t="shared" si="8"/>
        <v>-137.75510204081638</v>
      </c>
      <c r="AB37" s="394">
        <f t="shared" si="9"/>
        <v>0.95408163265306123</v>
      </c>
      <c r="AC37" s="582">
        <f>AB43</f>
        <v>0.95537997085064719</v>
      </c>
    </row>
    <row r="38" spans="1:29" ht="15.75" customHeight="1">
      <c r="A38" s="586" t="s">
        <v>1770</v>
      </c>
      <c r="B38" s="300" t="s">
        <v>67</v>
      </c>
      <c r="C38" s="580" t="s">
        <v>69</v>
      </c>
      <c r="D38" s="581"/>
      <c r="E38" s="300">
        <v>27.17</v>
      </c>
      <c r="F38" s="390">
        <v>5955</v>
      </c>
      <c r="G38" s="389">
        <f t="shared" si="27"/>
        <v>161797.35</v>
      </c>
      <c r="H38" s="391" t="s">
        <v>35</v>
      </c>
      <c r="I38" s="392">
        <v>10</v>
      </c>
      <c r="J38" s="303">
        <v>3000</v>
      </c>
      <c r="K38" s="304">
        <f t="shared" si="1"/>
        <v>300</v>
      </c>
      <c r="L38" s="392">
        <v>10</v>
      </c>
      <c r="M38" s="305">
        <f t="shared" si="28"/>
        <v>2858.3999999999992</v>
      </c>
      <c r="N38" s="305">
        <f t="shared" si="3"/>
        <v>285.83999999999992</v>
      </c>
      <c r="O38" s="306">
        <f t="shared" si="4"/>
        <v>0</v>
      </c>
      <c r="P38" s="307">
        <f t="shared" si="5"/>
        <v>-14.160000000000082</v>
      </c>
      <c r="Q38" s="394">
        <f t="shared" si="6"/>
        <v>0.95279999999999976</v>
      </c>
      <c r="R38" s="583"/>
      <c r="S38" s="308">
        <v>0.28055555555555556</v>
      </c>
      <c r="T38" s="308">
        <v>0.36736111111111114</v>
      </c>
      <c r="U38" s="389">
        <f t="shared" ref="U38:U42" si="30">(S38-T37)*24*60</f>
        <v>5.9999999999999787</v>
      </c>
      <c r="V38" s="397">
        <f t="shared" si="29"/>
        <v>125.00000000000003</v>
      </c>
      <c r="W38" s="310"/>
      <c r="X38" s="310"/>
      <c r="Y38" s="566"/>
      <c r="Z38" s="567"/>
      <c r="AA38" s="306">
        <f t="shared" si="8"/>
        <v>-141.60000000000082</v>
      </c>
      <c r="AB38" s="394">
        <f t="shared" si="9"/>
        <v>0.95279999999999976</v>
      </c>
      <c r="AC38" s="583"/>
    </row>
    <row r="39" spans="1:29" ht="15.75" customHeight="1">
      <c r="A39" s="586" t="s">
        <v>1770</v>
      </c>
      <c r="B39" s="300" t="s">
        <v>67</v>
      </c>
      <c r="C39" s="580" t="s">
        <v>70</v>
      </c>
      <c r="D39" s="581"/>
      <c r="E39" s="300">
        <v>35.119999999999997</v>
      </c>
      <c r="F39" s="390">
        <v>4295</v>
      </c>
      <c r="G39" s="389">
        <f t="shared" si="27"/>
        <v>150840.4</v>
      </c>
      <c r="H39" s="391" t="s">
        <v>35</v>
      </c>
      <c r="I39" s="392">
        <v>10</v>
      </c>
      <c r="J39" s="303">
        <v>3000</v>
      </c>
      <c r="K39" s="304">
        <f t="shared" si="1"/>
        <v>300</v>
      </c>
      <c r="L39" s="392">
        <v>10</v>
      </c>
      <c r="M39" s="305">
        <f t="shared" si="28"/>
        <v>2863.3333333333335</v>
      </c>
      <c r="N39" s="305">
        <f t="shared" si="3"/>
        <v>286.33333333333337</v>
      </c>
      <c r="O39" s="306">
        <f t="shared" si="4"/>
        <v>0</v>
      </c>
      <c r="P39" s="307">
        <f t="shared" si="5"/>
        <v>-13.666666666666629</v>
      </c>
      <c r="Q39" s="394">
        <f t="shared" si="6"/>
        <v>0.95444444444444454</v>
      </c>
      <c r="R39" s="583"/>
      <c r="S39" s="308">
        <v>0.37152777777777779</v>
      </c>
      <c r="T39" s="308">
        <v>0.43402777777777779</v>
      </c>
      <c r="U39" s="389">
        <f t="shared" si="30"/>
        <v>5.9999999999999787</v>
      </c>
      <c r="V39" s="397">
        <f t="shared" si="29"/>
        <v>90</v>
      </c>
      <c r="W39" s="310"/>
      <c r="X39" s="310"/>
      <c r="Y39" s="566"/>
      <c r="Z39" s="567"/>
      <c r="AA39" s="306">
        <f t="shared" si="8"/>
        <v>-136.66666666666652</v>
      </c>
      <c r="AB39" s="394">
        <f t="shared" si="9"/>
        <v>0.95444444444444454</v>
      </c>
      <c r="AC39" s="583"/>
    </row>
    <row r="40" spans="1:29" ht="15.75" customHeight="1">
      <c r="A40" s="586" t="s">
        <v>1770</v>
      </c>
      <c r="B40" s="300" t="s">
        <v>67</v>
      </c>
      <c r="C40" s="580" t="s">
        <v>71</v>
      </c>
      <c r="D40" s="581"/>
      <c r="E40" s="300">
        <v>35.869999999999997</v>
      </c>
      <c r="F40" s="390">
        <v>2723</v>
      </c>
      <c r="G40" s="389">
        <f t="shared" si="27"/>
        <v>97674.01</v>
      </c>
      <c r="H40" s="391" t="s">
        <v>35</v>
      </c>
      <c r="I40" s="392">
        <v>10</v>
      </c>
      <c r="J40" s="303">
        <v>3000</v>
      </c>
      <c r="K40" s="304">
        <f t="shared" si="1"/>
        <v>300</v>
      </c>
      <c r="L40" s="392">
        <v>10</v>
      </c>
      <c r="M40" s="305">
        <f t="shared" si="28"/>
        <v>2866.3157894736864</v>
      </c>
      <c r="N40" s="305">
        <f t="shared" si="3"/>
        <v>286.63157894736867</v>
      </c>
      <c r="O40" s="306">
        <f t="shared" si="4"/>
        <v>0</v>
      </c>
      <c r="P40" s="307">
        <f t="shared" si="5"/>
        <v>-13.368421052631334</v>
      </c>
      <c r="Q40" s="394">
        <f t="shared" si="6"/>
        <v>0.95543859649122886</v>
      </c>
      <c r="R40" s="583"/>
      <c r="S40" s="308">
        <v>0.43888888888888888</v>
      </c>
      <c r="T40" s="308">
        <v>0.47847222222222219</v>
      </c>
      <c r="U40" s="389">
        <f t="shared" si="30"/>
        <v>6.9999999999999751</v>
      </c>
      <c r="V40" s="397">
        <f t="shared" si="29"/>
        <v>56.999999999999957</v>
      </c>
      <c r="W40" s="310"/>
      <c r="X40" s="310"/>
      <c r="Y40" s="566"/>
      <c r="Z40" s="567"/>
      <c r="AA40" s="306">
        <f t="shared" si="8"/>
        <v>-133.68421052631356</v>
      </c>
      <c r="AB40" s="394">
        <f t="shared" si="9"/>
        <v>0.95543859649122886</v>
      </c>
      <c r="AC40" s="583"/>
    </row>
    <row r="41" spans="1:29" ht="15.75" customHeight="1">
      <c r="A41" s="586" t="s">
        <v>1770</v>
      </c>
      <c r="B41" s="300" t="s">
        <v>67</v>
      </c>
      <c r="C41" s="580" t="s">
        <v>72</v>
      </c>
      <c r="D41" s="581"/>
      <c r="E41" s="300">
        <v>36.14</v>
      </c>
      <c r="F41" s="390">
        <v>1441</v>
      </c>
      <c r="G41" s="389">
        <f t="shared" si="27"/>
        <v>52077.74</v>
      </c>
      <c r="H41" s="391" t="s">
        <v>35</v>
      </c>
      <c r="I41" s="392">
        <v>8</v>
      </c>
      <c r="J41" s="303">
        <v>3000</v>
      </c>
      <c r="K41" s="304">
        <f t="shared" si="1"/>
        <v>375</v>
      </c>
      <c r="L41" s="392">
        <v>8</v>
      </c>
      <c r="M41" s="305">
        <f t="shared" si="28"/>
        <v>2881.9999999999945</v>
      </c>
      <c r="N41" s="305">
        <f t="shared" si="3"/>
        <v>360.24999999999932</v>
      </c>
      <c r="O41" s="306">
        <f t="shared" si="4"/>
        <v>0</v>
      </c>
      <c r="P41" s="307">
        <f t="shared" si="5"/>
        <v>-14.750000000000682</v>
      </c>
      <c r="Q41" s="394">
        <f t="shared" si="6"/>
        <v>0.96066666666666489</v>
      </c>
      <c r="R41" s="583"/>
      <c r="S41" s="308">
        <v>0.4819444444444444</v>
      </c>
      <c r="T41" s="308">
        <v>0.50277777777777777</v>
      </c>
      <c r="U41" s="389">
        <f t="shared" si="30"/>
        <v>4.9999999999999822</v>
      </c>
      <c r="V41" s="397">
        <f t="shared" si="29"/>
        <v>30.000000000000053</v>
      </c>
      <c r="W41" s="310"/>
      <c r="X41" s="310"/>
      <c r="Y41" s="566"/>
      <c r="Z41" s="567"/>
      <c r="AA41" s="306">
        <f t="shared" si="8"/>
        <v>-118.00000000000546</v>
      </c>
      <c r="AB41" s="394">
        <f t="shared" si="9"/>
        <v>0.96066666666666489</v>
      </c>
      <c r="AC41" s="583"/>
    </row>
    <row r="42" spans="1:29" ht="15.75" customHeight="1">
      <c r="A42" s="586" t="s">
        <v>1770</v>
      </c>
      <c r="B42" s="300" t="s">
        <v>67</v>
      </c>
      <c r="C42" s="580" t="s">
        <v>664</v>
      </c>
      <c r="D42" s="581"/>
      <c r="E42" s="300">
        <v>34.36</v>
      </c>
      <c r="F42" s="390">
        <v>3151</v>
      </c>
      <c r="G42" s="389">
        <f t="shared" si="27"/>
        <v>108268.36</v>
      </c>
      <c r="H42" s="391" t="s">
        <v>35</v>
      </c>
      <c r="I42" s="392">
        <v>10</v>
      </c>
      <c r="J42" s="303">
        <v>3000</v>
      </c>
      <c r="K42" s="304">
        <f t="shared" si="1"/>
        <v>300</v>
      </c>
      <c r="L42" s="392">
        <v>10</v>
      </c>
      <c r="M42" s="305">
        <f t="shared" si="28"/>
        <v>2864.5454545454509</v>
      </c>
      <c r="N42" s="305">
        <f t="shared" si="3"/>
        <v>286.4545454545451</v>
      </c>
      <c r="O42" s="306">
        <f t="shared" si="4"/>
        <v>0</v>
      </c>
      <c r="P42" s="307">
        <f t="shared" si="5"/>
        <v>-13.545454545454902</v>
      </c>
      <c r="Q42" s="394">
        <f t="shared" si="6"/>
        <v>0.95484848484848361</v>
      </c>
      <c r="R42" s="583"/>
      <c r="S42" s="308">
        <v>0.5083333333333333</v>
      </c>
      <c r="T42" s="308">
        <v>0.5541666666666667</v>
      </c>
      <c r="U42" s="389">
        <f t="shared" si="30"/>
        <v>7.9999999999999716</v>
      </c>
      <c r="V42" s="397">
        <f t="shared" si="29"/>
        <v>66.000000000000085</v>
      </c>
      <c r="W42" s="310"/>
      <c r="X42" s="310"/>
      <c r="Y42" s="566"/>
      <c r="Z42" s="567"/>
      <c r="AA42" s="306">
        <f t="shared" si="8"/>
        <v>-135.45454545454913</v>
      </c>
      <c r="AB42" s="394">
        <f t="shared" si="9"/>
        <v>0.95484848484848361</v>
      </c>
      <c r="AC42" s="583"/>
    </row>
    <row r="43" spans="1:29" ht="15.75" customHeight="1">
      <c r="A43" s="587" t="s">
        <v>1770</v>
      </c>
      <c r="B43" s="300" t="s">
        <v>1764</v>
      </c>
      <c r="C43" s="568"/>
      <c r="D43" s="569"/>
      <c r="E43" s="400"/>
      <c r="F43" s="390"/>
      <c r="G43" s="389"/>
      <c r="H43" s="390"/>
      <c r="I43" s="314">
        <v>9.6666666666666661</v>
      </c>
      <c r="J43" s="303">
        <v>3000</v>
      </c>
      <c r="K43" s="304">
        <f t="shared" si="1"/>
        <v>310.34482758620692</v>
      </c>
      <c r="L43" s="314">
        <v>9.6666666666666661</v>
      </c>
      <c r="M43" s="305">
        <f>AVERAGE(M37:M42)</f>
        <v>2866.1399125519415</v>
      </c>
      <c r="N43" s="304">
        <f t="shared" si="3"/>
        <v>296.49723233295947</v>
      </c>
      <c r="O43" s="306">
        <f t="shared" si="4"/>
        <v>0</v>
      </c>
      <c r="P43" s="307">
        <f t="shared" si="5"/>
        <v>-13.847595253247448</v>
      </c>
      <c r="Q43" s="394">
        <f t="shared" si="6"/>
        <v>0.95537997085064708</v>
      </c>
      <c r="R43" s="584"/>
      <c r="S43" s="308"/>
      <c r="T43" s="308"/>
      <c r="U43" s="389"/>
      <c r="V43" s="397"/>
      <c r="W43" s="310"/>
      <c r="X43" s="310"/>
      <c r="Y43" s="566"/>
      <c r="Z43" s="567"/>
      <c r="AA43" s="306">
        <f t="shared" si="8"/>
        <v>-133.86008744805849</v>
      </c>
      <c r="AB43" s="394">
        <f t="shared" si="9"/>
        <v>0.95537997085064719</v>
      </c>
      <c r="AC43" s="584"/>
    </row>
    <row r="44" spans="1:29" ht="15.75" customHeight="1">
      <c r="A44" s="578" t="s">
        <v>1771</v>
      </c>
      <c r="B44" s="300" t="s">
        <v>40</v>
      </c>
      <c r="C44" s="565" t="s">
        <v>73</v>
      </c>
      <c r="D44" s="565"/>
      <c r="E44" s="300">
        <v>46</v>
      </c>
      <c r="F44" s="317">
        <v>2046</v>
      </c>
      <c r="G44" s="389">
        <f t="shared" ref="G44:G49" si="31">E44*F44</f>
        <v>94116</v>
      </c>
      <c r="H44" s="391" t="s">
        <v>35</v>
      </c>
      <c r="I44" s="392">
        <v>17</v>
      </c>
      <c r="J44" s="303">
        <v>2000</v>
      </c>
      <c r="K44" s="304">
        <f t="shared" si="1"/>
        <v>117.64705882352941</v>
      </c>
      <c r="L44" s="392">
        <v>17</v>
      </c>
      <c r="M44" s="305">
        <f t="shared" ref="M44:M49" si="32">F44/V44*60</f>
        <v>1918.1249999999995</v>
      </c>
      <c r="N44" s="305">
        <f t="shared" si="3"/>
        <v>112.83088235294115</v>
      </c>
      <c r="O44" s="306">
        <f t="shared" si="4"/>
        <v>0</v>
      </c>
      <c r="P44" s="307">
        <f t="shared" si="5"/>
        <v>-4.8161764705882604</v>
      </c>
      <c r="Q44" s="394">
        <f t="shared" si="6"/>
        <v>0.95906249999999982</v>
      </c>
      <c r="R44" s="571">
        <f>Q50</f>
        <v>0.97115332480818473</v>
      </c>
      <c r="S44" s="308">
        <v>0.29166666666666669</v>
      </c>
      <c r="T44" s="308">
        <v>0.33611111111111114</v>
      </c>
      <c r="U44" s="315"/>
      <c r="V44" s="397">
        <f t="shared" ref="V44:V49" si="33">(T44-S44)*24*60</f>
        <v>64.000000000000014</v>
      </c>
      <c r="W44" s="315"/>
      <c r="X44" s="315"/>
      <c r="Y44" s="570"/>
      <c r="Z44" s="570"/>
      <c r="AA44" s="306">
        <f t="shared" si="8"/>
        <v>-81.875000000000455</v>
      </c>
      <c r="AB44" s="394">
        <f t="shared" si="9"/>
        <v>0.95906249999999982</v>
      </c>
      <c r="AC44" s="571">
        <f>AB50</f>
        <v>0.97115332480818461</v>
      </c>
    </row>
    <row r="45" spans="1:29" ht="15.75" customHeight="1">
      <c r="A45" s="578" t="s">
        <v>1771</v>
      </c>
      <c r="B45" s="300" t="s">
        <v>36</v>
      </c>
      <c r="C45" s="565" t="s">
        <v>75</v>
      </c>
      <c r="D45" s="565"/>
      <c r="E45" s="300">
        <v>54.09</v>
      </c>
      <c r="F45" s="317">
        <v>564</v>
      </c>
      <c r="G45" s="389">
        <f t="shared" si="31"/>
        <v>30506.760000000002</v>
      </c>
      <c r="H45" s="391" t="s">
        <v>35</v>
      </c>
      <c r="I45" s="392">
        <v>16</v>
      </c>
      <c r="J45" s="303">
        <v>2000</v>
      </c>
      <c r="K45" s="304">
        <f t="shared" si="1"/>
        <v>125</v>
      </c>
      <c r="L45" s="392">
        <v>16</v>
      </c>
      <c r="M45" s="305">
        <f t="shared" si="32"/>
        <v>1990.5882352941153</v>
      </c>
      <c r="N45" s="305">
        <f t="shared" si="3"/>
        <v>124.41176470588221</v>
      </c>
      <c r="O45" s="306">
        <f t="shared" si="4"/>
        <v>0</v>
      </c>
      <c r="P45" s="307">
        <f t="shared" si="5"/>
        <v>-0.58823529411779418</v>
      </c>
      <c r="Q45" s="394">
        <f t="shared" si="6"/>
        <v>0.99529411764705766</v>
      </c>
      <c r="R45" s="571"/>
      <c r="S45" s="308">
        <v>0.34097222222222223</v>
      </c>
      <c r="T45" s="308">
        <v>0.3527777777777778</v>
      </c>
      <c r="U45" s="389">
        <f t="shared" ref="U45:U49" si="34">IF(S45=TIME(17,0,0),"",(S45-T44)*24*60)</f>
        <v>6.9999999999999751</v>
      </c>
      <c r="V45" s="397">
        <f t="shared" si="33"/>
        <v>17.000000000000021</v>
      </c>
      <c r="W45" s="310"/>
      <c r="X45" s="310"/>
      <c r="Y45" s="570"/>
      <c r="Z45" s="570"/>
      <c r="AA45" s="306">
        <f t="shared" si="8"/>
        <v>-9.4117647058847069</v>
      </c>
      <c r="AB45" s="394">
        <f t="shared" si="9"/>
        <v>0.99529411764705766</v>
      </c>
      <c r="AC45" s="571"/>
    </row>
    <row r="46" spans="1:29" ht="15.75" customHeight="1">
      <c r="A46" s="578" t="s">
        <v>1771</v>
      </c>
      <c r="B46" s="300" t="s">
        <v>40</v>
      </c>
      <c r="C46" s="580" t="s">
        <v>74</v>
      </c>
      <c r="D46" s="581"/>
      <c r="E46" s="300">
        <v>46</v>
      </c>
      <c r="F46" s="317">
        <v>2254</v>
      </c>
      <c r="G46" s="389">
        <f t="shared" si="31"/>
        <v>103684</v>
      </c>
      <c r="H46" s="391" t="s">
        <v>35</v>
      </c>
      <c r="I46" s="392">
        <v>17</v>
      </c>
      <c r="J46" s="303">
        <v>2000</v>
      </c>
      <c r="K46" s="304">
        <f t="shared" si="1"/>
        <v>117.64705882352941</v>
      </c>
      <c r="L46" s="392">
        <v>17</v>
      </c>
      <c r="M46" s="305">
        <f t="shared" si="32"/>
        <v>1932.0000000000007</v>
      </c>
      <c r="N46" s="305">
        <f t="shared" si="3"/>
        <v>113.64705882352945</v>
      </c>
      <c r="O46" s="306">
        <f t="shared" si="4"/>
        <v>0</v>
      </c>
      <c r="P46" s="307">
        <f t="shared" si="5"/>
        <v>-3.9999999999999574</v>
      </c>
      <c r="Q46" s="394">
        <f t="shared" si="6"/>
        <v>0.96600000000000041</v>
      </c>
      <c r="R46" s="571"/>
      <c r="S46" s="308">
        <v>0.35625000000000001</v>
      </c>
      <c r="T46" s="308">
        <v>0.40486111111111112</v>
      </c>
      <c r="U46" s="389">
        <f t="shared" si="34"/>
        <v>4.9999999999999822</v>
      </c>
      <c r="V46" s="397">
        <f t="shared" si="33"/>
        <v>69.999999999999986</v>
      </c>
      <c r="W46" s="310"/>
      <c r="X46" s="310"/>
      <c r="Y46" s="395"/>
      <c r="Z46" s="396"/>
      <c r="AA46" s="306">
        <f t="shared" si="8"/>
        <v>-67.999999999999318</v>
      </c>
      <c r="AB46" s="394">
        <f t="shared" si="9"/>
        <v>0.9660000000000003</v>
      </c>
      <c r="AC46" s="571"/>
    </row>
    <row r="47" spans="1:29" ht="15.75" customHeight="1">
      <c r="A47" s="578" t="s">
        <v>1771</v>
      </c>
      <c r="B47" s="300" t="s">
        <v>36</v>
      </c>
      <c r="C47" s="398" t="s">
        <v>76</v>
      </c>
      <c r="D47" s="399"/>
      <c r="E47" s="300">
        <v>55.56</v>
      </c>
      <c r="F47" s="317">
        <v>2052</v>
      </c>
      <c r="G47" s="389">
        <f t="shared" si="31"/>
        <v>114009.12000000001</v>
      </c>
      <c r="H47" s="391" t="s">
        <v>35</v>
      </c>
      <c r="I47" s="392">
        <v>17</v>
      </c>
      <c r="J47" s="303">
        <v>2000</v>
      </c>
      <c r="K47" s="304">
        <f t="shared" si="1"/>
        <v>117.64705882352941</v>
      </c>
      <c r="L47" s="392">
        <v>17</v>
      </c>
      <c r="M47" s="305">
        <f t="shared" si="32"/>
        <v>1923.750000000002</v>
      </c>
      <c r="N47" s="305">
        <f t="shared" si="3"/>
        <v>113.16176470588248</v>
      </c>
      <c r="O47" s="306">
        <f t="shared" si="4"/>
        <v>0</v>
      </c>
      <c r="P47" s="307">
        <f t="shared" si="5"/>
        <v>-4.4852941176469301</v>
      </c>
      <c r="Q47" s="394">
        <f t="shared" si="6"/>
        <v>0.96187500000000115</v>
      </c>
      <c r="R47" s="571"/>
      <c r="S47" s="308">
        <v>0.70833333333333337</v>
      </c>
      <c r="T47" s="308">
        <v>0.75277777777777777</v>
      </c>
      <c r="U47" s="389" t="str">
        <f t="shared" si="34"/>
        <v/>
      </c>
      <c r="V47" s="397">
        <f t="shared" si="33"/>
        <v>63.999999999999929</v>
      </c>
      <c r="W47" s="310"/>
      <c r="X47" s="310"/>
      <c r="Y47" s="395"/>
      <c r="Z47" s="396"/>
      <c r="AA47" s="306">
        <f t="shared" si="8"/>
        <v>-76.249999999997954</v>
      </c>
      <c r="AB47" s="394">
        <f t="shared" si="9"/>
        <v>0.96187500000000103</v>
      </c>
      <c r="AC47" s="571"/>
    </row>
    <row r="48" spans="1:29" ht="15.75" customHeight="1">
      <c r="A48" s="578" t="s">
        <v>1771</v>
      </c>
      <c r="B48" s="300" t="s">
        <v>36</v>
      </c>
      <c r="C48" s="398" t="s">
        <v>77</v>
      </c>
      <c r="D48" s="399"/>
      <c r="E48" s="300">
        <v>55.32</v>
      </c>
      <c r="F48" s="317">
        <v>1599</v>
      </c>
      <c r="G48" s="389">
        <f t="shared" si="31"/>
        <v>88456.680000000008</v>
      </c>
      <c r="H48" s="391" t="s">
        <v>35</v>
      </c>
      <c r="I48" s="392">
        <v>15</v>
      </c>
      <c r="J48" s="303">
        <v>2000</v>
      </c>
      <c r="K48" s="304">
        <f t="shared" si="1"/>
        <v>133.33333333333334</v>
      </c>
      <c r="L48" s="392">
        <v>15</v>
      </c>
      <c r="M48" s="305">
        <f t="shared" si="32"/>
        <v>1918.8000000000004</v>
      </c>
      <c r="N48" s="305">
        <f t="shared" si="3"/>
        <v>127.92000000000003</v>
      </c>
      <c r="O48" s="306">
        <f t="shared" si="4"/>
        <v>0</v>
      </c>
      <c r="P48" s="307">
        <f t="shared" si="5"/>
        <v>-5.4133333333333127</v>
      </c>
      <c r="Q48" s="394">
        <f t="shared" si="6"/>
        <v>0.95940000000000014</v>
      </c>
      <c r="R48" s="571"/>
      <c r="S48" s="308">
        <v>0.7583333333333333</v>
      </c>
      <c r="T48" s="308">
        <v>0.79305555555555551</v>
      </c>
      <c r="U48" s="389">
        <f t="shared" si="34"/>
        <v>7.9999999999999716</v>
      </c>
      <c r="V48" s="397">
        <f t="shared" si="33"/>
        <v>49.999999999999986</v>
      </c>
      <c r="W48" s="310"/>
      <c r="X48" s="310"/>
      <c r="Y48" s="395"/>
      <c r="Z48" s="396"/>
      <c r="AA48" s="306">
        <f t="shared" si="8"/>
        <v>-81.199999999999591</v>
      </c>
      <c r="AB48" s="394">
        <f t="shared" si="9"/>
        <v>0.95940000000000025</v>
      </c>
      <c r="AC48" s="571"/>
    </row>
    <row r="49" spans="1:29" ht="15.75" customHeight="1">
      <c r="A49" s="578" t="s">
        <v>1771</v>
      </c>
      <c r="B49" s="300" t="s">
        <v>36</v>
      </c>
      <c r="C49" s="580" t="s">
        <v>78</v>
      </c>
      <c r="D49" s="581"/>
      <c r="E49" s="300">
        <v>57.73</v>
      </c>
      <c r="F49" s="317">
        <v>495</v>
      </c>
      <c r="G49" s="389">
        <f t="shared" si="31"/>
        <v>28576.35</v>
      </c>
      <c r="H49" s="391" t="s">
        <v>35</v>
      </c>
      <c r="I49" s="392">
        <v>16</v>
      </c>
      <c r="J49" s="303">
        <v>1500</v>
      </c>
      <c r="K49" s="304">
        <f t="shared" si="1"/>
        <v>93.75</v>
      </c>
      <c r="L49" s="392">
        <v>16</v>
      </c>
      <c r="M49" s="305">
        <f t="shared" si="32"/>
        <v>1485.0000000000052</v>
      </c>
      <c r="N49" s="305">
        <f t="shared" si="3"/>
        <v>92.812500000000327</v>
      </c>
      <c r="O49" s="306">
        <f t="shared" si="4"/>
        <v>0</v>
      </c>
      <c r="P49" s="307">
        <f t="shared" si="5"/>
        <v>-0.93749999999967315</v>
      </c>
      <c r="Q49" s="394">
        <f t="shared" si="6"/>
        <v>0.99000000000000343</v>
      </c>
      <c r="R49" s="571"/>
      <c r="S49" s="308">
        <v>0.79791666666666661</v>
      </c>
      <c r="T49" s="308">
        <v>0.81180555555555545</v>
      </c>
      <c r="U49" s="389">
        <f t="shared" si="34"/>
        <v>6.9999999999999751</v>
      </c>
      <c r="V49" s="397">
        <f t="shared" si="33"/>
        <v>19.999999999999929</v>
      </c>
      <c r="W49" s="310"/>
      <c r="X49" s="310"/>
      <c r="Y49" s="566"/>
      <c r="Z49" s="567"/>
      <c r="AA49" s="306">
        <f t="shared" si="8"/>
        <v>-14.99999999999477</v>
      </c>
      <c r="AB49" s="394">
        <f t="shared" si="9"/>
        <v>0.99000000000000343</v>
      </c>
      <c r="AC49" s="571"/>
    </row>
    <row r="50" spans="1:29">
      <c r="A50" s="579" t="s">
        <v>1771</v>
      </c>
      <c r="B50" s="300" t="s">
        <v>1764</v>
      </c>
      <c r="C50" s="572"/>
      <c r="D50" s="572"/>
      <c r="E50" s="393"/>
      <c r="F50" s="313"/>
      <c r="G50" s="304"/>
      <c r="H50" s="390"/>
      <c r="I50" s="314">
        <v>16.333333333333332</v>
      </c>
      <c r="J50" s="303">
        <v>1916.6666666666667</v>
      </c>
      <c r="K50" s="304">
        <f t="shared" si="1"/>
        <v>117.34693877551021</v>
      </c>
      <c r="L50" s="314">
        <v>16.333333333333332</v>
      </c>
      <c r="M50" s="305">
        <f>AVERAGE(M44:M49)</f>
        <v>1861.377205882354</v>
      </c>
      <c r="N50" s="304">
        <f t="shared" si="3"/>
        <v>113.96186974789923</v>
      </c>
      <c r="O50" s="306">
        <f t="shared" si="4"/>
        <v>0</v>
      </c>
      <c r="P50" s="307">
        <f t="shared" si="5"/>
        <v>-3.3850690276109816</v>
      </c>
      <c r="Q50" s="394">
        <f t="shared" si="6"/>
        <v>0.97115332480818473</v>
      </c>
      <c r="R50" s="571"/>
      <c r="S50" s="322"/>
      <c r="T50" s="308"/>
      <c r="U50" s="304"/>
      <c r="V50" s="397"/>
      <c r="W50" s="304"/>
      <c r="X50" s="304"/>
      <c r="Y50" s="570"/>
      <c r="Z50" s="570"/>
      <c r="AA50" s="306">
        <f t="shared" si="8"/>
        <v>-55.289460784312723</v>
      </c>
      <c r="AB50" s="394">
        <f t="shared" si="9"/>
        <v>0.97115332480818461</v>
      </c>
      <c r="AC50" s="571"/>
    </row>
    <row r="51" spans="1:29" ht="15.75" customHeight="1">
      <c r="A51" s="576" t="s">
        <v>1772</v>
      </c>
      <c r="B51" s="390" t="s">
        <v>40</v>
      </c>
      <c r="C51" s="565" t="s">
        <v>82</v>
      </c>
      <c r="D51" s="565"/>
      <c r="E51" s="300">
        <v>26.97</v>
      </c>
      <c r="F51" s="317">
        <v>2633</v>
      </c>
      <c r="G51" s="389">
        <f t="shared" ref="G51:G54" si="35">E51*F51</f>
        <v>71012.009999999995</v>
      </c>
      <c r="H51" s="391" t="s">
        <v>35</v>
      </c>
      <c r="I51" s="392">
        <v>8</v>
      </c>
      <c r="J51" s="303">
        <v>1500</v>
      </c>
      <c r="K51" s="304">
        <f t="shared" si="1"/>
        <v>187.5</v>
      </c>
      <c r="L51" s="392">
        <v>8</v>
      </c>
      <c r="M51" s="305">
        <f t="shared" ref="M51:M54" si="36">F51/V51*60</f>
        <v>1436.1818181818185</v>
      </c>
      <c r="N51" s="304">
        <f t="shared" si="3"/>
        <v>179.52272727272731</v>
      </c>
      <c r="O51" s="306">
        <f t="shared" si="4"/>
        <v>0</v>
      </c>
      <c r="P51" s="307">
        <f t="shared" si="5"/>
        <v>-7.9772727272726911</v>
      </c>
      <c r="Q51" s="394">
        <f t="shared" si="6"/>
        <v>0.95745454545454567</v>
      </c>
      <c r="R51" s="571">
        <f>Q55</f>
        <v>0.95959240759240794</v>
      </c>
      <c r="S51" s="308">
        <v>0.20833333333333334</v>
      </c>
      <c r="T51" s="308">
        <v>0.28472222222222221</v>
      </c>
      <c r="U51" s="389"/>
      <c r="V51" s="397">
        <f t="shared" ref="V51:V54" si="37">(T51-S51)*24*60</f>
        <v>109.99999999999997</v>
      </c>
      <c r="W51" s="315"/>
      <c r="X51" s="315"/>
      <c r="Y51" s="570"/>
      <c r="Z51" s="570"/>
      <c r="AA51" s="306">
        <f t="shared" si="8"/>
        <v>-63.818181818181529</v>
      </c>
      <c r="AB51" s="394">
        <f t="shared" si="9"/>
        <v>0.95745454545454567</v>
      </c>
      <c r="AC51" s="571">
        <f>AB55</f>
        <v>0.95959240759240783</v>
      </c>
    </row>
    <row r="52" spans="1:29" ht="15.75" customHeight="1">
      <c r="A52" s="576" t="s">
        <v>1772</v>
      </c>
      <c r="B52" s="390" t="s">
        <v>67</v>
      </c>
      <c r="C52" s="565" t="s">
        <v>79</v>
      </c>
      <c r="D52" s="565"/>
      <c r="E52" s="300">
        <v>26.78</v>
      </c>
      <c r="F52" s="317">
        <v>2208</v>
      </c>
      <c r="G52" s="389">
        <f t="shared" si="35"/>
        <v>59130.240000000005</v>
      </c>
      <c r="H52" s="391" t="s">
        <v>35</v>
      </c>
      <c r="I52" s="392">
        <v>10</v>
      </c>
      <c r="J52" s="303">
        <v>3000</v>
      </c>
      <c r="K52" s="304">
        <f t="shared" si="1"/>
        <v>300</v>
      </c>
      <c r="L52" s="392">
        <v>10</v>
      </c>
      <c r="M52" s="305">
        <f t="shared" si="36"/>
        <v>2880</v>
      </c>
      <c r="N52" s="304">
        <f t="shared" si="3"/>
        <v>288</v>
      </c>
      <c r="O52" s="306">
        <f t="shared" si="4"/>
        <v>0</v>
      </c>
      <c r="P52" s="307">
        <f t="shared" si="5"/>
        <v>-12</v>
      </c>
      <c r="Q52" s="394">
        <f t="shared" si="6"/>
        <v>0.96</v>
      </c>
      <c r="R52" s="571"/>
      <c r="S52" s="308">
        <v>0.2895833333333333</v>
      </c>
      <c r="T52" s="308">
        <v>0.32152777777777775</v>
      </c>
      <c r="U52" s="389">
        <f t="shared" ref="U52:U54" si="38">(S52-T51)*24*60</f>
        <v>6.9999999999999751</v>
      </c>
      <c r="V52" s="397">
        <f t="shared" si="37"/>
        <v>46</v>
      </c>
      <c r="W52" s="389"/>
      <c r="X52" s="389"/>
      <c r="Y52" s="570"/>
      <c r="Z52" s="570"/>
      <c r="AA52" s="306">
        <f t="shared" si="8"/>
        <v>-120</v>
      </c>
      <c r="AB52" s="394">
        <f t="shared" si="9"/>
        <v>0.96</v>
      </c>
      <c r="AC52" s="571"/>
    </row>
    <row r="53" spans="1:29" ht="15.75" customHeight="1">
      <c r="A53" s="576" t="s">
        <v>1772</v>
      </c>
      <c r="B53" s="390" t="s">
        <v>67</v>
      </c>
      <c r="C53" s="565" t="s">
        <v>83</v>
      </c>
      <c r="D53" s="565"/>
      <c r="E53" s="300">
        <v>35.369999999999997</v>
      </c>
      <c r="F53" s="317">
        <v>1253</v>
      </c>
      <c r="G53" s="389">
        <f t="shared" si="35"/>
        <v>44318.609999999993</v>
      </c>
      <c r="H53" s="391" t="s">
        <v>35</v>
      </c>
      <c r="I53" s="392">
        <v>10</v>
      </c>
      <c r="J53" s="303">
        <v>3000</v>
      </c>
      <c r="K53" s="304">
        <f t="shared" si="1"/>
        <v>300</v>
      </c>
      <c r="L53" s="392">
        <v>10</v>
      </c>
      <c r="M53" s="305">
        <f t="shared" si="36"/>
        <v>2891.5384615384633</v>
      </c>
      <c r="N53" s="304">
        <f t="shared" si="3"/>
        <v>289.1538461538463</v>
      </c>
      <c r="O53" s="306">
        <f t="shared" si="4"/>
        <v>0</v>
      </c>
      <c r="P53" s="307">
        <f t="shared" si="5"/>
        <v>-10.846153846153697</v>
      </c>
      <c r="Q53" s="394">
        <f t="shared" si="6"/>
        <v>0.96384615384615435</v>
      </c>
      <c r="R53" s="571"/>
      <c r="S53" s="308">
        <v>0.3256944444444444</v>
      </c>
      <c r="T53" s="308">
        <v>0.34374999999999994</v>
      </c>
      <c r="U53" s="389">
        <f t="shared" si="38"/>
        <v>5.9999999999999787</v>
      </c>
      <c r="V53" s="397">
        <f t="shared" si="37"/>
        <v>25.999999999999986</v>
      </c>
      <c r="W53" s="389"/>
      <c r="X53" s="389"/>
      <c r="Y53" s="570"/>
      <c r="Z53" s="570"/>
      <c r="AA53" s="306">
        <f t="shared" si="8"/>
        <v>-108.46153846153675</v>
      </c>
      <c r="AB53" s="394">
        <f t="shared" si="9"/>
        <v>0.96384615384615446</v>
      </c>
      <c r="AC53" s="571"/>
    </row>
    <row r="54" spans="1:29" ht="15.75" customHeight="1">
      <c r="A54" s="576" t="s">
        <v>1772</v>
      </c>
      <c r="B54" s="390" t="s">
        <v>67</v>
      </c>
      <c r="C54" s="565" t="s">
        <v>666</v>
      </c>
      <c r="D54" s="565"/>
      <c r="E54" s="300">
        <v>37.880000000000003</v>
      </c>
      <c r="F54" s="317">
        <v>3824</v>
      </c>
      <c r="G54" s="389">
        <f t="shared" si="35"/>
        <v>144853.12</v>
      </c>
      <c r="H54" s="391" t="s">
        <v>35</v>
      </c>
      <c r="I54" s="392">
        <v>11</v>
      </c>
      <c r="J54" s="303">
        <v>3000</v>
      </c>
      <c r="K54" s="304">
        <f t="shared" si="1"/>
        <v>272.72727272727275</v>
      </c>
      <c r="L54" s="392">
        <v>11</v>
      </c>
      <c r="M54" s="305">
        <f t="shared" si="36"/>
        <v>2868.0000000000014</v>
      </c>
      <c r="N54" s="304">
        <f t="shared" si="3"/>
        <v>260.72727272727286</v>
      </c>
      <c r="O54" s="306">
        <f t="shared" si="4"/>
        <v>0</v>
      </c>
      <c r="P54" s="307">
        <f t="shared" si="5"/>
        <v>-11.999999999999886</v>
      </c>
      <c r="Q54" s="394">
        <f t="shared" si="6"/>
        <v>0.95600000000000041</v>
      </c>
      <c r="R54" s="571"/>
      <c r="S54" s="308">
        <v>0.3479166666666666</v>
      </c>
      <c r="T54" s="308">
        <v>0.40347222222222212</v>
      </c>
      <c r="U54" s="389">
        <f t="shared" si="38"/>
        <v>5.9999999999999787</v>
      </c>
      <c r="V54" s="397">
        <f t="shared" si="37"/>
        <v>79.999999999999957</v>
      </c>
      <c r="W54" s="389"/>
      <c r="X54" s="389"/>
      <c r="Y54" s="570"/>
      <c r="Z54" s="570"/>
      <c r="AA54" s="306">
        <f t="shared" si="8"/>
        <v>-131.99999999999864</v>
      </c>
      <c r="AB54" s="394">
        <f t="shared" si="9"/>
        <v>0.95600000000000041</v>
      </c>
      <c r="AC54" s="571"/>
    </row>
    <row r="55" spans="1:29">
      <c r="A55" s="577" t="s">
        <v>1772</v>
      </c>
      <c r="B55" s="300" t="s">
        <v>1764</v>
      </c>
      <c r="C55" s="572"/>
      <c r="D55" s="572"/>
      <c r="E55" s="393"/>
      <c r="F55" s="313"/>
      <c r="G55" s="304"/>
      <c r="H55" s="390"/>
      <c r="I55" s="314">
        <v>9.75</v>
      </c>
      <c r="J55" s="303">
        <v>2625</v>
      </c>
      <c r="K55" s="304">
        <f t="shared" si="1"/>
        <v>269.23076923076923</v>
      </c>
      <c r="L55" s="314">
        <v>9.75</v>
      </c>
      <c r="M55" s="305">
        <f>AVERAGE(M51:M54)</f>
        <v>2518.9300699300707</v>
      </c>
      <c r="N55" s="304">
        <f t="shared" si="3"/>
        <v>258.35180204410983</v>
      </c>
      <c r="O55" s="306">
        <f t="shared" si="4"/>
        <v>0</v>
      </c>
      <c r="P55" s="307">
        <f t="shared" si="5"/>
        <v>-10.878967186659395</v>
      </c>
      <c r="Q55" s="394">
        <f t="shared" si="6"/>
        <v>0.95959240759240794</v>
      </c>
      <c r="R55" s="571"/>
      <c r="S55" s="308"/>
      <c r="T55" s="308"/>
      <c r="U55" s="304"/>
      <c r="V55" s="397"/>
      <c r="W55" s="304"/>
      <c r="X55" s="304"/>
      <c r="Y55" s="570"/>
      <c r="Z55" s="570"/>
      <c r="AA55" s="306">
        <f t="shared" si="8"/>
        <v>-106.06993006992934</v>
      </c>
      <c r="AB55" s="394">
        <f t="shared" si="9"/>
        <v>0.95959240759240783</v>
      </c>
      <c r="AC55" s="571"/>
    </row>
    <row r="56" spans="1:29" ht="15.75" customHeight="1">
      <c r="A56" s="573" t="s">
        <v>1773</v>
      </c>
      <c r="B56" s="390" t="s">
        <v>46</v>
      </c>
      <c r="C56" s="565" t="s">
        <v>84</v>
      </c>
      <c r="D56" s="565"/>
      <c r="E56" s="300">
        <v>20.2</v>
      </c>
      <c r="F56" s="390">
        <v>1828</v>
      </c>
      <c r="G56" s="389">
        <f t="shared" ref="G56:G63" si="39">E56*F56</f>
        <v>36925.599999999999</v>
      </c>
      <c r="H56" s="391" t="s">
        <v>35</v>
      </c>
      <c r="I56" s="392">
        <v>19</v>
      </c>
      <c r="J56" s="303">
        <v>2400</v>
      </c>
      <c r="K56" s="304">
        <f t="shared" si="1"/>
        <v>126.31578947368421</v>
      </c>
      <c r="L56" s="392">
        <v>19</v>
      </c>
      <c r="M56" s="305">
        <f t="shared" ref="M56:M63" si="40">F56/V56*60</f>
        <v>2285.0000000000005</v>
      </c>
      <c r="N56" s="304">
        <f t="shared" si="3"/>
        <v>120.26315789473686</v>
      </c>
      <c r="O56" s="306">
        <f t="shared" si="4"/>
        <v>0</v>
      </c>
      <c r="P56" s="307">
        <f t="shared" si="5"/>
        <v>-6.0526315789473415</v>
      </c>
      <c r="Q56" s="394">
        <f t="shared" si="6"/>
        <v>0.9520833333333335</v>
      </c>
      <c r="R56" s="571">
        <f>Q64</f>
        <v>0.9558141441603959</v>
      </c>
      <c r="S56" s="308">
        <v>0.125</v>
      </c>
      <c r="T56" s="308">
        <v>0.15833333333333333</v>
      </c>
      <c r="U56" s="315"/>
      <c r="V56" s="397">
        <f t="shared" ref="V56:V63" si="41">(T56-S56)*24*60</f>
        <v>47.999999999999986</v>
      </c>
      <c r="W56" s="310">
        <f>T56</f>
        <v>0.15833333333333333</v>
      </c>
      <c r="X56" s="310">
        <f>S57</f>
        <v>0.17847222222222223</v>
      </c>
      <c r="Y56" s="570"/>
      <c r="Z56" s="570"/>
      <c r="AA56" s="306">
        <f t="shared" si="8"/>
        <v>-114.99999999999955</v>
      </c>
      <c r="AB56" s="394">
        <f t="shared" si="9"/>
        <v>0.9520833333333335</v>
      </c>
      <c r="AC56" s="571">
        <f>AB64</f>
        <v>0.9558141441603959</v>
      </c>
    </row>
    <row r="57" spans="1:29" ht="15.75" customHeight="1">
      <c r="A57" s="574" t="s">
        <v>1774</v>
      </c>
      <c r="B57" s="390" t="s">
        <v>46</v>
      </c>
      <c r="C57" s="565" t="s">
        <v>85</v>
      </c>
      <c r="D57" s="565"/>
      <c r="E57" s="300">
        <v>19.02</v>
      </c>
      <c r="F57" s="390">
        <v>4800</v>
      </c>
      <c r="G57" s="389">
        <f t="shared" si="39"/>
        <v>91296</v>
      </c>
      <c r="H57" s="391">
        <v>2</v>
      </c>
      <c r="I57" s="392">
        <v>15</v>
      </c>
      <c r="J57" s="303">
        <v>2400</v>
      </c>
      <c r="K57" s="304">
        <f t="shared" si="1"/>
        <v>160</v>
      </c>
      <c r="L57" s="392">
        <v>15</v>
      </c>
      <c r="M57" s="305">
        <f t="shared" si="40"/>
        <v>2285.7142857142862</v>
      </c>
      <c r="N57" s="304">
        <f t="shared" si="3"/>
        <v>152.38095238095241</v>
      </c>
      <c r="O57" s="306">
        <f t="shared" si="4"/>
        <v>0</v>
      </c>
      <c r="P57" s="307">
        <f t="shared" si="5"/>
        <v>-7.619047619047592</v>
      </c>
      <c r="Q57" s="394">
        <f t="shared" si="6"/>
        <v>0.95238095238095255</v>
      </c>
      <c r="R57" s="571"/>
      <c r="S57" s="308">
        <v>0.17847222222222223</v>
      </c>
      <c r="T57" s="308">
        <v>0.26597222222222222</v>
      </c>
      <c r="U57" s="389">
        <f t="shared" ref="U57:U63" si="42">(S57-T56)*24*60</f>
        <v>29.000000000000018</v>
      </c>
      <c r="V57" s="397">
        <f t="shared" si="41"/>
        <v>125.99999999999997</v>
      </c>
      <c r="W57" s="310"/>
      <c r="X57" s="310"/>
      <c r="Y57" s="570"/>
      <c r="Z57" s="570"/>
      <c r="AA57" s="306">
        <f t="shared" si="8"/>
        <v>-114.28571428571377</v>
      </c>
      <c r="AB57" s="394">
        <f t="shared" si="9"/>
        <v>0.95238095238095255</v>
      </c>
      <c r="AC57" s="571"/>
    </row>
    <row r="58" spans="1:29" ht="15.75" customHeight="1">
      <c r="A58" s="574" t="s">
        <v>1774</v>
      </c>
      <c r="B58" s="390" t="s">
        <v>46</v>
      </c>
      <c r="C58" s="565" t="s">
        <v>88</v>
      </c>
      <c r="D58" s="565"/>
      <c r="E58" s="300">
        <v>24.25</v>
      </c>
      <c r="F58" s="390">
        <v>2484</v>
      </c>
      <c r="G58" s="389">
        <f t="shared" si="39"/>
        <v>60237</v>
      </c>
      <c r="H58" s="391" t="s">
        <v>35</v>
      </c>
      <c r="I58" s="392">
        <v>17</v>
      </c>
      <c r="J58" s="303">
        <v>2400</v>
      </c>
      <c r="K58" s="304">
        <f t="shared" si="1"/>
        <v>141.1764705882353</v>
      </c>
      <c r="L58" s="392">
        <v>17</v>
      </c>
      <c r="M58" s="305">
        <f t="shared" si="40"/>
        <v>2292.9230769230762</v>
      </c>
      <c r="N58" s="304">
        <f t="shared" si="3"/>
        <v>134.87782805429859</v>
      </c>
      <c r="O58" s="306">
        <f t="shared" si="4"/>
        <v>0</v>
      </c>
      <c r="P58" s="307">
        <f t="shared" si="5"/>
        <v>-6.2986425339367145</v>
      </c>
      <c r="Q58" s="394">
        <f t="shared" si="6"/>
        <v>0.95538461538461494</v>
      </c>
      <c r="R58" s="571"/>
      <c r="S58" s="308">
        <v>0.26944444444444443</v>
      </c>
      <c r="T58" s="308">
        <v>0.31458333333333333</v>
      </c>
      <c r="U58" s="389">
        <f t="shared" si="42"/>
        <v>4.9999999999999822</v>
      </c>
      <c r="V58" s="397">
        <f t="shared" si="41"/>
        <v>65.000000000000014</v>
      </c>
      <c r="W58" s="310"/>
      <c r="X58" s="310"/>
      <c r="Y58" s="570"/>
      <c r="Z58" s="570"/>
      <c r="AA58" s="306">
        <f t="shared" si="8"/>
        <v>-107.07692307692378</v>
      </c>
      <c r="AB58" s="394">
        <f t="shared" si="9"/>
        <v>0.95538461538461505</v>
      </c>
      <c r="AC58" s="571"/>
    </row>
    <row r="59" spans="1:29" ht="15.75" customHeight="1">
      <c r="A59" s="574" t="s">
        <v>1774</v>
      </c>
      <c r="B59" s="390" t="s">
        <v>46</v>
      </c>
      <c r="C59" s="565" t="s">
        <v>47</v>
      </c>
      <c r="D59" s="565"/>
      <c r="E59" s="300">
        <v>24.45</v>
      </c>
      <c r="F59" s="390">
        <v>1744</v>
      </c>
      <c r="G59" s="389">
        <f t="shared" si="39"/>
        <v>42640.799999999996</v>
      </c>
      <c r="H59" s="391" t="s">
        <v>35</v>
      </c>
      <c r="I59" s="392">
        <v>20</v>
      </c>
      <c r="J59" s="303">
        <v>2400</v>
      </c>
      <c r="K59" s="304">
        <f t="shared" si="1"/>
        <v>120</v>
      </c>
      <c r="L59" s="392">
        <v>20</v>
      </c>
      <c r="M59" s="305">
        <f t="shared" si="40"/>
        <v>2325.333333333333</v>
      </c>
      <c r="N59" s="304">
        <f t="shared" si="3"/>
        <v>116.26666666666665</v>
      </c>
      <c r="O59" s="306">
        <f t="shared" si="4"/>
        <v>0</v>
      </c>
      <c r="P59" s="307">
        <f t="shared" si="5"/>
        <v>-3.7333333333333485</v>
      </c>
      <c r="Q59" s="394">
        <f t="shared" si="6"/>
        <v>0.9688888888888888</v>
      </c>
      <c r="R59" s="571"/>
      <c r="S59" s="308">
        <v>0.31874999999999998</v>
      </c>
      <c r="T59" s="308">
        <v>0.35</v>
      </c>
      <c r="U59" s="389">
        <f t="shared" si="42"/>
        <v>5.9999999999999787</v>
      </c>
      <c r="V59" s="397">
        <f t="shared" si="41"/>
        <v>45</v>
      </c>
      <c r="W59" s="310"/>
      <c r="X59" s="310"/>
      <c r="Y59" s="570"/>
      <c r="Z59" s="570"/>
      <c r="AA59" s="306">
        <f t="shared" si="8"/>
        <v>-74.66666666666697</v>
      </c>
      <c r="AB59" s="394">
        <f t="shared" si="9"/>
        <v>0.9688888888888888</v>
      </c>
      <c r="AC59" s="571"/>
    </row>
    <row r="60" spans="1:29" ht="15.75" customHeight="1">
      <c r="A60" s="574" t="s">
        <v>1774</v>
      </c>
      <c r="B60" s="390" t="s">
        <v>46</v>
      </c>
      <c r="C60" s="565" t="s">
        <v>66</v>
      </c>
      <c r="D60" s="565"/>
      <c r="E60" s="300">
        <v>24.25</v>
      </c>
      <c r="F60" s="390">
        <v>3694</v>
      </c>
      <c r="G60" s="389">
        <f t="shared" si="39"/>
        <v>89579.5</v>
      </c>
      <c r="H60" s="391" t="s">
        <v>35</v>
      </c>
      <c r="I60" s="392">
        <v>14</v>
      </c>
      <c r="J60" s="303">
        <v>2400</v>
      </c>
      <c r="K60" s="304">
        <f t="shared" si="1"/>
        <v>171.42857142857142</v>
      </c>
      <c r="L60" s="392">
        <v>14</v>
      </c>
      <c r="M60" s="305">
        <f t="shared" si="40"/>
        <v>2284.9484536082482</v>
      </c>
      <c r="N60" s="304">
        <f t="shared" si="3"/>
        <v>163.21060382916059</v>
      </c>
      <c r="O60" s="306">
        <f t="shared" si="4"/>
        <v>0</v>
      </c>
      <c r="P60" s="307">
        <f t="shared" si="5"/>
        <v>-8.2179675994108266</v>
      </c>
      <c r="Q60" s="394">
        <f t="shared" si="6"/>
        <v>0.95206185567010349</v>
      </c>
      <c r="R60" s="571"/>
      <c r="S60" s="308">
        <v>0.35486111111111107</v>
      </c>
      <c r="T60" s="308">
        <v>0.42222222222222217</v>
      </c>
      <c r="U60" s="389">
        <f t="shared" si="42"/>
        <v>6.9999999999999751</v>
      </c>
      <c r="V60" s="397">
        <f t="shared" si="41"/>
        <v>96.999999999999972</v>
      </c>
      <c r="W60" s="310"/>
      <c r="X60" s="310"/>
      <c r="Y60" s="570"/>
      <c r="Z60" s="570"/>
      <c r="AA60" s="306">
        <f t="shared" si="8"/>
        <v>-115.0515463917518</v>
      </c>
      <c r="AB60" s="394">
        <f t="shared" si="9"/>
        <v>0.95206185567010337</v>
      </c>
      <c r="AC60" s="571"/>
    </row>
    <row r="61" spans="1:29" ht="15.75" customHeight="1">
      <c r="A61" s="574" t="s">
        <v>1774</v>
      </c>
      <c r="B61" s="390" t="s">
        <v>46</v>
      </c>
      <c r="C61" s="565" t="s">
        <v>58</v>
      </c>
      <c r="D61" s="565"/>
      <c r="E61" s="300">
        <v>25.98</v>
      </c>
      <c r="F61" s="390">
        <v>1030</v>
      </c>
      <c r="G61" s="389">
        <f t="shared" si="39"/>
        <v>26759.4</v>
      </c>
      <c r="H61" s="391" t="s">
        <v>35</v>
      </c>
      <c r="I61" s="392">
        <v>17</v>
      </c>
      <c r="J61" s="303">
        <v>2400</v>
      </c>
      <c r="K61" s="304">
        <f t="shared" si="1"/>
        <v>141.1764705882353</v>
      </c>
      <c r="L61" s="392">
        <v>17</v>
      </c>
      <c r="M61" s="305">
        <f t="shared" si="40"/>
        <v>2288.8888888888901</v>
      </c>
      <c r="N61" s="304">
        <f t="shared" si="3"/>
        <v>134.64052287581706</v>
      </c>
      <c r="O61" s="306">
        <f t="shared" si="4"/>
        <v>0</v>
      </c>
      <c r="P61" s="307">
        <f t="shared" si="5"/>
        <v>-6.535947712418249</v>
      </c>
      <c r="Q61" s="394">
        <f t="shared" si="6"/>
        <v>0.95370370370370405</v>
      </c>
      <c r="R61" s="571"/>
      <c r="S61" s="308">
        <v>0.42569444444444438</v>
      </c>
      <c r="T61" s="308">
        <v>0.44444444444444436</v>
      </c>
      <c r="U61" s="389">
        <f t="shared" si="42"/>
        <v>4.9999999999999822</v>
      </c>
      <c r="V61" s="397">
        <f t="shared" si="41"/>
        <v>26.999999999999986</v>
      </c>
      <c r="W61" s="310"/>
      <c r="X61" s="310"/>
      <c r="Y61" s="570"/>
      <c r="Z61" s="570"/>
      <c r="AA61" s="306">
        <f t="shared" si="8"/>
        <v>-111.11111111110995</v>
      </c>
      <c r="AB61" s="394">
        <f t="shared" si="9"/>
        <v>0.95370370370370416</v>
      </c>
      <c r="AC61" s="571"/>
    </row>
    <row r="62" spans="1:29" ht="15.75" customHeight="1">
      <c r="A62" s="574" t="s">
        <v>33</v>
      </c>
      <c r="B62" s="390" t="s">
        <v>46</v>
      </c>
      <c r="C62" s="565" t="s">
        <v>57</v>
      </c>
      <c r="D62" s="565"/>
      <c r="E62" s="300">
        <v>20.52</v>
      </c>
      <c r="F62" s="390">
        <v>2594</v>
      </c>
      <c r="G62" s="389">
        <f t="shared" si="39"/>
        <v>53228.88</v>
      </c>
      <c r="H62" s="391" t="s">
        <v>35</v>
      </c>
      <c r="I62" s="392">
        <v>18</v>
      </c>
      <c r="J62" s="303">
        <v>2400</v>
      </c>
      <c r="K62" s="304">
        <f t="shared" si="1"/>
        <v>133.33333333333334</v>
      </c>
      <c r="L62" s="392">
        <v>18</v>
      </c>
      <c r="M62" s="305">
        <f t="shared" si="40"/>
        <v>2288.8235294117649</v>
      </c>
      <c r="N62" s="304">
        <f t="shared" si="3"/>
        <v>127.15686274509805</v>
      </c>
      <c r="O62" s="306">
        <f t="shared" si="4"/>
        <v>0</v>
      </c>
      <c r="P62" s="307">
        <f t="shared" si="5"/>
        <v>-6.1764705882352899</v>
      </c>
      <c r="Q62" s="394">
        <f t="shared" si="6"/>
        <v>0.95367647058823535</v>
      </c>
      <c r="R62" s="571"/>
      <c r="S62" s="308">
        <v>0.44791666666666657</v>
      </c>
      <c r="T62" s="308">
        <v>0.4951388888888888</v>
      </c>
      <c r="U62" s="389">
        <f t="shared" si="42"/>
        <v>4.9999999999999822</v>
      </c>
      <c r="V62" s="397">
        <f t="shared" si="41"/>
        <v>68</v>
      </c>
      <c r="W62" s="310">
        <f>T62</f>
        <v>0.4951388888888888</v>
      </c>
      <c r="X62" s="310">
        <f>S63</f>
        <v>0.53541666666666654</v>
      </c>
      <c r="Y62" s="566"/>
      <c r="Z62" s="567"/>
      <c r="AA62" s="306">
        <f t="shared" si="8"/>
        <v>-111.17647058823513</v>
      </c>
      <c r="AB62" s="394">
        <f t="shared" si="9"/>
        <v>0.95367647058823535</v>
      </c>
      <c r="AC62" s="571"/>
    </row>
    <row r="63" spans="1:29" ht="15.75" customHeight="1">
      <c r="A63" s="574" t="s">
        <v>1773</v>
      </c>
      <c r="B63" s="390" t="s">
        <v>46</v>
      </c>
      <c r="C63" s="565" t="s">
        <v>85</v>
      </c>
      <c r="D63" s="565"/>
      <c r="E63" s="300">
        <v>19.02</v>
      </c>
      <c r="F63" s="390">
        <v>3680</v>
      </c>
      <c r="G63" s="389">
        <f t="shared" si="39"/>
        <v>69993.599999999991</v>
      </c>
      <c r="H63" s="391" t="s">
        <v>35</v>
      </c>
      <c r="I63" s="392">
        <v>15</v>
      </c>
      <c r="J63" s="303">
        <v>2400</v>
      </c>
      <c r="K63" s="304">
        <f t="shared" si="1"/>
        <v>160</v>
      </c>
      <c r="L63" s="392">
        <v>15</v>
      </c>
      <c r="M63" s="305">
        <f t="shared" si="40"/>
        <v>2300.0000000000005</v>
      </c>
      <c r="N63" s="304">
        <f t="shared" si="3"/>
        <v>153.33333333333337</v>
      </c>
      <c r="O63" s="306">
        <f t="shared" si="4"/>
        <v>0</v>
      </c>
      <c r="P63" s="307">
        <f t="shared" si="5"/>
        <v>-6.6666666666666288</v>
      </c>
      <c r="Q63" s="394">
        <f t="shared" si="6"/>
        <v>0.95833333333333359</v>
      </c>
      <c r="R63" s="571"/>
      <c r="S63" s="308">
        <v>0.53541666666666654</v>
      </c>
      <c r="T63" s="308">
        <v>0.60208333333333319</v>
      </c>
      <c r="U63" s="389">
        <f t="shared" si="42"/>
        <v>57.999999999999957</v>
      </c>
      <c r="V63" s="397">
        <f t="shared" si="41"/>
        <v>95.999999999999972</v>
      </c>
      <c r="W63" s="310"/>
      <c r="X63" s="310"/>
      <c r="Y63" s="566"/>
      <c r="Z63" s="567"/>
      <c r="AA63" s="306">
        <f t="shared" si="8"/>
        <v>-99.999999999999545</v>
      </c>
      <c r="AB63" s="394">
        <f t="shared" si="9"/>
        <v>0.95833333333333348</v>
      </c>
      <c r="AC63" s="571"/>
    </row>
    <row r="64" spans="1:29" ht="16.5" customHeight="1">
      <c r="A64" s="575" t="s">
        <v>33</v>
      </c>
      <c r="B64" s="300" t="s">
        <v>1775</v>
      </c>
      <c r="C64" s="568"/>
      <c r="D64" s="569"/>
      <c r="E64" s="393"/>
      <c r="F64" s="313"/>
      <c r="G64" s="304"/>
      <c r="H64" s="390"/>
      <c r="I64" s="314">
        <v>16.875</v>
      </c>
      <c r="J64" s="303">
        <v>2400</v>
      </c>
      <c r="K64" s="304">
        <f t="shared" si="1"/>
        <v>142.22222222222223</v>
      </c>
      <c r="L64" s="314">
        <v>16.875</v>
      </c>
      <c r="M64" s="305">
        <f>AVERAGE(M56:M63)</f>
        <v>2293.9539459849502</v>
      </c>
      <c r="N64" s="304">
        <f t="shared" si="3"/>
        <v>135.93801161392298</v>
      </c>
      <c r="O64" s="306">
        <f t="shared" si="4"/>
        <v>0</v>
      </c>
      <c r="P64" s="307">
        <f t="shared" si="5"/>
        <v>-6.2842106082992473</v>
      </c>
      <c r="Q64" s="394">
        <f t="shared" si="6"/>
        <v>0.9558141441603959</v>
      </c>
      <c r="R64" s="571"/>
      <c r="S64" s="308"/>
      <c r="T64" s="308"/>
      <c r="U64" s="304"/>
      <c r="V64" s="397"/>
      <c r="W64" s="304"/>
      <c r="X64" s="304"/>
      <c r="Y64" s="570"/>
      <c r="Z64" s="570"/>
      <c r="AA64" s="306">
        <f t="shared" si="8"/>
        <v>-106.04605401504978</v>
      </c>
      <c r="AB64" s="394">
        <f t="shared" si="9"/>
        <v>0.9558141441603959</v>
      </c>
      <c r="AC64" s="571"/>
    </row>
    <row r="65" spans="4:5">
      <c r="D65" s="323"/>
      <c r="E65" s="323"/>
    </row>
  </sheetData>
  <mergeCells count="176">
    <mergeCell ref="C46:D46"/>
    <mergeCell ref="C49:D49"/>
    <mergeCell ref="Y49:Z49"/>
    <mergeCell ref="AC51:AC55"/>
    <mergeCell ref="C52:D52"/>
    <mergeCell ref="Y52:Z52"/>
    <mergeCell ref="C53:D53"/>
    <mergeCell ref="Y53:Z53"/>
    <mergeCell ref="C54:D54"/>
    <mergeCell ref="Y54:Z54"/>
    <mergeCell ref="C55:D55"/>
    <mergeCell ref="Y55:Z55"/>
    <mergeCell ref="C50:D50"/>
    <mergeCell ref="Y50:Z50"/>
    <mergeCell ref="A56:A64"/>
    <mergeCell ref="C56:D56"/>
    <mergeCell ref="R56:R64"/>
    <mergeCell ref="Y56:Z56"/>
    <mergeCell ref="AC56:AC64"/>
    <mergeCell ref="C57:D57"/>
    <mergeCell ref="Y57:Z57"/>
    <mergeCell ref="C58:D58"/>
    <mergeCell ref="Y58:Z58"/>
    <mergeCell ref="C59:D59"/>
    <mergeCell ref="C63:D63"/>
    <mergeCell ref="Y63:Z63"/>
    <mergeCell ref="C64:D64"/>
    <mergeCell ref="Y64:Z64"/>
    <mergeCell ref="Y59:Z59"/>
    <mergeCell ref="C60:D60"/>
    <mergeCell ref="Y60:Z60"/>
    <mergeCell ref="C61:D61"/>
    <mergeCell ref="Y61:Z61"/>
    <mergeCell ref="C62:D62"/>
    <mergeCell ref="Y62:Z62"/>
    <mergeCell ref="A51:A55"/>
    <mergeCell ref="C51:D51"/>
    <mergeCell ref="R51:R55"/>
    <mergeCell ref="Y51:Z51"/>
    <mergeCell ref="A44:A50"/>
    <mergeCell ref="C44:D44"/>
    <mergeCell ref="R44:R50"/>
    <mergeCell ref="Y44:Z44"/>
    <mergeCell ref="AC37:AC43"/>
    <mergeCell ref="C38:D38"/>
    <mergeCell ref="Y38:Z38"/>
    <mergeCell ref="C39:D39"/>
    <mergeCell ref="Y39:Z39"/>
    <mergeCell ref="C40:D40"/>
    <mergeCell ref="Y40:Z40"/>
    <mergeCell ref="C41:D41"/>
    <mergeCell ref="Y41:Z41"/>
    <mergeCell ref="C42:D42"/>
    <mergeCell ref="Y42:Z42"/>
    <mergeCell ref="C43:D43"/>
    <mergeCell ref="Y43:Z43"/>
    <mergeCell ref="AC44:AC50"/>
    <mergeCell ref="C45:D45"/>
    <mergeCell ref="Y45:Z45"/>
    <mergeCell ref="AC30:AC36"/>
    <mergeCell ref="C31:D31"/>
    <mergeCell ref="Y31:Z31"/>
    <mergeCell ref="C32:D32"/>
    <mergeCell ref="Y32:Z32"/>
    <mergeCell ref="C33:D33"/>
    <mergeCell ref="C35:D35"/>
    <mergeCell ref="Y35:Z35"/>
    <mergeCell ref="C36:D36"/>
    <mergeCell ref="Y36:Z36"/>
    <mergeCell ref="Y33:Z33"/>
    <mergeCell ref="C34:D34"/>
    <mergeCell ref="Y34:Z34"/>
    <mergeCell ref="A30:A36"/>
    <mergeCell ref="C30:D30"/>
    <mergeCell ref="R30:R36"/>
    <mergeCell ref="Y30:Z30"/>
    <mergeCell ref="A37:A43"/>
    <mergeCell ref="C37:D37"/>
    <mergeCell ref="R37:R43"/>
    <mergeCell ref="Y37:Z37"/>
    <mergeCell ref="A23:A29"/>
    <mergeCell ref="C23:D23"/>
    <mergeCell ref="R23:R29"/>
    <mergeCell ref="Y23:Z23"/>
    <mergeCell ref="AC23:AC29"/>
    <mergeCell ref="C24:D24"/>
    <mergeCell ref="Y24:Z24"/>
    <mergeCell ref="C25:D25"/>
    <mergeCell ref="Y25:Z25"/>
    <mergeCell ref="C26:D26"/>
    <mergeCell ref="Y26:Z26"/>
    <mergeCell ref="C27:D27"/>
    <mergeCell ref="Y27:Z27"/>
    <mergeCell ref="C28:D28"/>
    <mergeCell ref="Y28:Z28"/>
    <mergeCell ref="C29:D29"/>
    <mergeCell ref="Y29:Z29"/>
    <mergeCell ref="AC18:AC22"/>
    <mergeCell ref="C19:D19"/>
    <mergeCell ref="Y19:Z19"/>
    <mergeCell ref="C20:D20"/>
    <mergeCell ref="Y20:Z20"/>
    <mergeCell ref="C21:D21"/>
    <mergeCell ref="Y21:Z21"/>
    <mergeCell ref="C22:D22"/>
    <mergeCell ref="Y22:Z22"/>
    <mergeCell ref="A18:A22"/>
    <mergeCell ref="C18:D18"/>
    <mergeCell ref="R18:R22"/>
    <mergeCell ref="Y18:Z18"/>
    <mergeCell ref="C13:D13"/>
    <mergeCell ref="Y13:Z13"/>
    <mergeCell ref="C14:D14"/>
    <mergeCell ref="Y14:Z14"/>
    <mergeCell ref="C15:D15"/>
    <mergeCell ref="Y15:Z15"/>
    <mergeCell ref="AC9:AC11"/>
    <mergeCell ref="C10:D10"/>
    <mergeCell ref="Y10:Z10"/>
    <mergeCell ref="C11:D11"/>
    <mergeCell ref="Y11:Z11"/>
    <mergeCell ref="A12:A17"/>
    <mergeCell ref="C12:D12"/>
    <mergeCell ref="R12:R17"/>
    <mergeCell ref="Y12:Z12"/>
    <mergeCell ref="AC12:AC17"/>
    <mergeCell ref="C16:D16"/>
    <mergeCell ref="Y16:Z16"/>
    <mergeCell ref="C17:D17"/>
    <mergeCell ref="Y17:Z17"/>
    <mergeCell ref="C8:D8"/>
    <mergeCell ref="Y8:Z8"/>
    <mergeCell ref="A9:A11"/>
    <mergeCell ref="C9:D9"/>
    <mergeCell ref="R9:R11"/>
    <mergeCell ref="Y9:Z9"/>
    <mergeCell ref="AC3:AC4"/>
    <mergeCell ref="A5:A8"/>
    <mergeCell ref="C5:D5"/>
    <mergeCell ref="R5:R8"/>
    <mergeCell ref="Y5:Z5"/>
    <mergeCell ref="AC5:AC8"/>
    <mergeCell ref="C6:D6"/>
    <mergeCell ref="Y6:Z6"/>
    <mergeCell ref="C7:D7"/>
    <mergeCell ref="Y7:Z7"/>
    <mergeCell ref="U3:U4"/>
    <mergeCell ref="V3:V4"/>
    <mergeCell ref="W3:X3"/>
    <mergeCell ref="Y3:Z4"/>
    <mergeCell ref="AA3:AA4"/>
    <mergeCell ref="AB3:AB4"/>
    <mergeCell ref="N3:N4"/>
    <mergeCell ref="O3:O4"/>
    <mergeCell ref="S1:X2"/>
    <mergeCell ref="Y1:Z2"/>
    <mergeCell ref="AA1:AC2"/>
    <mergeCell ref="A3:A4"/>
    <mergeCell ref="B3:B4"/>
    <mergeCell ref="C3:D4"/>
    <mergeCell ref="E3:E4"/>
    <mergeCell ref="F3:F4"/>
    <mergeCell ref="G3:G4"/>
    <mergeCell ref="I1:K2"/>
    <mergeCell ref="L1:N2"/>
    <mergeCell ref="O1:R2"/>
    <mergeCell ref="P3:P4"/>
    <mergeCell ref="Q3:Q4"/>
    <mergeCell ref="R3:R4"/>
    <mergeCell ref="S3:T3"/>
    <mergeCell ref="H3:H4"/>
    <mergeCell ref="I3:I4"/>
    <mergeCell ref="J3:J4"/>
    <mergeCell ref="K3:K4"/>
    <mergeCell ref="L3:L4"/>
    <mergeCell ref="M3:M4"/>
  </mergeCells>
  <phoneticPr fontId="3" type="noConversion"/>
  <conditionalFormatting sqref="O54:O61 O64 O5:O9 O11:O13 O17:O51">
    <cfRule type="cellIs" dxfId="1406" priority="46" operator="greaterThan">
      <formula>0</formula>
    </cfRule>
  </conditionalFormatting>
  <conditionalFormatting sqref="P5:P7 P54 AA54 P56:P61 P23:P28 P51 P9 P11:P13 P18:P21 P44:P49 P30:P42 AA5:AA51 AA56:AA64">
    <cfRule type="cellIs" dxfId="1405" priority="50" operator="lessThan">
      <formula>0</formula>
    </cfRule>
  </conditionalFormatting>
  <conditionalFormatting sqref="AB54 Q54:Q61 Q64 Q5:Q9 Q11:Q13 Q17:Q51 AB5:AB51 AB56:AB64">
    <cfRule type="cellIs" dxfId="1404" priority="47" operator="greaterThan">
      <formula>1</formula>
    </cfRule>
    <cfRule type="cellIs" dxfId="1403" priority="48" operator="lessThan">
      <formula>0.8</formula>
    </cfRule>
  </conditionalFormatting>
  <conditionalFormatting sqref="AC12:AC13 R12:R13 AC54 R54:R61 R64 AC5:AC9 R5:R9 AC17:AC51 R17:R51">
    <cfRule type="cellIs" dxfId="1402" priority="52" operator="lessThan">
      <formula>0.8</formula>
    </cfRule>
  </conditionalFormatting>
  <conditionalFormatting sqref="AC37">
    <cfRule type="cellIs" dxfId="1401" priority="54" operator="lessThan">
      <formula>0.8</formula>
    </cfRule>
  </conditionalFormatting>
  <conditionalFormatting sqref="AC18:AC21">
    <cfRule type="cellIs" dxfId="1400" priority="51" operator="lessThan">
      <formula>0.8</formula>
    </cfRule>
  </conditionalFormatting>
  <conditionalFormatting sqref="AC23">
    <cfRule type="cellIs" dxfId="1399" priority="53" operator="lessThan">
      <formula>0.8</formula>
    </cfRule>
  </conditionalFormatting>
  <conditionalFormatting sqref="AC30:AC35">
    <cfRule type="cellIs" dxfId="1398" priority="49" operator="lessThan">
      <formula>0.8</formula>
    </cfRule>
  </conditionalFormatting>
  <conditionalFormatting sqref="AA55">
    <cfRule type="cellIs" dxfId="1397" priority="45" operator="lessThan">
      <formula>0</formula>
    </cfRule>
  </conditionalFormatting>
  <conditionalFormatting sqref="AB55">
    <cfRule type="cellIs" dxfId="1396" priority="43" operator="greaterThan">
      <formula>1</formula>
    </cfRule>
    <cfRule type="cellIs" dxfId="1395" priority="44" operator="lessThan">
      <formula>0.8</formula>
    </cfRule>
  </conditionalFormatting>
  <conditionalFormatting sqref="O14:O15">
    <cfRule type="cellIs" dxfId="1394" priority="38" operator="greaterThan">
      <formula>0</formula>
    </cfRule>
  </conditionalFormatting>
  <conditionalFormatting sqref="P14:P15">
    <cfRule type="cellIs" dxfId="1393" priority="41" operator="lessThan">
      <formula>0</formula>
    </cfRule>
  </conditionalFormatting>
  <conditionalFormatting sqref="Q14:Q15">
    <cfRule type="cellIs" dxfId="1392" priority="39" operator="greaterThan">
      <formula>1</formula>
    </cfRule>
    <cfRule type="cellIs" dxfId="1391" priority="40" operator="lessThan">
      <formula>0.8</formula>
    </cfRule>
  </conditionalFormatting>
  <conditionalFormatting sqref="R14:R15 AC14:AC15">
    <cfRule type="cellIs" dxfId="1390" priority="42" operator="lessThan">
      <formula>0.8</formula>
    </cfRule>
  </conditionalFormatting>
  <conditionalFormatting sqref="O10">
    <cfRule type="cellIs" dxfId="1389" priority="34" operator="greaterThan">
      <formula>0</formula>
    </cfRule>
  </conditionalFormatting>
  <conditionalFormatting sqref="P10">
    <cfRule type="cellIs" dxfId="1388" priority="37" operator="lessThan">
      <formula>0</formula>
    </cfRule>
  </conditionalFormatting>
  <conditionalFormatting sqref="Q10">
    <cfRule type="cellIs" dxfId="1387" priority="35" operator="greaterThan">
      <formula>1</formula>
    </cfRule>
    <cfRule type="cellIs" dxfId="1386" priority="36" operator="lessThan">
      <formula>0.8</formula>
    </cfRule>
  </conditionalFormatting>
  <conditionalFormatting sqref="O53">
    <cfRule type="cellIs" dxfId="1385" priority="29" operator="greaterThan">
      <formula>0</formula>
    </cfRule>
  </conditionalFormatting>
  <conditionalFormatting sqref="P53 AA53">
    <cfRule type="cellIs" dxfId="1384" priority="32" operator="lessThan">
      <formula>0</formula>
    </cfRule>
  </conditionalFormatting>
  <conditionalFormatting sqref="Q53 AB53">
    <cfRule type="cellIs" dxfId="1383" priority="30" operator="greaterThan">
      <formula>1</formula>
    </cfRule>
    <cfRule type="cellIs" dxfId="1382" priority="31" operator="lessThan">
      <formula>0.8</formula>
    </cfRule>
  </conditionalFormatting>
  <conditionalFormatting sqref="R53 AC53">
    <cfRule type="cellIs" dxfId="1381" priority="33" operator="lessThan">
      <formula>0.8</formula>
    </cfRule>
  </conditionalFormatting>
  <conditionalFormatting sqref="O62">
    <cfRule type="cellIs" dxfId="1380" priority="24" operator="greaterThan">
      <formula>0</formula>
    </cfRule>
  </conditionalFormatting>
  <conditionalFormatting sqref="P62">
    <cfRule type="cellIs" dxfId="1379" priority="27" operator="lessThan">
      <formula>0</formula>
    </cfRule>
  </conditionalFormatting>
  <conditionalFormatting sqref="Q62">
    <cfRule type="cellIs" dxfId="1378" priority="25" operator="greaterThan">
      <formula>1</formula>
    </cfRule>
    <cfRule type="cellIs" dxfId="1377" priority="26" operator="lessThan">
      <formula>0.8</formula>
    </cfRule>
  </conditionalFormatting>
  <conditionalFormatting sqref="R62">
    <cfRule type="cellIs" dxfId="1376" priority="28" operator="lessThan">
      <formula>0.8</formula>
    </cfRule>
  </conditionalFormatting>
  <conditionalFormatting sqref="O16">
    <cfRule type="cellIs" dxfId="1375" priority="19" operator="greaterThan">
      <formula>0</formula>
    </cfRule>
  </conditionalFormatting>
  <conditionalFormatting sqref="P16">
    <cfRule type="cellIs" dxfId="1374" priority="22" operator="lessThan">
      <formula>0</formula>
    </cfRule>
  </conditionalFormatting>
  <conditionalFormatting sqref="Q16">
    <cfRule type="cellIs" dxfId="1373" priority="20" operator="greaterThan">
      <formula>1</formula>
    </cfRule>
    <cfRule type="cellIs" dxfId="1372" priority="21" operator="lessThan">
      <formula>0.8</formula>
    </cfRule>
  </conditionalFormatting>
  <conditionalFormatting sqref="R16 AC16">
    <cfRule type="cellIs" dxfId="1371" priority="23" operator="lessThan">
      <formula>0.8</formula>
    </cfRule>
  </conditionalFormatting>
  <conditionalFormatting sqref="O52">
    <cfRule type="cellIs" dxfId="1370" priority="14" operator="greaterThan">
      <formula>0</formula>
    </cfRule>
  </conditionalFormatting>
  <conditionalFormatting sqref="P52 AA52">
    <cfRule type="cellIs" dxfId="1369" priority="17" operator="lessThan">
      <formula>0</formula>
    </cfRule>
  </conditionalFormatting>
  <conditionalFormatting sqref="Q52 AB52">
    <cfRule type="cellIs" dxfId="1368" priority="15" operator="greaterThan">
      <formula>1</formula>
    </cfRule>
    <cfRule type="cellIs" dxfId="1367" priority="16" operator="lessThan">
      <formula>0.8</formula>
    </cfRule>
  </conditionalFormatting>
  <conditionalFormatting sqref="R52 AC52">
    <cfRule type="cellIs" dxfId="1366" priority="18" operator="lessThan">
      <formula>0.8</formula>
    </cfRule>
  </conditionalFormatting>
  <conditionalFormatting sqref="P8">
    <cfRule type="cellIs" dxfId="1365" priority="13" operator="lessThan">
      <formula>0</formula>
    </cfRule>
  </conditionalFormatting>
  <conditionalFormatting sqref="P17">
    <cfRule type="cellIs" dxfId="1364" priority="12" operator="lessThan">
      <formula>0</formula>
    </cfRule>
  </conditionalFormatting>
  <conditionalFormatting sqref="P22">
    <cfRule type="cellIs" dxfId="1363" priority="11" operator="lessThan">
      <formula>0</formula>
    </cfRule>
  </conditionalFormatting>
  <conditionalFormatting sqref="P29">
    <cfRule type="cellIs" dxfId="1362" priority="10" operator="lessThan">
      <formula>0</formula>
    </cfRule>
  </conditionalFormatting>
  <conditionalFormatting sqref="P43">
    <cfRule type="cellIs" dxfId="1361" priority="9" operator="lessThan">
      <formula>0</formula>
    </cfRule>
  </conditionalFormatting>
  <conditionalFormatting sqref="P50">
    <cfRule type="cellIs" dxfId="1360" priority="8" operator="lessThan">
      <formula>0</formula>
    </cfRule>
  </conditionalFormatting>
  <conditionalFormatting sqref="P55">
    <cfRule type="cellIs" dxfId="1359" priority="7" operator="lessThan">
      <formula>0</formula>
    </cfRule>
  </conditionalFormatting>
  <conditionalFormatting sqref="P64">
    <cfRule type="cellIs" dxfId="1358" priority="6" operator="lessThan">
      <formula>0</formula>
    </cfRule>
  </conditionalFormatting>
  <conditionalFormatting sqref="O63">
    <cfRule type="cellIs" dxfId="1357" priority="1" operator="greaterThan">
      <formula>0</formula>
    </cfRule>
  </conditionalFormatting>
  <conditionalFormatting sqref="P63">
    <cfRule type="cellIs" dxfId="1356" priority="4" operator="lessThan">
      <formula>0</formula>
    </cfRule>
  </conditionalFormatting>
  <conditionalFormatting sqref="Q63">
    <cfRule type="cellIs" dxfId="1355" priority="2" operator="greaterThan">
      <formula>1</formula>
    </cfRule>
    <cfRule type="cellIs" dxfId="1354" priority="3" operator="lessThan">
      <formula>0.8</formula>
    </cfRule>
  </conditionalFormatting>
  <conditionalFormatting sqref="R63">
    <cfRule type="cellIs" dxfId="1353" priority="5" operator="lessThan">
      <formula>0.8</formula>
    </cfRule>
  </conditionalFormatting>
  <dataValidations count="1">
    <dataValidation type="list" allowBlank="1" showInputMessage="1" showErrorMessage="1" sqref="Z8 Y5:Z7 Y8:Y54 Z10:Z51 Y55:Z64">
      <formula1>#REF!</formula1>
    </dataValidation>
  </dataValidations>
  <pageMargins left="0" right="0" top="0" bottom="0" header="0" footer="0"/>
  <pageSetup paperSize="9" scale="11" orientation="landscape" horizontalDpi="300" verticalDpi="300" r:id="rId1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工作表17"/>
  <dimension ref="B1:Q28"/>
  <sheetViews>
    <sheetView zoomScale="85" zoomScaleNormal="85" workbookViewId="0">
      <selection activeCell="H13" sqref="H13"/>
    </sheetView>
  </sheetViews>
  <sheetFormatPr defaultColWidth="8.75" defaultRowHeight="15.75"/>
  <cols>
    <col min="1" max="1" width="8.75" style="30"/>
    <col min="2" max="2" width="17.875" style="30" customWidth="1"/>
    <col min="3" max="3" width="9.25" style="37" customWidth="1"/>
    <col min="4" max="13" width="12.625" style="30" customWidth="1"/>
    <col min="14" max="14" width="11" style="30" bestFit="1" customWidth="1"/>
    <col min="15" max="15" width="17.75" style="30" bestFit="1" customWidth="1"/>
    <col min="16" max="16" width="12.25" style="30" bestFit="1" customWidth="1"/>
    <col min="17" max="22" width="9.25" style="30" customWidth="1"/>
    <col min="23" max="23" width="10.75" style="30" customWidth="1"/>
    <col min="24" max="24" width="11" style="30" customWidth="1"/>
    <col min="25" max="16384" width="8.75" style="30"/>
  </cols>
  <sheetData>
    <row r="1" spans="2:17" ht="27.75" customHeight="1">
      <c r="B1" s="552" t="s">
        <v>199</v>
      </c>
      <c r="C1" s="552"/>
      <c r="D1" s="552"/>
      <c r="E1" s="552"/>
      <c r="F1" s="552"/>
      <c r="G1" s="552"/>
      <c r="H1" s="552"/>
      <c r="I1" s="552"/>
      <c r="J1" s="552"/>
      <c r="K1" s="29"/>
      <c r="L1" s="29"/>
      <c r="M1" s="29"/>
      <c r="N1" s="29"/>
      <c r="O1" s="29"/>
      <c r="P1" s="29"/>
    </row>
    <row r="2" spans="2:17" ht="27.75" customHeight="1">
      <c r="B2" s="553"/>
      <c r="C2" s="553"/>
      <c r="D2" s="553"/>
      <c r="E2" s="553"/>
      <c r="F2" s="553"/>
      <c r="G2" s="553"/>
      <c r="H2" s="553"/>
      <c r="I2" s="553"/>
      <c r="J2" s="553"/>
      <c r="K2" s="31"/>
      <c r="L2" s="31"/>
      <c r="M2" s="31"/>
      <c r="N2" s="29"/>
      <c r="O2" s="29"/>
      <c r="P2" s="29"/>
    </row>
    <row r="3" spans="2:17" ht="46.5" customHeight="1">
      <c r="B3" s="32" t="s">
        <v>1618</v>
      </c>
      <c r="C3" s="554" t="str">
        <f>TEXT('1022 4度C'!A2,"yyyy.mm.ddaaaa")</f>
        <v>2025.10.22星期三</v>
      </c>
      <c r="D3" s="555"/>
      <c r="E3" s="32" t="s">
        <v>1619</v>
      </c>
      <c r="F3" s="556">
        <f>'1022 4度C'!D1</f>
        <v>181924</v>
      </c>
      <c r="G3" s="557"/>
      <c r="H3" s="32" t="s">
        <v>1620</v>
      </c>
      <c r="I3" s="558">
        <f>'1022 4度C'!F1</f>
        <v>5949025.9999999981</v>
      </c>
      <c r="J3" s="559"/>
      <c r="K3" s="33"/>
      <c r="L3" s="34"/>
      <c r="M3" s="35"/>
      <c r="N3" s="35"/>
    </row>
    <row r="4" spans="2:17" ht="28.5" customHeight="1">
      <c r="B4" s="560" t="s">
        <v>1621</v>
      </c>
      <c r="C4" s="542" t="s">
        <v>1622</v>
      </c>
      <c r="D4" s="543"/>
      <c r="E4" s="563" t="s">
        <v>1623</v>
      </c>
      <c r="F4" s="564"/>
      <c r="G4" s="563" t="s">
        <v>1624</v>
      </c>
      <c r="H4" s="564"/>
      <c r="I4" s="563" t="s">
        <v>1625</v>
      </c>
      <c r="J4" s="564"/>
      <c r="L4" s="35"/>
      <c r="M4" s="35"/>
      <c r="N4" s="35"/>
    </row>
    <row r="5" spans="2:17" ht="28.5" customHeight="1">
      <c r="B5" s="561"/>
      <c r="C5" s="542" t="s">
        <v>1626</v>
      </c>
      <c r="D5" s="543"/>
      <c r="E5" s="542" t="s">
        <v>1627</v>
      </c>
      <c r="F5" s="543"/>
      <c r="G5" s="544" t="s">
        <v>1628</v>
      </c>
      <c r="H5" s="545"/>
      <c r="I5" s="546" t="s">
        <v>1629</v>
      </c>
      <c r="J5" s="547"/>
      <c r="K5" s="35"/>
      <c r="L5" s="35"/>
      <c r="M5" s="35"/>
      <c r="N5" s="35"/>
    </row>
    <row r="6" spans="2:17" ht="28.5" customHeight="1">
      <c r="B6" s="561"/>
      <c r="C6" s="542" t="s">
        <v>92</v>
      </c>
      <c r="D6" s="543"/>
      <c r="E6" s="548">
        <f>AVERAGE(D13:M13)</f>
        <v>153.14150505190332</v>
      </c>
      <c r="F6" s="549">
        <f>AVERAGE(D27:O27,D13:J13)</f>
        <v>159.43667192325887</v>
      </c>
      <c r="G6" s="550">
        <f>AVERAGE(D13:J13)</f>
        <v>159.43667192325887</v>
      </c>
      <c r="H6" s="551"/>
      <c r="I6" s="550">
        <f>AVERAGE(K13:M13)</f>
        <v>138.45278235207368</v>
      </c>
      <c r="J6" s="551"/>
      <c r="K6" s="35"/>
      <c r="L6" s="35"/>
      <c r="M6" s="35"/>
      <c r="N6" s="35"/>
    </row>
    <row r="7" spans="2:17" ht="28.5" customHeight="1">
      <c r="B7" s="561"/>
      <c r="C7" s="532" t="s">
        <v>93</v>
      </c>
      <c r="D7" s="533"/>
      <c r="E7" s="534">
        <f>AVERAGE(D14:M14)</f>
        <v>146.66731456120675</v>
      </c>
      <c r="F7" s="535">
        <f>AVERAGE(D28:O28,D14:J14)</f>
        <v>152.75229916322354</v>
      </c>
      <c r="G7" s="536">
        <f>AVERAGE(D14:J14)</f>
        <v>152.75229916322354</v>
      </c>
      <c r="H7" s="537"/>
      <c r="I7" s="536">
        <f>AVERAGE(K14:M14)</f>
        <v>132.46901715650094</v>
      </c>
      <c r="J7" s="537"/>
      <c r="K7" s="35"/>
      <c r="L7" s="35"/>
      <c r="M7" s="35"/>
      <c r="N7" s="35"/>
    </row>
    <row r="8" spans="2:17" ht="28.5" customHeight="1">
      <c r="B8" s="562"/>
      <c r="C8" s="532" t="s">
        <v>94</v>
      </c>
      <c r="D8" s="533"/>
      <c r="E8" s="538">
        <f>AVERAGE(D15:M15)</f>
        <v>0.9579736976253761</v>
      </c>
      <c r="F8" s="539">
        <f>AVERAGE(D15:J15,D29:O29)</f>
        <v>0.95847683436825715</v>
      </c>
      <c r="G8" s="540">
        <f>AVERAGE(D15:J15)</f>
        <v>0.95847683436825715</v>
      </c>
      <c r="H8" s="541"/>
      <c r="I8" s="540">
        <f>AVERAGE(K15:M15)</f>
        <v>0.95679971189198687</v>
      </c>
      <c r="J8" s="541"/>
      <c r="K8" s="36" t="s">
        <v>1630</v>
      </c>
      <c r="L8" s="35"/>
      <c r="M8" s="35"/>
      <c r="N8" s="35"/>
    </row>
    <row r="9" spans="2:17" ht="28.5" customHeight="1" thickBot="1">
      <c r="H9" s="38"/>
      <c r="N9" s="35"/>
      <c r="O9" s="35"/>
      <c r="P9" s="35"/>
      <c r="Q9" s="35"/>
    </row>
    <row r="10" spans="2:17" ht="30" customHeight="1">
      <c r="B10" s="515" t="s">
        <v>1631</v>
      </c>
      <c r="C10" s="516"/>
      <c r="D10" s="517" t="s">
        <v>1632</v>
      </c>
      <c r="E10" s="518"/>
      <c r="F10" s="518"/>
      <c r="G10" s="518"/>
      <c r="H10" s="518"/>
      <c r="I10" s="518"/>
      <c r="J10" s="519"/>
      <c r="K10" s="520" t="s">
        <v>1633</v>
      </c>
      <c r="L10" s="521"/>
      <c r="M10" s="522"/>
      <c r="P10" s="39"/>
      <c r="Q10" s="39"/>
    </row>
    <row r="11" spans="2:17" ht="17.25" customHeight="1">
      <c r="B11" s="523" t="s">
        <v>1634</v>
      </c>
      <c r="C11" s="524"/>
      <c r="D11" s="40">
        <v>1</v>
      </c>
      <c r="E11" s="41">
        <v>2</v>
      </c>
      <c r="F11" s="41">
        <v>3</v>
      </c>
      <c r="G11" s="41">
        <v>4</v>
      </c>
      <c r="H11" s="41">
        <v>5</v>
      </c>
      <c r="I11" s="41">
        <v>6</v>
      </c>
      <c r="J11" s="42">
        <v>7</v>
      </c>
      <c r="K11" s="40">
        <v>1</v>
      </c>
      <c r="L11" s="41">
        <v>2</v>
      </c>
      <c r="M11" s="42">
        <v>3</v>
      </c>
      <c r="P11" s="39"/>
      <c r="Q11" s="39"/>
    </row>
    <row r="12" spans="2:17" ht="34.15" customHeight="1">
      <c r="B12" s="525"/>
      <c r="C12" s="526"/>
      <c r="D12" s="43" t="s">
        <v>96</v>
      </c>
      <c r="E12" s="44" t="s">
        <v>97</v>
      </c>
      <c r="F12" s="44" t="s">
        <v>98</v>
      </c>
      <c r="G12" s="44" t="s">
        <v>99</v>
      </c>
      <c r="H12" s="44" t="s">
        <v>100</v>
      </c>
      <c r="I12" s="44" t="s">
        <v>101</v>
      </c>
      <c r="J12" s="45" t="s">
        <v>102</v>
      </c>
      <c r="K12" s="43" t="s">
        <v>103</v>
      </c>
      <c r="L12" s="44" t="s">
        <v>104</v>
      </c>
      <c r="M12" s="45" t="s">
        <v>105</v>
      </c>
    </row>
    <row r="13" spans="2:17" ht="40.15" customHeight="1">
      <c r="B13" s="527" t="s">
        <v>1635</v>
      </c>
      <c r="C13" s="46" t="s">
        <v>1636</v>
      </c>
      <c r="D13" s="47">
        <f>SUMIFS('1022 4度C'!$K:$K,'1022 4度C'!$A:$A,"新豐6線",'1022 4度C'!$B:$B,"平均")</f>
        <v>125</v>
      </c>
      <c r="E13" s="48">
        <f>SUMIFS('1022 4度C'!$K:$K,'1022 4度C'!$A:$A,"新豐2線",'1022 4度C'!$B:$B,"平均")</f>
        <v>83.333333333333329</v>
      </c>
      <c r="F13" s="49">
        <f>SUMIFS('1022 4度C'!$K:$K,'1022 4度C'!$A:$A,"新豐5線",'1022 4度C'!$B:$B,"平均")</f>
        <v>91.397849462365585</v>
      </c>
      <c r="G13" s="49">
        <f>SUMIFS('1022 4度C'!$K:$K,'1022 4度C'!$A:$A,"新豐7線",'1022 4度C'!$B:$B,"平均")</f>
        <v>119.40298507462687</v>
      </c>
      <c r="H13" s="49">
        <f>SUMIFS('1022 4度C'!$K:$K,'1022 4度C'!$A:$A,"新豐3線",'1022 4度C'!$B:$B,"平均")</f>
        <v>310.34482758620692</v>
      </c>
      <c r="I13" s="49">
        <f>SUMIFS('1022 4度C'!$K:$K,'1022 4度C'!$A:$A,"新豐1線",'1022 4度C'!$B:$B,"平均")</f>
        <v>117.34693877551021</v>
      </c>
      <c r="J13" s="50">
        <f>SUMIFS('1022 4度C'!$K:$K,'1022 4度C'!$A:$A,"新豐10線",'1022 4度C'!$B:$B,"平均")</f>
        <v>269.23076923076923</v>
      </c>
      <c r="K13" s="51">
        <f>SUMIFS('1022 4度C'!$K:$K,'1022 4度C'!$A:$A,"新豐8線",'1022 4度C'!$B:$B,"平均")</f>
        <v>132.5153374233129</v>
      </c>
      <c r="L13" s="52">
        <f>SUMIFS('1022 4度C'!$K:$K,'1022 4度C'!$A:$A,"新豐9線",'1022 4度C'!$B:$B,"平均")</f>
        <v>139.13043478260869</v>
      </c>
      <c r="M13" s="50">
        <f>SUMIFS('1022 4度C'!$K:$K,'1022 4度C'!$A:$A,"新豐4線",'1022 4度C'!$B:$B,"平均")</f>
        <v>143.7125748502994</v>
      </c>
    </row>
    <row r="14" spans="2:17" ht="39.6" customHeight="1">
      <c r="B14" s="528"/>
      <c r="C14" s="53" t="s">
        <v>1637</v>
      </c>
      <c r="D14" s="54">
        <f>SUMIFS('1022 4度C'!$N:$N,'1022 4度C'!$A:$A,"新豐6線",'1022 4度C'!$B:$B,"平均")</f>
        <v>120.16830042639963</v>
      </c>
      <c r="E14" s="55">
        <f>SUMIFS('1022 4度C'!$N:$N,'1022 4度C'!$A:$A,"新豐2線",'1022 4度C'!$B:$B,"平均")</f>
        <v>79.994442281574422</v>
      </c>
      <c r="F14" s="55">
        <f>SUMIFS('1022 4度C'!$N:$N,'1022 4度C'!$A:$A,"新豐5線",'1022 4度C'!$B:$B,"平均")</f>
        <v>87.407946817303809</v>
      </c>
      <c r="G14" s="55">
        <f>SUMIFS('1022 4度C'!$N:$N,'1022 4度C'!$A:$A,"新豐7線",'1022 4度C'!$B:$B,"平均")</f>
        <v>113.91173709720424</v>
      </c>
      <c r="H14" s="55">
        <f>SUMIFS('1022 4度C'!$N:$N,'1022 4度C'!$A:$A,"新豐3線",'1022 4度C'!$B:$B,"平均")</f>
        <v>296.8612737109309</v>
      </c>
      <c r="I14" s="55">
        <f>SUMIFS('1022 4度C'!$N:$N,'1022 4度C'!$A:$A,"新豐1線",'1022 4度C'!$B:$B,"平均")</f>
        <v>113.0404752775485</v>
      </c>
      <c r="J14" s="56">
        <f>SUMIFS('1022 4度C'!$N:$N,'1022 4度C'!$A:$A,"新豐10線",'1022 4度C'!$B:$B,"平均")</f>
        <v>257.88191853160316</v>
      </c>
      <c r="K14" s="57">
        <f>SUMIFS('1022 4度C'!$N:$N,'1022 4度C'!$A:$A,"新豐8線",'1022 4度C'!$B:$B,"平均")</f>
        <v>126.91113560798118</v>
      </c>
      <c r="L14" s="58">
        <f>SUMIFS('1022 4度C'!$N:$N,'1022 4度C'!$A:$A,"新豐9線",'1022 4度C'!$B:$B,"平均")</f>
        <v>133.04445909355908</v>
      </c>
      <c r="M14" s="56">
        <f>SUMIFS('1022 4度C'!$N:$N,'1022 4度C'!$A:$A,"新豐4線",'1022 4度C'!$B:$B,"平均")</f>
        <v>137.45145676796255</v>
      </c>
    </row>
    <row r="15" spans="2:17" ht="40.15" customHeight="1">
      <c r="B15" s="529"/>
      <c r="C15" s="59" t="s">
        <v>1638</v>
      </c>
      <c r="D15" s="60">
        <f t="shared" ref="D15:M15" si="0">D14/D13</f>
        <v>0.96134640341119704</v>
      </c>
      <c r="E15" s="61">
        <f t="shared" si="0"/>
        <v>0.95993330737889315</v>
      </c>
      <c r="F15" s="61">
        <f t="shared" si="0"/>
        <v>0.95634577105991236</v>
      </c>
      <c r="G15" s="61">
        <f t="shared" si="0"/>
        <v>0.95401079818908552</v>
      </c>
      <c r="H15" s="61">
        <f t="shared" si="0"/>
        <v>0.95655299306855501</v>
      </c>
      <c r="I15" s="61">
        <f t="shared" si="0"/>
        <v>0.96330144149563057</v>
      </c>
      <c r="J15" s="62">
        <f t="shared" si="0"/>
        <v>0.95784712597452604</v>
      </c>
      <c r="K15" s="60">
        <f t="shared" si="0"/>
        <v>0.95770903259726525</v>
      </c>
      <c r="L15" s="61">
        <f t="shared" si="0"/>
        <v>0.95625704973495596</v>
      </c>
      <c r="M15" s="62">
        <f t="shared" si="0"/>
        <v>0.9564330533437394</v>
      </c>
    </row>
    <row r="16" spans="2:17" ht="17.25" customHeight="1">
      <c r="B16" s="530" t="s">
        <v>1639</v>
      </c>
      <c r="C16" s="63" t="s">
        <v>1640</v>
      </c>
      <c r="D16" s="284">
        <f>VLOOKUP("新豐6線",'1022 4度C'!$A:$T,19,0)</f>
        <v>0.70833333333333337</v>
      </c>
      <c r="E16" s="285">
        <f>VLOOKUP("新豐2線",'1022 4度C'!$A:$T,19,0)</f>
        <v>0.20833333333333334</v>
      </c>
      <c r="F16" s="285">
        <f>VLOOKUP("新豐5線",'1022 4度C'!$A:$T,19,0)</f>
        <v>0.125</v>
      </c>
      <c r="G16" s="285">
        <f>VLOOKUP("新豐7線",'1022 4度C'!$A:$T,19,0)</f>
        <v>0.20833333333333334</v>
      </c>
      <c r="H16" s="285">
        <f>VLOOKUP("新豐3線",'1022 4度C'!$A:$T,19,0)</f>
        <v>0.20833333333333334</v>
      </c>
      <c r="I16" s="285">
        <f>VLOOKUP("新豐1線",'1022 4度C'!$A:$T,19,0)</f>
        <v>0.29166666666666669</v>
      </c>
      <c r="J16" s="286">
        <f>VLOOKUP("新豐10線",'1022 4度C'!$A:$T,19,0)</f>
        <v>0.20833333333333334</v>
      </c>
      <c r="K16" s="66">
        <f>VLOOKUP("新豐8線",'1022 4度C'!$A:$T,19,0)</f>
        <v>0.125</v>
      </c>
      <c r="L16" s="67">
        <f>VLOOKUP("新豐9線",'1022 4度C'!$A:$T,19,0)</f>
        <v>0.125</v>
      </c>
      <c r="M16" s="68">
        <f>VLOOKUP("新豐4線",'1022 4度C'!$A:$T,19,0)</f>
        <v>0.125</v>
      </c>
    </row>
    <row r="17" spans="2:13" ht="17.25" customHeight="1">
      <c r="B17" s="531"/>
      <c r="C17" s="63" t="s">
        <v>1641</v>
      </c>
      <c r="D17" s="66">
        <f>LOOKUP(2,1/(('1022 4度C'!$A:$A="新豐6線")*('1022 4度C'!$T:$T&lt;&gt;"")),'1022 4度C'!$T:$T)</f>
        <v>0.82986111111111116</v>
      </c>
      <c r="E17" s="285">
        <f>LOOKUP(2,1/(('1022 4度C'!$A:$A="新豐2線")*('1022 4度C'!$T:$T&lt;&gt;"")),'1022 4度C'!$T:$T)</f>
        <v>0.57013888888888886</v>
      </c>
      <c r="F17" s="285">
        <f>LOOKUP(2,1/(('1022 4度C'!$A:$A="新豐5線")*('1022 4度C'!$T:$T&lt;&gt;"")),'1022 4度C'!$T:$T)</f>
        <v>0.85902777777777772</v>
      </c>
      <c r="G17" s="285">
        <f>LOOKUP(2,1/(('1022 4度C'!$A:$A="新豐7線")*('1022 4度C'!$T:$T&lt;&gt;"")),'1022 4度C'!$T:$T)</f>
        <v>0.76527777777777783</v>
      </c>
      <c r="H17" s="285">
        <f>LOOKUP(2,1/(('1022 4度C'!$A:$A="新豐3線")*('1022 4度C'!$T:$T&lt;&gt;"")),'1022 4度C'!$T:$T)</f>
        <v>0.61180555555555549</v>
      </c>
      <c r="I17" s="285">
        <f>LOOKUP(2,1/(('1022 4度C'!$A:$A="新豐1線")*('1022 4度C'!$T:$T&lt;&gt;"")),'1022 4度C'!$T:$T)</f>
        <v>0.84374999999999989</v>
      </c>
      <c r="J17" s="286">
        <f>LOOKUP(2,1/(('1022 4度C'!$A:$A="新豐10線")*('1022 4度C'!$T:$T&lt;&gt;"")),'1022 4度C'!$T:$T)</f>
        <v>0.44930555555555551</v>
      </c>
      <c r="K17" s="284">
        <f>LOOKUP(2,1/(('1022 4度C'!$A:$A="新豐8線")*('1022 4度C'!$T:$T&lt;&gt;"")),'1022 4度C'!$T:$T)</f>
        <v>0.75486111111111098</v>
      </c>
      <c r="L17" s="285">
        <f>LOOKUP(2,1/(('1022 4度C'!$A:$A="新豐9線")*('1022 4度C'!$T:$T&lt;&gt;"")),'1022 4度C'!$T:$T)</f>
        <v>0.74930555555555545</v>
      </c>
      <c r="M17" s="286">
        <f>LOOKUP(2,1/(('1022 4度C'!$A:$A="新豐4線")*('1022 4度C'!$T:$T&lt;&gt;"")),'1022 4度C'!$T:$T)</f>
        <v>0.7402777777777777</v>
      </c>
    </row>
    <row r="18" spans="2:13" ht="17.25" customHeight="1">
      <c r="B18" s="509" t="s">
        <v>1642</v>
      </c>
      <c r="C18" s="510"/>
      <c r="D18" s="69">
        <f>SUMIFS('1022 4度C'!$I:$I,'1022 4度C'!$A:$A,"新豐6線",'1022 4度C'!$B:$B,"平均")</f>
        <v>16</v>
      </c>
      <c r="E18" s="70">
        <f>SUMIFS('1022 4度C'!$I:$I,'1022 4度C'!$A:$A,"新豐2線",'1022 4度C'!$B:$B,"平均")</f>
        <v>18</v>
      </c>
      <c r="F18" s="70">
        <f>SUMIFS('1022 4度C'!$I:$I,'1022 4度C'!$A:$A,"新豐5線",'1022 4度C'!$B:$B,"平均")</f>
        <v>18.600000000000001</v>
      </c>
      <c r="G18" s="70">
        <f>SUMIFS('1022 4度C'!$I:$I,'1022 4度C'!$A:$A,"新豐7線",'1022 4度C'!$B:$B,"平均")</f>
        <v>16.75</v>
      </c>
      <c r="H18" s="70">
        <f>SUMIFS('1022 4度C'!$I:$I,'1022 4度C'!$A:$A,"新豐3線",'1022 4度C'!$B:$B,"平均")</f>
        <v>9.6666666666666661</v>
      </c>
      <c r="I18" s="70">
        <f>SUMIFS('1022 4度C'!$I:$I,'1022 4度C'!$A:$A,"新豐1線",'1022 4度C'!$B:$B,"平均")</f>
        <v>16.333333333333332</v>
      </c>
      <c r="J18" s="71">
        <f>SUMIFS('1022 4度C'!$I:$I,'1022 4度C'!$A:$A,"新豐10線",'1022 4度C'!$B:$B,"平均")</f>
        <v>9.75</v>
      </c>
      <c r="K18" s="69">
        <f>SUMIFS('1022 4度C'!$I:$I,'1022 4度C'!$A:$A,"新豐8線",'1022 4度C'!$B:$B,"平均")</f>
        <v>18.111111111111111</v>
      </c>
      <c r="L18" s="70">
        <f>SUMIFS('1022 4度C'!$I:$I,'1022 4度C'!$A:$A,"新豐9線",'1022 4度C'!$B:$B,"平均")</f>
        <v>17.25</v>
      </c>
      <c r="M18" s="71">
        <f>SUMIFS('1022 4度C'!$I:$I,'1022 4度C'!$A:$A,"新豐4線",'1022 4度C'!$B:$B,"平均")</f>
        <v>16.7</v>
      </c>
    </row>
    <row r="19" spans="2:13" ht="17.25" customHeight="1">
      <c r="B19" s="509" t="s">
        <v>1643</v>
      </c>
      <c r="C19" s="510"/>
      <c r="D19" s="72" t="s">
        <v>109</v>
      </c>
      <c r="E19" s="73" t="s">
        <v>110</v>
      </c>
      <c r="F19" s="73" t="s">
        <v>1644</v>
      </c>
      <c r="G19" s="73" t="s">
        <v>1644</v>
      </c>
      <c r="H19" s="73" t="s">
        <v>111</v>
      </c>
      <c r="I19" s="73" t="s">
        <v>109</v>
      </c>
      <c r="J19" s="74" t="s">
        <v>111</v>
      </c>
      <c r="K19" s="72" t="s">
        <v>1645</v>
      </c>
      <c r="L19" s="73" t="s">
        <v>1645</v>
      </c>
      <c r="M19" s="74" t="s">
        <v>1645</v>
      </c>
    </row>
    <row r="20" spans="2:13" ht="17.25" customHeight="1">
      <c r="B20" s="509" t="s">
        <v>1646</v>
      </c>
      <c r="C20" s="510"/>
      <c r="D20" s="72"/>
      <c r="E20" s="73"/>
      <c r="F20" s="73" t="s">
        <v>1647</v>
      </c>
      <c r="G20" s="73" t="s">
        <v>109</v>
      </c>
      <c r="H20" s="73"/>
      <c r="I20" s="73"/>
      <c r="J20" s="74"/>
      <c r="K20" s="72"/>
      <c r="L20" s="73"/>
      <c r="M20" s="74"/>
    </row>
    <row r="21" spans="2:13" ht="17.25" customHeight="1" thickBot="1">
      <c r="B21" s="511" t="s">
        <v>1648</v>
      </c>
      <c r="C21" s="512"/>
      <c r="D21" s="75"/>
      <c r="E21" s="76" t="s">
        <v>1649</v>
      </c>
      <c r="F21" s="513" t="s">
        <v>1650</v>
      </c>
      <c r="G21" s="514"/>
      <c r="H21" s="76" t="s">
        <v>1651</v>
      </c>
      <c r="I21" s="76" t="s">
        <v>1652</v>
      </c>
      <c r="J21" s="77" t="s">
        <v>1651</v>
      </c>
      <c r="K21" s="78"/>
      <c r="L21" s="76"/>
      <c r="M21" s="77"/>
    </row>
    <row r="22" spans="2:13" ht="17.25" customHeight="1"/>
    <row r="23" spans="2:13" ht="17.25" customHeight="1"/>
    <row r="24" spans="2:13" ht="17.25" customHeight="1"/>
    <row r="25" spans="2:13" ht="37.5" customHeight="1"/>
    <row r="26" spans="2:13" ht="35.25" customHeight="1"/>
    <row r="27" spans="2:13" ht="35.25" customHeight="1"/>
    <row r="28" spans="2:13" ht="39.75" customHeight="1"/>
  </sheetData>
  <mergeCells count="36">
    <mergeCell ref="B1:J2"/>
    <mergeCell ref="C3:D3"/>
    <mergeCell ref="F3:G3"/>
    <mergeCell ref="I3:J3"/>
    <mergeCell ref="B4:B8"/>
    <mergeCell ref="C4:D4"/>
    <mergeCell ref="E4:F4"/>
    <mergeCell ref="G4:H4"/>
    <mergeCell ref="I4:J4"/>
    <mergeCell ref="C5:D5"/>
    <mergeCell ref="E5:F5"/>
    <mergeCell ref="G5:H5"/>
    <mergeCell ref="I5:J5"/>
    <mergeCell ref="C6:D6"/>
    <mergeCell ref="E6:F6"/>
    <mergeCell ref="G6:H6"/>
    <mergeCell ref="I6:J6"/>
    <mergeCell ref="B16:B17"/>
    <mergeCell ref="C7:D7"/>
    <mergeCell ref="E7:F7"/>
    <mergeCell ref="G7:H7"/>
    <mergeCell ref="I7:J7"/>
    <mergeCell ref="C8:D8"/>
    <mergeCell ref="E8:F8"/>
    <mergeCell ref="G8:H8"/>
    <mergeCell ref="I8:J8"/>
    <mergeCell ref="B10:C10"/>
    <mergeCell ref="D10:J10"/>
    <mergeCell ref="B20:C20"/>
    <mergeCell ref="B21:C21"/>
    <mergeCell ref="F21:G21"/>
    <mergeCell ref="K10:M10"/>
    <mergeCell ref="B11:C12"/>
    <mergeCell ref="B13:B15"/>
    <mergeCell ref="B18:C18"/>
    <mergeCell ref="B19:C19"/>
  </mergeCells>
  <phoneticPr fontId="3" type="noConversion"/>
  <conditionalFormatting sqref="D15:M15">
    <cfRule type="cellIs" dxfId="1352" priority="1" operator="lessThan">
      <formula>0.8</formula>
    </cfRule>
  </conditionalFormatting>
  <pageMargins left="0.7" right="0.7" top="0.75" bottom="0.75" header="0.3" footer="0.3"/>
  <pageSetup paperSize="9" orientation="portrait" horizontalDpi="300" verticalDpi="300" r:id="rId1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工作表133">
    <pageSetUpPr fitToPage="1"/>
  </sheetPr>
  <dimension ref="A1:AC73"/>
  <sheetViews>
    <sheetView topLeftCell="D1" zoomScale="80" zoomScaleNormal="80" workbookViewId="0">
      <pane ySplit="4" topLeftCell="A5" activePane="bottomLeft" state="frozen"/>
      <selection activeCell="B6" sqref="B6"/>
      <selection pane="bottomLeft" activeCell="H13" sqref="H13"/>
    </sheetView>
  </sheetViews>
  <sheetFormatPr defaultColWidth="8" defaultRowHeight="15.75"/>
  <cols>
    <col min="1" max="1" width="15.125" style="291" customWidth="1"/>
    <col min="2" max="2" width="19.375" style="291" customWidth="1"/>
    <col min="3" max="3" width="15.25" style="291" customWidth="1"/>
    <col min="4" max="4" width="17.5" style="291" customWidth="1"/>
    <col min="5" max="5" width="7.5" style="291" bestFit="1" customWidth="1"/>
    <col min="6" max="6" width="14.375" style="291" bestFit="1" customWidth="1"/>
    <col min="7" max="7" width="14.375" style="291" customWidth="1"/>
    <col min="8" max="8" width="8" style="291" customWidth="1"/>
    <col min="9" max="9" width="5.875" style="291" customWidth="1"/>
    <col min="10" max="10" width="10.625" style="291" customWidth="1"/>
    <col min="11" max="11" width="14.625" style="291" customWidth="1"/>
    <col min="12" max="12" width="7.25" style="291" bestFit="1" customWidth="1"/>
    <col min="13" max="13" width="8" style="291" customWidth="1"/>
    <col min="14" max="14" width="12" style="291" customWidth="1"/>
    <col min="15" max="15" width="6" style="291" customWidth="1"/>
    <col min="16" max="16" width="9.25" style="291" customWidth="1"/>
    <col min="17" max="17" width="11.5" style="291" customWidth="1"/>
    <col min="18" max="18" width="8.5" style="291" customWidth="1"/>
    <col min="19" max="19" width="10.125" style="324" bestFit="1" customWidth="1"/>
    <col min="20" max="20" width="7.625" style="324" bestFit="1" customWidth="1"/>
    <col min="21" max="21" width="10.25" style="291" bestFit="1" customWidth="1"/>
    <col min="22" max="22" width="8.75" style="325" customWidth="1"/>
    <col min="23" max="23" width="7.375" style="291" customWidth="1"/>
    <col min="24" max="24" width="6.875" style="291" bestFit="1" customWidth="1"/>
    <col min="25" max="25" width="12.75" style="291" customWidth="1"/>
    <col min="26" max="26" width="18.875" style="291" customWidth="1"/>
    <col min="27" max="27" width="13.125" style="291" bestFit="1" customWidth="1"/>
    <col min="28" max="28" width="10.375" style="291" customWidth="1"/>
    <col min="29" max="29" width="9.375" style="291" customWidth="1"/>
    <col min="30" max="30" width="8" style="291"/>
    <col min="31" max="31" width="24.625" style="291" bestFit="1" customWidth="1"/>
    <col min="32" max="16384" width="8" style="291"/>
  </cols>
  <sheetData>
    <row r="1" spans="1:29" ht="26.25" customHeight="1">
      <c r="A1" s="287" t="s">
        <v>1653</v>
      </c>
      <c r="B1" s="287"/>
      <c r="C1" s="288" t="s">
        <v>1654</v>
      </c>
      <c r="D1" s="289">
        <f>SUM(F5:F72)</f>
        <v>181924</v>
      </c>
      <c r="E1" s="376" t="s">
        <v>236</v>
      </c>
      <c r="F1" s="287">
        <f>SUM(G5:G72)</f>
        <v>5949025.9999999981</v>
      </c>
      <c r="G1" s="287" t="s">
        <v>1655</v>
      </c>
      <c r="H1" s="290">
        <f>L8+L12+L49+L56+L18+L61+L33+L42+L23+L72</f>
        <v>157.1611111111111</v>
      </c>
      <c r="I1" s="611" t="s">
        <v>150</v>
      </c>
      <c r="J1" s="611"/>
      <c r="K1" s="611"/>
      <c r="L1" s="611" t="s">
        <v>151</v>
      </c>
      <c r="M1" s="611"/>
      <c r="N1" s="611"/>
      <c r="O1" s="611" t="s">
        <v>1656</v>
      </c>
      <c r="P1" s="611"/>
      <c r="Q1" s="611"/>
      <c r="R1" s="611"/>
      <c r="S1" s="611" t="s">
        <v>153</v>
      </c>
      <c r="T1" s="611"/>
      <c r="U1" s="611"/>
      <c r="V1" s="611"/>
      <c r="W1" s="611"/>
      <c r="X1" s="611"/>
      <c r="Y1" s="611" t="s">
        <v>1657</v>
      </c>
      <c r="Z1" s="611"/>
      <c r="AA1" s="611" t="s">
        <v>154</v>
      </c>
      <c r="AB1" s="612"/>
      <c r="AC1" s="612"/>
    </row>
    <row r="2" spans="1:29" ht="26.25" customHeight="1">
      <c r="A2" s="292">
        <v>45952</v>
      </c>
      <c r="B2" s="293" t="s">
        <v>34</v>
      </c>
      <c r="C2" s="288" t="s">
        <v>1658</v>
      </c>
      <c r="D2" s="294">
        <f>AVERAGE(N8,N12,N49,N56,N18,N61,N23,N33,N42,N72)</f>
        <v>146.66731456120672</v>
      </c>
      <c r="E2" s="295" t="s">
        <v>2</v>
      </c>
      <c r="F2" s="296">
        <f>F1/D1</f>
        <v>32.700611244255832</v>
      </c>
      <c r="G2" s="287" t="s">
        <v>1659</v>
      </c>
      <c r="H2" s="387">
        <f>COUNT(H5:H72)</f>
        <v>11</v>
      </c>
      <c r="I2" s="611"/>
      <c r="J2" s="611"/>
      <c r="K2" s="611"/>
      <c r="L2" s="611"/>
      <c r="M2" s="611"/>
      <c r="N2" s="611"/>
      <c r="O2" s="611"/>
      <c r="P2" s="611"/>
      <c r="Q2" s="611"/>
      <c r="R2" s="611"/>
      <c r="S2" s="611"/>
      <c r="T2" s="611"/>
      <c r="U2" s="611"/>
      <c r="V2" s="611"/>
      <c r="W2" s="611"/>
      <c r="X2" s="611"/>
      <c r="Y2" s="611"/>
      <c r="Z2" s="611"/>
      <c r="AA2" s="612"/>
      <c r="AB2" s="612"/>
      <c r="AC2" s="612"/>
    </row>
    <row r="3" spans="1:29" ht="23.25" customHeight="1">
      <c r="A3" s="570" t="s">
        <v>1660</v>
      </c>
      <c r="B3" s="570" t="s">
        <v>1661</v>
      </c>
      <c r="C3" s="570" t="s">
        <v>1662</v>
      </c>
      <c r="D3" s="570"/>
      <c r="E3" s="609" t="s">
        <v>402</v>
      </c>
      <c r="F3" s="570" t="s">
        <v>1663</v>
      </c>
      <c r="G3" s="609" t="s">
        <v>1664</v>
      </c>
      <c r="H3" s="602" t="s">
        <v>1665</v>
      </c>
      <c r="I3" s="600" t="s">
        <v>1666</v>
      </c>
      <c r="J3" s="605" t="s">
        <v>165</v>
      </c>
      <c r="K3" s="607" t="s">
        <v>1667</v>
      </c>
      <c r="L3" s="600" t="s">
        <v>1668</v>
      </c>
      <c r="M3" s="605" t="s">
        <v>1669</v>
      </c>
      <c r="N3" s="607" t="s">
        <v>127</v>
      </c>
      <c r="O3" s="600" t="s">
        <v>1668</v>
      </c>
      <c r="P3" s="607" t="s">
        <v>1670</v>
      </c>
      <c r="Q3" s="606" t="s">
        <v>253</v>
      </c>
      <c r="R3" s="578" t="s">
        <v>327</v>
      </c>
      <c r="S3" s="608" t="s">
        <v>14</v>
      </c>
      <c r="T3" s="608"/>
      <c r="U3" s="602" t="s">
        <v>15</v>
      </c>
      <c r="V3" s="602" t="s">
        <v>1671</v>
      </c>
      <c r="W3" s="570" t="s">
        <v>251</v>
      </c>
      <c r="X3" s="570"/>
      <c r="Y3" s="603" t="s">
        <v>1672</v>
      </c>
      <c r="Z3" s="604"/>
      <c r="AA3" s="605" t="s">
        <v>165</v>
      </c>
      <c r="AB3" s="606" t="s">
        <v>1673</v>
      </c>
      <c r="AC3" s="578" t="s">
        <v>1674</v>
      </c>
    </row>
    <row r="4" spans="1:29">
      <c r="A4" s="570"/>
      <c r="B4" s="570"/>
      <c r="C4" s="570"/>
      <c r="D4" s="570"/>
      <c r="E4" s="610"/>
      <c r="F4" s="570"/>
      <c r="G4" s="610"/>
      <c r="H4" s="602"/>
      <c r="I4" s="600"/>
      <c r="J4" s="605"/>
      <c r="K4" s="607"/>
      <c r="L4" s="600"/>
      <c r="M4" s="605"/>
      <c r="N4" s="607"/>
      <c r="O4" s="600"/>
      <c r="P4" s="607"/>
      <c r="Q4" s="606"/>
      <c r="R4" s="578"/>
      <c r="S4" s="385" t="s">
        <v>18</v>
      </c>
      <c r="T4" s="385" t="s">
        <v>19</v>
      </c>
      <c r="U4" s="602"/>
      <c r="V4" s="602"/>
      <c r="W4" s="376" t="s">
        <v>1675</v>
      </c>
      <c r="X4" s="376" t="s">
        <v>1676</v>
      </c>
      <c r="Y4" s="604"/>
      <c r="Z4" s="604"/>
      <c r="AA4" s="605"/>
      <c r="AB4" s="606"/>
      <c r="AC4" s="578"/>
    </row>
    <row r="5" spans="1:29">
      <c r="A5" s="599" t="s">
        <v>1677</v>
      </c>
      <c r="B5" s="300" t="s">
        <v>36</v>
      </c>
      <c r="C5" s="601" t="s">
        <v>37</v>
      </c>
      <c r="D5" s="601"/>
      <c r="E5" s="300">
        <v>46.93</v>
      </c>
      <c r="F5" s="385">
        <v>942</v>
      </c>
      <c r="G5" s="376">
        <f t="shared" ref="G5:G7" si="0">E5*F5</f>
        <v>44208.06</v>
      </c>
      <c r="H5" s="386" t="s">
        <v>35</v>
      </c>
      <c r="I5" s="383">
        <v>16</v>
      </c>
      <c r="J5" s="303">
        <v>2000</v>
      </c>
      <c r="K5" s="304">
        <f t="shared" ref="K5:K68" si="1">J5/I5</f>
        <v>125</v>
      </c>
      <c r="L5" s="383">
        <v>16</v>
      </c>
      <c r="M5" s="305">
        <f t="shared" ref="M5:M7" si="2">F5/V5*60</f>
        <v>1948.9655172413757</v>
      </c>
      <c r="N5" s="304">
        <f t="shared" ref="N5:N68" si="3">M5/L5</f>
        <v>121.81034482758598</v>
      </c>
      <c r="O5" s="306">
        <f t="shared" ref="O5:O68" si="4">L5-I5</f>
        <v>0</v>
      </c>
      <c r="P5" s="307">
        <f t="shared" ref="P5:P68" si="5">N5-K5</f>
        <v>-3.189655172414021</v>
      </c>
      <c r="Q5" s="379">
        <f t="shared" ref="Q5:Q68" si="6">N5/K5</f>
        <v>0.97448275862068778</v>
      </c>
      <c r="R5" s="571">
        <f>Q8</f>
        <v>0.96134640341119704</v>
      </c>
      <c r="S5" s="308">
        <v>0.70833333333333337</v>
      </c>
      <c r="T5" s="308">
        <v>0.7284722222222223</v>
      </c>
      <c r="U5" s="376"/>
      <c r="V5" s="384">
        <f t="shared" ref="V5:V7" si="7">(T5-S5)*24*60</f>
        <v>29.000000000000057</v>
      </c>
      <c r="W5" s="310"/>
      <c r="X5" s="311"/>
      <c r="Y5" s="570"/>
      <c r="Z5" s="570"/>
      <c r="AA5" s="306">
        <f t="shared" ref="AA5:AA68" si="8">M5-J5</f>
        <v>-51.034482758624335</v>
      </c>
      <c r="AB5" s="379">
        <f t="shared" ref="AB5:AB68" si="9">M5/J5</f>
        <v>0.97448275862068778</v>
      </c>
      <c r="AC5" s="571">
        <f>AB8</f>
        <v>0.96134640341119704</v>
      </c>
    </row>
    <row r="6" spans="1:29">
      <c r="A6" s="600" t="s">
        <v>167</v>
      </c>
      <c r="B6" s="300" t="s">
        <v>36</v>
      </c>
      <c r="C6" s="601" t="s">
        <v>38</v>
      </c>
      <c r="D6" s="601"/>
      <c r="E6" s="300">
        <v>50.49</v>
      </c>
      <c r="F6" s="385">
        <v>2301</v>
      </c>
      <c r="G6" s="376">
        <f t="shared" si="0"/>
        <v>116177.49</v>
      </c>
      <c r="H6" s="386" t="s">
        <v>35</v>
      </c>
      <c r="I6" s="383">
        <v>15</v>
      </c>
      <c r="J6" s="303">
        <v>2000</v>
      </c>
      <c r="K6" s="304">
        <f t="shared" si="1"/>
        <v>133.33333333333334</v>
      </c>
      <c r="L6" s="383">
        <v>15</v>
      </c>
      <c r="M6" s="305">
        <f t="shared" si="2"/>
        <v>1917.4999999999984</v>
      </c>
      <c r="N6" s="304">
        <f t="shared" si="3"/>
        <v>127.83333333333323</v>
      </c>
      <c r="O6" s="306">
        <f t="shared" si="4"/>
        <v>0</v>
      </c>
      <c r="P6" s="307">
        <f t="shared" si="5"/>
        <v>-5.5000000000001137</v>
      </c>
      <c r="Q6" s="379">
        <f t="shared" si="6"/>
        <v>0.9587499999999991</v>
      </c>
      <c r="R6" s="571"/>
      <c r="S6" s="308">
        <v>0.73194444444444451</v>
      </c>
      <c r="T6" s="308">
        <v>0.78194444444444455</v>
      </c>
      <c r="U6" s="376">
        <f t="shared" ref="U6:U7" si="10">IF(S6=TIME(17,0,0),"",(S6-T5)*24*60)</f>
        <v>4.9999999999999822</v>
      </c>
      <c r="V6" s="384">
        <f t="shared" si="7"/>
        <v>72.000000000000057</v>
      </c>
      <c r="W6" s="310"/>
      <c r="X6" s="310"/>
      <c r="Y6" s="570"/>
      <c r="Z6" s="570"/>
      <c r="AA6" s="306">
        <f t="shared" si="8"/>
        <v>-82.500000000001592</v>
      </c>
      <c r="AB6" s="379">
        <f t="shared" si="9"/>
        <v>0.95874999999999921</v>
      </c>
      <c r="AC6" s="571"/>
    </row>
    <row r="7" spans="1:29">
      <c r="A7" s="600" t="s">
        <v>1677</v>
      </c>
      <c r="B7" s="300" t="s">
        <v>36</v>
      </c>
      <c r="C7" s="594" t="s">
        <v>39</v>
      </c>
      <c r="D7" s="595"/>
      <c r="E7" s="300">
        <v>50.67</v>
      </c>
      <c r="F7" s="385">
        <v>1965</v>
      </c>
      <c r="G7" s="376">
        <f t="shared" si="0"/>
        <v>99566.55</v>
      </c>
      <c r="H7" s="386" t="s">
        <v>35</v>
      </c>
      <c r="I7" s="383">
        <v>17</v>
      </c>
      <c r="J7" s="303">
        <v>2000</v>
      </c>
      <c r="K7" s="304">
        <f t="shared" si="1"/>
        <v>117.64705882352941</v>
      </c>
      <c r="L7" s="383">
        <v>17</v>
      </c>
      <c r="M7" s="305">
        <f t="shared" si="2"/>
        <v>1901.6129032258082</v>
      </c>
      <c r="N7" s="304">
        <f t="shared" si="3"/>
        <v>111.8595825426946</v>
      </c>
      <c r="O7" s="306">
        <f t="shared" si="4"/>
        <v>0</v>
      </c>
      <c r="P7" s="307">
        <f t="shared" si="5"/>
        <v>-5.7874762808348095</v>
      </c>
      <c r="Q7" s="379">
        <f t="shared" si="6"/>
        <v>0.95080645161290411</v>
      </c>
      <c r="R7" s="571"/>
      <c r="S7" s="308">
        <v>0.78680555555555565</v>
      </c>
      <c r="T7" s="308">
        <v>0.82986111111111116</v>
      </c>
      <c r="U7" s="376">
        <f t="shared" si="10"/>
        <v>6.9999999999999751</v>
      </c>
      <c r="V7" s="384">
        <f t="shared" si="7"/>
        <v>61.999999999999943</v>
      </c>
      <c r="W7" s="310"/>
      <c r="X7" s="310"/>
      <c r="Y7" s="566"/>
      <c r="Z7" s="567"/>
      <c r="AA7" s="306">
        <f t="shared" si="8"/>
        <v>-98.387096774191832</v>
      </c>
      <c r="AB7" s="379">
        <f t="shared" si="9"/>
        <v>0.95080645161290411</v>
      </c>
      <c r="AC7" s="571"/>
    </row>
    <row r="8" spans="1:29">
      <c r="A8" s="600" t="s">
        <v>167</v>
      </c>
      <c r="B8" s="300" t="s">
        <v>168</v>
      </c>
      <c r="C8" s="572"/>
      <c r="D8" s="572"/>
      <c r="E8" s="380"/>
      <c r="F8" s="313"/>
      <c r="G8" s="304"/>
      <c r="H8" s="385"/>
      <c r="I8" s="314">
        <v>16</v>
      </c>
      <c r="J8" s="303">
        <v>2000</v>
      </c>
      <c r="K8" s="304">
        <f t="shared" si="1"/>
        <v>125</v>
      </c>
      <c r="L8" s="314">
        <v>16</v>
      </c>
      <c r="M8" s="305">
        <f>AVERAGE(M5:M7)</f>
        <v>1922.692806822394</v>
      </c>
      <c r="N8" s="304">
        <f t="shared" si="3"/>
        <v>120.16830042639963</v>
      </c>
      <c r="O8" s="306">
        <f t="shared" si="4"/>
        <v>0</v>
      </c>
      <c r="P8" s="307">
        <f t="shared" si="5"/>
        <v>-4.8316995736003747</v>
      </c>
      <c r="Q8" s="379">
        <f t="shared" si="6"/>
        <v>0.96134640341119704</v>
      </c>
      <c r="R8" s="571"/>
      <c r="S8" s="308"/>
      <c r="T8" s="308"/>
      <c r="U8" s="376"/>
      <c r="V8" s="384"/>
      <c r="W8" s="304"/>
      <c r="X8" s="304"/>
      <c r="Y8" s="570"/>
      <c r="Z8" s="570"/>
      <c r="AA8" s="306">
        <f t="shared" si="8"/>
        <v>-77.307193177605996</v>
      </c>
      <c r="AB8" s="379">
        <f t="shared" si="9"/>
        <v>0.96134640341119704</v>
      </c>
      <c r="AC8" s="571"/>
    </row>
    <row r="9" spans="1:29" ht="15.75" customHeight="1">
      <c r="A9" s="598" t="s">
        <v>1678</v>
      </c>
      <c r="B9" s="300" t="s">
        <v>40</v>
      </c>
      <c r="C9" s="594" t="s">
        <v>42</v>
      </c>
      <c r="D9" s="595"/>
      <c r="E9" s="300">
        <v>39.36</v>
      </c>
      <c r="F9" s="385">
        <v>2409</v>
      </c>
      <c r="G9" s="376">
        <f t="shared" ref="G9:G11" si="11">E9*F9</f>
        <v>94818.240000000005</v>
      </c>
      <c r="H9" s="386" t="s">
        <v>35</v>
      </c>
      <c r="I9" s="383">
        <v>20</v>
      </c>
      <c r="J9" s="303">
        <v>1500</v>
      </c>
      <c r="K9" s="304">
        <f t="shared" si="1"/>
        <v>75</v>
      </c>
      <c r="L9" s="383">
        <v>20</v>
      </c>
      <c r="M9" s="305">
        <f t="shared" ref="M9:M11" si="12">F9/V9*60</f>
        <v>1431.0891089108911</v>
      </c>
      <c r="N9" s="304">
        <f t="shared" si="3"/>
        <v>71.554455445544562</v>
      </c>
      <c r="O9" s="306">
        <f t="shared" si="4"/>
        <v>0</v>
      </c>
      <c r="P9" s="307">
        <f t="shared" si="5"/>
        <v>-3.4455445544554379</v>
      </c>
      <c r="Q9" s="379">
        <f t="shared" si="6"/>
        <v>0.95405940594059413</v>
      </c>
      <c r="R9" s="571">
        <f>Q12</f>
        <v>0.95993330737889315</v>
      </c>
      <c r="S9" s="308">
        <v>0.20833333333333334</v>
      </c>
      <c r="T9" s="308">
        <v>0.27847222222222223</v>
      </c>
      <c r="U9" s="376"/>
      <c r="V9" s="384">
        <f t="shared" ref="V9:V11" si="13">(T9-S9)*24*60</f>
        <v>101</v>
      </c>
      <c r="W9" s="310"/>
      <c r="X9" s="310"/>
      <c r="Y9" s="570"/>
      <c r="Z9" s="570"/>
      <c r="AA9" s="306">
        <f t="shared" si="8"/>
        <v>-68.910891089108873</v>
      </c>
      <c r="AB9" s="379">
        <f t="shared" si="9"/>
        <v>0.95405940594059413</v>
      </c>
      <c r="AC9" s="571">
        <f>AB12</f>
        <v>0.95993330737889304</v>
      </c>
    </row>
    <row r="10" spans="1:29" ht="15.75" customHeight="1">
      <c r="A10" s="598" t="s">
        <v>1679</v>
      </c>
      <c r="B10" s="300" t="s">
        <v>40</v>
      </c>
      <c r="C10" s="594" t="s">
        <v>41</v>
      </c>
      <c r="D10" s="595"/>
      <c r="E10" s="300">
        <v>39.799999999999997</v>
      </c>
      <c r="F10" s="385">
        <v>6000</v>
      </c>
      <c r="G10" s="376">
        <f t="shared" si="11"/>
        <v>238799.99999999997</v>
      </c>
      <c r="H10" s="386">
        <v>2</v>
      </c>
      <c r="I10" s="383">
        <v>17</v>
      </c>
      <c r="J10" s="303">
        <v>1500</v>
      </c>
      <c r="K10" s="304">
        <f t="shared" si="1"/>
        <v>88.235294117647058</v>
      </c>
      <c r="L10" s="383">
        <v>17</v>
      </c>
      <c r="M10" s="305">
        <f t="shared" si="12"/>
        <v>1434.2629482071709</v>
      </c>
      <c r="N10" s="304">
        <f t="shared" si="3"/>
        <v>84.368408718068878</v>
      </c>
      <c r="O10" s="306">
        <f t="shared" si="4"/>
        <v>0</v>
      </c>
      <c r="P10" s="307">
        <f t="shared" si="5"/>
        <v>-3.8668853995781802</v>
      </c>
      <c r="Q10" s="379">
        <f t="shared" si="6"/>
        <v>0.95617529880478058</v>
      </c>
      <c r="R10" s="571"/>
      <c r="S10" s="308">
        <v>0.28402777777777777</v>
      </c>
      <c r="T10" s="308">
        <v>0.45833333333333337</v>
      </c>
      <c r="U10" s="376">
        <f t="shared" ref="U10:U11" si="14">IF(S10=TIME(17,0,0),"",(S10-T9)*24*60)</f>
        <v>7.9999999999999716</v>
      </c>
      <c r="V10" s="384">
        <f t="shared" si="13"/>
        <v>251.00000000000006</v>
      </c>
      <c r="W10" s="310">
        <f>T10</f>
        <v>0.45833333333333337</v>
      </c>
      <c r="X10" s="310">
        <f>S11</f>
        <v>0.53819444444444442</v>
      </c>
      <c r="Y10" s="570"/>
      <c r="Z10" s="570"/>
      <c r="AA10" s="306">
        <f t="shared" si="8"/>
        <v>-65.737051792829106</v>
      </c>
      <c r="AB10" s="379">
        <f t="shared" si="9"/>
        <v>0.95617529880478058</v>
      </c>
      <c r="AC10" s="571"/>
    </row>
    <row r="11" spans="1:29" ht="15.75" customHeight="1">
      <c r="A11" s="598" t="s">
        <v>1678</v>
      </c>
      <c r="B11" s="300" t="s">
        <v>40</v>
      </c>
      <c r="C11" s="594" t="s">
        <v>41</v>
      </c>
      <c r="D11" s="595"/>
      <c r="E11" s="300">
        <v>39.799999999999997</v>
      </c>
      <c r="F11" s="385">
        <v>1115</v>
      </c>
      <c r="G11" s="376">
        <f t="shared" si="11"/>
        <v>44377</v>
      </c>
      <c r="H11" s="386" t="s">
        <v>35</v>
      </c>
      <c r="I11" s="383">
        <v>17</v>
      </c>
      <c r="J11" s="303">
        <v>1500</v>
      </c>
      <c r="K11" s="304">
        <f t="shared" si="1"/>
        <v>88.235294117647058</v>
      </c>
      <c r="L11" s="383">
        <v>17</v>
      </c>
      <c r="M11" s="305">
        <f t="shared" si="12"/>
        <v>1454.3478260869565</v>
      </c>
      <c r="N11" s="304">
        <f t="shared" si="3"/>
        <v>85.549872122762153</v>
      </c>
      <c r="O11" s="306">
        <f t="shared" si="4"/>
        <v>0</v>
      </c>
      <c r="P11" s="307">
        <f t="shared" si="5"/>
        <v>-2.685421994884905</v>
      </c>
      <c r="Q11" s="379">
        <f t="shared" si="6"/>
        <v>0.96956521739130441</v>
      </c>
      <c r="R11" s="571"/>
      <c r="S11" s="308">
        <v>0.53819444444444442</v>
      </c>
      <c r="T11" s="308">
        <v>0.57013888888888886</v>
      </c>
      <c r="U11" s="376">
        <f t="shared" si="14"/>
        <v>114.99999999999991</v>
      </c>
      <c r="V11" s="384">
        <f t="shared" si="13"/>
        <v>46</v>
      </c>
      <c r="W11" s="310"/>
      <c r="X11" s="310"/>
      <c r="Y11" s="570"/>
      <c r="Z11" s="570"/>
      <c r="AA11" s="306">
        <f t="shared" si="8"/>
        <v>-45.652173913043498</v>
      </c>
      <c r="AB11" s="379">
        <f t="shared" si="9"/>
        <v>0.9695652173913043</v>
      </c>
      <c r="AC11" s="571"/>
    </row>
    <row r="12" spans="1:29" ht="16.5" customHeight="1">
      <c r="A12" s="598" t="s">
        <v>1680</v>
      </c>
      <c r="B12" s="300" t="s">
        <v>168</v>
      </c>
      <c r="C12" s="572"/>
      <c r="D12" s="572"/>
      <c r="E12" s="380"/>
      <c r="F12" s="303"/>
      <c r="G12" s="305"/>
      <c r="H12" s="385"/>
      <c r="I12" s="314">
        <v>18</v>
      </c>
      <c r="J12" s="303">
        <v>1500</v>
      </c>
      <c r="K12" s="304">
        <f t="shared" si="1"/>
        <v>83.333333333333329</v>
      </c>
      <c r="L12" s="314">
        <v>18</v>
      </c>
      <c r="M12" s="305">
        <f>AVERAGE(M9:M11)</f>
        <v>1439.8999610683395</v>
      </c>
      <c r="N12" s="304">
        <f t="shared" si="3"/>
        <v>79.994442281574422</v>
      </c>
      <c r="O12" s="306">
        <f t="shared" si="4"/>
        <v>0</v>
      </c>
      <c r="P12" s="307">
        <f t="shared" si="5"/>
        <v>-3.3388910517589068</v>
      </c>
      <c r="Q12" s="379">
        <f t="shared" si="6"/>
        <v>0.95993330737889315</v>
      </c>
      <c r="R12" s="571"/>
      <c r="S12" s="308"/>
      <c r="T12" s="308"/>
      <c r="U12" s="304"/>
      <c r="V12" s="384"/>
      <c r="W12" s="304"/>
      <c r="X12" s="304"/>
      <c r="Y12" s="570"/>
      <c r="Z12" s="570"/>
      <c r="AA12" s="306">
        <f t="shared" si="8"/>
        <v>-60.100038931660492</v>
      </c>
      <c r="AB12" s="379">
        <f t="shared" si="9"/>
        <v>0.95993330737889304</v>
      </c>
      <c r="AC12" s="571"/>
    </row>
    <row r="13" spans="1:29" ht="16.5" customHeight="1">
      <c r="A13" s="596" t="s">
        <v>1681</v>
      </c>
      <c r="B13" s="385" t="s">
        <v>43</v>
      </c>
      <c r="C13" s="590" t="s">
        <v>44</v>
      </c>
      <c r="D13" s="590"/>
      <c r="E13" s="300">
        <v>41</v>
      </c>
      <c r="F13" s="385">
        <v>2675</v>
      </c>
      <c r="G13" s="376">
        <f t="shared" ref="G13:G17" si="15">E13*F13</f>
        <v>109675</v>
      </c>
      <c r="H13" s="386" t="s">
        <v>35</v>
      </c>
      <c r="I13" s="383">
        <v>26</v>
      </c>
      <c r="J13" s="303">
        <v>1500</v>
      </c>
      <c r="K13" s="304">
        <f t="shared" si="1"/>
        <v>57.692307692307693</v>
      </c>
      <c r="L13" s="383">
        <v>26</v>
      </c>
      <c r="M13" s="305">
        <f t="shared" ref="M13:M17" si="16">F13/V13*60</f>
        <v>1433.0357142857144</v>
      </c>
      <c r="N13" s="304">
        <f t="shared" si="3"/>
        <v>55.116758241758248</v>
      </c>
      <c r="O13" s="306">
        <f t="shared" si="4"/>
        <v>0</v>
      </c>
      <c r="P13" s="307">
        <f t="shared" si="5"/>
        <v>-2.5755494505494454</v>
      </c>
      <c r="Q13" s="379">
        <f t="shared" si="6"/>
        <v>0.9553571428571429</v>
      </c>
      <c r="R13" s="571">
        <f>Q18</f>
        <v>0.95634577105991236</v>
      </c>
      <c r="S13" s="308">
        <v>0.125</v>
      </c>
      <c r="T13" s="308">
        <v>0.20277777777777778</v>
      </c>
      <c r="U13" s="376"/>
      <c r="V13" s="384">
        <f t="shared" ref="V13:V17" si="17">(T13-S13)*24*60</f>
        <v>112</v>
      </c>
      <c r="W13" s="310">
        <f>T13</f>
        <v>0.20277777777777778</v>
      </c>
      <c r="X13" s="310">
        <f>S14</f>
        <v>0.22361111111111112</v>
      </c>
      <c r="Y13" s="570"/>
      <c r="Z13" s="570"/>
      <c r="AA13" s="306">
        <f t="shared" si="8"/>
        <v>-66.964285714285552</v>
      </c>
      <c r="AB13" s="379">
        <f t="shared" si="9"/>
        <v>0.95535714285714302</v>
      </c>
      <c r="AC13" s="571">
        <f>AB18</f>
        <v>0.95634577105991236</v>
      </c>
    </row>
    <row r="14" spans="1:29" ht="16.5" customHeight="1">
      <c r="A14" s="597" t="s">
        <v>1682</v>
      </c>
      <c r="B14" s="385" t="s">
        <v>40</v>
      </c>
      <c r="C14" s="590" t="s">
        <v>45</v>
      </c>
      <c r="D14" s="590"/>
      <c r="E14" s="300">
        <v>39.619999999999997</v>
      </c>
      <c r="F14" s="385">
        <v>4453</v>
      </c>
      <c r="G14" s="376">
        <f t="shared" si="15"/>
        <v>176427.86</v>
      </c>
      <c r="H14" s="386" t="s">
        <v>35</v>
      </c>
      <c r="I14" s="383">
        <v>19</v>
      </c>
      <c r="J14" s="303">
        <v>1500</v>
      </c>
      <c r="K14" s="304">
        <f t="shared" si="1"/>
        <v>78.94736842105263</v>
      </c>
      <c r="L14" s="383">
        <v>19</v>
      </c>
      <c r="M14" s="305">
        <f t="shared" si="16"/>
        <v>1428.7700534759356</v>
      </c>
      <c r="N14" s="304">
        <f t="shared" si="3"/>
        <v>75.198423867154503</v>
      </c>
      <c r="O14" s="306">
        <f t="shared" si="4"/>
        <v>0</v>
      </c>
      <c r="P14" s="307">
        <f t="shared" si="5"/>
        <v>-3.7489445538981272</v>
      </c>
      <c r="Q14" s="379">
        <f t="shared" si="6"/>
        <v>0.95251336898395711</v>
      </c>
      <c r="R14" s="571"/>
      <c r="S14" s="308">
        <v>0.22361111111111112</v>
      </c>
      <c r="T14" s="308">
        <v>0.35347222222222224</v>
      </c>
      <c r="U14" s="376">
        <f t="shared" ref="U14:U17" si="18">IF(S14=TIME(17,0,0),"",(S14-T13)*24*60)</f>
        <v>30.000000000000014</v>
      </c>
      <c r="V14" s="384">
        <f t="shared" si="17"/>
        <v>187.00000000000003</v>
      </c>
      <c r="W14" s="310"/>
      <c r="X14" s="310"/>
      <c r="Y14" s="570"/>
      <c r="Z14" s="570"/>
      <c r="AA14" s="306">
        <f t="shared" si="8"/>
        <v>-71.229946524064417</v>
      </c>
      <c r="AB14" s="379">
        <f t="shared" si="9"/>
        <v>0.95251336898395711</v>
      </c>
      <c r="AC14" s="571"/>
    </row>
    <row r="15" spans="1:29" ht="16.5" customHeight="1">
      <c r="A15" s="597" t="s">
        <v>172</v>
      </c>
      <c r="B15" s="385" t="s">
        <v>1182</v>
      </c>
      <c r="C15" s="590" t="s">
        <v>1041</v>
      </c>
      <c r="D15" s="590"/>
      <c r="E15" s="300">
        <v>57.3</v>
      </c>
      <c r="F15" s="385">
        <v>2518</v>
      </c>
      <c r="G15" s="376">
        <f t="shared" si="15"/>
        <v>144281.4</v>
      </c>
      <c r="H15" s="386" t="s">
        <v>35</v>
      </c>
      <c r="I15" s="383">
        <v>17</v>
      </c>
      <c r="J15" s="303">
        <v>1500</v>
      </c>
      <c r="K15" s="304">
        <f t="shared" si="1"/>
        <v>88.235294117647058</v>
      </c>
      <c r="L15" s="383">
        <v>17</v>
      </c>
      <c r="M15" s="305">
        <f t="shared" si="16"/>
        <v>1425.2830188679243</v>
      </c>
      <c r="N15" s="304">
        <f t="shared" si="3"/>
        <v>83.840177580466133</v>
      </c>
      <c r="O15" s="306">
        <f t="shared" si="4"/>
        <v>0</v>
      </c>
      <c r="P15" s="307">
        <f t="shared" si="5"/>
        <v>-4.3951165371809253</v>
      </c>
      <c r="Q15" s="379">
        <f t="shared" si="6"/>
        <v>0.95018867924528283</v>
      </c>
      <c r="R15" s="571"/>
      <c r="S15" s="308">
        <v>0.3576388888888889</v>
      </c>
      <c r="T15" s="308">
        <v>0.43125000000000002</v>
      </c>
      <c r="U15" s="376">
        <f t="shared" si="18"/>
        <v>5.9999999999999787</v>
      </c>
      <c r="V15" s="384">
        <f t="shared" si="17"/>
        <v>106.00000000000003</v>
      </c>
      <c r="W15" s="310"/>
      <c r="X15" s="310"/>
      <c r="Y15" s="570"/>
      <c r="Z15" s="570"/>
      <c r="AA15" s="306">
        <f t="shared" si="8"/>
        <v>-74.716981132075716</v>
      </c>
      <c r="AB15" s="379">
        <f t="shared" si="9"/>
        <v>0.95018867924528283</v>
      </c>
      <c r="AC15" s="571"/>
    </row>
    <row r="16" spans="1:29" ht="16.5" customHeight="1">
      <c r="A16" s="597" t="s">
        <v>1681</v>
      </c>
      <c r="B16" s="385" t="s">
        <v>36</v>
      </c>
      <c r="C16" s="590" t="s">
        <v>49</v>
      </c>
      <c r="D16" s="590"/>
      <c r="E16" s="300">
        <v>50.98</v>
      </c>
      <c r="F16" s="385">
        <v>3269</v>
      </c>
      <c r="G16" s="376">
        <f t="shared" si="15"/>
        <v>166653.62</v>
      </c>
      <c r="H16" s="386" t="s">
        <v>35</v>
      </c>
      <c r="I16" s="383">
        <v>16</v>
      </c>
      <c r="J16" s="303">
        <v>2000</v>
      </c>
      <c r="K16" s="304">
        <f t="shared" si="1"/>
        <v>125</v>
      </c>
      <c r="L16" s="383">
        <v>16</v>
      </c>
      <c r="M16" s="305">
        <f t="shared" si="16"/>
        <v>1922.941176470589</v>
      </c>
      <c r="N16" s="304">
        <f t="shared" si="3"/>
        <v>120.18382352941181</v>
      </c>
      <c r="O16" s="306">
        <f t="shared" si="4"/>
        <v>0</v>
      </c>
      <c r="P16" s="307">
        <f t="shared" si="5"/>
        <v>-4.8161764705881893</v>
      </c>
      <c r="Q16" s="379">
        <f t="shared" si="6"/>
        <v>0.96147058823529452</v>
      </c>
      <c r="R16" s="571"/>
      <c r="S16" s="308">
        <v>0.70833333333333337</v>
      </c>
      <c r="T16" s="308">
        <v>0.77916666666666667</v>
      </c>
      <c r="U16" s="376" t="str">
        <f t="shared" si="18"/>
        <v/>
      </c>
      <c r="V16" s="384">
        <f t="shared" si="17"/>
        <v>101.99999999999996</v>
      </c>
      <c r="W16" s="310"/>
      <c r="X16" s="310"/>
      <c r="Y16" s="570"/>
      <c r="Z16" s="570"/>
      <c r="AA16" s="306">
        <f t="shared" si="8"/>
        <v>-77.058823529411029</v>
      </c>
      <c r="AB16" s="379">
        <f t="shared" si="9"/>
        <v>0.96147058823529452</v>
      </c>
      <c r="AC16" s="571"/>
    </row>
    <row r="17" spans="1:29" ht="16.5" customHeight="1">
      <c r="A17" s="597" t="s">
        <v>172</v>
      </c>
      <c r="B17" s="385" t="s">
        <v>36</v>
      </c>
      <c r="C17" s="590" t="s">
        <v>50</v>
      </c>
      <c r="D17" s="590"/>
      <c r="E17" s="300">
        <v>50.92</v>
      </c>
      <c r="F17" s="385">
        <v>3518</v>
      </c>
      <c r="G17" s="376">
        <f t="shared" si="15"/>
        <v>179136.56</v>
      </c>
      <c r="H17" s="386" t="s">
        <v>35</v>
      </c>
      <c r="I17" s="383">
        <v>15</v>
      </c>
      <c r="J17" s="303">
        <v>2000</v>
      </c>
      <c r="K17" s="304">
        <f t="shared" si="1"/>
        <v>133.33333333333334</v>
      </c>
      <c r="L17" s="383">
        <v>15</v>
      </c>
      <c r="M17" s="305">
        <f t="shared" si="16"/>
        <v>1918.9090909090921</v>
      </c>
      <c r="N17" s="304">
        <f t="shared" si="3"/>
        <v>127.92727272727281</v>
      </c>
      <c r="O17" s="306">
        <f t="shared" si="4"/>
        <v>0</v>
      </c>
      <c r="P17" s="307">
        <f t="shared" si="5"/>
        <v>-5.4060606060605352</v>
      </c>
      <c r="Q17" s="379">
        <f t="shared" si="6"/>
        <v>0.959454545454546</v>
      </c>
      <c r="R17" s="571"/>
      <c r="S17" s="308">
        <v>0.78263888888888888</v>
      </c>
      <c r="T17" s="308">
        <v>0.85902777777777772</v>
      </c>
      <c r="U17" s="376">
        <f t="shared" si="18"/>
        <v>4.9999999999999822</v>
      </c>
      <c r="V17" s="384">
        <f t="shared" si="17"/>
        <v>109.99999999999993</v>
      </c>
      <c r="W17" s="310"/>
      <c r="X17" s="310"/>
      <c r="Y17" s="570"/>
      <c r="Z17" s="570"/>
      <c r="AA17" s="306">
        <f t="shared" si="8"/>
        <v>-81.090909090907871</v>
      </c>
      <c r="AB17" s="379">
        <f t="shared" si="9"/>
        <v>0.95945454545454611</v>
      </c>
      <c r="AC17" s="571"/>
    </row>
    <row r="18" spans="1:29" ht="16.5" customHeight="1">
      <c r="A18" s="597" t="s">
        <v>1681</v>
      </c>
      <c r="B18" s="300" t="s">
        <v>1683</v>
      </c>
      <c r="C18" s="572"/>
      <c r="D18" s="572"/>
      <c r="E18" s="380"/>
      <c r="F18" s="313"/>
      <c r="G18" s="304"/>
      <c r="H18" s="385"/>
      <c r="I18" s="314">
        <v>18.600000000000001</v>
      </c>
      <c r="J18" s="303">
        <v>1700</v>
      </c>
      <c r="K18" s="304">
        <f t="shared" si="1"/>
        <v>91.397849462365585</v>
      </c>
      <c r="L18" s="314">
        <v>18.600000000000001</v>
      </c>
      <c r="M18" s="305">
        <f>AVERAGE(M13:M17)</f>
        <v>1625.787810801851</v>
      </c>
      <c r="N18" s="304">
        <f t="shared" si="3"/>
        <v>87.407946817303809</v>
      </c>
      <c r="O18" s="306">
        <f t="shared" si="4"/>
        <v>0</v>
      </c>
      <c r="P18" s="307">
        <f t="shared" si="5"/>
        <v>-3.9899026450617754</v>
      </c>
      <c r="Q18" s="379">
        <f t="shared" si="6"/>
        <v>0.95634577105991236</v>
      </c>
      <c r="R18" s="571"/>
      <c r="S18" s="308"/>
      <c r="T18" s="308"/>
      <c r="U18" s="376"/>
      <c r="V18" s="384"/>
      <c r="W18" s="304"/>
      <c r="X18" s="304"/>
      <c r="Y18" s="570"/>
      <c r="Z18" s="570"/>
      <c r="AA18" s="306">
        <f t="shared" si="8"/>
        <v>-74.212189198148963</v>
      </c>
      <c r="AB18" s="379">
        <f t="shared" si="9"/>
        <v>0.95634577105991236</v>
      </c>
      <c r="AC18" s="571"/>
    </row>
    <row r="19" spans="1:29" ht="15.75" customHeight="1">
      <c r="A19" s="592" t="s">
        <v>175</v>
      </c>
      <c r="B19" s="300" t="s">
        <v>43</v>
      </c>
      <c r="C19" s="590" t="s">
        <v>51</v>
      </c>
      <c r="D19" s="590"/>
      <c r="E19" s="300">
        <v>43.14</v>
      </c>
      <c r="F19" s="385">
        <v>1463</v>
      </c>
      <c r="G19" s="376">
        <f t="shared" ref="G19:G22" si="19">E19*F19</f>
        <v>63113.82</v>
      </c>
      <c r="H19" s="386" t="s">
        <v>35</v>
      </c>
      <c r="I19" s="383">
        <v>17</v>
      </c>
      <c r="J19" s="303">
        <v>2000</v>
      </c>
      <c r="K19" s="304">
        <f t="shared" si="1"/>
        <v>117.64705882352941</v>
      </c>
      <c r="L19" s="383">
        <v>17</v>
      </c>
      <c r="M19" s="305">
        <f t="shared" ref="M19:M22" si="20">F19/V19*60</f>
        <v>1908.2608695652175</v>
      </c>
      <c r="N19" s="304">
        <f t="shared" si="3"/>
        <v>112.25063938618926</v>
      </c>
      <c r="O19" s="306">
        <f t="shared" si="4"/>
        <v>0</v>
      </c>
      <c r="P19" s="307">
        <f t="shared" si="5"/>
        <v>-5.3964194373401426</v>
      </c>
      <c r="Q19" s="379">
        <f t="shared" si="6"/>
        <v>0.95413043478260884</v>
      </c>
      <c r="R19" s="571">
        <f>Q23</f>
        <v>0.95401079818908552</v>
      </c>
      <c r="S19" s="308">
        <v>0.20833333333333334</v>
      </c>
      <c r="T19" s="308">
        <v>0.24027777777777778</v>
      </c>
      <c r="U19" s="376"/>
      <c r="V19" s="384">
        <f t="shared" ref="V19:V22" si="21">(T19-S19)*24*60</f>
        <v>46</v>
      </c>
      <c r="W19" s="315"/>
      <c r="X19" s="315"/>
      <c r="Y19" s="570"/>
      <c r="Z19" s="570"/>
      <c r="AA19" s="306">
        <f t="shared" si="8"/>
        <v>-91.73913043478251</v>
      </c>
      <c r="AB19" s="379">
        <f t="shared" si="9"/>
        <v>0.95413043478260873</v>
      </c>
      <c r="AC19" s="571">
        <f>AB23</f>
        <v>0.95401079818908541</v>
      </c>
    </row>
    <row r="20" spans="1:29" ht="15.75" customHeight="1">
      <c r="A20" s="593" t="s">
        <v>1684</v>
      </c>
      <c r="B20" s="300" t="s">
        <v>36</v>
      </c>
      <c r="C20" s="590" t="s">
        <v>53</v>
      </c>
      <c r="D20" s="590"/>
      <c r="E20" s="300">
        <v>53.68</v>
      </c>
      <c r="F20" s="385">
        <v>2072</v>
      </c>
      <c r="G20" s="376">
        <f t="shared" si="19"/>
        <v>111224.96000000001</v>
      </c>
      <c r="H20" s="386" t="s">
        <v>35</v>
      </c>
      <c r="I20" s="383">
        <v>16</v>
      </c>
      <c r="J20" s="303">
        <v>2000</v>
      </c>
      <c r="K20" s="304">
        <f t="shared" si="1"/>
        <v>125</v>
      </c>
      <c r="L20" s="383">
        <v>16</v>
      </c>
      <c r="M20" s="305">
        <f t="shared" si="20"/>
        <v>1912.6153846153854</v>
      </c>
      <c r="N20" s="304">
        <f t="shared" si="3"/>
        <v>119.53846153846159</v>
      </c>
      <c r="O20" s="306">
        <f t="shared" si="4"/>
        <v>0</v>
      </c>
      <c r="P20" s="307">
        <f t="shared" si="5"/>
        <v>-5.4615384615384102</v>
      </c>
      <c r="Q20" s="379">
        <f t="shared" si="6"/>
        <v>0.95630769230769275</v>
      </c>
      <c r="R20" s="571"/>
      <c r="S20" s="308">
        <v>0.24374999999999999</v>
      </c>
      <c r="T20" s="308">
        <v>0.28888888888888886</v>
      </c>
      <c r="U20" s="376">
        <f t="shared" ref="U20:U22" si="22">IF(S20=TIME(17,0,0),"",(S20-T19)*24*60)</f>
        <v>4.9999999999999822</v>
      </c>
      <c r="V20" s="384">
        <f t="shared" si="21"/>
        <v>64.999999999999972</v>
      </c>
      <c r="W20" s="310"/>
      <c r="X20" s="376"/>
      <c r="Y20" s="570"/>
      <c r="Z20" s="570"/>
      <c r="AA20" s="306">
        <f t="shared" si="8"/>
        <v>-87.384615384614563</v>
      </c>
      <c r="AB20" s="379">
        <f t="shared" si="9"/>
        <v>0.95630769230769275</v>
      </c>
      <c r="AC20" s="571"/>
    </row>
    <row r="21" spans="1:29" ht="15.75" customHeight="1">
      <c r="A21" s="593" t="s">
        <v>1684</v>
      </c>
      <c r="B21" s="300" t="s">
        <v>36</v>
      </c>
      <c r="C21" s="590" t="s">
        <v>52</v>
      </c>
      <c r="D21" s="590"/>
      <c r="E21" s="300">
        <v>57.73</v>
      </c>
      <c r="F21" s="385">
        <v>3306</v>
      </c>
      <c r="G21" s="376">
        <f t="shared" si="19"/>
        <v>190855.37999999998</v>
      </c>
      <c r="H21" s="386" t="s">
        <v>35</v>
      </c>
      <c r="I21" s="383">
        <v>15</v>
      </c>
      <c r="J21" s="303">
        <v>2000</v>
      </c>
      <c r="K21" s="304">
        <f t="shared" si="1"/>
        <v>133.33333333333334</v>
      </c>
      <c r="L21" s="383">
        <v>15</v>
      </c>
      <c r="M21" s="305">
        <f t="shared" si="20"/>
        <v>1907.3076923076917</v>
      </c>
      <c r="N21" s="304">
        <f t="shared" si="3"/>
        <v>127.15384615384612</v>
      </c>
      <c r="O21" s="306">
        <f t="shared" si="4"/>
        <v>0</v>
      </c>
      <c r="P21" s="307">
        <f t="shared" si="5"/>
        <v>-6.179487179487225</v>
      </c>
      <c r="Q21" s="379">
        <f t="shared" si="6"/>
        <v>0.95365384615384585</v>
      </c>
      <c r="R21" s="571"/>
      <c r="S21" s="308">
        <v>0.29236111111111107</v>
      </c>
      <c r="T21" s="308">
        <v>0.36458333333333331</v>
      </c>
      <c r="U21" s="376">
        <f t="shared" si="22"/>
        <v>4.9999999999999822</v>
      </c>
      <c r="V21" s="384">
        <f t="shared" si="21"/>
        <v>104.00000000000003</v>
      </c>
      <c r="W21" s="310"/>
      <c r="X21" s="376"/>
      <c r="Y21" s="570"/>
      <c r="Z21" s="570"/>
      <c r="AA21" s="306">
        <f t="shared" si="8"/>
        <v>-92.692307692308304</v>
      </c>
      <c r="AB21" s="379">
        <f t="shared" si="9"/>
        <v>0.95365384615384585</v>
      </c>
      <c r="AC21" s="571"/>
    </row>
    <row r="22" spans="1:29" ht="15.75" customHeight="1">
      <c r="A22" s="593" t="s">
        <v>175</v>
      </c>
      <c r="B22" s="300" t="s">
        <v>36</v>
      </c>
      <c r="C22" s="590" t="s">
        <v>55</v>
      </c>
      <c r="D22" s="590"/>
      <c r="E22" s="300">
        <v>54.09</v>
      </c>
      <c r="F22" s="385">
        <v>2602</v>
      </c>
      <c r="G22" s="376">
        <f t="shared" si="19"/>
        <v>140742.18000000002</v>
      </c>
      <c r="H22" s="386" t="s">
        <v>35</v>
      </c>
      <c r="I22" s="383">
        <v>19</v>
      </c>
      <c r="J22" s="303">
        <v>2000</v>
      </c>
      <c r="K22" s="304">
        <f t="shared" si="1"/>
        <v>105.26315789473684</v>
      </c>
      <c r="L22" s="383">
        <v>19</v>
      </c>
      <c r="M22" s="305">
        <f t="shared" si="20"/>
        <v>1903.9024390243894</v>
      </c>
      <c r="N22" s="304">
        <f t="shared" si="3"/>
        <v>100.20539152759945</v>
      </c>
      <c r="O22" s="306">
        <f t="shared" si="4"/>
        <v>0</v>
      </c>
      <c r="P22" s="307">
        <f t="shared" si="5"/>
        <v>-5.0577663671373898</v>
      </c>
      <c r="Q22" s="379">
        <f t="shared" si="6"/>
        <v>0.95195121951219475</v>
      </c>
      <c r="R22" s="571"/>
      <c r="S22" s="308">
        <v>0.70833333333333337</v>
      </c>
      <c r="T22" s="308">
        <v>0.76527777777777783</v>
      </c>
      <c r="U22" s="376" t="str">
        <f t="shared" si="22"/>
        <v/>
      </c>
      <c r="V22" s="384">
        <f t="shared" si="21"/>
        <v>82.000000000000028</v>
      </c>
      <c r="W22" s="310"/>
      <c r="X22" s="376"/>
      <c r="Y22" s="570"/>
      <c r="Z22" s="570"/>
      <c r="AA22" s="306">
        <f t="shared" si="8"/>
        <v>-96.097560975610577</v>
      </c>
      <c r="AB22" s="379">
        <f t="shared" si="9"/>
        <v>0.95195121951219475</v>
      </c>
      <c r="AC22" s="571"/>
    </row>
    <row r="23" spans="1:29" ht="15.75" customHeight="1">
      <c r="A23" s="593" t="s">
        <v>1684</v>
      </c>
      <c r="B23" s="300" t="s">
        <v>1685</v>
      </c>
      <c r="C23" s="572"/>
      <c r="D23" s="572"/>
      <c r="E23" s="380"/>
      <c r="F23" s="385"/>
      <c r="G23" s="376"/>
      <c r="H23" s="385"/>
      <c r="I23" s="314">
        <v>16.75</v>
      </c>
      <c r="J23" s="303">
        <v>2000</v>
      </c>
      <c r="K23" s="304">
        <f t="shared" si="1"/>
        <v>119.40298507462687</v>
      </c>
      <c r="L23" s="314">
        <v>16.75</v>
      </c>
      <c r="M23" s="305">
        <f>AVERAGE(M19:M22)</f>
        <v>1908.0215963781709</v>
      </c>
      <c r="N23" s="304">
        <f t="shared" si="3"/>
        <v>113.91173709720424</v>
      </c>
      <c r="O23" s="306">
        <f t="shared" si="4"/>
        <v>0</v>
      </c>
      <c r="P23" s="307">
        <f t="shared" si="5"/>
        <v>-5.4912479774226313</v>
      </c>
      <c r="Q23" s="379">
        <f t="shared" si="6"/>
        <v>0.95401079818908552</v>
      </c>
      <c r="R23" s="571"/>
      <c r="S23" s="308"/>
      <c r="T23" s="308"/>
      <c r="U23" s="304"/>
      <c r="V23" s="384"/>
      <c r="W23" s="304"/>
      <c r="X23" s="304"/>
      <c r="Y23" s="570"/>
      <c r="Z23" s="570"/>
      <c r="AA23" s="306">
        <f t="shared" si="8"/>
        <v>-91.978403621829102</v>
      </c>
      <c r="AB23" s="379">
        <f t="shared" si="9"/>
        <v>0.95401079818908541</v>
      </c>
      <c r="AC23" s="571"/>
    </row>
    <row r="24" spans="1:29" ht="15.75" customHeight="1">
      <c r="A24" s="591" t="s">
        <v>1686</v>
      </c>
      <c r="B24" s="300" t="s">
        <v>46</v>
      </c>
      <c r="C24" s="590" t="s">
        <v>61</v>
      </c>
      <c r="D24" s="590"/>
      <c r="E24" s="300">
        <v>31.29</v>
      </c>
      <c r="F24" s="385">
        <v>5900</v>
      </c>
      <c r="G24" s="376">
        <f t="shared" ref="G24:G32" si="23">E24*F24</f>
        <v>184611</v>
      </c>
      <c r="H24" s="386">
        <v>2</v>
      </c>
      <c r="I24" s="383">
        <v>18</v>
      </c>
      <c r="J24" s="303">
        <v>2400</v>
      </c>
      <c r="K24" s="304">
        <f t="shared" si="1"/>
        <v>133.33333333333334</v>
      </c>
      <c r="L24" s="383">
        <v>18</v>
      </c>
      <c r="M24" s="305">
        <f t="shared" ref="M24:M32" si="24">F24/V24*60</f>
        <v>2283.8709677419356</v>
      </c>
      <c r="N24" s="304">
        <f t="shared" si="3"/>
        <v>126.88172043010753</v>
      </c>
      <c r="O24" s="306">
        <f t="shared" si="4"/>
        <v>0</v>
      </c>
      <c r="P24" s="307">
        <f t="shared" si="5"/>
        <v>-6.4516129032258078</v>
      </c>
      <c r="Q24" s="379">
        <f t="shared" si="6"/>
        <v>0.95161290322580649</v>
      </c>
      <c r="R24" s="571">
        <f>Q33</f>
        <v>0.95770903259726525</v>
      </c>
      <c r="S24" s="308">
        <v>0.125</v>
      </c>
      <c r="T24" s="308">
        <v>0.2326388888888889</v>
      </c>
      <c r="U24" s="376"/>
      <c r="V24" s="384">
        <f t="shared" ref="V24:V32" si="25">(T24-S24)*24*60</f>
        <v>155</v>
      </c>
      <c r="W24" s="310">
        <f>T24</f>
        <v>0.2326388888888889</v>
      </c>
      <c r="X24" s="310">
        <f>S25</f>
        <v>0.25277777777777777</v>
      </c>
      <c r="Y24" s="570"/>
      <c r="Z24" s="570"/>
      <c r="AA24" s="306">
        <f t="shared" si="8"/>
        <v>-116.1290322580644</v>
      </c>
      <c r="AB24" s="379">
        <f t="shared" si="9"/>
        <v>0.95161290322580649</v>
      </c>
      <c r="AC24" s="571">
        <f>AB33</f>
        <v>0.95770903259726536</v>
      </c>
    </row>
    <row r="25" spans="1:29" ht="15.75" customHeight="1">
      <c r="A25" s="591" t="s">
        <v>178</v>
      </c>
      <c r="B25" s="300" t="s">
        <v>46</v>
      </c>
      <c r="C25" s="590" t="s">
        <v>59</v>
      </c>
      <c r="D25" s="590"/>
      <c r="E25" s="300">
        <v>26.18</v>
      </c>
      <c r="F25" s="385">
        <v>3837</v>
      </c>
      <c r="G25" s="376">
        <f t="shared" si="23"/>
        <v>100452.66</v>
      </c>
      <c r="H25" s="386" t="s">
        <v>35</v>
      </c>
      <c r="I25" s="383">
        <v>19</v>
      </c>
      <c r="J25" s="303">
        <v>2400</v>
      </c>
      <c r="K25" s="304">
        <f t="shared" si="1"/>
        <v>126.31578947368421</v>
      </c>
      <c r="L25" s="383">
        <v>19</v>
      </c>
      <c r="M25" s="305">
        <f t="shared" si="24"/>
        <v>2302.2000000000007</v>
      </c>
      <c r="N25" s="304">
        <f t="shared" si="3"/>
        <v>121.16842105263161</v>
      </c>
      <c r="O25" s="306">
        <f t="shared" si="4"/>
        <v>0</v>
      </c>
      <c r="P25" s="307">
        <f t="shared" si="5"/>
        <v>-5.1473684210525903</v>
      </c>
      <c r="Q25" s="379">
        <f t="shared" si="6"/>
        <v>0.95925000000000038</v>
      </c>
      <c r="R25" s="571"/>
      <c r="S25" s="308">
        <v>0.25277777777777777</v>
      </c>
      <c r="T25" s="308">
        <v>0.32222222222222219</v>
      </c>
      <c r="U25" s="376">
        <f t="shared" ref="U25:U32" si="26">(S25-T24)*24*60</f>
        <v>28.999999999999979</v>
      </c>
      <c r="V25" s="384">
        <f t="shared" si="25"/>
        <v>99.999999999999972</v>
      </c>
      <c r="W25" s="310"/>
      <c r="X25" s="310"/>
      <c r="Y25" s="570"/>
      <c r="Z25" s="570"/>
      <c r="AA25" s="306">
        <f t="shared" si="8"/>
        <v>-97.799999999999272</v>
      </c>
      <c r="AB25" s="379">
        <f t="shared" si="9"/>
        <v>0.95925000000000027</v>
      </c>
      <c r="AC25" s="571"/>
    </row>
    <row r="26" spans="1:29" ht="15.75" customHeight="1">
      <c r="A26" s="591" t="s">
        <v>178</v>
      </c>
      <c r="B26" s="300" t="s">
        <v>46</v>
      </c>
      <c r="C26" s="590" t="s">
        <v>60</v>
      </c>
      <c r="D26" s="590"/>
      <c r="E26" s="300">
        <v>26.2</v>
      </c>
      <c r="F26" s="385">
        <v>3200</v>
      </c>
      <c r="G26" s="376">
        <f t="shared" si="23"/>
        <v>83840</v>
      </c>
      <c r="H26" s="386">
        <v>2</v>
      </c>
      <c r="I26" s="383">
        <v>19</v>
      </c>
      <c r="J26" s="303">
        <v>2400</v>
      </c>
      <c r="K26" s="304">
        <f t="shared" si="1"/>
        <v>126.31578947368421</v>
      </c>
      <c r="L26" s="383">
        <v>19</v>
      </c>
      <c r="M26" s="305">
        <f t="shared" si="24"/>
        <v>2285.7142857142849</v>
      </c>
      <c r="N26" s="304">
        <f t="shared" si="3"/>
        <v>120.30075187969921</v>
      </c>
      <c r="O26" s="306">
        <f t="shared" si="4"/>
        <v>0</v>
      </c>
      <c r="P26" s="307">
        <f t="shared" si="5"/>
        <v>-6.0150375939849994</v>
      </c>
      <c r="Q26" s="379">
        <f t="shared" si="6"/>
        <v>0.95238095238095211</v>
      </c>
      <c r="R26" s="571"/>
      <c r="S26" s="308">
        <v>0.32638888888888884</v>
      </c>
      <c r="T26" s="308">
        <v>0.38472222222222219</v>
      </c>
      <c r="U26" s="376">
        <f t="shared" si="26"/>
        <v>5.9999999999999787</v>
      </c>
      <c r="V26" s="384">
        <f t="shared" si="25"/>
        <v>84.000000000000028</v>
      </c>
      <c r="W26" s="310"/>
      <c r="X26" s="310"/>
      <c r="Y26" s="570"/>
      <c r="Z26" s="570"/>
      <c r="AA26" s="306">
        <f t="shared" si="8"/>
        <v>-114.28571428571513</v>
      </c>
      <c r="AB26" s="379">
        <f t="shared" si="9"/>
        <v>0.952380952380952</v>
      </c>
      <c r="AC26" s="571"/>
    </row>
    <row r="27" spans="1:29" ht="15.75" customHeight="1">
      <c r="A27" s="591" t="s">
        <v>1686</v>
      </c>
      <c r="B27" s="300" t="s">
        <v>46</v>
      </c>
      <c r="C27" s="590" t="s">
        <v>56</v>
      </c>
      <c r="D27" s="590"/>
      <c r="E27" s="300">
        <v>26.2</v>
      </c>
      <c r="F27" s="385">
        <v>3200</v>
      </c>
      <c r="G27" s="376">
        <f t="shared" si="23"/>
        <v>83840</v>
      </c>
      <c r="H27" s="386">
        <v>2</v>
      </c>
      <c r="I27" s="383">
        <v>20</v>
      </c>
      <c r="J27" s="303">
        <v>2400</v>
      </c>
      <c r="K27" s="304">
        <f t="shared" si="1"/>
        <v>120</v>
      </c>
      <c r="L27" s="383">
        <v>20</v>
      </c>
      <c r="M27" s="305">
        <f t="shared" si="24"/>
        <v>2285.7142857142849</v>
      </c>
      <c r="N27" s="304">
        <f t="shared" si="3"/>
        <v>114.28571428571425</v>
      </c>
      <c r="O27" s="306">
        <f t="shared" si="4"/>
        <v>0</v>
      </c>
      <c r="P27" s="307">
        <f t="shared" si="5"/>
        <v>-5.7142857142857508</v>
      </c>
      <c r="Q27" s="379">
        <f t="shared" si="6"/>
        <v>0.95238095238095211</v>
      </c>
      <c r="R27" s="571"/>
      <c r="S27" s="308">
        <v>0.38888888888888884</v>
      </c>
      <c r="T27" s="308">
        <v>0.44722222222222219</v>
      </c>
      <c r="U27" s="376">
        <f t="shared" si="26"/>
        <v>5.9999999999999787</v>
      </c>
      <c r="V27" s="384">
        <f t="shared" si="25"/>
        <v>84.000000000000028</v>
      </c>
      <c r="W27" s="310"/>
      <c r="X27" s="310"/>
      <c r="Y27" s="570"/>
      <c r="Z27" s="570"/>
      <c r="AA27" s="306">
        <f t="shared" si="8"/>
        <v>-114.28571428571513</v>
      </c>
      <c r="AB27" s="379">
        <f t="shared" si="9"/>
        <v>0.952380952380952</v>
      </c>
      <c r="AC27" s="571"/>
    </row>
    <row r="28" spans="1:29" ht="15.75" customHeight="1">
      <c r="A28" s="591" t="s">
        <v>178</v>
      </c>
      <c r="B28" s="300" t="s">
        <v>46</v>
      </c>
      <c r="C28" s="590" t="s">
        <v>62</v>
      </c>
      <c r="D28" s="590"/>
      <c r="E28" s="300">
        <v>25</v>
      </c>
      <c r="F28" s="385">
        <v>2600</v>
      </c>
      <c r="G28" s="376">
        <f t="shared" si="23"/>
        <v>65000</v>
      </c>
      <c r="H28" s="386">
        <v>2</v>
      </c>
      <c r="I28" s="383">
        <v>15</v>
      </c>
      <c r="J28" s="303">
        <v>2400</v>
      </c>
      <c r="K28" s="304">
        <f t="shared" si="1"/>
        <v>160</v>
      </c>
      <c r="L28" s="383">
        <v>15</v>
      </c>
      <c r="M28" s="305">
        <f t="shared" si="24"/>
        <v>2294.1176470588234</v>
      </c>
      <c r="N28" s="304">
        <f t="shared" si="3"/>
        <v>152.94117647058823</v>
      </c>
      <c r="O28" s="306">
        <f t="shared" si="4"/>
        <v>0</v>
      </c>
      <c r="P28" s="307">
        <f t="shared" si="5"/>
        <v>-7.058823529411768</v>
      </c>
      <c r="Q28" s="379">
        <f t="shared" si="6"/>
        <v>0.95588235294117641</v>
      </c>
      <c r="R28" s="571"/>
      <c r="S28" s="308">
        <v>0.4506944444444444</v>
      </c>
      <c r="T28" s="308">
        <v>0.49791666666666662</v>
      </c>
      <c r="U28" s="376">
        <f t="shared" si="26"/>
        <v>4.9999999999999822</v>
      </c>
      <c r="V28" s="384">
        <f t="shared" si="25"/>
        <v>68</v>
      </c>
      <c r="W28" s="310">
        <f>T28</f>
        <v>0.49791666666666662</v>
      </c>
      <c r="X28" s="310">
        <f>S29</f>
        <v>0.53888888888888886</v>
      </c>
      <c r="Y28" s="570"/>
      <c r="Z28" s="570"/>
      <c r="AA28" s="306">
        <f t="shared" si="8"/>
        <v>-105.88235294117658</v>
      </c>
      <c r="AB28" s="379">
        <f t="shared" si="9"/>
        <v>0.95588235294117641</v>
      </c>
      <c r="AC28" s="571"/>
    </row>
    <row r="29" spans="1:29" ht="15.75" customHeight="1">
      <c r="A29" s="591" t="s">
        <v>1687</v>
      </c>
      <c r="B29" s="300" t="s">
        <v>46</v>
      </c>
      <c r="C29" s="590" t="s">
        <v>61</v>
      </c>
      <c r="D29" s="590"/>
      <c r="E29" s="300">
        <v>31.29</v>
      </c>
      <c r="F29" s="385">
        <v>4368</v>
      </c>
      <c r="G29" s="376">
        <f t="shared" si="23"/>
        <v>136674.72</v>
      </c>
      <c r="H29" s="386" t="s">
        <v>35</v>
      </c>
      <c r="I29" s="383">
        <v>18</v>
      </c>
      <c r="J29" s="303">
        <v>2400</v>
      </c>
      <c r="K29" s="304">
        <f t="shared" si="1"/>
        <v>133.33333333333334</v>
      </c>
      <c r="L29" s="383">
        <v>18</v>
      </c>
      <c r="M29" s="305">
        <f t="shared" si="24"/>
        <v>2298.9473684210511</v>
      </c>
      <c r="N29" s="304">
        <f t="shared" si="3"/>
        <v>127.71929824561396</v>
      </c>
      <c r="O29" s="306">
        <f t="shared" si="4"/>
        <v>0</v>
      </c>
      <c r="P29" s="307">
        <f t="shared" si="5"/>
        <v>-5.6140350877193868</v>
      </c>
      <c r="Q29" s="379">
        <f t="shared" si="6"/>
        <v>0.95789473684210458</v>
      </c>
      <c r="R29" s="571"/>
      <c r="S29" s="308">
        <v>0.53888888888888886</v>
      </c>
      <c r="T29" s="308">
        <v>0.61805555555555558</v>
      </c>
      <c r="U29" s="376">
        <f t="shared" si="26"/>
        <v>59.000000000000028</v>
      </c>
      <c r="V29" s="384">
        <f t="shared" si="25"/>
        <v>114.00000000000007</v>
      </c>
      <c r="W29" s="310"/>
      <c r="X29" s="310"/>
      <c r="Y29" s="570"/>
      <c r="Z29" s="570"/>
      <c r="AA29" s="306">
        <f t="shared" si="8"/>
        <v>-101.05263157894888</v>
      </c>
      <c r="AB29" s="379">
        <f t="shared" si="9"/>
        <v>0.95789473684210469</v>
      </c>
      <c r="AC29" s="571"/>
    </row>
    <row r="30" spans="1:29" ht="15.75" customHeight="1">
      <c r="A30" s="591" t="s">
        <v>178</v>
      </c>
      <c r="B30" s="300" t="s">
        <v>46</v>
      </c>
      <c r="C30" s="590" t="s">
        <v>60</v>
      </c>
      <c r="D30" s="590"/>
      <c r="E30" s="300">
        <v>26.2</v>
      </c>
      <c r="F30" s="385">
        <v>2112</v>
      </c>
      <c r="G30" s="376">
        <f t="shared" si="23"/>
        <v>55334.400000000001</v>
      </c>
      <c r="H30" s="386" t="s">
        <v>35</v>
      </c>
      <c r="I30" s="383">
        <v>19</v>
      </c>
      <c r="J30" s="303">
        <v>2400</v>
      </c>
      <c r="K30" s="304">
        <f t="shared" si="1"/>
        <v>126.31578947368421</v>
      </c>
      <c r="L30" s="383">
        <v>19</v>
      </c>
      <c r="M30" s="305">
        <f t="shared" si="24"/>
        <v>2304.0000000000018</v>
      </c>
      <c r="N30" s="304">
        <f t="shared" si="3"/>
        <v>121.26315789473693</v>
      </c>
      <c r="O30" s="306">
        <f t="shared" si="4"/>
        <v>0</v>
      </c>
      <c r="P30" s="307">
        <f t="shared" si="5"/>
        <v>-5.0526315789472704</v>
      </c>
      <c r="Q30" s="379">
        <f t="shared" si="6"/>
        <v>0.96000000000000074</v>
      </c>
      <c r="R30" s="571"/>
      <c r="S30" s="308">
        <v>0.62291666666666667</v>
      </c>
      <c r="T30" s="308">
        <v>0.66111111111111109</v>
      </c>
      <c r="U30" s="376">
        <f t="shared" si="26"/>
        <v>6.9999999999999751</v>
      </c>
      <c r="V30" s="384">
        <f t="shared" si="25"/>
        <v>54.999999999999964</v>
      </c>
      <c r="W30" s="310"/>
      <c r="X30" s="310"/>
      <c r="Y30" s="570"/>
      <c r="Z30" s="570"/>
      <c r="AA30" s="306">
        <f t="shared" si="8"/>
        <v>-95.999999999998181</v>
      </c>
      <c r="AB30" s="379">
        <f t="shared" si="9"/>
        <v>0.96000000000000074</v>
      </c>
      <c r="AC30" s="571"/>
    </row>
    <row r="31" spans="1:29" ht="15.75" customHeight="1">
      <c r="A31" s="591" t="s">
        <v>1687</v>
      </c>
      <c r="B31" s="300" t="s">
        <v>46</v>
      </c>
      <c r="C31" s="590" t="s">
        <v>56</v>
      </c>
      <c r="D31" s="590"/>
      <c r="E31" s="300">
        <v>26.2</v>
      </c>
      <c r="F31" s="385">
        <v>2505</v>
      </c>
      <c r="G31" s="376">
        <f t="shared" si="23"/>
        <v>65631</v>
      </c>
      <c r="H31" s="386" t="s">
        <v>35</v>
      </c>
      <c r="I31" s="383">
        <v>20</v>
      </c>
      <c r="J31" s="303">
        <v>2400</v>
      </c>
      <c r="K31" s="304">
        <f t="shared" si="1"/>
        <v>120</v>
      </c>
      <c r="L31" s="383">
        <v>20</v>
      </c>
      <c r="M31" s="305">
        <f t="shared" si="24"/>
        <v>2312.3076923076951</v>
      </c>
      <c r="N31" s="304">
        <f t="shared" si="3"/>
        <v>115.61538461538476</v>
      </c>
      <c r="O31" s="306">
        <f t="shared" si="4"/>
        <v>0</v>
      </c>
      <c r="P31" s="307">
        <f t="shared" si="5"/>
        <v>-4.3846153846152447</v>
      </c>
      <c r="Q31" s="379">
        <f t="shared" si="6"/>
        <v>0.96346153846153959</v>
      </c>
      <c r="R31" s="571"/>
      <c r="S31" s="308">
        <v>0.66666666666666663</v>
      </c>
      <c r="T31" s="308">
        <v>0.71180555555555547</v>
      </c>
      <c r="U31" s="376">
        <f t="shared" si="26"/>
        <v>7.9999999999999716</v>
      </c>
      <c r="V31" s="384">
        <f t="shared" si="25"/>
        <v>64.999999999999929</v>
      </c>
      <c r="W31" s="310"/>
      <c r="X31" s="310"/>
      <c r="Y31" s="570"/>
      <c r="Z31" s="570"/>
      <c r="AA31" s="306">
        <f t="shared" si="8"/>
        <v>-87.692307692304894</v>
      </c>
      <c r="AB31" s="379">
        <f t="shared" si="9"/>
        <v>0.96346153846153959</v>
      </c>
      <c r="AC31" s="571"/>
    </row>
    <row r="32" spans="1:29" ht="15.75" customHeight="1">
      <c r="A32" s="591" t="s">
        <v>1687</v>
      </c>
      <c r="B32" s="300" t="s">
        <v>46</v>
      </c>
      <c r="C32" s="613" t="s">
        <v>62</v>
      </c>
      <c r="D32" s="614"/>
      <c r="E32" s="300">
        <v>25</v>
      </c>
      <c r="F32" s="385">
        <v>2165</v>
      </c>
      <c r="G32" s="376">
        <f t="shared" si="23"/>
        <v>54125</v>
      </c>
      <c r="H32" s="386" t="s">
        <v>35</v>
      </c>
      <c r="I32" s="383">
        <v>15</v>
      </c>
      <c r="J32" s="303">
        <v>2400</v>
      </c>
      <c r="K32" s="304">
        <f t="shared" si="1"/>
        <v>160</v>
      </c>
      <c r="L32" s="383">
        <v>15</v>
      </c>
      <c r="M32" s="305">
        <f t="shared" si="24"/>
        <v>2319.6428571428587</v>
      </c>
      <c r="N32" s="304">
        <f t="shared" si="3"/>
        <v>154.64285714285725</v>
      </c>
      <c r="O32" s="306">
        <f t="shared" si="4"/>
        <v>0</v>
      </c>
      <c r="P32" s="307">
        <f t="shared" si="5"/>
        <v>-5.3571428571427475</v>
      </c>
      <c r="Q32" s="379">
        <f t="shared" si="6"/>
        <v>0.96651785714285787</v>
      </c>
      <c r="R32" s="571"/>
      <c r="S32" s="308">
        <v>0.71597222222222212</v>
      </c>
      <c r="T32" s="308">
        <v>0.75486111111111098</v>
      </c>
      <c r="U32" s="376">
        <f t="shared" si="26"/>
        <v>5.9999999999999787</v>
      </c>
      <c r="V32" s="384">
        <f t="shared" si="25"/>
        <v>55.999999999999957</v>
      </c>
      <c r="W32" s="310"/>
      <c r="X32" s="310"/>
      <c r="Y32" s="566"/>
      <c r="Z32" s="567"/>
      <c r="AA32" s="306">
        <f t="shared" si="8"/>
        <v>-80.357142857141298</v>
      </c>
      <c r="AB32" s="379">
        <f t="shared" si="9"/>
        <v>0.96651785714285776</v>
      </c>
      <c r="AC32" s="571"/>
    </row>
    <row r="33" spans="1:29" ht="15.75" customHeight="1">
      <c r="A33" s="591" t="s">
        <v>178</v>
      </c>
      <c r="B33" s="300" t="s">
        <v>1683</v>
      </c>
      <c r="C33" s="572"/>
      <c r="D33" s="572"/>
      <c r="E33" s="380"/>
      <c r="F33" s="385"/>
      <c r="G33" s="376"/>
      <c r="H33" s="385"/>
      <c r="I33" s="314">
        <v>18.111111111111111</v>
      </c>
      <c r="J33" s="303">
        <v>2400</v>
      </c>
      <c r="K33" s="304">
        <f t="shared" si="1"/>
        <v>132.5153374233129</v>
      </c>
      <c r="L33" s="314">
        <v>18.111111111111111</v>
      </c>
      <c r="M33" s="305">
        <f>AVERAGE(M24:M32)</f>
        <v>2298.5016782334369</v>
      </c>
      <c r="N33" s="304">
        <f t="shared" si="3"/>
        <v>126.91113560798118</v>
      </c>
      <c r="O33" s="306">
        <f t="shared" si="4"/>
        <v>0</v>
      </c>
      <c r="P33" s="307">
        <f t="shared" si="5"/>
        <v>-5.6042018153317201</v>
      </c>
      <c r="Q33" s="379">
        <f t="shared" si="6"/>
        <v>0.95770903259726525</v>
      </c>
      <c r="R33" s="571"/>
      <c r="S33" s="308"/>
      <c r="T33" s="308"/>
      <c r="U33" s="376"/>
      <c r="V33" s="384"/>
      <c r="W33" s="376"/>
      <c r="X33" s="376"/>
      <c r="Y33" s="570"/>
      <c r="Z33" s="570"/>
      <c r="AA33" s="306">
        <f t="shared" si="8"/>
        <v>-101.49832176656309</v>
      </c>
      <c r="AB33" s="379">
        <f t="shared" si="9"/>
        <v>0.95770903259726536</v>
      </c>
      <c r="AC33" s="571"/>
    </row>
    <row r="34" spans="1:29" ht="15.75" customHeight="1">
      <c r="A34" s="588" t="s">
        <v>181</v>
      </c>
      <c r="B34" s="300" t="s">
        <v>46</v>
      </c>
      <c r="C34" s="565" t="s">
        <v>63</v>
      </c>
      <c r="D34" s="565"/>
      <c r="E34" s="300">
        <v>26.2</v>
      </c>
      <c r="F34" s="385">
        <v>4400</v>
      </c>
      <c r="G34" s="376">
        <f t="shared" ref="G34:G41" si="27">E34*F34</f>
        <v>115280</v>
      </c>
      <c r="H34" s="386">
        <v>2</v>
      </c>
      <c r="I34" s="383">
        <v>18</v>
      </c>
      <c r="J34" s="303">
        <v>2400</v>
      </c>
      <c r="K34" s="304">
        <f t="shared" si="1"/>
        <v>133.33333333333334</v>
      </c>
      <c r="L34" s="383">
        <v>18</v>
      </c>
      <c r="M34" s="305">
        <f t="shared" ref="M34:M41" si="28">F34/V34*60</f>
        <v>2295.652173913044</v>
      </c>
      <c r="N34" s="304">
        <f t="shared" si="3"/>
        <v>127.536231884058</v>
      </c>
      <c r="O34" s="306">
        <f t="shared" si="4"/>
        <v>0</v>
      </c>
      <c r="P34" s="307">
        <f t="shared" si="5"/>
        <v>-5.7971014492753454</v>
      </c>
      <c r="Q34" s="379">
        <f t="shared" si="6"/>
        <v>0.95652173913043492</v>
      </c>
      <c r="R34" s="571">
        <f>Q42</f>
        <v>0.95625704973495596</v>
      </c>
      <c r="S34" s="308">
        <v>0.125</v>
      </c>
      <c r="T34" s="308">
        <v>0.2048611111111111</v>
      </c>
      <c r="U34" s="376"/>
      <c r="V34" s="384">
        <f t="shared" ref="V34:V41" si="29">(T34-S34)*24*60</f>
        <v>114.99999999999999</v>
      </c>
      <c r="W34" s="315">
        <f>T34</f>
        <v>0.2048611111111111</v>
      </c>
      <c r="X34" s="315">
        <f>S35</f>
        <v>0.22222222222222218</v>
      </c>
      <c r="Y34" s="570"/>
      <c r="Z34" s="570"/>
      <c r="AA34" s="306">
        <f t="shared" si="8"/>
        <v>-104.34782608695605</v>
      </c>
      <c r="AB34" s="379">
        <f t="shared" si="9"/>
        <v>0.95652173913043503</v>
      </c>
      <c r="AC34" s="571">
        <f>AB42</f>
        <v>0.95625704973495584</v>
      </c>
    </row>
    <row r="35" spans="1:29" ht="15.75" customHeight="1">
      <c r="A35" s="588" t="s">
        <v>1688</v>
      </c>
      <c r="B35" s="300" t="s">
        <v>46</v>
      </c>
      <c r="C35" s="565" t="s">
        <v>64</v>
      </c>
      <c r="D35" s="565"/>
      <c r="E35" s="300">
        <v>26.39</v>
      </c>
      <c r="F35" s="385">
        <v>4300</v>
      </c>
      <c r="G35" s="376">
        <f t="shared" si="27"/>
        <v>113477</v>
      </c>
      <c r="H35" s="386">
        <v>2</v>
      </c>
      <c r="I35" s="383">
        <v>19</v>
      </c>
      <c r="J35" s="303">
        <v>2400</v>
      </c>
      <c r="K35" s="304">
        <f t="shared" si="1"/>
        <v>126.31578947368421</v>
      </c>
      <c r="L35" s="383">
        <v>19</v>
      </c>
      <c r="M35" s="305">
        <f t="shared" si="28"/>
        <v>2283.1858407079653</v>
      </c>
      <c r="N35" s="304">
        <f t="shared" si="3"/>
        <v>120.16767582673502</v>
      </c>
      <c r="O35" s="306">
        <f t="shared" si="4"/>
        <v>0</v>
      </c>
      <c r="P35" s="307">
        <f t="shared" si="5"/>
        <v>-6.1481136469491844</v>
      </c>
      <c r="Q35" s="379">
        <f t="shared" si="6"/>
        <v>0.95132743362831895</v>
      </c>
      <c r="R35" s="571"/>
      <c r="S35" s="308">
        <v>0.22222222222222218</v>
      </c>
      <c r="T35" s="308">
        <v>0.30069444444444438</v>
      </c>
      <c r="U35" s="376">
        <f t="shared" ref="U35:U41" si="30">(S35-T34)*24*60</f>
        <v>24.99999999999995</v>
      </c>
      <c r="V35" s="384">
        <f t="shared" si="29"/>
        <v>112.99999999999996</v>
      </c>
      <c r="W35" s="376"/>
      <c r="X35" s="376"/>
      <c r="Y35" s="570"/>
      <c r="Z35" s="570"/>
      <c r="AA35" s="306">
        <f t="shared" si="8"/>
        <v>-116.81415929203467</v>
      </c>
      <c r="AB35" s="379">
        <f t="shared" si="9"/>
        <v>0.95132743362831884</v>
      </c>
      <c r="AC35" s="571"/>
    </row>
    <row r="36" spans="1:29">
      <c r="A36" s="589" t="s">
        <v>1688</v>
      </c>
      <c r="B36" s="300" t="s">
        <v>46</v>
      </c>
      <c r="C36" s="565" t="s">
        <v>87</v>
      </c>
      <c r="D36" s="565"/>
      <c r="E36" s="300">
        <v>20.52</v>
      </c>
      <c r="F36" s="385">
        <v>5618</v>
      </c>
      <c r="G36" s="376">
        <f t="shared" si="27"/>
        <v>115281.36</v>
      </c>
      <c r="H36" s="386" t="s">
        <v>35</v>
      </c>
      <c r="I36" s="383">
        <v>18</v>
      </c>
      <c r="J36" s="303">
        <v>2400</v>
      </c>
      <c r="K36" s="304">
        <f t="shared" si="1"/>
        <v>133.33333333333334</v>
      </c>
      <c r="L36" s="383">
        <v>18</v>
      </c>
      <c r="M36" s="305">
        <f t="shared" si="28"/>
        <v>2293.0612244897957</v>
      </c>
      <c r="N36" s="304">
        <f t="shared" si="3"/>
        <v>127.39229024943309</v>
      </c>
      <c r="O36" s="306">
        <f t="shared" si="4"/>
        <v>0</v>
      </c>
      <c r="P36" s="307">
        <f t="shared" si="5"/>
        <v>-5.9410430839002544</v>
      </c>
      <c r="Q36" s="379">
        <f t="shared" si="6"/>
        <v>0.95544217687074806</v>
      </c>
      <c r="R36" s="571"/>
      <c r="S36" s="308">
        <v>0.30416666666666659</v>
      </c>
      <c r="T36" s="308">
        <v>0.40624999999999994</v>
      </c>
      <c r="U36" s="376">
        <f t="shared" si="30"/>
        <v>4.9999999999999822</v>
      </c>
      <c r="V36" s="384">
        <f t="shared" si="29"/>
        <v>147.00000000000003</v>
      </c>
      <c r="W36" s="376"/>
      <c r="X36" s="376"/>
      <c r="Y36" s="570"/>
      <c r="Z36" s="570"/>
      <c r="AA36" s="306">
        <f t="shared" si="8"/>
        <v>-106.93877551020432</v>
      </c>
      <c r="AB36" s="379">
        <f t="shared" si="9"/>
        <v>0.95544217687074817</v>
      </c>
      <c r="AC36" s="571"/>
    </row>
    <row r="37" spans="1:29">
      <c r="A37" s="589" t="s">
        <v>1688</v>
      </c>
      <c r="B37" s="300" t="s">
        <v>46</v>
      </c>
      <c r="C37" s="565" t="s">
        <v>48</v>
      </c>
      <c r="D37" s="565"/>
      <c r="E37" s="300">
        <v>22.35</v>
      </c>
      <c r="F37" s="385">
        <v>1924</v>
      </c>
      <c r="G37" s="376">
        <f t="shared" si="27"/>
        <v>43001.4</v>
      </c>
      <c r="H37" s="386" t="s">
        <v>35</v>
      </c>
      <c r="I37" s="383">
        <v>16</v>
      </c>
      <c r="J37" s="303">
        <v>2400</v>
      </c>
      <c r="K37" s="304">
        <f t="shared" si="1"/>
        <v>150</v>
      </c>
      <c r="L37" s="383">
        <v>16</v>
      </c>
      <c r="M37" s="305">
        <f t="shared" si="28"/>
        <v>2308.8000000000006</v>
      </c>
      <c r="N37" s="304">
        <f t="shared" si="3"/>
        <v>144.30000000000004</v>
      </c>
      <c r="O37" s="306">
        <f t="shared" si="4"/>
        <v>0</v>
      </c>
      <c r="P37" s="307">
        <f t="shared" si="5"/>
        <v>-5.6999999999999602</v>
      </c>
      <c r="Q37" s="379">
        <f t="shared" si="6"/>
        <v>0.9620000000000003</v>
      </c>
      <c r="R37" s="571"/>
      <c r="S37" s="308">
        <v>0.41111111111111104</v>
      </c>
      <c r="T37" s="308">
        <v>0.44583333333333325</v>
      </c>
      <c r="U37" s="376">
        <f t="shared" si="30"/>
        <v>6.9999999999999751</v>
      </c>
      <c r="V37" s="384">
        <f t="shared" si="29"/>
        <v>49.999999999999986</v>
      </c>
      <c r="W37" s="310"/>
      <c r="X37" s="310"/>
      <c r="Y37" s="570"/>
      <c r="Z37" s="570"/>
      <c r="AA37" s="306">
        <f t="shared" si="8"/>
        <v>-91.199999999999363</v>
      </c>
      <c r="AB37" s="379">
        <f t="shared" si="9"/>
        <v>0.9620000000000003</v>
      </c>
      <c r="AC37" s="571"/>
    </row>
    <row r="38" spans="1:29">
      <c r="A38" s="589" t="s">
        <v>1688</v>
      </c>
      <c r="B38" s="300" t="s">
        <v>46</v>
      </c>
      <c r="C38" s="565" t="s">
        <v>65</v>
      </c>
      <c r="D38" s="565"/>
      <c r="E38" s="300">
        <v>24.43</v>
      </c>
      <c r="F38" s="385">
        <v>5400</v>
      </c>
      <c r="G38" s="376">
        <f t="shared" si="27"/>
        <v>131922</v>
      </c>
      <c r="H38" s="386">
        <v>2</v>
      </c>
      <c r="I38" s="383">
        <v>15</v>
      </c>
      <c r="J38" s="303">
        <v>2400</v>
      </c>
      <c r="K38" s="304">
        <f t="shared" si="1"/>
        <v>160</v>
      </c>
      <c r="L38" s="383">
        <v>15</v>
      </c>
      <c r="M38" s="305">
        <f t="shared" si="28"/>
        <v>2281.6901408450694</v>
      </c>
      <c r="N38" s="304">
        <f t="shared" si="3"/>
        <v>152.11267605633796</v>
      </c>
      <c r="O38" s="306">
        <f t="shared" si="4"/>
        <v>0</v>
      </c>
      <c r="P38" s="307">
        <f t="shared" si="5"/>
        <v>-7.8873239436620395</v>
      </c>
      <c r="Q38" s="379">
        <f t="shared" si="6"/>
        <v>0.9507042253521123</v>
      </c>
      <c r="R38" s="571"/>
      <c r="S38" s="308">
        <v>0.45069444444444434</v>
      </c>
      <c r="T38" s="308">
        <v>0.54930555555555549</v>
      </c>
      <c r="U38" s="376">
        <f t="shared" si="30"/>
        <v>6.9999999999999751</v>
      </c>
      <c r="V38" s="384">
        <f t="shared" si="29"/>
        <v>142.00000000000006</v>
      </c>
      <c r="W38" s="310"/>
      <c r="X38" s="310"/>
      <c r="Y38" s="570"/>
      <c r="Z38" s="570"/>
      <c r="AA38" s="306">
        <f t="shared" si="8"/>
        <v>-118.30985915493056</v>
      </c>
      <c r="AB38" s="379">
        <f t="shared" si="9"/>
        <v>0.9507042253521123</v>
      </c>
      <c r="AC38" s="571"/>
    </row>
    <row r="39" spans="1:29">
      <c r="A39" s="589" t="s">
        <v>1688</v>
      </c>
      <c r="B39" s="300" t="s">
        <v>46</v>
      </c>
      <c r="C39" s="565" t="s">
        <v>65</v>
      </c>
      <c r="D39" s="565"/>
      <c r="E39" s="300">
        <v>24.43</v>
      </c>
      <c r="F39" s="385">
        <v>4025</v>
      </c>
      <c r="G39" s="376">
        <f t="shared" si="27"/>
        <v>98330.75</v>
      </c>
      <c r="H39" s="386" t="s">
        <v>35</v>
      </c>
      <c r="I39" s="383">
        <v>15</v>
      </c>
      <c r="J39" s="303">
        <v>2400</v>
      </c>
      <c r="K39" s="304">
        <f t="shared" si="1"/>
        <v>160</v>
      </c>
      <c r="L39" s="383">
        <v>15</v>
      </c>
      <c r="M39" s="305">
        <f t="shared" si="28"/>
        <v>2300.0000000000014</v>
      </c>
      <c r="N39" s="304">
        <f t="shared" si="3"/>
        <v>153.33333333333343</v>
      </c>
      <c r="O39" s="306">
        <f t="shared" si="4"/>
        <v>0</v>
      </c>
      <c r="P39" s="307">
        <f t="shared" si="5"/>
        <v>-6.6666666666665719</v>
      </c>
      <c r="Q39" s="379">
        <f t="shared" si="6"/>
        <v>0.95833333333333393</v>
      </c>
      <c r="R39" s="571"/>
      <c r="S39" s="308">
        <v>0.55347222222222214</v>
      </c>
      <c r="T39" s="308">
        <v>0.62638888888888877</v>
      </c>
      <c r="U39" s="376">
        <f t="shared" si="30"/>
        <v>5.9999999999999787</v>
      </c>
      <c r="V39" s="384">
        <f t="shared" si="29"/>
        <v>104.99999999999994</v>
      </c>
      <c r="W39" s="310"/>
      <c r="X39" s="310"/>
      <c r="Y39" s="570"/>
      <c r="Z39" s="570"/>
      <c r="AA39" s="306">
        <f t="shared" si="8"/>
        <v>-99.999999999998636</v>
      </c>
      <c r="AB39" s="379">
        <f t="shared" si="9"/>
        <v>0.95833333333333393</v>
      </c>
      <c r="AC39" s="571"/>
    </row>
    <row r="40" spans="1:29">
      <c r="A40" s="589" t="s">
        <v>1688</v>
      </c>
      <c r="B40" s="300" t="s">
        <v>46</v>
      </c>
      <c r="C40" s="565" t="s">
        <v>64</v>
      </c>
      <c r="D40" s="565"/>
      <c r="E40" s="300">
        <v>26.39</v>
      </c>
      <c r="F40" s="385">
        <v>3004</v>
      </c>
      <c r="G40" s="376">
        <f t="shared" si="27"/>
        <v>79275.56</v>
      </c>
      <c r="H40" s="386" t="s">
        <v>35</v>
      </c>
      <c r="I40" s="383">
        <v>19</v>
      </c>
      <c r="J40" s="303">
        <v>2400</v>
      </c>
      <c r="K40" s="304">
        <f t="shared" si="1"/>
        <v>126.31578947368421</v>
      </c>
      <c r="L40" s="383">
        <v>19</v>
      </c>
      <c r="M40" s="305">
        <f t="shared" si="28"/>
        <v>2310.7692307692296</v>
      </c>
      <c r="N40" s="304">
        <f t="shared" si="3"/>
        <v>121.61943319838051</v>
      </c>
      <c r="O40" s="306">
        <f t="shared" si="4"/>
        <v>0</v>
      </c>
      <c r="P40" s="307">
        <f t="shared" si="5"/>
        <v>-4.6963562753036996</v>
      </c>
      <c r="Q40" s="379">
        <f t="shared" si="6"/>
        <v>0.9628205128205124</v>
      </c>
      <c r="R40" s="571"/>
      <c r="S40" s="308">
        <v>0.63124999999999987</v>
      </c>
      <c r="T40" s="308">
        <v>0.68541666666666656</v>
      </c>
      <c r="U40" s="376">
        <f t="shared" si="30"/>
        <v>6.9999999999999751</v>
      </c>
      <c r="V40" s="384">
        <f t="shared" si="29"/>
        <v>78.000000000000043</v>
      </c>
      <c r="W40" s="310"/>
      <c r="X40" s="310"/>
      <c r="Y40" s="566"/>
      <c r="Z40" s="567"/>
      <c r="AA40" s="306">
        <f t="shared" si="8"/>
        <v>-89.23076923077042</v>
      </c>
      <c r="AB40" s="379">
        <f t="shared" si="9"/>
        <v>0.96282051282051229</v>
      </c>
      <c r="AC40" s="571"/>
    </row>
    <row r="41" spans="1:29">
      <c r="A41" s="589" t="s">
        <v>1688</v>
      </c>
      <c r="B41" s="300" t="s">
        <v>46</v>
      </c>
      <c r="C41" s="565" t="s">
        <v>63</v>
      </c>
      <c r="D41" s="565"/>
      <c r="E41" s="300">
        <v>26.2</v>
      </c>
      <c r="F41" s="385">
        <v>3278</v>
      </c>
      <c r="G41" s="376">
        <f t="shared" si="27"/>
        <v>85883.599999999991</v>
      </c>
      <c r="H41" s="386" t="s">
        <v>35</v>
      </c>
      <c r="I41" s="383">
        <v>18</v>
      </c>
      <c r="J41" s="303">
        <v>2400</v>
      </c>
      <c r="K41" s="304">
        <f t="shared" si="1"/>
        <v>133.33333333333334</v>
      </c>
      <c r="L41" s="383">
        <v>18</v>
      </c>
      <c r="M41" s="305">
        <f t="shared" si="28"/>
        <v>2286.9767441860463</v>
      </c>
      <c r="N41" s="304">
        <f t="shared" si="3"/>
        <v>127.05426356589146</v>
      </c>
      <c r="O41" s="306">
        <f t="shared" si="4"/>
        <v>0</v>
      </c>
      <c r="P41" s="307">
        <f t="shared" si="5"/>
        <v>-6.2790697674418823</v>
      </c>
      <c r="Q41" s="379">
        <f t="shared" si="6"/>
        <v>0.9529069767441859</v>
      </c>
      <c r="R41" s="571"/>
      <c r="S41" s="308">
        <v>0.68958333333333321</v>
      </c>
      <c r="T41" s="308">
        <v>0.74930555555555545</v>
      </c>
      <c r="U41" s="376">
        <f t="shared" si="30"/>
        <v>5.9999999999999787</v>
      </c>
      <c r="V41" s="384">
        <f t="shared" si="29"/>
        <v>86.000000000000014</v>
      </c>
      <c r="W41" s="310"/>
      <c r="X41" s="310"/>
      <c r="Y41" s="566"/>
      <c r="Z41" s="567"/>
      <c r="AA41" s="306">
        <f t="shared" si="8"/>
        <v>-113.02325581395371</v>
      </c>
      <c r="AB41" s="379">
        <f t="shared" si="9"/>
        <v>0.95290697674418601</v>
      </c>
      <c r="AC41" s="571"/>
    </row>
    <row r="42" spans="1:29">
      <c r="A42" s="589" t="s">
        <v>1688</v>
      </c>
      <c r="B42" s="313" t="s">
        <v>1683</v>
      </c>
      <c r="C42" s="572"/>
      <c r="D42" s="572"/>
      <c r="E42" s="380"/>
      <c r="F42" s="313"/>
      <c r="G42" s="304"/>
      <c r="H42" s="385"/>
      <c r="I42" s="314">
        <v>17.25</v>
      </c>
      <c r="J42" s="303">
        <v>2400</v>
      </c>
      <c r="K42" s="304">
        <f t="shared" si="1"/>
        <v>139.13043478260869</v>
      </c>
      <c r="L42" s="314">
        <v>17.25</v>
      </c>
      <c r="M42" s="305">
        <f>AVERAGE(M34:M41)</f>
        <v>2295.016919363894</v>
      </c>
      <c r="N42" s="304">
        <f t="shared" si="3"/>
        <v>133.04445909355908</v>
      </c>
      <c r="O42" s="306">
        <f t="shared" si="4"/>
        <v>0</v>
      </c>
      <c r="P42" s="307">
        <f t="shared" si="5"/>
        <v>-6.0859756890496044</v>
      </c>
      <c r="Q42" s="379">
        <f t="shared" si="6"/>
        <v>0.95625704973495596</v>
      </c>
      <c r="R42" s="571"/>
      <c r="S42" s="308"/>
      <c r="T42" s="308"/>
      <c r="U42" s="304"/>
      <c r="V42" s="384"/>
      <c r="W42" s="304"/>
      <c r="X42" s="304"/>
      <c r="Y42" s="570"/>
      <c r="Z42" s="570"/>
      <c r="AA42" s="306">
        <f t="shared" si="8"/>
        <v>-104.98308063610602</v>
      </c>
      <c r="AB42" s="379">
        <f t="shared" si="9"/>
        <v>0.95625704973495584</v>
      </c>
      <c r="AC42" s="571"/>
    </row>
    <row r="43" spans="1:29" ht="15.75" customHeight="1">
      <c r="A43" s="585" t="s">
        <v>1689</v>
      </c>
      <c r="B43" s="300" t="s">
        <v>67</v>
      </c>
      <c r="C43" s="580" t="s">
        <v>68</v>
      </c>
      <c r="D43" s="581"/>
      <c r="E43" s="300">
        <v>21.13</v>
      </c>
      <c r="F43" s="385">
        <v>5623</v>
      </c>
      <c r="G43" s="376">
        <f t="shared" ref="G43:G48" si="31">E43*F43</f>
        <v>118813.98999999999</v>
      </c>
      <c r="H43" s="386" t="s">
        <v>35</v>
      </c>
      <c r="I43" s="383">
        <v>10</v>
      </c>
      <c r="J43" s="303">
        <v>3000</v>
      </c>
      <c r="K43" s="304">
        <f t="shared" si="1"/>
        <v>300</v>
      </c>
      <c r="L43" s="383">
        <v>10</v>
      </c>
      <c r="M43" s="305">
        <f t="shared" ref="M43:M48" si="32">F43/V43*60</f>
        <v>2859.1525423728808</v>
      </c>
      <c r="N43" s="305">
        <f t="shared" si="3"/>
        <v>285.91525423728808</v>
      </c>
      <c r="O43" s="306">
        <f t="shared" si="4"/>
        <v>0</v>
      </c>
      <c r="P43" s="307">
        <f t="shared" si="5"/>
        <v>-14.084745762711918</v>
      </c>
      <c r="Q43" s="379">
        <f t="shared" si="6"/>
        <v>0.95305084745762692</v>
      </c>
      <c r="R43" s="582">
        <f>Q49</f>
        <v>0.95655299306855501</v>
      </c>
      <c r="S43" s="308">
        <v>0.20833333333333334</v>
      </c>
      <c r="T43" s="308">
        <v>0.2902777777777778</v>
      </c>
      <c r="U43" s="315"/>
      <c r="V43" s="384">
        <f t="shared" ref="V43:V48" si="33">(T43-S43)*24*60</f>
        <v>118.00000000000001</v>
      </c>
      <c r="W43" s="310"/>
      <c r="X43" s="310"/>
      <c r="Y43" s="566"/>
      <c r="Z43" s="567"/>
      <c r="AA43" s="306">
        <f t="shared" si="8"/>
        <v>-140.84745762711918</v>
      </c>
      <c r="AB43" s="379">
        <f t="shared" si="9"/>
        <v>0.95305084745762692</v>
      </c>
      <c r="AC43" s="582">
        <f>AB49</f>
        <v>0.95655299306855512</v>
      </c>
    </row>
    <row r="44" spans="1:29" ht="15.75" customHeight="1">
      <c r="A44" s="586" t="s">
        <v>1689</v>
      </c>
      <c r="B44" s="300" t="s">
        <v>67</v>
      </c>
      <c r="C44" s="580" t="s">
        <v>69</v>
      </c>
      <c r="D44" s="581"/>
      <c r="E44" s="300">
        <v>27.17</v>
      </c>
      <c r="F44" s="385">
        <v>6956</v>
      </c>
      <c r="G44" s="376">
        <f t="shared" si="31"/>
        <v>188994.52000000002</v>
      </c>
      <c r="H44" s="386" t="s">
        <v>35</v>
      </c>
      <c r="I44" s="383">
        <v>10</v>
      </c>
      <c r="J44" s="303">
        <v>3000</v>
      </c>
      <c r="K44" s="304">
        <f t="shared" si="1"/>
        <v>300</v>
      </c>
      <c r="L44" s="383">
        <v>10</v>
      </c>
      <c r="M44" s="305">
        <f t="shared" si="32"/>
        <v>2858.6301369863022</v>
      </c>
      <c r="N44" s="305">
        <f t="shared" si="3"/>
        <v>285.8630136986302</v>
      </c>
      <c r="O44" s="306">
        <f t="shared" si="4"/>
        <v>0</v>
      </c>
      <c r="P44" s="307">
        <f t="shared" si="5"/>
        <v>-14.136986301369802</v>
      </c>
      <c r="Q44" s="379">
        <f t="shared" si="6"/>
        <v>0.95287671232876736</v>
      </c>
      <c r="R44" s="583"/>
      <c r="S44" s="308">
        <v>0.29444444444444445</v>
      </c>
      <c r="T44" s="308">
        <v>0.39583333333333331</v>
      </c>
      <c r="U44" s="376">
        <f t="shared" ref="U44:U48" si="34">(S44-T43)*24*60</f>
        <v>5.9999999999999787</v>
      </c>
      <c r="V44" s="384">
        <f t="shared" si="33"/>
        <v>145.99999999999997</v>
      </c>
      <c r="W44" s="310"/>
      <c r="X44" s="310"/>
      <c r="Y44" s="566"/>
      <c r="Z44" s="567"/>
      <c r="AA44" s="306">
        <f t="shared" si="8"/>
        <v>-141.3698630136978</v>
      </c>
      <c r="AB44" s="379">
        <f t="shared" si="9"/>
        <v>0.95287671232876736</v>
      </c>
      <c r="AC44" s="583"/>
    </row>
    <row r="45" spans="1:29" ht="15.75" customHeight="1">
      <c r="A45" s="586" t="s">
        <v>1689</v>
      </c>
      <c r="B45" s="300" t="s">
        <v>67</v>
      </c>
      <c r="C45" s="580" t="s">
        <v>70</v>
      </c>
      <c r="D45" s="581"/>
      <c r="E45" s="300">
        <v>35.119999999999997</v>
      </c>
      <c r="F45" s="385">
        <v>4912</v>
      </c>
      <c r="G45" s="376">
        <f t="shared" si="31"/>
        <v>172509.43999999997</v>
      </c>
      <c r="H45" s="386" t="s">
        <v>35</v>
      </c>
      <c r="I45" s="383">
        <v>10</v>
      </c>
      <c r="J45" s="303">
        <v>3000</v>
      </c>
      <c r="K45" s="304">
        <f t="shared" si="1"/>
        <v>300</v>
      </c>
      <c r="L45" s="383">
        <v>10</v>
      </c>
      <c r="M45" s="305">
        <f t="shared" si="32"/>
        <v>2861.3592233009699</v>
      </c>
      <c r="N45" s="305">
        <f t="shared" si="3"/>
        <v>286.135922330097</v>
      </c>
      <c r="O45" s="306">
        <f t="shared" si="4"/>
        <v>0</v>
      </c>
      <c r="P45" s="307">
        <f t="shared" si="5"/>
        <v>-13.864077669902997</v>
      </c>
      <c r="Q45" s="379">
        <f t="shared" si="6"/>
        <v>0.95378640776698997</v>
      </c>
      <c r="R45" s="583"/>
      <c r="S45" s="308">
        <v>0.39999999999999997</v>
      </c>
      <c r="T45" s="308">
        <v>0.47152777777777777</v>
      </c>
      <c r="U45" s="376">
        <f t="shared" si="34"/>
        <v>5.9999999999999787</v>
      </c>
      <c r="V45" s="384">
        <f t="shared" si="33"/>
        <v>103.00000000000003</v>
      </c>
      <c r="W45" s="310"/>
      <c r="X45" s="310"/>
      <c r="Y45" s="566"/>
      <c r="Z45" s="567"/>
      <c r="AA45" s="306">
        <f t="shared" si="8"/>
        <v>-138.64077669903008</v>
      </c>
      <c r="AB45" s="379">
        <f t="shared" si="9"/>
        <v>0.95378640776698997</v>
      </c>
      <c r="AC45" s="583"/>
    </row>
    <row r="46" spans="1:29" ht="15.75" customHeight="1">
      <c r="A46" s="586" t="s">
        <v>1689</v>
      </c>
      <c r="B46" s="300" t="s">
        <v>67</v>
      </c>
      <c r="C46" s="580" t="s">
        <v>71</v>
      </c>
      <c r="D46" s="581"/>
      <c r="E46" s="300">
        <v>35.869999999999997</v>
      </c>
      <c r="F46" s="385">
        <v>3069</v>
      </c>
      <c r="G46" s="376">
        <f t="shared" si="31"/>
        <v>110085.03</v>
      </c>
      <c r="H46" s="386" t="s">
        <v>35</v>
      </c>
      <c r="I46" s="383">
        <v>10</v>
      </c>
      <c r="J46" s="303">
        <v>3000</v>
      </c>
      <c r="K46" s="304">
        <f t="shared" si="1"/>
        <v>300</v>
      </c>
      <c r="L46" s="383">
        <v>10</v>
      </c>
      <c r="M46" s="305">
        <f t="shared" si="32"/>
        <v>2877.1875000000032</v>
      </c>
      <c r="N46" s="305">
        <f t="shared" si="3"/>
        <v>287.71875000000034</v>
      </c>
      <c r="O46" s="306">
        <f t="shared" si="4"/>
        <v>0</v>
      </c>
      <c r="P46" s="307">
        <f t="shared" si="5"/>
        <v>-12.281249999999659</v>
      </c>
      <c r="Q46" s="379">
        <f t="shared" si="6"/>
        <v>0.95906250000000115</v>
      </c>
      <c r="R46" s="583"/>
      <c r="S46" s="308">
        <v>0.4770833333333333</v>
      </c>
      <c r="T46" s="308">
        <v>0.5215277777777777</v>
      </c>
      <c r="U46" s="376">
        <f t="shared" si="34"/>
        <v>7.9999999999999716</v>
      </c>
      <c r="V46" s="384">
        <f t="shared" si="33"/>
        <v>63.999999999999929</v>
      </c>
      <c r="W46" s="310"/>
      <c r="X46" s="310"/>
      <c r="Y46" s="566"/>
      <c r="Z46" s="567"/>
      <c r="AA46" s="306">
        <f t="shared" si="8"/>
        <v>-122.81249999999682</v>
      </c>
      <c r="AB46" s="379">
        <f t="shared" si="9"/>
        <v>0.95906250000000104</v>
      </c>
      <c r="AC46" s="583"/>
    </row>
    <row r="47" spans="1:29" ht="15.75" customHeight="1">
      <c r="A47" s="586" t="s">
        <v>1689</v>
      </c>
      <c r="B47" s="300" t="s">
        <v>67</v>
      </c>
      <c r="C47" s="580" t="s">
        <v>72</v>
      </c>
      <c r="D47" s="581"/>
      <c r="E47" s="300">
        <v>36.14</v>
      </c>
      <c r="F47" s="385">
        <v>1739</v>
      </c>
      <c r="G47" s="376">
        <f t="shared" si="31"/>
        <v>62847.46</v>
      </c>
      <c r="H47" s="386" t="s">
        <v>35</v>
      </c>
      <c r="I47" s="383">
        <v>8</v>
      </c>
      <c r="J47" s="303">
        <v>3000</v>
      </c>
      <c r="K47" s="304">
        <f t="shared" si="1"/>
        <v>375</v>
      </c>
      <c r="L47" s="383">
        <v>8</v>
      </c>
      <c r="M47" s="305">
        <f t="shared" si="32"/>
        <v>2898.3333333333308</v>
      </c>
      <c r="N47" s="305">
        <f t="shared" si="3"/>
        <v>362.29166666666634</v>
      </c>
      <c r="O47" s="306">
        <f t="shared" si="4"/>
        <v>0</v>
      </c>
      <c r="P47" s="307">
        <f t="shared" si="5"/>
        <v>-12.708333333333655</v>
      </c>
      <c r="Q47" s="379">
        <f t="shared" si="6"/>
        <v>0.96611111111111025</v>
      </c>
      <c r="R47" s="583"/>
      <c r="S47" s="308">
        <v>0.52708333333333324</v>
      </c>
      <c r="T47" s="308">
        <v>0.55208333333333326</v>
      </c>
      <c r="U47" s="376">
        <f t="shared" si="34"/>
        <v>7.9999999999999716</v>
      </c>
      <c r="V47" s="384">
        <f t="shared" si="33"/>
        <v>36.000000000000028</v>
      </c>
      <c r="W47" s="310"/>
      <c r="X47" s="310"/>
      <c r="Y47" s="566"/>
      <c r="Z47" s="567"/>
      <c r="AA47" s="306">
        <f t="shared" si="8"/>
        <v>-101.66666666666924</v>
      </c>
      <c r="AB47" s="379">
        <f t="shared" si="9"/>
        <v>0.96611111111111025</v>
      </c>
      <c r="AC47" s="583"/>
    </row>
    <row r="48" spans="1:29" ht="15.75" customHeight="1">
      <c r="A48" s="586" t="s">
        <v>1689</v>
      </c>
      <c r="B48" s="300" t="s">
        <v>67</v>
      </c>
      <c r="C48" s="580" t="s">
        <v>664</v>
      </c>
      <c r="D48" s="581"/>
      <c r="E48" s="300">
        <v>34.36</v>
      </c>
      <c r="F48" s="385">
        <v>3770</v>
      </c>
      <c r="G48" s="376">
        <f t="shared" si="31"/>
        <v>129537.2</v>
      </c>
      <c r="H48" s="386" t="s">
        <v>35</v>
      </c>
      <c r="I48" s="383">
        <v>10</v>
      </c>
      <c r="J48" s="303">
        <v>3000</v>
      </c>
      <c r="K48" s="304">
        <f t="shared" si="1"/>
        <v>300</v>
      </c>
      <c r="L48" s="383">
        <v>10</v>
      </c>
      <c r="M48" s="305">
        <f t="shared" si="32"/>
        <v>2863.2911392405049</v>
      </c>
      <c r="N48" s="305">
        <f t="shared" si="3"/>
        <v>286.32911392405049</v>
      </c>
      <c r="O48" s="306">
        <f t="shared" si="4"/>
        <v>0</v>
      </c>
      <c r="P48" s="307">
        <f t="shared" si="5"/>
        <v>-13.670886075949511</v>
      </c>
      <c r="Q48" s="379">
        <f t="shared" si="6"/>
        <v>0.95443037974683498</v>
      </c>
      <c r="R48" s="583"/>
      <c r="S48" s="308">
        <v>0.55694444444444435</v>
      </c>
      <c r="T48" s="308">
        <v>0.61180555555555549</v>
      </c>
      <c r="U48" s="376">
        <f t="shared" si="34"/>
        <v>6.9999999999999751</v>
      </c>
      <c r="V48" s="384">
        <f t="shared" si="33"/>
        <v>79.000000000000043</v>
      </c>
      <c r="W48" s="310"/>
      <c r="X48" s="310"/>
      <c r="Y48" s="566"/>
      <c r="Z48" s="567"/>
      <c r="AA48" s="306">
        <f t="shared" si="8"/>
        <v>-136.70886075949511</v>
      </c>
      <c r="AB48" s="379">
        <f t="shared" si="9"/>
        <v>0.95443037974683498</v>
      </c>
      <c r="AC48" s="583"/>
    </row>
    <row r="49" spans="1:29" ht="15.75" customHeight="1">
      <c r="A49" s="587" t="s">
        <v>1689</v>
      </c>
      <c r="B49" s="300" t="s">
        <v>1683</v>
      </c>
      <c r="C49" s="568"/>
      <c r="D49" s="569"/>
      <c r="E49" s="375"/>
      <c r="F49" s="385"/>
      <c r="G49" s="376"/>
      <c r="H49" s="385"/>
      <c r="I49" s="314">
        <v>9.6666666666666661</v>
      </c>
      <c r="J49" s="303">
        <v>3000</v>
      </c>
      <c r="K49" s="304">
        <f t="shared" si="1"/>
        <v>310.34482758620692</v>
      </c>
      <c r="L49" s="314">
        <v>9.6666666666666661</v>
      </c>
      <c r="M49" s="305">
        <f>AVERAGE(M43:M48)</f>
        <v>2869.6589792056652</v>
      </c>
      <c r="N49" s="304">
        <f t="shared" si="3"/>
        <v>296.8612737109309</v>
      </c>
      <c r="O49" s="306">
        <f t="shared" si="4"/>
        <v>0</v>
      </c>
      <c r="P49" s="307">
        <f t="shared" si="5"/>
        <v>-13.483553875276016</v>
      </c>
      <c r="Q49" s="379">
        <f t="shared" si="6"/>
        <v>0.95655299306855501</v>
      </c>
      <c r="R49" s="584"/>
      <c r="S49" s="308"/>
      <c r="T49" s="308"/>
      <c r="U49" s="376"/>
      <c r="V49" s="384"/>
      <c r="W49" s="310"/>
      <c r="X49" s="310"/>
      <c r="Y49" s="566"/>
      <c r="Z49" s="567"/>
      <c r="AA49" s="306">
        <f t="shared" si="8"/>
        <v>-130.34102079433478</v>
      </c>
      <c r="AB49" s="379">
        <f t="shared" si="9"/>
        <v>0.95655299306855512</v>
      </c>
      <c r="AC49" s="584"/>
    </row>
    <row r="50" spans="1:29" ht="15.75" customHeight="1">
      <c r="A50" s="578" t="s">
        <v>1690</v>
      </c>
      <c r="B50" s="300" t="s">
        <v>40</v>
      </c>
      <c r="C50" s="565" t="s">
        <v>73</v>
      </c>
      <c r="D50" s="565"/>
      <c r="E50" s="300">
        <v>46</v>
      </c>
      <c r="F50" s="317">
        <v>2779</v>
      </c>
      <c r="G50" s="376">
        <f t="shared" ref="G50:G55" si="35">E50*F50</f>
        <v>127834</v>
      </c>
      <c r="H50" s="386" t="s">
        <v>35</v>
      </c>
      <c r="I50" s="383">
        <v>17</v>
      </c>
      <c r="J50" s="303">
        <v>2000</v>
      </c>
      <c r="K50" s="304">
        <f t="shared" si="1"/>
        <v>117.64705882352941</v>
      </c>
      <c r="L50" s="383">
        <v>17</v>
      </c>
      <c r="M50" s="305">
        <f t="shared" ref="M50:M55" si="36">F50/V50*60</f>
        <v>1916.5517241379307</v>
      </c>
      <c r="N50" s="305">
        <f t="shared" si="3"/>
        <v>112.73833671399592</v>
      </c>
      <c r="O50" s="306">
        <f t="shared" si="4"/>
        <v>0</v>
      </c>
      <c r="P50" s="307">
        <f t="shared" si="5"/>
        <v>-4.9087221095334854</v>
      </c>
      <c r="Q50" s="379">
        <f t="shared" si="6"/>
        <v>0.95827586206896542</v>
      </c>
      <c r="R50" s="571">
        <f>Q56</f>
        <v>0.96330144149563057</v>
      </c>
      <c r="S50" s="308">
        <v>0.29166666666666669</v>
      </c>
      <c r="T50" s="308">
        <v>0.35208333333333336</v>
      </c>
      <c r="U50" s="315"/>
      <c r="V50" s="384">
        <f t="shared" ref="V50:V55" si="37">(T50-S50)*24*60</f>
        <v>87.000000000000014</v>
      </c>
      <c r="W50" s="315"/>
      <c r="X50" s="315"/>
      <c r="Y50" s="570"/>
      <c r="Z50" s="570"/>
      <c r="AA50" s="306">
        <f t="shared" si="8"/>
        <v>-83.448275862069295</v>
      </c>
      <c r="AB50" s="379">
        <f t="shared" si="9"/>
        <v>0.95827586206896531</v>
      </c>
      <c r="AC50" s="571">
        <f>AB56</f>
        <v>0.96330144149563057</v>
      </c>
    </row>
    <row r="51" spans="1:29" ht="15.75" customHeight="1">
      <c r="A51" s="578" t="s">
        <v>1690</v>
      </c>
      <c r="B51" s="300" t="s">
        <v>36</v>
      </c>
      <c r="C51" s="565" t="s">
        <v>75</v>
      </c>
      <c r="D51" s="565"/>
      <c r="E51" s="300">
        <v>54.09</v>
      </c>
      <c r="F51" s="317">
        <v>753</v>
      </c>
      <c r="G51" s="376">
        <f t="shared" si="35"/>
        <v>40729.770000000004</v>
      </c>
      <c r="H51" s="386" t="s">
        <v>35</v>
      </c>
      <c r="I51" s="383">
        <v>16</v>
      </c>
      <c r="J51" s="303">
        <v>2000</v>
      </c>
      <c r="K51" s="304">
        <f t="shared" si="1"/>
        <v>125</v>
      </c>
      <c r="L51" s="383">
        <v>16</v>
      </c>
      <c r="M51" s="305">
        <f t="shared" si="36"/>
        <v>1964.3478260869565</v>
      </c>
      <c r="N51" s="305">
        <f t="shared" si="3"/>
        <v>122.77173913043478</v>
      </c>
      <c r="O51" s="306">
        <f t="shared" si="4"/>
        <v>0</v>
      </c>
      <c r="P51" s="307">
        <f t="shared" si="5"/>
        <v>-2.2282608695652186</v>
      </c>
      <c r="Q51" s="379">
        <f t="shared" si="6"/>
        <v>0.98217391304347823</v>
      </c>
      <c r="R51" s="571"/>
      <c r="S51" s="308">
        <v>0.3576388888888889</v>
      </c>
      <c r="T51" s="308">
        <v>0.37361111111111112</v>
      </c>
      <c r="U51" s="376">
        <f t="shared" ref="U51:U55" si="38">IF(S51=TIME(17,0,0),"",(S51-T50)*24*60)</f>
        <v>7.9999999999999716</v>
      </c>
      <c r="V51" s="384">
        <f t="shared" si="37"/>
        <v>23</v>
      </c>
      <c r="W51" s="310"/>
      <c r="X51" s="310"/>
      <c r="Y51" s="570"/>
      <c r="Z51" s="570"/>
      <c r="AA51" s="306">
        <f t="shared" si="8"/>
        <v>-35.652173913043498</v>
      </c>
      <c r="AB51" s="379">
        <f t="shared" si="9"/>
        <v>0.98217391304347823</v>
      </c>
      <c r="AC51" s="571"/>
    </row>
    <row r="52" spans="1:29" ht="15.75" customHeight="1">
      <c r="A52" s="578" t="s">
        <v>1690</v>
      </c>
      <c r="B52" s="300" t="s">
        <v>40</v>
      </c>
      <c r="C52" s="580" t="s">
        <v>74</v>
      </c>
      <c r="D52" s="581"/>
      <c r="E52" s="300">
        <v>46</v>
      </c>
      <c r="F52" s="317">
        <v>2920</v>
      </c>
      <c r="G52" s="376">
        <f t="shared" si="35"/>
        <v>134320</v>
      </c>
      <c r="H52" s="386" t="s">
        <v>35</v>
      </c>
      <c r="I52" s="383">
        <v>17</v>
      </c>
      <c r="J52" s="303">
        <v>2000</v>
      </c>
      <c r="K52" s="304">
        <f t="shared" si="1"/>
        <v>117.64705882352941</v>
      </c>
      <c r="L52" s="383">
        <v>17</v>
      </c>
      <c r="M52" s="305">
        <f t="shared" si="36"/>
        <v>1904.3478260869565</v>
      </c>
      <c r="N52" s="305">
        <f t="shared" si="3"/>
        <v>112.02046035805627</v>
      </c>
      <c r="O52" s="306">
        <f t="shared" si="4"/>
        <v>0</v>
      </c>
      <c r="P52" s="307">
        <f t="shared" si="5"/>
        <v>-5.6265984654731369</v>
      </c>
      <c r="Q52" s="379">
        <f t="shared" si="6"/>
        <v>0.95217391304347831</v>
      </c>
      <c r="R52" s="571"/>
      <c r="S52" s="308">
        <v>0.37708333333333333</v>
      </c>
      <c r="T52" s="308">
        <v>0.44097222222222221</v>
      </c>
      <c r="U52" s="376">
        <f t="shared" si="38"/>
        <v>4.9999999999999822</v>
      </c>
      <c r="V52" s="384">
        <f t="shared" si="37"/>
        <v>92</v>
      </c>
      <c r="W52" s="310"/>
      <c r="X52" s="310"/>
      <c r="Y52" s="377"/>
      <c r="Z52" s="378"/>
      <c r="AA52" s="306">
        <f t="shared" si="8"/>
        <v>-95.652173913043498</v>
      </c>
      <c r="AB52" s="379">
        <f t="shared" si="9"/>
        <v>0.9521739130434782</v>
      </c>
      <c r="AC52" s="571"/>
    </row>
    <row r="53" spans="1:29" ht="15.75" customHeight="1">
      <c r="A53" s="578" t="s">
        <v>1690</v>
      </c>
      <c r="B53" s="300" t="s">
        <v>36</v>
      </c>
      <c r="C53" s="381" t="s">
        <v>76</v>
      </c>
      <c r="D53" s="382"/>
      <c r="E53" s="300">
        <v>55.56</v>
      </c>
      <c r="F53" s="317">
        <v>2184</v>
      </c>
      <c r="G53" s="376">
        <f t="shared" si="35"/>
        <v>121343.04000000001</v>
      </c>
      <c r="H53" s="386" t="s">
        <v>35</v>
      </c>
      <c r="I53" s="383">
        <v>17</v>
      </c>
      <c r="J53" s="303">
        <v>2000</v>
      </c>
      <c r="K53" s="304">
        <f t="shared" si="1"/>
        <v>117.64705882352941</v>
      </c>
      <c r="L53" s="383">
        <v>17</v>
      </c>
      <c r="M53" s="305">
        <f t="shared" si="36"/>
        <v>1927.0588235294142</v>
      </c>
      <c r="N53" s="305">
        <f t="shared" si="3"/>
        <v>113.35640138408318</v>
      </c>
      <c r="O53" s="306">
        <f t="shared" si="4"/>
        <v>0</v>
      </c>
      <c r="P53" s="307">
        <f t="shared" si="5"/>
        <v>-4.2906574394462211</v>
      </c>
      <c r="Q53" s="379">
        <f t="shared" si="6"/>
        <v>0.96352941176470708</v>
      </c>
      <c r="R53" s="571"/>
      <c r="S53" s="308">
        <v>0.70833333333333337</v>
      </c>
      <c r="T53" s="308">
        <v>0.75555555555555554</v>
      </c>
      <c r="U53" s="376" t="str">
        <f t="shared" si="38"/>
        <v/>
      </c>
      <c r="V53" s="384">
        <f t="shared" si="37"/>
        <v>67.999999999999915</v>
      </c>
      <c r="W53" s="310"/>
      <c r="X53" s="310"/>
      <c r="Y53" s="377"/>
      <c r="Z53" s="378"/>
      <c r="AA53" s="306">
        <f t="shared" si="8"/>
        <v>-72.941176470585788</v>
      </c>
      <c r="AB53" s="379">
        <f t="shared" si="9"/>
        <v>0.96352941176470708</v>
      </c>
      <c r="AC53" s="571"/>
    </row>
    <row r="54" spans="1:29" ht="15.75" customHeight="1">
      <c r="A54" s="578" t="s">
        <v>1690</v>
      </c>
      <c r="B54" s="300" t="s">
        <v>36</v>
      </c>
      <c r="C54" s="381" t="s">
        <v>77</v>
      </c>
      <c r="D54" s="382"/>
      <c r="E54" s="300">
        <v>55.32</v>
      </c>
      <c r="F54" s="317">
        <v>1701</v>
      </c>
      <c r="G54" s="376">
        <f t="shared" si="35"/>
        <v>94099.32</v>
      </c>
      <c r="H54" s="386" t="s">
        <v>35</v>
      </c>
      <c r="I54" s="383">
        <v>15</v>
      </c>
      <c r="J54" s="303">
        <v>2000</v>
      </c>
      <c r="K54" s="304">
        <f t="shared" si="1"/>
        <v>133.33333333333334</v>
      </c>
      <c r="L54" s="383">
        <v>15</v>
      </c>
      <c r="M54" s="305">
        <f t="shared" si="36"/>
        <v>1925.6603773584916</v>
      </c>
      <c r="N54" s="305">
        <f t="shared" si="3"/>
        <v>128.37735849056611</v>
      </c>
      <c r="O54" s="306">
        <f t="shared" si="4"/>
        <v>0</v>
      </c>
      <c r="P54" s="307">
        <f t="shared" si="5"/>
        <v>-4.9559748427672332</v>
      </c>
      <c r="Q54" s="379">
        <f t="shared" si="6"/>
        <v>0.96283018867924575</v>
      </c>
      <c r="R54" s="571"/>
      <c r="S54" s="308">
        <v>0.75902777777777775</v>
      </c>
      <c r="T54" s="308">
        <v>0.79583333333333328</v>
      </c>
      <c r="U54" s="376">
        <f t="shared" si="38"/>
        <v>4.9999999999999822</v>
      </c>
      <c r="V54" s="384">
        <f t="shared" si="37"/>
        <v>52.999999999999972</v>
      </c>
      <c r="W54" s="310"/>
      <c r="X54" s="310"/>
      <c r="Y54" s="377"/>
      <c r="Z54" s="378"/>
      <c r="AA54" s="306">
        <f t="shared" si="8"/>
        <v>-74.339622641508413</v>
      </c>
      <c r="AB54" s="379">
        <f t="shared" si="9"/>
        <v>0.96283018867924575</v>
      </c>
      <c r="AC54" s="571"/>
    </row>
    <row r="55" spans="1:29" ht="15.75" customHeight="1">
      <c r="A55" s="578" t="s">
        <v>1690</v>
      </c>
      <c r="B55" s="300" t="s">
        <v>36</v>
      </c>
      <c r="C55" s="580" t="s">
        <v>78</v>
      </c>
      <c r="D55" s="581"/>
      <c r="E55" s="300">
        <v>57.73</v>
      </c>
      <c r="F55" s="317">
        <v>1488</v>
      </c>
      <c r="G55" s="376">
        <f t="shared" si="35"/>
        <v>85902.239999999991</v>
      </c>
      <c r="H55" s="386" t="s">
        <v>35</v>
      </c>
      <c r="I55" s="383">
        <v>16</v>
      </c>
      <c r="J55" s="303">
        <v>1500</v>
      </c>
      <c r="K55" s="304">
        <f t="shared" si="1"/>
        <v>93.75</v>
      </c>
      <c r="L55" s="383">
        <v>16</v>
      </c>
      <c r="M55" s="305">
        <f t="shared" si="36"/>
        <v>1440.0000000000014</v>
      </c>
      <c r="N55" s="305">
        <f t="shared" si="3"/>
        <v>90.000000000000085</v>
      </c>
      <c r="O55" s="306">
        <f t="shared" si="4"/>
        <v>0</v>
      </c>
      <c r="P55" s="307">
        <f t="shared" si="5"/>
        <v>-3.7499999999999147</v>
      </c>
      <c r="Q55" s="379">
        <f t="shared" si="6"/>
        <v>0.96000000000000096</v>
      </c>
      <c r="R55" s="571"/>
      <c r="S55" s="308">
        <v>0.80069444444444438</v>
      </c>
      <c r="T55" s="308">
        <v>0.84374999999999989</v>
      </c>
      <c r="U55" s="376">
        <f t="shared" si="38"/>
        <v>6.9999999999999751</v>
      </c>
      <c r="V55" s="384">
        <f t="shared" si="37"/>
        <v>61.999999999999943</v>
      </c>
      <c r="W55" s="310"/>
      <c r="X55" s="310"/>
      <c r="Y55" s="566"/>
      <c r="Z55" s="567"/>
      <c r="AA55" s="306">
        <f t="shared" si="8"/>
        <v>-59.999999999998636</v>
      </c>
      <c r="AB55" s="379">
        <f t="shared" si="9"/>
        <v>0.96000000000000096</v>
      </c>
      <c r="AC55" s="571"/>
    </row>
    <row r="56" spans="1:29">
      <c r="A56" s="579" t="s">
        <v>1690</v>
      </c>
      <c r="B56" s="300" t="s">
        <v>1683</v>
      </c>
      <c r="C56" s="572"/>
      <c r="D56" s="572"/>
      <c r="E56" s="380"/>
      <c r="F56" s="313"/>
      <c r="G56" s="304"/>
      <c r="H56" s="385"/>
      <c r="I56" s="314">
        <v>16.333333333333332</v>
      </c>
      <c r="J56" s="303">
        <v>1916.6666666666667</v>
      </c>
      <c r="K56" s="304">
        <f t="shared" si="1"/>
        <v>117.34693877551021</v>
      </c>
      <c r="L56" s="314">
        <v>16.333333333333332</v>
      </c>
      <c r="M56" s="305">
        <f>AVERAGE(M50:M55)</f>
        <v>1846.3277628666253</v>
      </c>
      <c r="N56" s="304">
        <f t="shared" si="3"/>
        <v>113.0404752775485</v>
      </c>
      <c r="O56" s="306">
        <f t="shared" si="4"/>
        <v>0</v>
      </c>
      <c r="P56" s="307">
        <f t="shared" si="5"/>
        <v>-4.3064634979617153</v>
      </c>
      <c r="Q56" s="379">
        <f t="shared" si="6"/>
        <v>0.96330144149563057</v>
      </c>
      <c r="R56" s="571"/>
      <c r="S56" s="322"/>
      <c r="T56" s="308"/>
      <c r="U56" s="304"/>
      <c r="V56" s="384"/>
      <c r="W56" s="304"/>
      <c r="X56" s="304"/>
      <c r="Y56" s="570"/>
      <c r="Z56" s="570"/>
      <c r="AA56" s="306">
        <f t="shared" si="8"/>
        <v>-70.338903800041408</v>
      </c>
      <c r="AB56" s="379">
        <f t="shared" si="9"/>
        <v>0.96330144149563057</v>
      </c>
      <c r="AC56" s="571"/>
    </row>
    <row r="57" spans="1:29" ht="15.75" customHeight="1">
      <c r="A57" s="576" t="s">
        <v>1691</v>
      </c>
      <c r="B57" s="385" t="s">
        <v>40</v>
      </c>
      <c r="C57" s="565" t="s">
        <v>82</v>
      </c>
      <c r="D57" s="565"/>
      <c r="E57" s="300">
        <v>26.97</v>
      </c>
      <c r="F57" s="317">
        <v>3254</v>
      </c>
      <c r="G57" s="376">
        <f t="shared" ref="G57:G60" si="39">E57*F57</f>
        <v>87760.37999999999</v>
      </c>
      <c r="H57" s="386" t="s">
        <v>35</v>
      </c>
      <c r="I57" s="383">
        <v>8</v>
      </c>
      <c r="J57" s="303">
        <v>1500</v>
      </c>
      <c r="K57" s="304">
        <f t="shared" si="1"/>
        <v>187.5</v>
      </c>
      <c r="L57" s="383">
        <v>8</v>
      </c>
      <c r="M57" s="305">
        <f t="shared" ref="M57:M60" si="40">F57/V57*60</f>
        <v>1435.5882352941169</v>
      </c>
      <c r="N57" s="304">
        <f t="shared" si="3"/>
        <v>179.44852941176461</v>
      </c>
      <c r="O57" s="306">
        <f t="shared" si="4"/>
        <v>0</v>
      </c>
      <c r="P57" s="307">
        <f t="shared" si="5"/>
        <v>-8.0514705882353894</v>
      </c>
      <c r="Q57" s="379">
        <f t="shared" si="6"/>
        <v>0.9570588235294113</v>
      </c>
      <c r="R57" s="571">
        <f>Q61</f>
        <v>0.95784712597452604</v>
      </c>
      <c r="S57" s="308">
        <v>0.20833333333333334</v>
      </c>
      <c r="T57" s="308">
        <v>0.30277777777777781</v>
      </c>
      <c r="U57" s="376"/>
      <c r="V57" s="384">
        <f t="shared" ref="V57:V60" si="41">(T57-S57)*24*60</f>
        <v>136.00000000000006</v>
      </c>
      <c r="W57" s="315"/>
      <c r="X57" s="315"/>
      <c r="Y57" s="570"/>
      <c r="Z57" s="570"/>
      <c r="AA57" s="306">
        <f t="shared" si="8"/>
        <v>-64.411764705883115</v>
      </c>
      <c r="AB57" s="379">
        <f t="shared" si="9"/>
        <v>0.9570588235294113</v>
      </c>
      <c r="AC57" s="571">
        <f>AB61</f>
        <v>0.95784712597452604</v>
      </c>
    </row>
    <row r="58" spans="1:29" ht="15.75" customHeight="1">
      <c r="A58" s="576" t="s">
        <v>1691</v>
      </c>
      <c r="B58" s="385" t="s">
        <v>67</v>
      </c>
      <c r="C58" s="565" t="s">
        <v>79</v>
      </c>
      <c r="D58" s="565"/>
      <c r="E58" s="300">
        <v>26.78</v>
      </c>
      <c r="F58" s="317">
        <v>2849</v>
      </c>
      <c r="G58" s="376">
        <f t="shared" si="39"/>
        <v>76296.22</v>
      </c>
      <c r="H58" s="386" t="s">
        <v>35</v>
      </c>
      <c r="I58" s="383">
        <v>10</v>
      </c>
      <c r="J58" s="303">
        <v>3000</v>
      </c>
      <c r="K58" s="304">
        <f t="shared" si="1"/>
        <v>300</v>
      </c>
      <c r="L58" s="383">
        <v>10</v>
      </c>
      <c r="M58" s="305">
        <f t="shared" si="40"/>
        <v>2897.2881355932191</v>
      </c>
      <c r="N58" s="304">
        <f t="shared" si="3"/>
        <v>289.72881355932191</v>
      </c>
      <c r="O58" s="306">
        <f t="shared" si="4"/>
        <v>0</v>
      </c>
      <c r="P58" s="307">
        <f t="shared" si="5"/>
        <v>-10.271186440678093</v>
      </c>
      <c r="Q58" s="379">
        <f t="shared" si="6"/>
        <v>0.96576271186440632</v>
      </c>
      <c r="R58" s="571"/>
      <c r="S58" s="308">
        <v>0.30694444444444446</v>
      </c>
      <c r="T58" s="308">
        <v>0.34791666666666671</v>
      </c>
      <c r="U58" s="376">
        <f t="shared" ref="U58:U60" si="42">(S58-T57)*24*60</f>
        <v>5.9999999999999787</v>
      </c>
      <c r="V58" s="384">
        <f t="shared" si="41"/>
        <v>59.000000000000028</v>
      </c>
      <c r="W58" s="376"/>
      <c r="X58" s="376"/>
      <c r="Y58" s="570"/>
      <c r="Z58" s="570"/>
      <c r="AA58" s="306">
        <f t="shared" si="8"/>
        <v>-102.71186440678093</v>
      </c>
      <c r="AB58" s="379">
        <f t="shared" si="9"/>
        <v>0.96576271186440632</v>
      </c>
      <c r="AC58" s="571"/>
    </row>
    <row r="59" spans="1:29" ht="15.75" customHeight="1">
      <c r="A59" s="576" t="s">
        <v>1691</v>
      </c>
      <c r="B59" s="385" t="s">
        <v>67</v>
      </c>
      <c r="C59" s="565" t="s">
        <v>83</v>
      </c>
      <c r="D59" s="565"/>
      <c r="E59" s="300">
        <v>35.369999999999997</v>
      </c>
      <c r="F59" s="317">
        <v>1572</v>
      </c>
      <c r="G59" s="376">
        <f t="shared" si="39"/>
        <v>55601.64</v>
      </c>
      <c r="H59" s="386" t="s">
        <v>35</v>
      </c>
      <c r="I59" s="383">
        <v>10</v>
      </c>
      <c r="J59" s="303">
        <v>3000</v>
      </c>
      <c r="K59" s="304">
        <f t="shared" si="1"/>
        <v>300</v>
      </c>
      <c r="L59" s="383">
        <v>10</v>
      </c>
      <c r="M59" s="305">
        <f t="shared" si="40"/>
        <v>2858.1818181818212</v>
      </c>
      <c r="N59" s="304">
        <f t="shared" si="3"/>
        <v>285.8181818181821</v>
      </c>
      <c r="O59" s="306">
        <f t="shared" si="4"/>
        <v>0</v>
      </c>
      <c r="P59" s="307">
        <f t="shared" si="5"/>
        <v>-14.181818181817903</v>
      </c>
      <c r="Q59" s="379">
        <f t="shared" si="6"/>
        <v>0.95272727272727364</v>
      </c>
      <c r="R59" s="571"/>
      <c r="S59" s="308">
        <v>0.35208333333333336</v>
      </c>
      <c r="T59" s="308">
        <v>0.375</v>
      </c>
      <c r="U59" s="376">
        <f t="shared" si="42"/>
        <v>5.9999999999999787</v>
      </c>
      <c r="V59" s="384">
        <f t="shared" si="41"/>
        <v>32.999999999999964</v>
      </c>
      <c r="W59" s="376"/>
      <c r="X59" s="376"/>
      <c r="Y59" s="570"/>
      <c r="Z59" s="570"/>
      <c r="AA59" s="306">
        <f t="shared" si="8"/>
        <v>-141.8181818181788</v>
      </c>
      <c r="AB59" s="379">
        <f t="shared" si="9"/>
        <v>0.95272727272727376</v>
      </c>
      <c r="AC59" s="571"/>
    </row>
    <row r="60" spans="1:29" ht="15.75" customHeight="1">
      <c r="A60" s="576" t="s">
        <v>1691</v>
      </c>
      <c r="B60" s="385" t="s">
        <v>67</v>
      </c>
      <c r="C60" s="565" t="s">
        <v>666</v>
      </c>
      <c r="D60" s="565"/>
      <c r="E60" s="300">
        <v>37.880000000000003</v>
      </c>
      <c r="F60" s="317">
        <v>4825</v>
      </c>
      <c r="G60" s="376">
        <f t="shared" si="39"/>
        <v>182771</v>
      </c>
      <c r="H60" s="386" t="s">
        <v>35</v>
      </c>
      <c r="I60" s="383">
        <v>11</v>
      </c>
      <c r="J60" s="303">
        <v>3000</v>
      </c>
      <c r="K60" s="304">
        <f t="shared" si="1"/>
        <v>272.72727272727275</v>
      </c>
      <c r="L60" s="383">
        <v>11</v>
      </c>
      <c r="M60" s="305">
        <f t="shared" si="40"/>
        <v>2866.3366336633671</v>
      </c>
      <c r="N60" s="304">
        <f t="shared" si="3"/>
        <v>260.57605760576064</v>
      </c>
      <c r="O60" s="306">
        <f t="shared" si="4"/>
        <v>0</v>
      </c>
      <c r="P60" s="307">
        <f t="shared" si="5"/>
        <v>-12.151215121512109</v>
      </c>
      <c r="Q60" s="379">
        <f t="shared" si="6"/>
        <v>0.95544554455445563</v>
      </c>
      <c r="R60" s="571"/>
      <c r="S60" s="308">
        <v>0.37916666666666665</v>
      </c>
      <c r="T60" s="308">
        <v>0.44930555555555551</v>
      </c>
      <c r="U60" s="376">
        <f t="shared" si="42"/>
        <v>5.9999999999999787</v>
      </c>
      <c r="V60" s="384">
        <f t="shared" si="41"/>
        <v>100.99999999999996</v>
      </c>
      <c r="W60" s="376"/>
      <c r="X60" s="376"/>
      <c r="Y60" s="570"/>
      <c r="Z60" s="570"/>
      <c r="AA60" s="306">
        <f t="shared" si="8"/>
        <v>-133.66336633663286</v>
      </c>
      <c r="AB60" s="379">
        <f t="shared" si="9"/>
        <v>0.95544554455445574</v>
      </c>
      <c r="AC60" s="571"/>
    </row>
    <row r="61" spans="1:29">
      <c r="A61" s="577" t="s">
        <v>1691</v>
      </c>
      <c r="B61" s="300" t="s">
        <v>1683</v>
      </c>
      <c r="C61" s="572"/>
      <c r="D61" s="572"/>
      <c r="E61" s="380"/>
      <c r="F61" s="313"/>
      <c r="G61" s="304"/>
      <c r="H61" s="385"/>
      <c r="I61" s="314">
        <v>9.75</v>
      </c>
      <c r="J61" s="303">
        <v>2625</v>
      </c>
      <c r="K61" s="304">
        <f t="shared" si="1"/>
        <v>269.23076923076923</v>
      </c>
      <c r="L61" s="314">
        <v>9.75</v>
      </c>
      <c r="M61" s="305">
        <f>AVERAGE(M57:M60)</f>
        <v>2514.3487056831309</v>
      </c>
      <c r="N61" s="304">
        <f t="shared" si="3"/>
        <v>257.88191853160316</v>
      </c>
      <c r="O61" s="306">
        <f t="shared" si="4"/>
        <v>0</v>
      </c>
      <c r="P61" s="307">
        <f t="shared" si="5"/>
        <v>-11.348850699166064</v>
      </c>
      <c r="Q61" s="379">
        <f t="shared" si="6"/>
        <v>0.95784712597452604</v>
      </c>
      <c r="R61" s="571"/>
      <c r="S61" s="308"/>
      <c r="T61" s="308"/>
      <c r="U61" s="304"/>
      <c r="V61" s="384"/>
      <c r="W61" s="304"/>
      <c r="X61" s="304"/>
      <c r="Y61" s="570"/>
      <c r="Z61" s="570"/>
      <c r="AA61" s="306">
        <f t="shared" si="8"/>
        <v>-110.6512943168691</v>
      </c>
      <c r="AB61" s="379">
        <f t="shared" si="9"/>
        <v>0.95784712597452604</v>
      </c>
      <c r="AC61" s="571"/>
    </row>
    <row r="62" spans="1:29" ht="15.75" customHeight="1">
      <c r="A62" s="573" t="s">
        <v>1692</v>
      </c>
      <c r="B62" s="385" t="s">
        <v>46</v>
      </c>
      <c r="C62" s="565" t="s">
        <v>84</v>
      </c>
      <c r="D62" s="565"/>
      <c r="E62" s="300">
        <v>20.2</v>
      </c>
      <c r="F62" s="385">
        <v>2524</v>
      </c>
      <c r="G62" s="376">
        <f t="shared" ref="G62:G71" si="43">E62*F62</f>
        <v>50984.799999999996</v>
      </c>
      <c r="H62" s="386" t="s">
        <v>35</v>
      </c>
      <c r="I62" s="383">
        <v>19</v>
      </c>
      <c r="J62" s="303">
        <v>2400</v>
      </c>
      <c r="K62" s="304">
        <f t="shared" si="1"/>
        <v>126.31578947368421</v>
      </c>
      <c r="L62" s="383">
        <v>19</v>
      </c>
      <c r="M62" s="305">
        <f t="shared" ref="M62:M71" si="44">F62/V62*60</f>
        <v>2294.5454545454545</v>
      </c>
      <c r="N62" s="304">
        <f t="shared" si="3"/>
        <v>120.76555023923444</v>
      </c>
      <c r="O62" s="306">
        <f t="shared" si="4"/>
        <v>0</v>
      </c>
      <c r="P62" s="307">
        <f t="shared" si="5"/>
        <v>-5.5502392344497622</v>
      </c>
      <c r="Q62" s="379">
        <f t="shared" si="6"/>
        <v>0.95606060606060606</v>
      </c>
      <c r="R62" s="571">
        <f>Q72</f>
        <v>0.9564330533437394</v>
      </c>
      <c r="S62" s="308">
        <v>0.125</v>
      </c>
      <c r="T62" s="308">
        <v>0.17083333333333334</v>
      </c>
      <c r="U62" s="315"/>
      <c r="V62" s="384">
        <f t="shared" ref="V62:V71" si="45">(T62-S62)*24*60</f>
        <v>66</v>
      </c>
      <c r="W62" s="310">
        <f>T62</f>
        <v>0.17083333333333334</v>
      </c>
      <c r="X62" s="310">
        <f>S63</f>
        <v>0.18888888888888888</v>
      </c>
      <c r="Y62" s="570"/>
      <c r="Z62" s="570"/>
      <c r="AA62" s="306">
        <f t="shared" si="8"/>
        <v>-105.4545454545455</v>
      </c>
      <c r="AB62" s="379">
        <f t="shared" si="9"/>
        <v>0.95606060606060606</v>
      </c>
      <c r="AC62" s="571">
        <f>AB72</f>
        <v>0.9564330533437394</v>
      </c>
    </row>
    <row r="63" spans="1:29" ht="15.75" customHeight="1">
      <c r="A63" s="574" t="s">
        <v>1692</v>
      </c>
      <c r="B63" s="385" t="s">
        <v>46</v>
      </c>
      <c r="C63" s="565" t="s">
        <v>85</v>
      </c>
      <c r="D63" s="565"/>
      <c r="E63" s="300">
        <v>19.02</v>
      </c>
      <c r="F63" s="385">
        <v>4500</v>
      </c>
      <c r="G63" s="376">
        <f t="shared" si="43"/>
        <v>85590</v>
      </c>
      <c r="H63" s="386">
        <v>2</v>
      </c>
      <c r="I63" s="383">
        <v>15</v>
      </c>
      <c r="J63" s="303">
        <v>2400</v>
      </c>
      <c r="K63" s="304">
        <f t="shared" si="1"/>
        <v>160</v>
      </c>
      <c r="L63" s="383">
        <v>15</v>
      </c>
      <c r="M63" s="305">
        <f t="shared" si="44"/>
        <v>2288.1355932203396</v>
      </c>
      <c r="N63" s="304">
        <f t="shared" si="3"/>
        <v>152.54237288135599</v>
      </c>
      <c r="O63" s="306">
        <f t="shared" si="4"/>
        <v>0</v>
      </c>
      <c r="P63" s="307">
        <f t="shared" si="5"/>
        <v>-7.4576271186440124</v>
      </c>
      <c r="Q63" s="379">
        <f t="shared" si="6"/>
        <v>0.95338983050847492</v>
      </c>
      <c r="R63" s="571"/>
      <c r="S63" s="308">
        <v>0.18888888888888888</v>
      </c>
      <c r="T63" s="308">
        <v>0.27083333333333331</v>
      </c>
      <c r="U63" s="376">
        <f t="shared" ref="U63:U71" si="46">(S63-T62)*24*60</f>
        <v>25.999999999999986</v>
      </c>
      <c r="V63" s="384">
        <f t="shared" si="45"/>
        <v>117.99999999999999</v>
      </c>
      <c r="W63" s="310"/>
      <c r="X63" s="310"/>
      <c r="Y63" s="570"/>
      <c r="Z63" s="570"/>
      <c r="AA63" s="306">
        <f t="shared" si="8"/>
        <v>-111.86440677966038</v>
      </c>
      <c r="AB63" s="379">
        <f t="shared" si="9"/>
        <v>0.95338983050847481</v>
      </c>
      <c r="AC63" s="571"/>
    </row>
    <row r="64" spans="1:29" ht="15.75" customHeight="1">
      <c r="A64" s="574" t="s">
        <v>1692</v>
      </c>
      <c r="B64" s="385" t="s">
        <v>46</v>
      </c>
      <c r="C64" s="565" t="s">
        <v>88</v>
      </c>
      <c r="D64" s="565"/>
      <c r="E64" s="300">
        <v>24.25</v>
      </c>
      <c r="F64" s="385">
        <v>3289</v>
      </c>
      <c r="G64" s="376">
        <f t="shared" si="43"/>
        <v>79758.25</v>
      </c>
      <c r="H64" s="386" t="s">
        <v>35</v>
      </c>
      <c r="I64" s="383">
        <v>17</v>
      </c>
      <c r="J64" s="303">
        <v>2400</v>
      </c>
      <c r="K64" s="304">
        <f t="shared" si="1"/>
        <v>141.1764705882353</v>
      </c>
      <c r="L64" s="383">
        <v>17</v>
      </c>
      <c r="M64" s="305">
        <f t="shared" si="44"/>
        <v>2294.6511627906975</v>
      </c>
      <c r="N64" s="304">
        <f t="shared" si="3"/>
        <v>134.97948016415867</v>
      </c>
      <c r="O64" s="306">
        <f t="shared" si="4"/>
        <v>0</v>
      </c>
      <c r="P64" s="307">
        <f t="shared" si="5"/>
        <v>-6.1969904240766311</v>
      </c>
      <c r="Q64" s="379">
        <f t="shared" si="6"/>
        <v>0.95610465116279053</v>
      </c>
      <c r="R64" s="571"/>
      <c r="S64" s="308">
        <v>0.27499999999999997</v>
      </c>
      <c r="T64" s="308">
        <v>0.3347222222222222</v>
      </c>
      <c r="U64" s="376">
        <f t="shared" si="46"/>
        <v>5.9999999999999787</v>
      </c>
      <c r="V64" s="384">
        <f t="shared" si="45"/>
        <v>86.000000000000014</v>
      </c>
      <c r="W64" s="310"/>
      <c r="X64" s="310"/>
      <c r="Y64" s="570"/>
      <c r="Z64" s="570"/>
      <c r="AA64" s="306">
        <f t="shared" si="8"/>
        <v>-105.34883720930247</v>
      </c>
      <c r="AB64" s="379">
        <f t="shared" si="9"/>
        <v>0.95610465116279064</v>
      </c>
      <c r="AC64" s="571"/>
    </row>
    <row r="65" spans="1:29" ht="15.75" customHeight="1">
      <c r="A65" s="574" t="s">
        <v>1692</v>
      </c>
      <c r="B65" s="385" t="s">
        <v>46</v>
      </c>
      <c r="C65" s="565" t="s">
        <v>47</v>
      </c>
      <c r="D65" s="565"/>
      <c r="E65" s="300">
        <v>24.45</v>
      </c>
      <c r="F65" s="385">
        <v>2404</v>
      </c>
      <c r="G65" s="376">
        <f t="shared" si="43"/>
        <v>58777.799999999996</v>
      </c>
      <c r="H65" s="386" t="s">
        <v>35</v>
      </c>
      <c r="I65" s="383">
        <v>20</v>
      </c>
      <c r="J65" s="303">
        <v>2400</v>
      </c>
      <c r="K65" s="304">
        <f t="shared" si="1"/>
        <v>120</v>
      </c>
      <c r="L65" s="383">
        <v>20</v>
      </c>
      <c r="M65" s="305">
        <f t="shared" si="44"/>
        <v>2289.5238095238092</v>
      </c>
      <c r="N65" s="304">
        <f t="shared" si="3"/>
        <v>114.47619047619045</v>
      </c>
      <c r="O65" s="306">
        <f t="shared" si="4"/>
        <v>0</v>
      </c>
      <c r="P65" s="307">
        <f t="shared" si="5"/>
        <v>-5.5238095238095468</v>
      </c>
      <c r="Q65" s="379">
        <f t="shared" si="6"/>
        <v>0.9539682539682538</v>
      </c>
      <c r="R65" s="571"/>
      <c r="S65" s="308">
        <v>0.33819444444444441</v>
      </c>
      <c r="T65" s="308">
        <v>0.38194444444444442</v>
      </c>
      <c r="U65" s="376">
        <f t="shared" si="46"/>
        <v>4.9999999999999822</v>
      </c>
      <c r="V65" s="384">
        <f t="shared" si="45"/>
        <v>63.000000000000014</v>
      </c>
      <c r="W65" s="310"/>
      <c r="X65" s="310"/>
      <c r="Y65" s="570"/>
      <c r="Z65" s="570"/>
      <c r="AA65" s="306">
        <f t="shared" si="8"/>
        <v>-110.47619047619082</v>
      </c>
      <c r="AB65" s="379">
        <f t="shared" si="9"/>
        <v>0.9539682539682538</v>
      </c>
      <c r="AC65" s="571"/>
    </row>
    <row r="66" spans="1:29" ht="15.75" customHeight="1">
      <c r="A66" s="574" t="s">
        <v>1692</v>
      </c>
      <c r="B66" s="385" t="s">
        <v>46</v>
      </c>
      <c r="C66" s="565" t="s">
        <v>66</v>
      </c>
      <c r="D66" s="565"/>
      <c r="E66" s="300">
        <v>24.25</v>
      </c>
      <c r="F66" s="385">
        <v>2900</v>
      </c>
      <c r="G66" s="376">
        <f t="shared" si="43"/>
        <v>70325</v>
      </c>
      <c r="H66" s="386">
        <v>2</v>
      </c>
      <c r="I66" s="383">
        <v>14</v>
      </c>
      <c r="J66" s="303">
        <v>2400</v>
      </c>
      <c r="K66" s="304">
        <f t="shared" si="1"/>
        <v>171.42857142857142</v>
      </c>
      <c r="L66" s="383">
        <v>14</v>
      </c>
      <c r="M66" s="305">
        <f t="shared" si="44"/>
        <v>2289.4736842105272</v>
      </c>
      <c r="N66" s="304">
        <f t="shared" si="3"/>
        <v>163.53383458646621</v>
      </c>
      <c r="O66" s="306">
        <f t="shared" si="4"/>
        <v>0</v>
      </c>
      <c r="P66" s="307">
        <f t="shared" si="5"/>
        <v>-7.8947368421052033</v>
      </c>
      <c r="Q66" s="379">
        <f t="shared" si="6"/>
        <v>0.95394736842105299</v>
      </c>
      <c r="R66" s="571"/>
      <c r="S66" s="308">
        <v>0.38541666666666663</v>
      </c>
      <c r="T66" s="308">
        <v>0.43819444444444439</v>
      </c>
      <c r="U66" s="376">
        <f t="shared" si="46"/>
        <v>4.9999999999999822</v>
      </c>
      <c r="V66" s="384">
        <f t="shared" si="45"/>
        <v>75.999999999999972</v>
      </c>
      <c r="W66" s="310"/>
      <c r="X66" s="310"/>
      <c r="Y66" s="570"/>
      <c r="Z66" s="570"/>
      <c r="AA66" s="306">
        <f t="shared" si="8"/>
        <v>-110.52631578947285</v>
      </c>
      <c r="AB66" s="379">
        <f t="shared" si="9"/>
        <v>0.95394736842105299</v>
      </c>
      <c r="AC66" s="571"/>
    </row>
    <row r="67" spans="1:29" ht="15.75" customHeight="1">
      <c r="A67" s="574" t="s">
        <v>1692</v>
      </c>
      <c r="B67" s="385" t="s">
        <v>46</v>
      </c>
      <c r="C67" s="565" t="s">
        <v>58</v>
      </c>
      <c r="D67" s="565"/>
      <c r="E67" s="300">
        <v>25.98</v>
      </c>
      <c r="F67" s="385">
        <v>1555</v>
      </c>
      <c r="G67" s="376">
        <f t="shared" si="43"/>
        <v>40398.9</v>
      </c>
      <c r="H67" s="386" t="s">
        <v>35</v>
      </c>
      <c r="I67" s="383">
        <v>17</v>
      </c>
      <c r="J67" s="303">
        <v>2400</v>
      </c>
      <c r="K67" s="304">
        <f t="shared" si="1"/>
        <v>141.1764705882353</v>
      </c>
      <c r="L67" s="383">
        <v>17</v>
      </c>
      <c r="M67" s="305">
        <f t="shared" si="44"/>
        <v>2332.4999999999991</v>
      </c>
      <c r="N67" s="304">
        <f t="shared" si="3"/>
        <v>137.20588235294113</v>
      </c>
      <c r="O67" s="306">
        <f t="shared" si="4"/>
        <v>0</v>
      </c>
      <c r="P67" s="307">
        <f t="shared" si="5"/>
        <v>-3.9705882352941728</v>
      </c>
      <c r="Q67" s="379">
        <f t="shared" si="6"/>
        <v>0.9718749999999996</v>
      </c>
      <c r="R67" s="571"/>
      <c r="S67" s="308">
        <v>0.4416666666666666</v>
      </c>
      <c r="T67" s="308">
        <v>0.46944444444444439</v>
      </c>
      <c r="U67" s="376">
        <f t="shared" si="46"/>
        <v>4.9999999999999822</v>
      </c>
      <c r="V67" s="384">
        <f t="shared" si="45"/>
        <v>40.000000000000014</v>
      </c>
      <c r="W67" s="310"/>
      <c r="X67" s="310"/>
      <c r="Y67" s="570"/>
      <c r="Z67" s="570"/>
      <c r="AA67" s="306">
        <f t="shared" si="8"/>
        <v>-67.500000000000909</v>
      </c>
      <c r="AB67" s="379">
        <f t="shared" si="9"/>
        <v>0.9718749999999996</v>
      </c>
      <c r="AC67" s="571"/>
    </row>
    <row r="68" spans="1:29" ht="15.75" customHeight="1">
      <c r="A68" s="574" t="s">
        <v>1692</v>
      </c>
      <c r="B68" s="385" t="s">
        <v>46</v>
      </c>
      <c r="C68" s="565" t="s">
        <v>57</v>
      </c>
      <c r="D68" s="565"/>
      <c r="E68" s="300">
        <v>20.52</v>
      </c>
      <c r="F68" s="385">
        <v>2100</v>
      </c>
      <c r="G68" s="376">
        <f t="shared" si="43"/>
        <v>43092</v>
      </c>
      <c r="H68" s="386">
        <v>2</v>
      </c>
      <c r="I68" s="383">
        <v>18</v>
      </c>
      <c r="J68" s="303">
        <v>2400</v>
      </c>
      <c r="K68" s="304">
        <f t="shared" si="1"/>
        <v>133.33333333333334</v>
      </c>
      <c r="L68" s="383">
        <v>18</v>
      </c>
      <c r="M68" s="305">
        <f t="shared" si="44"/>
        <v>2290.9090909090892</v>
      </c>
      <c r="N68" s="304">
        <f t="shared" si="3"/>
        <v>127.27272727272718</v>
      </c>
      <c r="O68" s="306">
        <f t="shared" si="4"/>
        <v>0</v>
      </c>
      <c r="P68" s="307">
        <f t="shared" si="5"/>
        <v>-6.0606060606061618</v>
      </c>
      <c r="Q68" s="379">
        <f t="shared" si="6"/>
        <v>0.95454545454545381</v>
      </c>
      <c r="R68" s="571"/>
      <c r="S68" s="308">
        <v>0.47499999999999992</v>
      </c>
      <c r="T68" s="308">
        <v>0.5131944444444444</v>
      </c>
      <c r="U68" s="376">
        <f t="shared" si="46"/>
        <v>7.9999999999999716</v>
      </c>
      <c r="V68" s="384">
        <f t="shared" si="45"/>
        <v>55.000000000000043</v>
      </c>
      <c r="W68" s="310">
        <f>T68</f>
        <v>0.5131944444444444</v>
      </c>
      <c r="X68" s="310">
        <f>S69</f>
        <v>0.55208333333333326</v>
      </c>
      <c r="Y68" s="566"/>
      <c r="Z68" s="567"/>
      <c r="AA68" s="306">
        <f t="shared" si="8"/>
        <v>-109.09090909091083</v>
      </c>
      <c r="AB68" s="379">
        <f t="shared" si="9"/>
        <v>0.95454545454545381</v>
      </c>
      <c r="AC68" s="571"/>
    </row>
    <row r="69" spans="1:29" ht="15.75" customHeight="1">
      <c r="A69" s="574" t="s">
        <v>1692</v>
      </c>
      <c r="B69" s="385" t="s">
        <v>46</v>
      </c>
      <c r="C69" s="565" t="s">
        <v>85</v>
      </c>
      <c r="D69" s="565"/>
      <c r="E69" s="300">
        <v>19.02</v>
      </c>
      <c r="F69" s="385">
        <v>6569</v>
      </c>
      <c r="G69" s="376">
        <f t="shared" si="43"/>
        <v>124942.37999999999</v>
      </c>
      <c r="H69" s="386" t="s">
        <v>35</v>
      </c>
      <c r="I69" s="383">
        <v>15</v>
      </c>
      <c r="J69" s="303">
        <v>2400</v>
      </c>
      <c r="K69" s="304">
        <f t="shared" ref="K69:K72" si="47">J69/I69</f>
        <v>160</v>
      </c>
      <c r="L69" s="383">
        <v>15</v>
      </c>
      <c r="M69" s="305">
        <f t="shared" si="44"/>
        <v>2291.5116279069762</v>
      </c>
      <c r="N69" s="304">
        <f t="shared" ref="N69:N72" si="48">M69/L69</f>
        <v>152.76744186046508</v>
      </c>
      <c r="O69" s="306">
        <f t="shared" ref="O69:O72" si="49">L69-I69</f>
        <v>0</v>
      </c>
      <c r="P69" s="307">
        <f t="shared" ref="P69:P72" si="50">N69-K69</f>
        <v>-7.2325581395349161</v>
      </c>
      <c r="Q69" s="379">
        <f t="shared" ref="Q69:Q72" si="51">N69/K69</f>
        <v>0.9547965116279068</v>
      </c>
      <c r="R69" s="571"/>
      <c r="S69" s="308">
        <v>0.55208333333333326</v>
      </c>
      <c r="T69" s="308">
        <v>0.67152777777777772</v>
      </c>
      <c r="U69" s="376">
        <f t="shared" si="46"/>
        <v>55.999999999999957</v>
      </c>
      <c r="V69" s="384">
        <f t="shared" si="45"/>
        <v>172.00000000000003</v>
      </c>
      <c r="W69" s="310"/>
      <c r="X69" s="310"/>
      <c r="Y69" s="566"/>
      <c r="Z69" s="567"/>
      <c r="AA69" s="306">
        <f t="shared" ref="AA69:AA72" si="52">M69-J69</f>
        <v>-108.48837209302383</v>
      </c>
      <c r="AB69" s="379">
        <f t="shared" ref="AB69:AB72" si="53">M69/J69</f>
        <v>0.95479651162790669</v>
      </c>
      <c r="AC69" s="571"/>
    </row>
    <row r="70" spans="1:29" ht="15.75" customHeight="1">
      <c r="A70" s="574" t="s">
        <v>1692</v>
      </c>
      <c r="B70" s="385" t="s">
        <v>46</v>
      </c>
      <c r="C70" s="565" t="s">
        <v>66</v>
      </c>
      <c r="D70" s="565"/>
      <c r="E70" s="300">
        <v>24.25</v>
      </c>
      <c r="F70" s="385">
        <v>1905</v>
      </c>
      <c r="G70" s="376">
        <f t="shared" si="43"/>
        <v>46196.25</v>
      </c>
      <c r="H70" s="386" t="s">
        <v>35</v>
      </c>
      <c r="I70" s="383">
        <v>14</v>
      </c>
      <c r="J70" s="303">
        <v>2400</v>
      </c>
      <c r="K70" s="304">
        <f t="shared" si="47"/>
        <v>171.42857142857142</v>
      </c>
      <c r="L70" s="383">
        <v>14</v>
      </c>
      <c r="M70" s="305">
        <f t="shared" si="44"/>
        <v>2286.0000000000005</v>
      </c>
      <c r="N70" s="304">
        <f t="shared" si="48"/>
        <v>163.28571428571431</v>
      </c>
      <c r="O70" s="306">
        <f t="shared" si="49"/>
        <v>0</v>
      </c>
      <c r="P70" s="307">
        <f t="shared" si="50"/>
        <v>-8.1428571428571104</v>
      </c>
      <c r="Q70" s="379">
        <f t="shared" si="51"/>
        <v>0.95250000000000024</v>
      </c>
      <c r="R70" s="571"/>
      <c r="S70" s="308">
        <v>0.67638888888888882</v>
      </c>
      <c r="T70" s="308">
        <v>0.71111111111111103</v>
      </c>
      <c r="U70" s="376">
        <f t="shared" si="46"/>
        <v>6.9999999999999751</v>
      </c>
      <c r="V70" s="384">
        <f t="shared" si="45"/>
        <v>49.999999999999986</v>
      </c>
      <c r="W70" s="310"/>
      <c r="X70" s="310"/>
      <c r="Y70" s="566"/>
      <c r="Z70" s="567"/>
      <c r="AA70" s="306">
        <f t="shared" si="52"/>
        <v>-113.99999999999955</v>
      </c>
      <c r="AB70" s="379">
        <f t="shared" si="53"/>
        <v>0.95250000000000024</v>
      </c>
      <c r="AC70" s="571"/>
    </row>
    <row r="71" spans="1:29" ht="15.75" customHeight="1">
      <c r="A71" s="574" t="s">
        <v>1692</v>
      </c>
      <c r="B71" s="385" t="s">
        <v>46</v>
      </c>
      <c r="C71" s="565" t="s">
        <v>57</v>
      </c>
      <c r="D71" s="565"/>
      <c r="E71" s="300">
        <v>20.52</v>
      </c>
      <c r="F71" s="385">
        <v>1340</v>
      </c>
      <c r="G71" s="376">
        <f t="shared" si="43"/>
        <v>27496.799999999999</v>
      </c>
      <c r="H71" s="386" t="s">
        <v>35</v>
      </c>
      <c r="I71" s="383">
        <v>18</v>
      </c>
      <c r="J71" s="303">
        <v>2400</v>
      </c>
      <c r="K71" s="304">
        <f t="shared" si="47"/>
        <v>133.33333333333334</v>
      </c>
      <c r="L71" s="383">
        <v>18</v>
      </c>
      <c r="M71" s="305">
        <f t="shared" si="44"/>
        <v>2297.1428571428551</v>
      </c>
      <c r="N71" s="304">
        <f t="shared" si="48"/>
        <v>127.61904761904751</v>
      </c>
      <c r="O71" s="306">
        <f t="shared" si="49"/>
        <v>0</v>
      </c>
      <c r="P71" s="307">
        <f t="shared" si="50"/>
        <v>-5.7142857142858361</v>
      </c>
      <c r="Q71" s="379">
        <f t="shared" si="51"/>
        <v>0.95714285714285618</v>
      </c>
      <c r="R71" s="571"/>
      <c r="S71" s="308">
        <v>0.71597222222222212</v>
      </c>
      <c r="T71" s="308">
        <v>0.7402777777777777</v>
      </c>
      <c r="U71" s="376">
        <f t="shared" si="46"/>
        <v>6.9999999999999751</v>
      </c>
      <c r="V71" s="384">
        <f t="shared" si="45"/>
        <v>35.000000000000036</v>
      </c>
      <c r="W71" s="310"/>
      <c r="X71" s="310"/>
      <c r="Y71" s="566"/>
      <c r="Z71" s="567"/>
      <c r="AA71" s="306">
        <f t="shared" si="52"/>
        <v>-102.85714285714494</v>
      </c>
      <c r="AB71" s="379">
        <f t="shared" si="53"/>
        <v>0.9571428571428563</v>
      </c>
      <c r="AC71" s="571"/>
    </row>
    <row r="72" spans="1:29" ht="16.5" customHeight="1">
      <c r="A72" s="575" t="s">
        <v>1692</v>
      </c>
      <c r="B72" s="300" t="s">
        <v>1683</v>
      </c>
      <c r="C72" s="568"/>
      <c r="D72" s="569"/>
      <c r="E72" s="380"/>
      <c r="F72" s="313"/>
      <c r="G72" s="304"/>
      <c r="H72" s="385"/>
      <c r="I72" s="314">
        <v>16.7</v>
      </c>
      <c r="J72" s="303">
        <v>2400</v>
      </c>
      <c r="K72" s="304">
        <f t="shared" si="47"/>
        <v>143.7125748502994</v>
      </c>
      <c r="L72" s="314">
        <v>16.7</v>
      </c>
      <c r="M72" s="305">
        <f>AVERAGE(M62:M71)</f>
        <v>2295.4393280249747</v>
      </c>
      <c r="N72" s="304">
        <f t="shared" si="48"/>
        <v>137.45145676796255</v>
      </c>
      <c r="O72" s="306">
        <f t="shared" si="49"/>
        <v>0</v>
      </c>
      <c r="P72" s="307">
        <f t="shared" si="50"/>
        <v>-6.26111808233685</v>
      </c>
      <c r="Q72" s="379">
        <f t="shared" si="51"/>
        <v>0.9564330533437394</v>
      </c>
      <c r="R72" s="571"/>
      <c r="S72" s="308"/>
      <c r="T72" s="308"/>
      <c r="U72" s="304"/>
      <c r="V72" s="384"/>
      <c r="W72" s="304"/>
      <c r="X72" s="304"/>
      <c r="Y72" s="570"/>
      <c r="Z72" s="570"/>
      <c r="AA72" s="306">
        <f t="shared" si="52"/>
        <v>-104.56067197502534</v>
      </c>
      <c r="AB72" s="379">
        <f t="shared" si="53"/>
        <v>0.9564330533437394</v>
      </c>
      <c r="AC72" s="571"/>
    </row>
    <row r="73" spans="1:29">
      <c r="D73" s="323"/>
      <c r="E73" s="323"/>
    </row>
  </sheetData>
  <mergeCells count="192">
    <mergeCell ref="O3:O4"/>
    <mergeCell ref="S1:X2"/>
    <mergeCell ref="Y1:Z2"/>
    <mergeCell ref="AA1:AC2"/>
    <mergeCell ref="A3:A4"/>
    <mergeCell ref="B3:B4"/>
    <mergeCell ref="C3:D4"/>
    <mergeCell ref="E3:E4"/>
    <mergeCell ref="F3:F4"/>
    <mergeCell ref="G3:G4"/>
    <mergeCell ref="I1:K2"/>
    <mergeCell ref="L1:N2"/>
    <mergeCell ref="O1:R2"/>
    <mergeCell ref="P3:P4"/>
    <mergeCell ref="Q3:Q4"/>
    <mergeCell ref="R3:R4"/>
    <mergeCell ref="S3:T3"/>
    <mergeCell ref="H3:H4"/>
    <mergeCell ref="I3:I4"/>
    <mergeCell ref="J3:J4"/>
    <mergeCell ref="K3:K4"/>
    <mergeCell ref="L3:L4"/>
    <mergeCell ref="M3:M4"/>
    <mergeCell ref="Y18:Z18"/>
    <mergeCell ref="C8:D8"/>
    <mergeCell ref="Y8:Z8"/>
    <mergeCell ref="A9:A12"/>
    <mergeCell ref="C9:D9"/>
    <mergeCell ref="R9:R12"/>
    <mergeCell ref="Y9:Z9"/>
    <mergeCell ref="AC3:AC4"/>
    <mergeCell ref="A5:A8"/>
    <mergeCell ref="C5:D5"/>
    <mergeCell ref="R5:R8"/>
    <mergeCell ref="Y5:Z5"/>
    <mergeCell ref="AC5:AC8"/>
    <mergeCell ref="C6:D6"/>
    <mergeCell ref="Y6:Z6"/>
    <mergeCell ref="C7:D7"/>
    <mergeCell ref="Y7:Z7"/>
    <mergeCell ref="U3:U4"/>
    <mergeCell ref="V3:V4"/>
    <mergeCell ref="W3:X3"/>
    <mergeCell ref="Y3:Z4"/>
    <mergeCell ref="AA3:AA4"/>
    <mergeCell ref="AB3:AB4"/>
    <mergeCell ref="N3:N4"/>
    <mergeCell ref="AC9:AC12"/>
    <mergeCell ref="C10:D10"/>
    <mergeCell ref="Y10:Z10"/>
    <mergeCell ref="C11:D11"/>
    <mergeCell ref="Y11:Z11"/>
    <mergeCell ref="C12:D12"/>
    <mergeCell ref="Y12:Z12"/>
    <mergeCell ref="Y16:Z16"/>
    <mergeCell ref="C17:D17"/>
    <mergeCell ref="Y17:Z17"/>
    <mergeCell ref="A19:A23"/>
    <mergeCell ref="C19:D19"/>
    <mergeCell ref="R19:R23"/>
    <mergeCell ref="Y19:Z19"/>
    <mergeCell ref="A13:A18"/>
    <mergeCell ref="C13:D13"/>
    <mergeCell ref="R13:R18"/>
    <mergeCell ref="Y13:Z13"/>
    <mergeCell ref="AC19:AC23"/>
    <mergeCell ref="C20:D20"/>
    <mergeCell ref="Y20:Z20"/>
    <mergeCell ref="C21:D21"/>
    <mergeCell ref="Y21:Z21"/>
    <mergeCell ref="C22:D22"/>
    <mergeCell ref="Y22:Z22"/>
    <mergeCell ref="C23:D23"/>
    <mergeCell ref="Y23:Z23"/>
    <mergeCell ref="AC13:AC18"/>
    <mergeCell ref="C14:D14"/>
    <mergeCell ref="Y14:Z14"/>
    <mergeCell ref="C15:D15"/>
    <mergeCell ref="Y15:Z15"/>
    <mergeCell ref="C16:D16"/>
    <mergeCell ref="C18:D18"/>
    <mergeCell ref="Y29:Z29"/>
    <mergeCell ref="C30:D30"/>
    <mergeCell ref="Y30:Z30"/>
    <mergeCell ref="A24:A33"/>
    <mergeCell ref="C24:D24"/>
    <mergeCell ref="R24:R33"/>
    <mergeCell ref="Y24:Z24"/>
    <mergeCell ref="C25:D25"/>
    <mergeCell ref="Y25:Z25"/>
    <mergeCell ref="C26:D26"/>
    <mergeCell ref="Y26:Z26"/>
    <mergeCell ref="C27:D27"/>
    <mergeCell ref="AC34:AC42"/>
    <mergeCell ref="C35:D35"/>
    <mergeCell ref="Y35:Z35"/>
    <mergeCell ref="C36:D36"/>
    <mergeCell ref="Y36:Z36"/>
    <mergeCell ref="C37:D37"/>
    <mergeCell ref="C31:D31"/>
    <mergeCell ref="Y31:Z31"/>
    <mergeCell ref="C32:D32"/>
    <mergeCell ref="Y32:Z32"/>
    <mergeCell ref="C33:D33"/>
    <mergeCell ref="Y33:Z33"/>
    <mergeCell ref="AC24:AC33"/>
    <mergeCell ref="Y37:Z37"/>
    <mergeCell ref="C38:D38"/>
    <mergeCell ref="Y38:Z38"/>
    <mergeCell ref="C39:D39"/>
    <mergeCell ref="Y39:Z39"/>
    <mergeCell ref="C40:D40"/>
    <mergeCell ref="Y40:Z40"/>
    <mergeCell ref="Y27:Z27"/>
    <mergeCell ref="C28:D28"/>
    <mergeCell ref="Y28:Z28"/>
    <mergeCell ref="C29:D29"/>
    <mergeCell ref="A34:A42"/>
    <mergeCell ref="C34:D34"/>
    <mergeCell ref="R34:R42"/>
    <mergeCell ref="Y34:Z34"/>
    <mergeCell ref="C41:D41"/>
    <mergeCell ref="Y41:Z41"/>
    <mergeCell ref="C42:D42"/>
    <mergeCell ref="Y42:Z42"/>
    <mergeCell ref="A43:A49"/>
    <mergeCell ref="C43:D43"/>
    <mergeCell ref="R43:R49"/>
    <mergeCell ref="Y43:Z43"/>
    <mergeCell ref="Y48:Z48"/>
    <mergeCell ref="C49:D49"/>
    <mergeCell ref="Y58:Z58"/>
    <mergeCell ref="C59:D59"/>
    <mergeCell ref="AC43:AC49"/>
    <mergeCell ref="C44:D44"/>
    <mergeCell ref="Y44:Z44"/>
    <mergeCell ref="C45:D45"/>
    <mergeCell ref="Y45:Z45"/>
    <mergeCell ref="C46:D46"/>
    <mergeCell ref="Y46:Z46"/>
    <mergeCell ref="C47:D47"/>
    <mergeCell ref="Y47:Z47"/>
    <mergeCell ref="C48:D48"/>
    <mergeCell ref="Y49:Z49"/>
    <mergeCell ref="C67:D67"/>
    <mergeCell ref="Y67:Z67"/>
    <mergeCell ref="A62:A72"/>
    <mergeCell ref="C62:D62"/>
    <mergeCell ref="R62:R72"/>
    <mergeCell ref="Y62:Z62"/>
    <mergeCell ref="AC50:AC56"/>
    <mergeCell ref="C51:D51"/>
    <mergeCell ref="Y51:Z51"/>
    <mergeCell ref="C52:D52"/>
    <mergeCell ref="C55:D55"/>
    <mergeCell ref="Y55:Z55"/>
    <mergeCell ref="C56:D56"/>
    <mergeCell ref="Y56:Z56"/>
    <mergeCell ref="A57:A61"/>
    <mergeCell ref="C57:D57"/>
    <mergeCell ref="R57:R61"/>
    <mergeCell ref="Y57:Z57"/>
    <mergeCell ref="A50:A56"/>
    <mergeCell ref="C50:D50"/>
    <mergeCell ref="R50:R56"/>
    <mergeCell ref="Y50:Z50"/>
    <mergeCell ref="AC57:AC61"/>
    <mergeCell ref="C58:D58"/>
    <mergeCell ref="C68:D68"/>
    <mergeCell ref="Y68:Z68"/>
    <mergeCell ref="Y59:Z59"/>
    <mergeCell ref="C60:D60"/>
    <mergeCell ref="Y60:Z60"/>
    <mergeCell ref="C61:D61"/>
    <mergeCell ref="Y61:Z61"/>
    <mergeCell ref="AC62:AC72"/>
    <mergeCell ref="C63:D63"/>
    <mergeCell ref="Y63:Z63"/>
    <mergeCell ref="C64:D64"/>
    <mergeCell ref="Y64:Z64"/>
    <mergeCell ref="C65:D65"/>
    <mergeCell ref="C72:D72"/>
    <mergeCell ref="Y72:Z72"/>
    <mergeCell ref="C69:D69"/>
    <mergeCell ref="Y69:Z69"/>
    <mergeCell ref="C70:D70"/>
    <mergeCell ref="Y70:Z70"/>
    <mergeCell ref="C71:D71"/>
    <mergeCell ref="Y71:Z71"/>
    <mergeCell ref="Y65:Z65"/>
    <mergeCell ref="C66:D66"/>
    <mergeCell ref="Y66:Z66"/>
  </mergeCells>
  <phoneticPr fontId="3" type="noConversion"/>
  <conditionalFormatting sqref="O60:O67 O72 O5:O9 O12:O14 O18:O31 O33:O57">
    <cfRule type="cellIs" dxfId="1351" priority="61" operator="greaterThan">
      <formula>0</formula>
    </cfRule>
  </conditionalFormatting>
  <conditionalFormatting sqref="P5:P7 P60 AA60 P62:P67 P24:P31 P57 P9 P12:P14 P19:P22 P50:P55 P34:P48 AA5:AA57 AA62:AA72">
    <cfRule type="cellIs" dxfId="1350" priority="65" operator="lessThan">
      <formula>0</formula>
    </cfRule>
  </conditionalFormatting>
  <conditionalFormatting sqref="AB60 Q60:Q67 Q72 Q5:Q9 Q12:Q14 Q18:Q31 Q33:Q57 AB5:AB57 AB62:AB72">
    <cfRule type="cellIs" dxfId="1349" priority="62" operator="greaterThan">
      <formula>1</formula>
    </cfRule>
    <cfRule type="cellIs" dxfId="1348" priority="63" operator="lessThan">
      <formula>0.8</formula>
    </cfRule>
  </conditionalFormatting>
  <conditionalFormatting sqref="AC13:AC14 R13:R14 AC60 R60:R67 AC18:AC31 R18:R31 R72 AC5:AC9 R5:R9 AC33:AC57 R33:R57">
    <cfRule type="cellIs" dxfId="1347" priority="67" operator="lessThan">
      <formula>0.8</formula>
    </cfRule>
  </conditionalFormatting>
  <conditionalFormatting sqref="AC43">
    <cfRule type="cellIs" dxfId="1346" priority="69" operator="lessThan">
      <formula>0.8</formula>
    </cfRule>
  </conditionalFormatting>
  <conditionalFormatting sqref="AC19:AC22">
    <cfRule type="cellIs" dxfId="1345" priority="66" operator="lessThan">
      <formula>0.8</formula>
    </cfRule>
  </conditionalFormatting>
  <conditionalFormatting sqref="AC24">
    <cfRule type="cellIs" dxfId="1344" priority="68" operator="lessThan">
      <formula>0.8</formula>
    </cfRule>
  </conditionalFormatting>
  <conditionalFormatting sqref="AC34:AC41">
    <cfRule type="cellIs" dxfId="1343" priority="64" operator="lessThan">
      <formula>0.8</formula>
    </cfRule>
  </conditionalFormatting>
  <conditionalFormatting sqref="AA61">
    <cfRule type="cellIs" dxfId="1342" priority="60" operator="lessThan">
      <formula>0</formula>
    </cfRule>
  </conditionalFormatting>
  <conditionalFormatting sqref="AB61">
    <cfRule type="cellIs" dxfId="1341" priority="58" operator="greaterThan">
      <formula>1</formula>
    </cfRule>
    <cfRule type="cellIs" dxfId="1340" priority="59" operator="lessThan">
      <formula>0.8</formula>
    </cfRule>
  </conditionalFormatting>
  <conditionalFormatting sqref="O15:O16">
    <cfRule type="cellIs" dxfId="1339" priority="53" operator="greaterThan">
      <formula>0</formula>
    </cfRule>
  </conditionalFormatting>
  <conditionalFormatting sqref="P15:P16">
    <cfRule type="cellIs" dxfId="1338" priority="56" operator="lessThan">
      <formula>0</formula>
    </cfRule>
  </conditionalFormatting>
  <conditionalFormatting sqref="Q15:Q16">
    <cfRule type="cellIs" dxfId="1337" priority="54" operator="greaterThan">
      <formula>1</formula>
    </cfRule>
    <cfRule type="cellIs" dxfId="1336" priority="55" operator="lessThan">
      <formula>0.8</formula>
    </cfRule>
  </conditionalFormatting>
  <conditionalFormatting sqref="R15:R16 AC15:AC16">
    <cfRule type="cellIs" dxfId="1335" priority="57" operator="lessThan">
      <formula>0.8</formula>
    </cfRule>
  </conditionalFormatting>
  <conditionalFormatting sqref="O10:O11">
    <cfRule type="cellIs" dxfId="1334" priority="49" operator="greaterThan">
      <formula>0</formula>
    </cfRule>
  </conditionalFormatting>
  <conditionalFormatting sqref="P10:P11">
    <cfRule type="cellIs" dxfId="1333" priority="52" operator="lessThan">
      <formula>0</formula>
    </cfRule>
  </conditionalFormatting>
  <conditionalFormatting sqref="Q10:Q11">
    <cfRule type="cellIs" dxfId="1332" priority="50" operator="greaterThan">
      <formula>1</formula>
    </cfRule>
    <cfRule type="cellIs" dxfId="1331" priority="51" operator="lessThan">
      <formula>0.8</formula>
    </cfRule>
  </conditionalFormatting>
  <conditionalFormatting sqref="O59">
    <cfRule type="cellIs" dxfId="1330" priority="44" operator="greaterThan">
      <formula>0</formula>
    </cfRule>
  </conditionalFormatting>
  <conditionalFormatting sqref="P59 AA59">
    <cfRule type="cellIs" dxfId="1329" priority="47" operator="lessThan">
      <formula>0</formula>
    </cfRule>
  </conditionalFormatting>
  <conditionalFormatting sqref="Q59 AB59">
    <cfRule type="cellIs" dxfId="1328" priority="45" operator="greaterThan">
      <formula>1</formula>
    </cfRule>
    <cfRule type="cellIs" dxfId="1327" priority="46" operator="lessThan">
      <formula>0.8</formula>
    </cfRule>
  </conditionalFormatting>
  <conditionalFormatting sqref="R59 AC59">
    <cfRule type="cellIs" dxfId="1326" priority="48" operator="lessThan">
      <formula>0.8</formula>
    </cfRule>
  </conditionalFormatting>
  <conditionalFormatting sqref="O32">
    <cfRule type="cellIs" dxfId="1325" priority="39" operator="greaterThan">
      <formula>0</formula>
    </cfRule>
  </conditionalFormatting>
  <conditionalFormatting sqref="P32">
    <cfRule type="cellIs" dxfId="1324" priority="42" operator="lessThan">
      <formula>0</formula>
    </cfRule>
  </conditionalFormatting>
  <conditionalFormatting sqref="Q32">
    <cfRule type="cellIs" dxfId="1323" priority="40" operator="greaterThan">
      <formula>1</formula>
    </cfRule>
    <cfRule type="cellIs" dxfId="1322" priority="41" operator="lessThan">
      <formula>0.8</formula>
    </cfRule>
  </conditionalFormatting>
  <conditionalFormatting sqref="R32 AC32">
    <cfRule type="cellIs" dxfId="1321" priority="43" operator="lessThan">
      <formula>0.8</formula>
    </cfRule>
  </conditionalFormatting>
  <conditionalFormatting sqref="O68">
    <cfRule type="cellIs" dxfId="1320" priority="34" operator="greaterThan">
      <formula>0</formula>
    </cfRule>
  </conditionalFormatting>
  <conditionalFormatting sqref="P68">
    <cfRule type="cellIs" dxfId="1319" priority="37" operator="lessThan">
      <formula>0</formula>
    </cfRule>
  </conditionalFormatting>
  <conditionalFormatting sqref="Q68">
    <cfRule type="cellIs" dxfId="1318" priority="35" operator="greaterThan">
      <formula>1</formula>
    </cfRule>
    <cfRule type="cellIs" dxfId="1317" priority="36" operator="lessThan">
      <formula>0.8</formula>
    </cfRule>
  </conditionalFormatting>
  <conditionalFormatting sqref="R68">
    <cfRule type="cellIs" dxfId="1316" priority="38" operator="lessThan">
      <formula>0.8</formula>
    </cfRule>
  </conditionalFormatting>
  <conditionalFormatting sqref="O17">
    <cfRule type="cellIs" dxfId="1315" priority="29" operator="greaterThan">
      <formula>0</formula>
    </cfRule>
  </conditionalFormatting>
  <conditionalFormatting sqref="P17">
    <cfRule type="cellIs" dxfId="1314" priority="32" operator="lessThan">
      <formula>0</formula>
    </cfRule>
  </conditionalFormatting>
  <conditionalFormatting sqref="Q17">
    <cfRule type="cellIs" dxfId="1313" priority="30" operator="greaterThan">
      <formula>1</formula>
    </cfRule>
    <cfRule type="cellIs" dxfId="1312" priority="31" operator="lessThan">
      <formula>0.8</formula>
    </cfRule>
  </conditionalFormatting>
  <conditionalFormatting sqref="R17 AC17">
    <cfRule type="cellIs" dxfId="1311" priority="33" operator="lessThan">
      <formula>0.8</formula>
    </cfRule>
  </conditionalFormatting>
  <conditionalFormatting sqref="O58">
    <cfRule type="cellIs" dxfId="1310" priority="24" operator="greaterThan">
      <formula>0</formula>
    </cfRule>
  </conditionalFormatting>
  <conditionalFormatting sqref="P58 AA58">
    <cfRule type="cellIs" dxfId="1309" priority="27" operator="lessThan">
      <formula>0</formula>
    </cfRule>
  </conditionalFormatting>
  <conditionalFormatting sqref="Q58 AB58">
    <cfRule type="cellIs" dxfId="1308" priority="25" operator="greaterThan">
      <formula>1</formula>
    </cfRule>
    <cfRule type="cellIs" dxfId="1307" priority="26" operator="lessThan">
      <formula>0.8</formula>
    </cfRule>
  </conditionalFormatting>
  <conditionalFormatting sqref="R58 AC58">
    <cfRule type="cellIs" dxfId="1306" priority="28" operator="lessThan">
      <formula>0.8</formula>
    </cfRule>
  </conditionalFormatting>
  <conditionalFormatting sqref="P8">
    <cfRule type="cellIs" dxfId="1305" priority="23" operator="lessThan">
      <formula>0</formula>
    </cfRule>
  </conditionalFormatting>
  <conditionalFormatting sqref="P18">
    <cfRule type="cellIs" dxfId="1304" priority="22" operator="lessThan">
      <formula>0</formula>
    </cfRule>
  </conditionalFormatting>
  <conditionalFormatting sqref="P23">
    <cfRule type="cellIs" dxfId="1303" priority="21" operator="lessThan">
      <formula>0</formula>
    </cfRule>
  </conditionalFormatting>
  <conditionalFormatting sqref="P33">
    <cfRule type="cellIs" dxfId="1302" priority="20" operator="lessThan">
      <formula>0</formula>
    </cfRule>
  </conditionalFormatting>
  <conditionalFormatting sqref="P49">
    <cfRule type="cellIs" dxfId="1301" priority="19" operator="lessThan">
      <formula>0</formula>
    </cfRule>
  </conditionalFormatting>
  <conditionalFormatting sqref="P56">
    <cfRule type="cellIs" dxfId="1300" priority="18" operator="lessThan">
      <formula>0</formula>
    </cfRule>
  </conditionalFormatting>
  <conditionalFormatting sqref="P61">
    <cfRule type="cellIs" dxfId="1299" priority="17" operator="lessThan">
      <formula>0</formula>
    </cfRule>
  </conditionalFormatting>
  <conditionalFormatting sqref="P72">
    <cfRule type="cellIs" dxfId="1298" priority="16" operator="lessThan">
      <formula>0</formula>
    </cfRule>
  </conditionalFormatting>
  <conditionalFormatting sqref="O69">
    <cfRule type="cellIs" dxfId="1297" priority="11" operator="greaterThan">
      <formula>0</formula>
    </cfRule>
  </conditionalFormatting>
  <conditionalFormatting sqref="P69">
    <cfRule type="cellIs" dxfId="1296" priority="14" operator="lessThan">
      <formula>0</formula>
    </cfRule>
  </conditionalFormatting>
  <conditionalFormatting sqref="Q69">
    <cfRule type="cellIs" dxfId="1295" priority="12" operator="greaterThan">
      <formula>1</formula>
    </cfRule>
    <cfRule type="cellIs" dxfId="1294" priority="13" operator="lessThan">
      <formula>0.8</formula>
    </cfRule>
  </conditionalFormatting>
  <conditionalFormatting sqref="R69">
    <cfRule type="cellIs" dxfId="1293" priority="15" operator="lessThan">
      <formula>0.8</formula>
    </cfRule>
  </conditionalFormatting>
  <conditionalFormatting sqref="O70">
    <cfRule type="cellIs" dxfId="1292" priority="6" operator="greaterThan">
      <formula>0</formula>
    </cfRule>
  </conditionalFormatting>
  <conditionalFormatting sqref="P70">
    <cfRule type="cellIs" dxfId="1291" priority="9" operator="lessThan">
      <formula>0</formula>
    </cfRule>
  </conditionalFormatting>
  <conditionalFormatting sqref="Q70">
    <cfRule type="cellIs" dxfId="1290" priority="7" operator="greaterThan">
      <formula>1</formula>
    </cfRule>
    <cfRule type="cellIs" dxfId="1289" priority="8" operator="lessThan">
      <formula>0.8</formula>
    </cfRule>
  </conditionalFormatting>
  <conditionalFormatting sqref="R70">
    <cfRule type="cellIs" dxfId="1288" priority="10" operator="lessThan">
      <formula>0.8</formula>
    </cfRule>
  </conditionalFormatting>
  <conditionalFormatting sqref="O71">
    <cfRule type="cellIs" dxfId="1287" priority="1" operator="greaterThan">
      <formula>0</formula>
    </cfRule>
  </conditionalFormatting>
  <conditionalFormatting sqref="P71">
    <cfRule type="cellIs" dxfId="1286" priority="4" operator="lessThan">
      <formula>0</formula>
    </cfRule>
  </conditionalFormatting>
  <conditionalFormatting sqref="Q71">
    <cfRule type="cellIs" dxfId="1285" priority="2" operator="greaterThan">
      <formula>1</formula>
    </cfRule>
    <cfRule type="cellIs" dxfId="1284" priority="3" operator="lessThan">
      <formula>0.8</formula>
    </cfRule>
  </conditionalFormatting>
  <conditionalFormatting sqref="R71">
    <cfRule type="cellIs" dxfId="1283" priority="5" operator="lessThan">
      <formula>0.8</formula>
    </cfRule>
  </conditionalFormatting>
  <dataValidations count="1">
    <dataValidation type="list" allowBlank="1" showInputMessage="1" showErrorMessage="1" sqref="Z8 Y5:Z7 Y8:Y60 Z10:Z57 Y61:Z72">
      <formula1>#REF!</formula1>
    </dataValidation>
  </dataValidations>
  <pageMargins left="0" right="0" top="0" bottom="0" header="0" footer="0"/>
  <pageSetup paperSize="9" scale="11" orientation="landscape" horizontalDpi="300" verticalDpi="300" r:id="rId1"/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工作表18"/>
  <dimension ref="B1:Q28"/>
  <sheetViews>
    <sheetView zoomScale="85" zoomScaleNormal="85" workbookViewId="0">
      <selection activeCell="P14" sqref="P14"/>
    </sheetView>
  </sheetViews>
  <sheetFormatPr defaultColWidth="8.75" defaultRowHeight="15.75"/>
  <cols>
    <col min="1" max="1" width="8.75" style="30"/>
    <col min="2" max="2" width="17.875" style="30" customWidth="1"/>
    <col min="3" max="3" width="9.25" style="37" customWidth="1"/>
    <col min="4" max="13" width="12.625" style="30" customWidth="1"/>
    <col min="14" max="14" width="11" style="30" bestFit="1" customWidth="1"/>
    <col min="15" max="15" width="17.75" style="30" bestFit="1" customWidth="1"/>
    <col min="16" max="16" width="12.25" style="30" bestFit="1" customWidth="1"/>
    <col min="17" max="22" width="9.25" style="30" customWidth="1"/>
    <col min="23" max="23" width="10.75" style="30" customWidth="1"/>
    <col min="24" max="24" width="11" style="30" customWidth="1"/>
    <col min="25" max="16384" width="8.75" style="30"/>
  </cols>
  <sheetData>
    <row r="1" spans="2:17" ht="27.75" customHeight="1">
      <c r="B1" s="552" t="s">
        <v>1561</v>
      </c>
      <c r="C1" s="552"/>
      <c r="D1" s="552"/>
      <c r="E1" s="552"/>
      <c r="F1" s="552"/>
      <c r="G1" s="552"/>
      <c r="H1" s="552"/>
      <c r="I1" s="552"/>
      <c r="J1" s="552"/>
      <c r="K1" s="29"/>
      <c r="L1" s="29"/>
      <c r="M1" s="29"/>
      <c r="N1" s="29"/>
      <c r="O1" s="29"/>
      <c r="P1" s="29"/>
    </row>
    <row r="2" spans="2:17" ht="27.75" customHeight="1">
      <c r="B2" s="553"/>
      <c r="C2" s="553"/>
      <c r="D2" s="553"/>
      <c r="E2" s="553"/>
      <c r="F2" s="553"/>
      <c r="G2" s="553"/>
      <c r="H2" s="553"/>
      <c r="I2" s="553"/>
      <c r="J2" s="553"/>
      <c r="K2" s="31"/>
      <c r="L2" s="31"/>
      <c r="M2" s="31"/>
      <c r="N2" s="29"/>
      <c r="O2" s="29"/>
      <c r="P2" s="29"/>
    </row>
    <row r="3" spans="2:17" ht="46.5" customHeight="1">
      <c r="B3" s="32" t="s">
        <v>113</v>
      </c>
      <c r="C3" s="554" t="str">
        <f>TEXT('1021 4度C'!A2,"yyyy.mm.ddaaaa")</f>
        <v>2025.10.21星期二</v>
      </c>
      <c r="D3" s="555"/>
      <c r="E3" s="32" t="s">
        <v>1562</v>
      </c>
      <c r="F3" s="556">
        <f>'1021 4度C'!D1</f>
        <v>193955</v>
      </c>
      <c r="G3" s="557"/>
      <c r="H3" s="32" t="s">
        <v>1563</v>
      </c>
      <c r="I3" s="558">
        <f>'1021 4度C'!F1</f>
        <v>6356878.6900000023</v>
      </c>
      <c r="J3" s="559"/>
      <c r="K3" s="33"/>
      <c r="L3" s="34"/>
      <c r="M3" s="35"/>
      <c r="N3" s="35"/>
    </row>
    <row r="4" spans="2:17" ht="28.5" customHeight="1">
      <c r="B4" s="560" t="s">
        <v>1564</v>
      </c>
      <c r="C4" s="542" t="s">
        <v>115</v>
      </c>
      <c r="D4" s="543"/>
      <c r="E4" s="563" t="s">
        <v>116</v>
      </c>
      <c r="F4" s="564"/>
      <c r="G4" s="563" t="s">
        <v>1565</v>
      </c>
      <c r="H4" s="564"/>
      <c r="I4" s="563" t="s">
        <v>1566</v>
      </c>
      <c r="J4" s="564"/>
      <c r="L4" s="35"/>
      <c r="M4" s="35"/>
      <c r="N4" s="35"/>
    </row>
    <row r="5" spans="2:17" ht="28.5" customHeight="1">
      <c r="B5" s="561"/>
      <c r="C5" s="542" t="s">
        <v>119</v>
      </c>
      <c r="D5" s="543"/>
      <c r="E5" s="542" t="s">
        <v>1567</v>
      </c>
      <c r="F5" s="543"/>
      <c r="G5" s="544" t="s">
        <v>1568</v>
      </c>
      <c r="H5" s="545"/>
      <c r="I5" s="546" t="s">
        <v>91</v>
      </c>
      <c r="J5" s="547"/>
      <c r="K5" s="35"/>
      <c r="L5" s="35"/>
      <c r="M5" s="35"/>
      <c r="N5" s="35"/>
    </row>
    <row r="6" spans="2:17" ht="28.5" customHeight="1">
      <c r="B6" s="561"/>
      <c r="C6" s="542" t="s">
        <v>92</v>
      </c>
      <c r="D6" s="543"/>
      <c r="E6" s="548">
        <f>AVERAGE(D13:M13)</f>
        <v>153.62878885616655</v>
      </c>
      <c r="F6" s="549">
        <f>AVERAGE(D27:O27,D13:J13)</f>
        <v>160.53073559986109</v>
      </c>
      <c r="G6" s="550">
        <f>AVERAGE(D13:J13)</f>
        <v>160.53073559986109</v>
      </c>
      <c r="H6" s="551"/>
      <c r="I6" s="550">
        <f>AVERAGE(K13:M13)</f>
        <v>137.5242464542126</v>
      </c>
      <c r="J6" s="551"/>
      <c r="K6" s="35"/>
      <c r="L6" s="35"/>
      <c r="M6" s="35"/>
      <c r="N6" s="35"/>
    </row>
    <row r="7" spans="2:17" ht="28.5" customHeight="1">
      <c r="B7" s="561"/>
      <c r="C7" s="532" t="s">
        <v>93</v>
      </c>
      <c r="D7" s="533"/>
      <c r="E7" s="534">
        <f>AVERAGE(D14:M14)</f>
        <v>147.07324433146874</v>
      </c>
      <c r="F7" s="535">
        <f>AVERAGE(D28:O28,D14:J14)</f>
        <v>153.65012040297179</v>
      </c>
      <c r="G7" s="536">
        <f>AVERAGE(D14:J14)</f>
        <v>153.65012040297179</v>
      </c>
      <c r="H7" s="537"/>
      <c r="I7" s="536">
        <f>AVERAGE(K14:M14)</f>
        <v>131.7272001646283</v>
      </c>
      <c r="J7" s="537"/>
      <c r="K7" s="35"/>
      <c r="L7" s="35"/>
      <c r="M7" s="35"/>
      <c r="N7" s="35"/>
    </row>
    <row r="8" spans="2:17" ht="28.5" customHeight="1">
      <c r="B8" s="562"/>
      <c r="C8" s="532" t="s">
        <v>94</v>
      </c>
      <c r="D8" s="533"/>
      <c r="E8" s="538">
        <f>AVERAGE(D15:M15)</f>
        <v>0.957407023576479</v>
      </c>
      <c r="F8" s="539">
        <f>AVERAGE(D15:J15,D29:O29)</f>
        <v>0.95722095332655333</v>
      </c>
      <c r="G8" s="540">
        <f>AVERAGE(D15:J15)</f>
        <v>0.95722095332655333</v>
      </c>
      <c r="H8" s="541"/>
      <c r="I8" s="540">
        <f>AVERAGE(K15:M15)</f>
        <v>0.95784118749297209</v>
      </c>
      <c r="J8" s="541"/>
      <c r="K8" s="36" t="s">
        <v>1569</v>
      </c>
      <c r="L8" s="35"/>
      <c r="M8" s="35"/>
      <c r="N8" s="35"/>
    </row>
    <row r="9" spans="2:17" ht="28.5" customHeight="1" thickBot="1">
      <c r="H9" s="38"/>
      <c r="N9" s="35"/>
      <c r="O9" s="35"/>
      <c r="P9" s="35"/>
      <c r="Q9" s="35"/>
    </row>
    <row r="10" spans="2:17" ht="30" customHeight="1">
      <c r="B10" s="515" t="s">
        <v>1570</v>
      </c>
      <c r="C10" s="516"/>
      <c r="D10" s="517" t="s">
        <v>1571</v>
      </c>
      <c r="E10" s="518"/>
      <c r="F10" s="518"/>
      <c r="G10" s="518"/>
      <c r="H10" s="518"/>
      <c r="I10" s="518"/>
      <c r="J10" s="519"/>
      <c r="K10" s="520" t="s">
        <v>1572</v>
      </c>
      <c r="L10" s="521"/>
      <c r="M10" s="522"/>
      <c r="P10" s="39"/>
      <c r="Q10" s="39"/>
    </row>
    <row r="11" spans="2:17" ht="17.25" customHeight="1">
      <c r="B11" s="523" t="s">
        <v>843</v>
      </c>
      <c r="C11" s="524"/>
      <c r="D11" s="40">
        <v>1</v>
      </c>
      <c r="E11" s="41">
        <v>2</v>
      </c>
      <c r="F11" s="41">
        <v>3</v>
      </c>
      <c r="G11" s="41">
        <v>4</v>
      </c>
      <c r="H11" s="41">
        <v>5</v>
      </c>
      <c r="I11" s="41">
        <v>6</v>
      </c>
      <c r="J11" s="42">
        <v>7</v>
      </c>
      <c r="K11" s="40">
        <v>1</v>
      </c>
      <c r="L11" s="41">
        <v>2</v>
      </c>
      <c r="M11" s="42">
        <v>3</v>
      </c>
      <c r="P11" s="39"/>
      <c r="Q11" s="39"/>
    </row>
    <row r="12" spans="2:17" ht="34.15" customHeight="1">
      <c r="B12" s="525"/>
      <c r="C12" s="526"/>
      <c r="D12" s="43" t="s">
        <v>96</v>
      </c>
      <c r="E12" s="44" t="s">
        <v>97</v>
      </c>
      <c r="F12" s="44" t="s">
        <v>98</v>
      </c>
      <c r="G12" s="44" t="s">
        <v>99</v>
      </c>
      <c r="H12" s="44" t="s">
        <v>100</v>
      </c>
      <c r="I12" s="44" t="s">
        <v>101</v>
      </c>
      <c r="J12" s="45" t="s">
        <v>102</v>
      </c>
      <c r="K12" s="43" t="s">
        <v>103</v>
      </c>
      <c r="L12" s="44" t="s">
        <v>104</v>
      </c>
      <c r="M12" s="45" t="s">
        <v>105</v>
      </c>
    </row>
    <row r="13" spans="2:17" ht="40.15" customHeight="1">
      <c r="B13" s="527" t="s">
        <v>1573</v>
      </c>
      <c r="C13" s="46" t="s">
        <v>1574</v>
      </c>
      <c r="D13" s="47">
        <f>SUMIFS('1021 4度C'!$K:$K,'1021 4度C'!$A:$A,"新豐6線",'1021 4度C'!$B:$B,"平均")</f>
        <v>125</v>
      </c>
      <c r="E13" s="48">
        <f>SUMIFS('1021 4度C'!$K:$K,'1021 4度C'!$A:$A,"新豐2線",'1021 4度C'!$B:$B,"平均")</f>
        <v>83.333333333333329</v>
      </c>
      <c r="F13" s="49">
        <f>SUMIFS('1021 4度C'!$K:$K,'1021 4度C'!$A:$A,"新豐5線",'1021 4度C'!$B:$B,"平均")</f>
        <v>91.397849462365585</v>
      </c>
      <c r="G13" s="49">
        <f>SUMIFS('1021 4度C'!$K:$K,'1021 4度C'!$A:$A,"新豐7線",'1021 4度C'!$B:$B,"平均")</f>
        <v>119.40298507462687</v>
      </c>
      <c r="H13" s="49">
        <f>SUMIFS('1021 4度C'!$K:$K,'1021 4度C'!$A:$A,"新豐3線",'1021 4度C'!$B:$B,"平均")</f>
        <v>300</v>
      </c>
      <c r="I13" s="49">
        <f>SUMIFS('1021 4度C'!$K:$K,'1021 4度C'!$A:$A,"新豐1線",'1021 4度C'!$B:$B,"平均")</f>
        <v>117.34693877551021</v>
      </c>
      <c r="J13" s="50">
        <f>SUMIFS('1021 4度C'!$K:$K,'1021 4度C'!$A:$A,"新豐10線",'1021 4度C'!$B:$B,"平均")</f>
        <v>287.2340425531915</v>
      </c>
      <c r="K13" s="51">
        <f>SUMIFS('1021 4度C'!$K:$K,'1021 4度C'!$A:$A,"新豐8線",'1021 4度C'!$B:$B,"平均")</f>
        <v>129.72972972972974</v>
      </c>
      <c r="L13" s="52">
        <f>SUMIFS('1021 4度C'!$K:$K,'1021 4度C'!$A:$A,"新豐9線",'1021 4度C'!$B:$B,"平均")</f>
        <v>139.13043478260869</v>
      </c>
      <c r="M13" s="50">
        <f>SUMIFS('1021 4度C'!$K:$K,'1021 4度C'!$A:$A,"新豐4線",'1021 4度C'!$B:$B,"平均")</f>
        <v>143.7125748502994</v>
      </c>
    </row>
    <row r="14" spans="2:17" ht="39.6" customHeight="1">
      <c r="B14" s="528"/>
      <c r="C14" s="53" t="s">
        <v>128</v>
      </c>
      <c r="D14" s="54">
        <f>SUMIFS('1021 4度C'!$N:$N,'1021 4度C'!$A:$A,"新豐6線",'1021 4度C'!$B:$B,"平均")</f>
        <v>119.10438239191235</v>
      </c>
      <c r="E14" s="55">
        <f>SUMIFS('1021 4度C'!$N:$N,'1021 4度C'!$A:$A,"新豐2線",'1021 4度C'!$B:$B,"平均")</f>
        <v>79.877229932056196</v>
      </c>
      <c r="F14" s="55">
        <f>SUMIFS('1021 4度C'!$N:$N,'1021 4度C'!$A:$A,"新豐5線",'1021 4度C'!$B:$B,"平均")</f>
        <v>87.354280208461532</v>
      </c>
      <c r="G14" s="55">
        <f>SUMIFS('1021 4度C'!$N:$N,'1021 4度C'!$A:$A,"新豐7線",'1021 4度C'!$B:$B,"平均")</f>
        <v>114.87032370614459</v>
      </c>
      <c r="H14" s="55">
        <f>SUMIFS('1021 4度C'!$N:$N,'1021 4度C'!$A:$A,"新豐3線",'1021 4度C'!$B:$B,"平均")</f>
        <v>286.29579414699703</v>
      </c>
      <c r="I14" s="55">
        <f>SUMIFS('1021 4度C'!$N:$N,'1021 4度C'!$A:$A,"新豐1線",'1021 4度C'!$B:$B,"平均")</f>
        <v>112.31234597013412</v>
      </c>
      <c r="J14" s="56">
        <f>SUMIFS('1021 4度C'!$N:$N,'1021 4度C'!$A:$A,"新豐10線",'1021 4度C'!$B:$B,"平均")</f>
        <v>275.73648646509668</v>
      </c>
      <c r="K14" s="57">
        <f>SUMIFS('1021 4度C'!$N:$N,'1021 4度C'!$A:$A,"新豐8線",'1021 4度C'!$B:$B,"平均")</f>
        <v>124.22386827309145</v>
      </c>
      <c r="L14" s="58">
        <f>SUMIFS('1021 4度C'!$N:$N,'1021 4度C'!$A:$A,"新豐9線",'1021 4度C'!$B:$B,"平均")</f>
        <v>133.31065238173898</v>
      </c>
      <c r="M14" s="56">
        <f>SUMIFS('1021 4度C'!$N:$N,'1021 4度C'!$A:$A,"新豐4線",'1021 4度C'!$B:$B,"平均")</f>
        <v>137.64707983905447</v>
      </c>
    </row>
    <row r="15" spans="2:17" ht="40.15" customHeight="1">
      <c r="B15" s="529"/>
      <c r="C15" s="59" t="s">
        <v>129</v>
      </c>
      <c r="D15" s="60">
        <f t="shared" ref="D15:M15" si="0">D14/D13</f>
        <v>0.95283505913529887</v>
      </c>
      <c r="E15" s="61">
        <f t="shared" si="0"/>
        <v>0.95852675918467445</v>
      </c>
      <c r="F15" s="61">
        <f t="shared" si="0"/>
        <v>0.95575859522199091</v>
      </c>
      <c r="G15" s="61">
        <f t="shared" si="0"/>
        <v>0.96203896103896092</v>
      </c>
      <c r="H15" s="61">
        <f t="shared" si="0"/>
        <v>0.95431931382332347</v>
      </c>
      <c r="I15" s="61">
        <f t="shared" si="0"/>
        <v>0.9570965134846211</v>
      </c>
      <c r="J15" s="62">
        <f t="shared" si="0"/>
        <v>0.95997147139700323</v>
      </c>
      <c r="K15" s="60">
        <f t="shared" si="0"/>
        <v>0.95755898460507993</v>
      </c>
      <c r="L15" s="61">
        <f t="shared" si="0"/>
        <v>0.95817031399374897</v>
      </c>
      <c r="M15" s="62">
        <f t="shared" si="0"/>
        <v>0.95779426388008737</v>
      </c>
    </row>
    <row r="16" spans="2:17" ht="17.25" customHeight="1">
      <c r="B16" s="530" t="s">
        <v>1575</v>
      </c>
      <c r="C16" s="63" t="s">
        <v>1576</v>
      </c>
      <c r="D16" s="284">
        <f>VLOOKUP("新豐6線",'1021 4度C'!$A:$T,19,0)</f>
        <v>0.70833333333333337</v>
      </c>
      <c r="E16" s="285">
        <f>VLOOKUP("新豐2線",'1021 4度C'!$A:$T,19,0)</f>
        <v>0.20833333333333334</v>
      </c>
      <c r="F16" s="285">
        <f>VLOOKUP("新豐5線",'1021 4度C'!$A:$T,19,0)</f>
        <v>0.125</v>
      </c>
      <c r="G16" s="285">
        <f>VLOOKUP("新豐7線",'1021 4度C'!$A:$T,19,0)</f>
        <v>0.20833333333333334</v>
      </c>
      <c r="H16" s="285">
        <f>VLOOKUP("新豐3線",'1021 4度C'!$A:$T,19,0)</f>
        <v>0.125</v>
      </c>
      <c r="I16" s="285">
        <f>VLOOKUP("新豐1線",'1021 4度C'!$A:$T,19,0)</f>
        <v>0.29166666666666669</v>
      </c>
      <c r="J16" s="286">
        <f>VLOOKUP("新豐10線",'1021 4度C'!$A:$T,19,0)</f>
        <v>0.20833333333333334</v>
      </c>
      <c r="K16" s="66">
        <f>VLOOKUP("新豐8線",'1021 4度C'!$A:$T,19,0)</f>
        <v>0.125</v>
      </c>
      <c r="L16" s="67">
        <f>VLOOKUP("新豐9線",'1021 4度C'!$A:$T,19,0)</f>
        <v>0.125</v>
      </c>
      <c r="M16" s="68">
        <f>VLOOKUP("新豐4線",'1021 4度C'!$A:$T,19,0)</f>
        <v>0.125</v>
      </c>
    </row>
    <row r="17" spans="2:13" ht="17.25" customHeight="1">
      <c r="B17" s="531"/>
      <c r="C17" s="63" t="s">
        <v>1577</v>
      </c>
      <c r="D17" s="66">
        <f>LOOKUP(2,1/(('1021 4度C'!$A:$A="新豐6線")*('1021 4度C'!$T:$T&lt;&gt;"")),'1021 4度C'!$T:$T)</f>
        <v>0.84722222222222232</v>
      </c>
      <c r="E17" s="285">
        <f>LOOKUP(2,1/(('1021 4度C'!$A:$A="新豐2線")*('1021 4度C'!$T:$T&lt;&gt;"")),'1021 4度C'!$T:$T)</f>
        <v>0.58680555555555547</v>
      </c>
      <c r="F17" s="285">
        <f>LOOKUP(2,1/(('1021 4度C'!$A:$A="新豐5線")*('1021 4度C'!$T:$T&lt;&gt;"")),'1021 4度C'!$T:$T)</f>
        <v>0.87083333333333335</v>
      </c>
      <c r="G17" s="285">
        <f>LOOKUP(2,1/(('1021 4度C'!$A:$A="新豐7線")*('1021 4度C'!$T:$T&lt;&gt;"")),'1021 4度C'!$T:$T)</f>
        <v>0.77083333333333337</v>
      </c>
      <c r="H17" s="285">
        <f>LOOKUP(2,1/(('1021 4度C'!$A:$A="新豐3線")*('1021 4度C'!$T:$T&lt;&gt;"")),'1021 4度C'!$T:$T)</f>
        <v>0.52499999999999991</v>
      </c>
      <c r="I17" s="285">
        <f>LOOKUP(2,1/(('1021 4度C'!$A:$A="新豐1線")*('1021 4度C'!$T:$T&lt;&gt;"")),'1021 4度C'!$T:$T)</f>
        <v>0.86527777777777781</v>
      </c>
      <c r="J17" s="286">
        <f>LOOKUP(2,1/(('1021 4度C'!$A:$A="新豐10線")*('1021 4度C'!$T:$T&lt;&gt;"")),'1021 4度C'!$T:$T)</f>
        <v>0.48402777777777778</v>
      </c>
      <c r="K17" s="284">
        <f>LOOKUP(2,1/(('1021 4度C'!$A:$A="新豐8線")*('1021 4度C'!$T:$T&lt;&gt;"")),'1021 4度C'!$T:$T)</f>
        <v>0.78819444444444442</v>
      </c>
      <c r="L17" s="285">
        <f>LOOKUP(2,1/(('1021 4度C'!$A:$A="新豐9線")*('1021 4度C'!$T:$T&lt;&gt;"")),'1021 4度C'!$T:$T)</f>
        <v>0.79097222222222208</v>
      </c>
      <c r="M17" s="286">
        <f>LOOKUP(2,1/(('1021 4度C'!$A:$A="新豐4線")*('1021 4度C'!$T:$T&lt;&gt;"")),'1021 4度C'!$T:$T)</f>
        <v>0.78819444444444431</v>
      </c>
    </row>
    <row r="18" spans="2:13" ht="17.25" customHeight="1">
      <c r="B18" s="509" t="s">
        <v>108</v>
      </c>
      <c r="C18" s="510"/>
      <c r="D18" s="69">
        <f>SUMIFS('1021 4度C'!$I:$I,'1021 4度C'!$A:$A,"新豐6線",'1021 4度C'!$B:$B,"平均")</f>
        <v>16</v>
      </c>
      <c r="E18" s="70">
        <f>SUMIFS('1021 4度C'!$I:$I,'1021 4度C'!$A:$A,"新豐2線",'1021 4度C'!$B:$B,"平均")</f>
        <v>18</v>
      </c>
      <c r="F18" s="70">
        <f>SUMIFS('1021 4度C'!$I:$I,'1021 4度C'!$A:$A,"新豐5線",'1021 4度C'!$B:$B,"平均")</f>
        <v>18.600000000000001</v>
      </c>
      <c r="G18" s="70">
        <f>SUMIFS('1021 4度C'!$I:$I,'1021 4度C'!$A:$A,"新豐7線",'1021 4度C'!$B:$B,"平均")</f>
        <v>16.75</v>
      </c>
      <c r="H18" s="70">
        <f>SUMIFS('1021 4度C'!$I:$I,'1021 4度C'!$A:$A,"新豐3線",'1021 4度C'!$B:$B,"平均")</f>
        <v>10</v>
      </c>
      <c r="I18" s="70">
        <f>SUMIFS('1021 4度C'!$I:$I,'1021 4度C'!$A:$A,"新豐1線",'1021 4度C'!$B:$B,"平均")</f>
        <v>16.333333333333332</v>
      </c>
      <c r="J18" s="71">
        <f>SUMIFS('1021 4度C'!$I:$I,'1021 4度C'!$A:$A,"新豐10線",'1021 4度C'!$B:$B,"平均")</f>
        <v>9.4</v>
      </c>
      <c r="K18" s="69">
        <f>SUMIFS('1021 4度C'!$I:$I,'1021 4度C'!$A:$A,"新豐8線",'1021 4度C'!$B:$B,"平均")</f>
        <v>18.5</v>
      </c>
      <c r="L18" s="70">
        <f>SUMIFS('1021 4度C'!$I:$I,'1021 4度C'!$A:$A,"新豐9線",'1021 4度C'!$B:$B,"平均")</f>
        <v>17.25</v>
      </c>
      <c r="M18" s="71">
        <f>SUMIFS('1021 4度C'!$I:$I,'1021 4度C'!$A:$A,"新豐4線",'1021 4度C'!$B:$B,"平均")</f>
        <v>16.7</v>
      </c>
    </row>
    <row r="19" spans="2:13" ht="17.25" customHeight="1">
      <c r="B19" s="509" t="s">
        <v>1578</v>
      </c>
      <c r="C19" s="510"/>
      <c r="D19" s="72" t="s">
        <v>109</v>
      </c>
      <c r="E19" s="73" t="s">
        <v>110</v>
      </c>
      <c r="F19" s="73" t="s">
        <v>134</v>
      </c>
      <c r="G19" s="73" t="s">
        <v>1579</v>
      </c>
      <c r="H19" s="73" t="s">
        <v>111</v>
      </c>
      <c r="I19" s="73" t="s">
        <v>109</v>
      </c>
      <c r="J19" s="74" t="s">
        <v>111</v>
      </c>
      <c r="K19" s="72" t="s">
        <v>136</v>
      </c>
      <c r="L19" s="73" t="s">
        <v>136</v>
      </c>
      <c r="M19" s="74" t="s">
        <v>136</v>
      </c>
    </row>
    <row r="20" spans="2:13" ht="17.25" customHeight="1">
      <c r="B20" s="509" t="s">
        <v>1580</v>
      </c>
      <c r="C20" s="510"/>
      <c r="D20" s="72"/>
      <c r="E20" s="73"/>
      <c r="F20" s="73" t="s">
        <v>1581</v>
      </c>
      <c r="G20" s="73" t="s">
        <v>109</v>
      </c>
      <c r="H20" s="73"/>
      <c r="I20" s="73"/>
      <c r="J20" s="74"/>
      <c r="K20" s="72"/>
      <c r="L20" s="73"/>
      <c r="M20" s="74"/>
    </row>
    <row r="21" spans="2:13" ht="17.25" customHeight="1" thickBot="1">
      <c r="B21" s="511" t="s">
        <v>229</v>
      </c>
      <c r="C21" s="512"/>
      <c r="D21" s="75"/>
      <c r="E21" s="76" t="s">
        <v>1582</v>
      </c>
      <c r="F21" s="513" t="s">
        <v>1583</v>
      </c>
      <c r="G21" s="514"/>
      <c r="H21" s="76" t="s">
        <v>232</v>
      </c>
      <c r="I21" s="76" t="s">
        <v>1584</v>
      </c>
      <c r="J21" s="77" t="s">
        <v>1585</v>
      </c>
      <c r="K21" s="78"/>
      <c r="L21" s="76"/>
      <c r="M21" s="77"/>
    </row>
    <row r="22" spans="2:13" ht="17.25" customHeight="1"/>
    <row r="23" spans="2:13" ht="17.25" customHeight="1"/>
    <row r="24" spans="2:13" ht="17.25" customHeight="1"/>
    <row r="25" spans="2:13" ht="37.5" customHeight="1"/>
    <row r="26" spans="2:13" ht="35.25" customHeight="1"/>
    <row r="27" spans="2:13" ht="35.25" customHeight="1"/>
    <row r="28" spans="2:13" ht="39.75" customHeight="1"/>
  </sheetData>
  <mergeCells count="36">
    <mergeCell ref="B1:J2"/>
    <mergeCell ref="C3:D3"/>
    <mergeCell ref="F3:G3"/>
    <mergeCell ref="I3:J3"/>
    <mergeCell ref="B4:B8"/>
    <mergeCell ref="C4:D4"/>
    <mergeCell ref="E4:F4"/>
    <mergeCell ref="G4:H4"/>
    <mergeCell ref="I4:J4"/>
    <mergeCell ref="C5:D5"/>
    <mergeCell ref="E5:F5"/>
    <mergeCell ref="G5:H5"/>
    <mergeCell ref="I5:J5"/>
    <mergeCell ref="C6:D6"/>
    <mergeCell ref="E6:F6"/>
    <mergeCell ref="G6:H6"/>
    <mergeCell ref="I6:J6"/>
    <mergeCell ref="B16:B17"/>
    <mergeCell ref="C7:D7"/>
    <mergeCell ref="E7:F7"/>
    <mergeCell ref="G7:H7"/>
    <mergeCell ref="I7:J7"/>
    <mergeCell ref="C8:D8"/>
    <mergeCell ref="E8:F8"/>
    <mergeCell ref="G8:H8"/>
    <mergeCell ref="I8:J8"/>
    <mergeCell ref="B10:C10"/>
    <mergeCell ref="D10:J10"/>
    <mergeCell ref="B20:C20"/>
    <mergeCell ref="B21:C21"/>
    <mergeCell ref="F21:G21"/>
    <mergeCell ref="K10:M10"/>
    <mergeCell ref="B11:C12"/>
    <mergeCell ref="B13:B15"/>
    <mergeCell ref="B18:C18"/>
    <mergeCell ref="B19:C19"/>
  </mergeCells>
  <phoneticPr fontId="3" type="noConversion"/>
  <conditionalFormatting sqref="D15:M15">
    <cfRule type="cellIs" dxfId="1282" priority="1" operator="lessThan">
      <formula>0.8</formula>
    </cfRule>
  </conditionalFormatting>
  <pageMargins left="0.7" right="0.7" top="0.75" bottom="0.75" header="0.3" footer="0.3"/>
  <pageSetup paperSize="9" orientation="portrait" horizontalDpi="300" verticalDpi="300" r:id="rId1"/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工作表19">
    <pageSetUpPr fitToPage="1"/>
  </sheetPr>
  <dimension ref="A1:AC72"/>
  <sheetViews>
    <sheetView topLeftCell="D1" zoomScale="80" zoomScaleNormal="80" workbookViewId="0">
      <pane ySplit="4" topLeftCell="A5" activePane="bottomLeft" state="frozen"/>
      <selection activeCell="A11" sqref="A11"/>
      <selection pane="bottomLeft" activeCell="E24" sqref="E24"/>
    </sheetView>
  </sheetViews>
  <sheetFormatPr defaultColWidth="8" defaultRowHeight="15.75"/>
  <cols>
    <col min="1" max="1" width="15.125" style="291" customWidth="1"/>
    <col min="2" max="2" width="19.375" style="291" customWidth="1"/>
    <col min="3" max="3" width="15.25" style="291" customWidth="1"/>
    <col min="4" max="4" width="17.5" style="291" customWidth="1"/>
    <col min="5" max="5" width="7.5" style="291" bestFit="1" customWidth="1"/>
    <col min="6" max="6" width="14.375" style="291" bestFit="1" customWidth="1"/>
    <col min="7" max="7" width="14.375" style="291" customWidth="1"/>
    <col min="8" max="8" width="8" style="324" customWidth="1"/>
    <col min="9" max="9" width="5.875" style="291" customWidth="1"/>
    <col min="10" max="10" width="10.625" style="324" customWidth="1"/>
    <col min="11" max="11" width="14.625" style="291" customWidth="1"/>
    <col min="12" max="12" width="7.25" style="291" bestFit="1" customWidth="1"/>
    <col min="13" max="13" width="8" style="291" customWidth="1"/>
    <col min="14" max="14" width="12" style="291" customWidth="1"/>
    <col min="15" max="15" width="6" style="291" customWidth="1"/>
    <col min="16" max="16" width="9.25" style="291" customWidth="1"/>
    <col min="17" max="17" width="11.5" style="291" customWidth="1"/>
    <col min="18" max="18" width="8.5" style="291" customWidth="1"/>
    <col min="19" max="19" width="10.125" style="324" bestFit="1" customWidth="1"/>
    <col min="20" max="20" width="7.625" style="324" bestFit="1" customWidth="1"/>
    <col min="21" max="21" width="10.25" style="291" bestFit="1" customWidth="1"/>
    <col min="22" max="22" width="8.75" style="325" customWidth="1"/>
    <col min="23" max="23" width="7.375" style="291" customWidth="1"/>
    <col min="24" max="24" width="6.875" style="291" bestFit="1" customWidth="1"/>
    <col min="25" max="25" width="12.75" style="291" customWidth="1"/>
    <col min="26" max="26" width="18.875" style="291" customWidth="1"/>
    <col min="27" max="27" width="13.125" style="291" bestFit="1" customWidth="1"/>
    <col min="28" max="28" width="10.375" style="291" customWidth="1"/>
    <col min="29" max="29" width="9.375" style="291" customWidth="1"/>
    <col min="30" max="30" width="8" style="291"/>
    <col min="31" max="31" width="24.625" style="291" bestFit="1" customWidth="1"/>
    <col min="32" max="16384" width="8" style="291"/>
  </cols>
  <sheetData>
    <row r="1" spans="1:29" ht="26.25" customHeight="1">
      <c r="A1" s="287" t="s">
        <v>146</v>
      </c>
      <c r="B1" s="287"/>
      <c r="C1" s="288" t="s">
        <v>1586</v>
      </c>
      <c r="D1" s="289">
        <f>SUM(F5:F71)</f>
        <v>193955</v>
      </c>
      <c r="E1" s="363" t="s">
        <v>1587</v>
      </c>
      <c r="F1" s="287">
        <f>SUM(G5:G71)</f>
        <v>6356878.6900000023</v>
      </c>
      <c r="G1" s="287" t="s">
        <v>1588</v>
      </c>
      <c r="H1" s="373">
        <f>L8+L12+L47+L54+L18+L60+L32+L41+L23+L71</f>
        <v>157.53333333333333</v>
      </c>
      <c r="I1" s="611" t="s">
        <v>1589</v>
      </c>
      <c r="J1" s="611"/>
      <c r="K1" s="611"/>
      <c r="L1" s="611" t="s">
        <v>239</v>
      </c>
      <c r="M1" s="611"/>
      <c r="N1" s="611"/>
      <c r="O1" s="611" t="s">
        <v>1590</v>
      </c>
      <c r="P1" s="611"/>
      <c r="Q1" s="611"/>
      <c r="R1" s="611"/>
      <c r="S1" s="611" t="s">
        <v>1591</v>
      </c>
      <c r="T1" s="611"/>
      <c r="U1" s="611"/>
      <c r="V1" s="611"/>
      <c r="W1" s="611"/>
      <c r="X1" s="611"/>
      <c r="Y1" s="611" t="s">
        <v>1592</v>
      </c>
      <c r="Z1" s="611"/>
      <c r="AA1" s="611" t="s">
        <v>1593</v>
      </c>
      <c r="AB1" s="612"/>
      <c r="AC1" s="612"/>
    </row>
    <row r="2" spans="1:29" ht="26.25" customHeight="1">
      <c r="A2" s="292">
        <v>45951</v>
      </c>
      <c r="B2" s="293" t="s">
        <v>613</v>
      </c>
      <c r="C2" s="288" t="s">
        <v>1594</v>
      </c>
      <c r="D2" s="294">
        <f>AVERAGE(N8,N12,N47,N54,N18,N60,N23,N32,N41,N71)</f>
        <v>147.07324433146874</v>
      </c>
      <c r="E2" s="295" t="s">
        <v>2</v>
      </c>
      <c r="F2" s="296">
        <f>F1/D1</f>
        <v>32.775018380552204</v>
      </c>
      <c r="G2" s="287" t="s">
        <v>157</v>
      </c>
      <c r="H2" s="374">
        <f>COUNT(H5:H71)</f>
        <v>10</v>
      </c>
      <c r="I2" s="611"/>
      <c r="J2" s="611"/>
      <c r="K2" s="611"/>
      <c r="L2" s="611"/>
      <c r="M2" s="611"/>
      <c r="N2" s="611"/>
      <c r="O2" s="611"/>
      <c r="P2" s="611"/>
      <c r="Q2" s="611"/>
      <c r="R2" s="611"/>
      <c r="S2" s="611"/>
      <c r="T2" s="611"/>
      <c r="U2" s="611"/>
      <c r="V2" s="611"/>
      <c r="W2" s="611"/>
      <c r="X2" s="611"/>
      <c r="Y2" s="611"/>
      <c r="Z2" s="611"/>
      <c r="AA2" s="612"/>
      <c r="AB2" s="612"/>
      <c r="AC2" s="612"/>
    </row>
    <row r="3" spans="1:29" ht="23.25" customHeight="1">
      <c r="A3" s="570" t="s">
        <v>3</v>
      </c>
      <c r="B3" s="570" t="s">
        <v>4</v>
      </c>
      <c r="C3" s="570" t="s">
        <v>245</v>
      </c>
      <c r="D3" s="570"/>
      <c r="E3" s="609" t="s">
        <v>1595</v>
      </c>
      <c r="F3" s="570" t="s">
        <v>7</v>
      </c>
      <c r="G3" s="609" t="s">
        <v>322</v>
      </c>
      <c r="H3" s="615" t="s">
        <v>9</v>
      </c>
      <c r="I3" s="600" t="s">
        <v>10</v>
      </c>
      <c r="J3" s="605" t="s">
        <v>11</v>
      </c>
      <c r="K3" s="607" t="s">
        <v>1594</v>
      </c>
      <c r="L3" s="600" t="s">
        <v>1596</v>
      </c>
      <c r="M3" s="605" t="s">
        <v>11</v>
      </c>
      <c r="N3" s="607" t="s">
        <v>1</v>
      </c>
      <c r="O3" s="600" t="s">
        <v>10</v>
      </c>
      <c r="P3" s="607" t="s">
        <v>1</v>
      </c>
      <c r="Q3" s="606" t="s">
        <v>12</v>
      </c>
      <c r="R3" s="578" t="s">
        <v>1597</v>
      </c>
      <c r="S3" s="608" t="s">
        <v>14</v>
      </c>
      <c r="T3" s="608"/>
      <c r="U3" s="602" t="s">
        <v>15</v>
      </c>
      <c r="V3" s="602" t="s">
        <v>164</v>
      </c>
      <c r="W3" s="570" t="s">
        <v>16</v>
      </c>
      <c r="X3" s="570"/>
      <c r="Y3" s="603" t="s">
        <v>17</v>
      </c>
      <c r="Z3" s="604"/>
      <c r="AA3" s="605" t="s">
        <v>11</v>
      </c>
      <c r="AB3" s="606" t="s">
        <v>1598</v>
      </c>
      <c r="AC3" s="578" t="s">
        <v>1599</v>
      </c>
    </row>
    <row r="4" spans="1:29">
      <c r="A4" s="570"/>
      <c r="B4" s="570"/>
      <c r="C4" s="570"/>
      <c r="D4" s="570"/>
      <c r="E4" s="610"/>
      <c r="F4" s="570"/>
      <c r="G4" s="610"/>
      <c r="H4" s="615"/>
      <c r="I4" s="600"/>
      <c r="J4" s="605"/>
      <c r="K4" s="607"/>
      <c r="L4" s="600"/>
      <c r="M4" s="605"/>
      <c r="N4" s="607"/>
      <c r="O4" s="600"/>
      <c r="P4" s="607"/>
      <c r="Q4" s="606"/>
      <c r="R4" s="578"/>
      <c r="S4" s="372" t="s">
        <v>18</v>
      </c>
      <c r="T4" s="372" t="s">
        <v>19</v>
      </c>
      <c r="U4" s="602"/>
      <c r="V4" s="602"/>
      <c r="W4" s="363" t="s">
        <v>1600</v>
      </c>
      <c r="X4" s="363" t="s">
        <v>1601</v>
      </c>
      <c r="Y4" s="604"/>
      <c r="Z4" s="604"/>
      <c r="AA4" s="605"/>
      <c r="AB4" s="606"/>
      <c r="AC4" s="578"/>
    </row>
    <row r="5" spans="1:29">
      <c r="A5" s="599" t="s">
        <v>1602</v>
      </c>
      <c r="B5" s="300" t="s">
        <v>36</v>
      </c>
      <c r="C5" s="601" t="s">
        <v>37</v>
      </c>
      <c r="D5" s="601"/>
      <c r="E5" s="300">
        <v>46.93</v>
      </c>
      <c r="F5" s="372">
        <v>1110</v>
      </c>
      <c r="G5" s="363">
        <f t="shared" ref="G5:G7" si="0">E5*F5</f>
        <v>52092.3</v>
      </c>
      <c r="H5" s="301" t="s">
        <v>35</v>
      </c>
      <c r="I5" s="370">
        <v>16</v>
      </c>
      <c r="J5" s="303">
        <v>2000</v>
      </c>
      <c r="K5" s="304">
        <f t="shared" ref="K5:K68" si="1">J5/I5</f>
        <v>125</v>
      </c>
      <c r="L5" s="370">
        <v>16</v>
      </c>
      <c r="M5" s="305">
        <f t="shared" ref="M5:M7" si="2">F5/V5*60</f>
        <v>1902.8571428571411</v>
      </c>
      <c r="N5" s="304">
        <f t="shared" ref="N5:N68" si="3">M5/L5</f>
        <v>118.92857142857132</v>
      </c>
      <c r="O5" s="306">
        <f t="shared" ref="O5:O68" si="4">L5-I5</f>
        <v>0</v>
      </c>
      <c r="P5" s="307">
        <f t="shared" ref="P5:P68" si="5">N5-K5</f>
        <v>-6.0714285714286831</v>
      </c>
      <c r="Q5" s="366">
        <f t="shared" ref="Q5:Q68" si="6">N5/K5</f>
        <v>0.95142857142857051</v>
      </c>
      <c r="R5" s="571">
        <f>Q8</f>
        <v>0.95283505913529887</v>
      </c>
      <c r="S5" s="308">
        <v>0.70833333333333337</v>
      </c>
      <c r="T5" s="308">
        <v>0.73263888888888895</v>
      </c>
      <c r="U5" s="363"/>
      <c r="V5" s="371">
        <f t="shared" ref="V5:V7" si="7">(T5-S5)*24*60</f>
        <v>35.000000000000036</v>
      </c>
      <c r="W5" s="310"/>
      <c r="X5" s="311"/>
      <c r="Y5" s="570"/>
      <c r="Z5" s="570"/>
      <c r="AA5" s="306">
        <f t="shared" ref="AA5:AA68" si="8">M5-J5</f>
        <v>-97.142857142858929</v>
      </c>
      <c r="AB5" s="366">
        <f t="shared" ref="AB5:AB68" si="9">M5/J5</f>
        <v>0.95142857142857051</v>
      </c>
      <c r="AC5" s="571">
        <f>AB8</f>
        <v>0.95283505913529887</v>
      </c>
    </row>
    <row r="6" spans="1:29">
      <c r="A6" s="600" t="s">
        <v>1603</v>
      </c>
      <c r="B6" s="300" t="s">
        <v>36</v>
      </c>
      <c r="C6" s="601" t="s">
        <v>38</v>
      </c>
      <c r="D6" s="601"/>
      <c r="E6" s="300">
        <v>50.49</v>
      </c>
      <c r="F6" s="372">
        <v>2606</v>
      </c>
      <c r="G6" s="363">
        <f t="shared" si="0"/>
        <v>131576.94</v>
      </c>
      <c r="H6" s="301" t="s">
        <v>35</v>
      </c>
      <c r="I6" s="370">
        <v>15</v>
      </c>
      <c r="J6" s="303">
        <v>2000</v>
      </c>
      <c r="K6" s="304">
        <f t="shared" si="1"/>
        <v>133.33333333333334</v>
      </c>
      <c r="L6" s="370">
        <v>15</v>
      </c>
      <c r="M6" s="305">
        <f t="shared" si="2"/>
        <v>1906.8292682926824</v>
      </c>
      <c r="N6" s="304">
        <f t="shared" si="3"/>
        <v>127.12195121951216</v>
      </c>
      <c r="O6" s="306">
        <f t="shared" si="4"/>
        <v>0</v>
      </c>
      <c r="P6" s="307">
        <f t="shared" si="5"/>
        <v>-6.2113821138211875</v>
      </c>
      <c r="Q6" s="366">
        <f t="shared" si="6"/>
        <v>0.95341463414634109</v>
      </c>
      <c r="R6" s="571"/>
      <c r="S6" s="308">
        <v>0.73750000000000004</v>
      </c>
      <c r="T6" s="308">
        <v>0.79444444444444451</v>
      </c>
      <c r="U6" s="363">
        <f t="shared" ref="U6:U7" si="10">IF(S6=TIME(17,0,0),"",(S6-T5)*24*60)</f>
        <v>6.9999999999999751</v>
      </c>
      <c r="V6" s="371">
        <f t="shared" si="7"/>
        <v>82.000000000000028</v>
      </c>
      <c r="W6" s="310"/>
      <c r="X6" s="310"/>
      <c r="Y6" s="570"/>
      <c r="Z6" s="570"/>
      <c r="AA6" s="306">
        <f t="shared" si="8"/>
        <v>-93.1707317073176</v>
      </c>
      <c r="AB6" s="366">
        <f t="shared" si="9"/>
        <v>0.9534146341463412</v>
      </c>
      <c r="AC6" s="571"/>
    </row>
    <row r="7" spans="1:29">
      <c r="A7" s="600" t="s">
        <v>1603</v>
      </c>
      <c r="B7" s="300" t="s">
        <v>36</v>
      </c>
      <c r="C7" s="594" t="s">
        <v>39</v>
      </c>
      <c r="D7" s="595"/>
      <c r="E7" s="300">
        <v>50.67</v>
      </c>
      <c r="F7" s="372">
        <v>2257</v>
      </c>
      <c r="G7" s="363">
        <f t="shared" si="0"/>
        <v>114362.19</v>
      </c>
      <c r="H7" s="301" t="s">
        <v>35</v>
      </c>
      <c r="I7" s="370">
        <v>17</v>
      </c>
      <c r="J7" s="303">
        <v>2000</v>
      </c>
      <c r="K7" s="304">
        <f t="shared" si="1"/>
        <v>117.64705882352941</v>
      </c>
      <c r="L7" s="370">
        <v>17</v>
      </c>
      <c r="M7" s="305">
        <f t="shared" si="2"/>
        <v>1907.3239436619699</v>
      </c>
      <c r="N7" s="304">
        <f t="shared" si="3"/>
        <v>112.19552609776294</v>
      </c>
      <c r="O7" s="306">
        <f t="shared" si="4"/>
        <v>0</v>
      </c>
      <c r="P7" s="307">
        <f t="shared" si="5"/>
        <v>-5.4515327257664694</v>
      </c>
      <c r="Q7" s="366">
        <f t="shared" si="6"/>
        <v>0.953661971830985</v>
      </c>
      <c r="R7" s="571"/>
      <c r="S7" s="308">
        <v>0.79791666666666672</v>
      </c>
      <c r="T7" s="308">
        <v>0.84722222222222232</v>
      </c>
      <c r="U7" s="363">
        <f t="shared" si="10"/>
        <v>4.9999999999999822</v>
      </c>
      <c r="V7" s="371">
        <f t="shared" si="7"/>
        <v>71.000000000000071</v>
      </c>
      <c r="W7" s="310"/>
      <c r="X7" s="310"/>
      <c r="Y7" s="566"/>
      <c r="Z7" s="567"/>
      <c r="AA7" s="306">
        <f t="shared" si="8"/>
        <v>-92.676056338030094</v>
      </c>
      <c r="AB7" s="366">
        <f t="shared" si="9"/>
        <v>0.953661971830985</v>
      </c>
      <c r="AC7" s="571"/>
    </row>
    <row r="8" spans="1:29">
      <c r="A8" s="600" t="s">
        <v>1603</v>
      </c>
      <c r="B8" s="300" t="s">
        <v>1604</v>
      </c>
      <c r="C8" s="572"/>
      <c r="D8" s="572"/>
      <c r="E8" s="367"/>
      <c r="F8" s="313"/>
      <c r="G8" s="304"/>
      <c r="H8" s="372"/>
      <c r="I8" s="314">
        <v>16</v>
      </c>
      <c r="J8" s="303">
        <v>2000</v>
      </c>
      <c r="K8" s="304">
        <f t="shared" si="1"/>
        <v>125</v>
      </c>
      <c r="L8" s="314">
        <v>16</v>
      </c>
      <c r="M8" s="305">
        <f>AVERAGE(M5:M7)</f>
        <v>1905.6701182705976</v>
      </c>
      <c r="N8" s="304">
        <f t="shared" si="3"/>
        <v>119.10438239191235</v>
      </c>
      <c r="O8" s="306">
        <f t="shared" si="4"/>
        <v>0</v>
      </c>
      <c r="P8" s="307">
        <f t="shared" si="5"/>
        <v>-5.8956176080876475</v>
      </c>
      <c r="Q8" s="366">
        <f t="shared" si="6"/>
        <v>0.95283505913529887</v>
      </c>
      <c r="R8" s="571"/>
      <c r="S8" s="308"/>
      <c r="T8" s="308"/>
      <c r="U8" s="363"/>
      <c r="V8" s="371"/>
      <c r="W8" s="304"/>
      <c r="X8" s="304"/>
      <c r="Y8" s="570"/>
      <c r="Z8" s="570"/>
      <c r="AA8" s="306">
        <f t="shared" si="8"/>
        <v>-94.329881729402359</v>
      </c>
      <c r="AB8" s="366">
        <f t="shared" si="9"/>
        <v>0.95283505913529887</v>
      </c>
      <c r="AC8" s="571"/>
    </row>
    <row r="9" spans="1:29" ht="15.75" customHeight="1">
      <c r="A9" s="598" t="s">
        <v>23</v>
      </c>
      <c r="B9" s="300" t="s">
        <v>40</v>
      </c>
      <c r="C9" s="594" t="s">
        <v>42</v>
      </c>
      <c r="D9" s="595"/>
      <c r="E9" s="300">
        <v>39.36</v>
      </c>
      <c r="F9" s="372">
        <v>2578</v>
      </c>
      <c r="G9" s="363">
        <f t="shared" ref="G9:G11" si="11">E9*F9</f>
        <v>101470.08</v>
      </c>
      <c r="H9" s="301" t="s">
        <v>35</v>
      </c>
      <c r="I9" s="370">
        <v>20</v>
      </c>
      <c r="J9" s="303">
        <v>1500</v>
      </c>
      <c r="K9" s="304">
        <f t="shared" si="1"/>
        <v>75</v>
      </c>
      <c r="L9" s="370">
        <v>20</v>
      </c>
      <c r="M9" s="305">
        <f t="shared" ref="M9:M11" si="12">F9/V9*60</f>
        <v>1432.2222222222226</v>
      </c>
      <c r="N9" s="304">
        <f t="shared" si="3"/>
        <v>71.611111111111128</v>
      </c>
      <c r="O9" s="306">
        <f t="shared" si="4"/>
        <v>0</v>
      </c>
      <c r="P9" s="307">
        <f t="shared" si="5"/>
        <v>-3.3888888888888715</v>
      </c>
      <c r="Q9" s="366">
        <f t="shared" si="6"/>
        <v>0.954814814814815</v>
      </c>
      <c r="R9" s="571">
        <f>Q12</f>
        <v>0.95852675918467445</v>
      </c>
      <c r="S9" s="308">
        <v>0.20833333333333334</v>
      </c>
      <c r="T9" s="308">
        <v>0.28333333333333333</v>
      </c>
      <c r="U9" s="363"/>
      <c r="V9" s="371">
        <f t="shared" ref="V9:V11" si="13">(T9-S9)*24*60</f>
        <v>107.99999999999997</v>
      </c>
      <c r="W9" s="310"/>
      <c r="X9" s="310"/>
      <c r="Y9" s="570"/>
      <c r="Z9" s="570"/>
      <c r="AA9" s="306">
        <f t="shared" si="8"/>
        <v>-67.777777777777374</v>
      </c>
      <c r="AB9" s="366">
        <f t="shared" si="9"/>
        <v>0.95481481481481512</v>
      </c>
      <c r="AC9" s="571">
        <f>AB12</f>
        <v>0.95852675918467423</v>
      </c>
    </row>
    <row r="10" spans="1:29" ht="15.75" customHeight="1">
      <c r="A10" s="598" t="s">
        <v>1605</v>
      </c>
      <c r="B10" s="300" t="s">
        <v>40</v>
      </c>
      <c r="C10" s="594" t="s">
        <v>41</v>
      </c>
      <c r="D10" s="595"/>
      <c r="E10" s="300">
        <v>39.799999999999997</v>
      </c>
      <c r="F10" s="372">
        <v>6000</v>
      </c>
      <c r="G10" s="363">
        <f t="shared" si="11"/>
        <v>238799.99999999997</v>
      </c>
      <c r="H10" s="301">
        <v>2</v>
      </c>
      <c r="I10" s="370">
        <v>17</v>
      </c>
      <c r="J10" s="303">
        <v>1500</v>
      </c>
      <c r="K10" s="304">
        <f t="shared" si="1"/>
        <v>88.235294117647058</v>
      </c>
      <c r="L10" s="370">
        <v>17</v>
      </c>
      <c r="M10" s="305">
        <f t="shared" si="12"/>
        <v>1434.2629482071709</v>
      </c>
      <c r="N10" s="304">
        <f t="shared" si="3"/>
        <v>84.368408718068878</v>
      </c>
      <c r="O10" s="306">
        <f t="shared" si="4"/>
        <v>0</v>
      </c>
      <c r="P10" s="307">
        <f t="shared" si="5"/>
        <v>-3.8668853995781802</v>
      </c>
      <c r="Q10" s="366">
        <f t="shared" si="6"/>
        <v>0.95617529880478058</v>
      </c>
      <c r="R10" s="571"/>
      <c r="S10" s="308">
        <v>0.28680555555555554</v>
      </c>
      <c r="T10" s="308">
        <v>0.46111111111111114</v>
      </c>
      <c r="U10" s="363">
        <f t="shared" ref="U10:U11" si="14">IF(S10=TIME(17,0,0),"",(S10-T9)*24*60)</f>
        <v>4.9999999999999822</v>
      </c>
      <c r="V10" s="371">
        <f t="shared" si="13"/>
        <v>251.00000000000006</v>
      </c>
      <c r="W10" s="310">
        <f>T10</f>
        <v>0.46111111111111114</v>
      </c>
      <c r="X10" s="310">
        <f>S11</f>
        <v>0.5444444444444444</v>
      </c>
      <c r="Y10" s="570"/>
      <c r="Z10" s="570"/>
      <c r="AA10" s="306">
        <f t="shared" si="8"/>
        <v>-65.737051792829106</v>
      </c>
      <c r="AB10" s="366">
        <f t="shared" si="9"/>
        <v>0.95617529880478058</v>
      </c>
      <c r="AC10" s="571"/>
    </row>
    <row r="11" spans="1:29" ht="15.75" customHeight="1">
      <c r="A11" s="598" t="s">
        <v>1605</v>
      </c>
      <c r="B11" s="300" t="s">
        <v>40</v>
      </c>
      <c r="C11" s="594" t="s">
        <v>41</v>
      </c>
      <c r="D11" s="595"/>
      <c r="E11" s="300">
        <v>39.799999999999997</v>
      </c>
      <c r="F11" s="372">
        <v>1471</v>
      </c>
      <c r="G11" s="363">
        <f t="shared" si="11"/>
        <v>58545.799999999996</v>
      </c>
      <c r="H11" s="301" t="s">
        <v>35</v>
      </c>
      <c r="I11" s="370">
        <v>17</v>
      </c>
      <c r="J11" s="303">
        <v>1500</v>
      </c>
      <c r="K11" s="304">
        <f t="shared" si="1"/>
        <v>88.235294117647058</v>
      </c>
      <c r="L11" s="370">
        <v>17</v>
      </c>
      <c r="M11" s="305">
        <f t="shared" si="12"/>
        <v>1446.8852459016407</v>
      </c>
      <c r="N11" s="304">
        <f t="shared" si="3"/>
        <v>85.110896817743566</v>
      </c>
      <c r="O11" s="306">
        <f t="shared" si="4"/>
        <v>0</v>
      </c>
      <c r="P11" s="307">
        <f t="shared" si="5"/>
        <v>-3.1243972999034924</v>
      </c>
      <c r="Q11" s="366">
        <f t="shared" si="6"/>
        <v>0.96459016393442709</v>
      </c>
      <c r="R11" s="571"/>
      <c r="S11" s="308">
        <v>0.5444444444444444</v>
      </c>
      <c r="T11" s="308">
        <v>0.58680555555555547</v>
      </c>
      <c r="U11" s="363">
        <f t="shared" si="14"/>
        <v>119.99999999999989</v>
      </c>
      <c r="V11" s="371">
        <f t="shared" si="13"/>
        <v>60.999999999999943</v>
      </c>
      <c r="W11" s="310"/>
      <c r="X11" s="310"/>
      <c r="Y11" s="570"/>
      <c r="Z11" s="570"/>
      <c r="AA11" s="306">
        <f t="shared" si="8"/>
        <v>-53.114754098359299</v>
      </c>
      <c r="AB11" s="366">
        <f t="shared" si="9"/>
        <v>0.96459016393442709</v>
      </c>
      <c r="AC11" s="571"/>
    </row>
    <row r="12" spans="1:29" ht="16.5" customHeight="1">
      <c r="A12" s="598" t="s">
        <v>1605</v>
      </c>
      <c r="B12" s="300" t="s">
        <v>1604</v>
      </c>
      <c r="C12" s="572"/>
      <c r="D12" s="572"/>
      <c r="E12" s="367"/>
      <c r="F12" s="303"/>
      <c r="G12" s="305"/>
      <c r="H12" s="372"/>
      <c r="I12" s="314">
        <v>18</v>
      </c>
      <c r="J12" s="303">
        <v>1500</v>
      </c>
      <c r="K12" s="304">
        <f t="shared" si="1"/>
        <v>83.333333333333329</v>
      </c>
      <c r="L12" s="314">
        <v>18</v>
      </c>
      <c r="M12" s="305">
        <f>AVERAGE(M9:M11)</f>
        <v>1437.7901387770114</v>
      </c>
      <c r="N12" s="304">
        <f t="shared" si="3"/>
        <v>79.877229932056196</v>
      </c>
      <c r="O12" s="306">
        <f t="shared" si="4"/>
        <v>0</v>
      </c>
      <c r="P12" s="307">
        <f t="shared" si="5"/>
        <v>-3.456103401277133</v>
      </c>
      <c r="Q12" s="366">
        <f t="shared" si="6"/>
        <v>0.95852675918467445</v>
      </c>
      <c r="R12" s="571"/>
      <c r="S12" s="308"/>
      <c r="T12" s="308"/>
      <c r="U12" s="304"/>
      <c r="V12" s="371"/>
      <c r="W12" s="304"/>
      <c r="X12" s="304"/>
      <c r="Y12" s="570"/>
      <c r="Z12" s="570"/>
      <c r="AA12" s="306">
        <f t="shared" si="8"/>
        <v>-62.209861222988593</v>
      </c>
      <c r="AB12" s="366">
        <f t="shared" si="9"/>
        <v>0.95852675918467423</v>
      </c>
      <c r="AC12" s="571"/>
    </row>
    <row r="13" spans="1:29" ht="16.5" customHeight="1">
      <c r="A13" s="596" t="s">
        <v>1606</v>
      </c>
      <c r="B13" s="372" t="s">
        <v>43</v>
      </c>
      <c r="C13" s="590" t="s">
        <v>44</v>
      </c>
      <c r="D13" s="590"/>
      <c r="E13" s="300">
        <v>41</v>
      </c>
      <c r="F13" s="372">
        <v>2556</v>
      </c>
      <c r="G13" s="363">
        <f t="shared" ref="G13:G17" si="15">E13*F13</f>
        <v>104796</v>
      </c>
      <c r="H13" s="301" t="s">
        <v>35</v>
      </c>
      <c r="I13" s="370">
        <v>26</v>
      </c>
      <c r="J13" s="303">
        <v>1500</v>
      </c>
      <c r="K13" s="304">
        <f t="shared" si="1"/>
        <v>57.692307692307693</v>
      </c>
      <c r="L13" s="370">
        <v>26</v>
      </c>
      <c r="M13" s="305">
        <f t="shared" ref="M13:M17" si="16">F13/V13*60</f>
        <v>1433.2710280373831</v>
      </c>
      <c r="N13" s="304">
        <f t="shared" si="3"/>
        <v>55.125808770668577</v>
      </c>
      <c r="O13" s="306">
        <f t="shared" si="4"/>
        <v>0</v>
      </c>
      <c r="P13" s="307">
        <f t="shared" si="5"/>
        <v>-2.5664989216391163</v>
      </c>
      <c r="Q13" s="366">
        <f t="shared" si="6"/>
        <v>0.9555140186915887</v>
      </c>
      <c r="R13" s="571">
        <f>Q18</f>
        <v>0.95575859522199091</v>
      </c>
      <c r="S13" s="308">
        <v>0.125</v>
      </c>
      <c r="T13" s="308">
        <v>0.19930555555555557</v>
      </c>
      <c r="U13" s="363"/>
      <c r="V13" s="371">
        <f t="shared" ref="V13:V17" si="17">(T13-S13)*24*60</f>
        <v>107.00000000000001</v>
      </c>
      <c r="W13" s="310">
        <f>T13</f>
        <v>0.19930555555555557</v>
      </c>
      <c r="X13" s="310">
        <f>S14</f>
        <v>0.21875000000000003</v>
      </c>
      <c r="Y13" s="570"/>
      <c r="Z13" s="570"/>
      <c r="AA13" s="306">
        <f t="shared" si="8"/>
        <v>-66.728971962616924</v>
      </c>
      <c r="AB13" s="366">
        <f t="shared" si="9"/>
        <v>0.9555140186915887</v>
      </c>
      <c r="AC13" s="571">
        <f>AB18</f>
        <v>0.95575859522199103</v>
      </c>
    </row>
    <row r="14" spans="1:29" ht="16.5" customHeight="1">
      <c r="A14" s="597" t="s">
        <v>1606</v>
      </c>
      <c r="B14" s="372" t="s">
        <v>40</v>
      </c>
      <c r="C14" s="590" t="s">
        <v>45</v>
      </c>
      <c r="D14" s="590"/>
      <c r="E14" s="300">
        <v>39.619999999999997</v>
      </c>
      <c r="F14" s="372">
        <v>4822</v>
      </c>
      <c r="G14" s="363">
        <f t="shared" si="15"/>
        <v>191047.63999999998</v>
      </c>
      <c r="H14" s="301" t="s">
        <v>35</v>
      </c>
      <c r="I14" s="370">
        <v>19</v>
      </c>
      <c r="J14" s="303">
        <v>1500</v>
      </c>
      <c r="K14" s="304">
        <f t="shared" si="1"/>
        <v>78.94736842105263</v>
      </c>
      <c r="L14" s="370">
        <v>19</v>
      </c>
      <c r="M14" s="305">
        <f t="shared" si="16"/>
        <v>1432.2772277227721</v>
      </c>
      <c r="N14" s="304">
        <f t="shared" si="3"/>
        <v>75.383011985409055</v>
      </c>
      <c r="O14" s="306">
        <f t="shared" si="4"/>
        <v>0</v>
      </c>
      <c r="P14" s="307">
        <f t="shared" si="5"/>
        <v>-3.5643564356435746</v>
      </c>
      <c r="Q14" s="366">
        <f t="shared" si="6"/>
        <v>0.9548514851485147</v>
      </c>
      <c r="R14" s="571"/>
      <c r="S14" s="308">
        <v>0.21875000000000003</v>
      </c>
      <c r="T14" s="308">
        <v>0.35902777777777783</v>
      </c>
      <c r="U14" s="363">
        <f t="shared" ref="U14:U17" si="18">IF(S14=TIME(17,0,0),"",(S14-T13)*24*60)</f>
        <v>28.000000000000021</v>
      </c>
      <c r="V14" s="371">
        <f t="shared" si="17"/>
        <v>202.00000000000003</v>
      </c>
      <c r="W14" s="310"/>
      <c r="X14" s="310"/>
      <c r="Y14" s="570"/>
      <c r="Z14" s="570"/>
      <c r="AA14" s="306">
        <f t="shared" si="8"/>
        <v>-67.722772277227932</v>
      </c>
      <c r="AB14" s="366">
        <f t="shared" si="9"/>
        <v>0.9548514851485147</v>
      </c>
      <c r="AC14" s="571"/>
    </row>
    <row r="15" spans="1:29" ht="16.5" customHeight="1">
      <c r="A15" s="597" t="s">
        <v>1606</v>
      </c>
      <c r="B15" s="372" t="s">
        <v>1182</v>
      </c>
      <c r="C15" s="590" t="s">
        <v>1041</v>
      </c>
      <c r="D15" s="590"/>
      <c r="E15" s="300">
        <v>57.3</v>
      </c>
      <c r="F15" s="372">
        <v>2742</v>
      </c>
      <c r="G15" s="363">
        <f t="shared" si="15"/>
        <v>157116.6</v>
      </c>
      <c r="H15" s="301" t="s">
        <v>35</v>
      </c>
      <c r="I15" s="370">
        <v>17</v>
      </c>
      <c r="J15" s="303">
        <v>1500</v>
      </c>
      <c r="K15" s="304">
        <f t="shared" si="1"/>
        <v>88.235294117647058</v>
      </c>
      <c r="L15" s="370">
        <v>17</v>
      </c>
      <c r="M15" s="305">
        <f t="shared" si="16"/>
        <v>1430.608695652174</v>
      </c>
      <c r="N15" s="304">
        <f t="shared" si="3"/>
        <v>84.153452685421996</v>
      </c>
      <c r="O15" s="306">
        <f t="shared" si="4"/>
        <v>0</v>
      </c>
      <c r="P15" s="307">
        <f t="shared" si="5"/>
        <v>-4.0818414322250618</v>
      </c>
      <c r="Q15" s="366">
        <f t="shared" si="6"/>
        <v>0.95373913043478264</v>
      </c>
      <c r="R15" s="571"/>
      <c r="S15" s="308">
        <v>0.36250000000000004</v>
      </c>
      <c r="T15" s="308">
        <v>0.44236111111111115</v>
      </c>
      <c r="U15" s="363">
        <f t="shared" si="18"/>
        <v>4.9999999999999822</v>
      </c>
      <c r="V15" s="371">
        <f t="shared" si="17"/>
        <v>114.99999999999999</v>
      </c>
      <c r="W15" s="310"/>
      <c r="X15" s="310"/>
      <c r="Y15" s="570"/>
      <c r="Z15" s="570"/>
      <c r="AA15" s="306">
        <f t="shared" si="8"/>
        <v>-69.391304347826008</v>
      </c>
      <c r="AB15" s="366">
        <f t="shared" si="9"/>
        <v>0.95373913043478264</v>
      </c>
      <c r="AC15" s="571"/>
    </row>
    <row r="16" spans="1:29" ht="16.5" customHeight="1">
      <c r="A16" s="597" t="s">
        <v>1606</v>
      </c>
      <c r="B16" s="372" t="s">
        <v>36</v>
      </c>
      <c r="C16" s="590" t="s">
        <v>49</v>
      </c>
      <c r="D16" s="590"/>
      <c r="E16" s="300">
        <v>50.98</v>
      </c>
      <c r="F16" s="372">
        <v>3477</v>
      </c>
      <c r="G16" s="363">
        <f t="shared" si="15"/>
        <v>177257.46</v>
      </c>
      <c r="H16" s="301" t="s">
        <v>35</v>
      </c>
      <c r="I16" s="370">
        <v>16</v>
      </c>
      <c r="J16" s="303">
        <v>2000</v>
      </c>
      <c r="K16" s="304">
        <f t="shared" si="1"/>
        <v>125</v>
      </c>
      <c r="L16" s="370">
        <v>16</v>
      </c>
      <c r="M16" s="305">
        <f t="shared" si="16"/>
        <v>1913.9449541284416</v>
      </c>
      <c r="N16" s="304">
        <f t="shared" si="3"/>
        <v>119.6215596330276</v>
      </c>
      <c r="O16" s="306">
        <f t="shared" si="4"/>
        <v>0</v>
      </c>
      <c r="P16" s="307">
        <f t="shared" si="5"/>
        <v>-5.3784403669723986</v>
      </c>
      <c r="Q16" s="366">
        <f t="shared" si="6"/>
        <v>0.95697247706422084</v>
      </c>
      <c r="R16" s="571"/>
      <c r="S16" s="308">
        <v>0.70833333333333337</v>
      </c>
      <c r="T16" s="308">
        <v>0.78402777777777777</v>
      </c>
      <c r="U16" s="363" t="str">
        <f t="shared" si="18"/>
        <v/>
      </c>
      <c r="V16" s="371">
        <f t="shared" si="17"/>
        <v>108.99999999999993</v>
      </c>
      <c r="W16" s="310"/>
      <c r="X16" s="310"/>
      <c r="Y16" s="570"/>
      <c r="Z16" s="570"/>
      <c r="AA16" s="306">
        <f t="shared" si="8"/>
        <v>-86.055045871558377</v>
      </c>
      <c r="AB16" s="366">
        <f t="shared" si="9"/>
        <v>0.95697247706422084</v>
      </c>
      <c r="AC16" s="571"/>
    </row>
    <row r="17" spans="1:29" ht="16.5" customHeight="1">
      <c r="A17" s="597" t="s">
        <v>1606</v>
      </c>
      <c r="B17" s="372" t="s">
        <v>36</v>
      </c>
      <c r="C17" s="590" t="s">
        <v>50</v>
      </c>
      <c r="D17" s="590"/>
      <c r="E17" s="300">
        <v>50.92</v>
      </c>
      <c r="F17" s="372">
        <v>3732</v>
      </c>
      <c r="G17" s="363">
        <f t="shared" si="15"/>
        <v>190033.44</v>
      </c>
      <c r="H17" s="301" t="s">
        <v>35</v>
      </c>
      <c r="I17" s="370">
        <v>15</v>
      </c>
      <c r="J17" s="303">
        <v>2000</v>
      </c>
      <c r="K17" s="304">
        <f t="shared" si="1"/>
        <v>133.33333333333334</v>
      </c>
      <c r="L17" s="370">
        <v>15</v>
      </c>
      <c r="M17" s="305">
        <f t="shared" si="16"/>
        <v>1913.8461538461529</v>
      </c>
      <c r="N17" s="304">
        <f t="shared" si="3"/>
        <v>127.58974358974352</v>
      </c>
      <c r="O17" s="306">
        <f t="shared" si="4"/>
        <v>0</v>
      </c>
      <c r="P17" s="307">
        <f t="shared" si="5"/>
        <v>-5.7435897435898227</v>
      </c>
      <c r="Q17" s="366">
        <f t="shared" si="6"/>
        <v>0.95692307692307632</v>
      </c>
      <c r="R17" s="571"/>
      <c r="S17" s="308">
        <v>0.7895833333333333</v>
      </c>
      <c r="T17" s="308">
        <v>0.87083333333333335</v>
      </c>
      <c r="U17" s="363">
        <f t="shared" si="18"/>
        <v>7.9999999999999716</v>
      </c>
      <c r="V17" s="371">
        <f t="shared" si="17"/>
        <v>117.00000000000006</v>
      </c>
      <c r="W17" s="310"/>
      <c r="X17" s="310"/>
      <c r="Y17" s="570"/>
      <c r="Z17" s="570"/>
      <c r="AA17" s="306">
        <f t="shared" si="8"/>
        <v>-86.153846153847098</v>
      </c>
      <c r="AB17" s="366">
        <f t="shared" si="9"/>
        <v>0.95692307692307643</v>
      </c>
      <c r="AC17" s="571"/>
    </row>
    <row r="18" spans="1:29" ht="16.5" customHeight="1">
      <c r="A18" s="597" t="s">
        <v>1606</v>
      </c>
      <c r="B18" s="300" t="s">
        <v>1604</v>
      </c>
      <c r="C18" s="572"/>
      <c r="D18" s="572"/>
      <c r="E18" s="367"/>
      <c r="F18" s="313"/>
      <c r="G18" s="304"/>
      <c r="H18" s="372"/>
      <c r="I18" s="314">
        <v>18.600000000000001</v>
      </c>
      <c r="J18" s="303">
        <v>1700</v>
      </c>
      <c r="K18" s="304">
        <f t="shared" si="1"/>
        <v>91.397849462365585</v>
      </c>
      <c r="L18" s="314">
        <v>18.600000000000001</v>
      </c>
      <c r="M18" s="305">
        <f>AVERAGE(M13:M17)</f>
        <v>1624.7896118773847</v>
      </c>
      <c r="N18" s="304">
        <f t="shared" si="3"/>
        <v>87.354280208461532</v>
      </c>
      <c r="O18" s="306">
        <f t="shared" si="4"/>
        <v>0</v>
      </c>
      <c r="P18" s="307">
        <f t="shared" si="5"/>
        <v>-4.0435692539040531</v>
      </c>
      <c r="Q18" s="366">
        <f t="shared" si="6"/>
        <v>0.95575859522199091</v>
      </c>
      <c r="R18" s="571"/>
      <c r="S18" s="308"/>
      <c r="T18" s="308"/>
      <c r="U18" s="363"/>
      <c r="V18" s="371"/>
      <c r="W18" s="304"/>
      <c r="X18" s="304"/>
      <c r="Y18" s="570"/>
      <c r="Z18" s="570"/>
      <c r="AA18" s="306">
        <f t="shared" si="8"/>
        <v>-75.210388122615313</v>
      </c>
      <c r="AB18" s="366">
        <f t="shared" si="9"/>
        <v>0.95575859522199103</v>
      </c>
      <c r="AC18" s="571"/>
    </row>
    <row r="19" spans="1:29" ht="15.75" customHeight="1">
      <c r="A19" s="592" t="s">
        <v>1607</v>
      </c>
      <c r="B19" s="300" t="s">
        <v>43</v>
      </c>
      <c r="C19" s="590" t="s">
        <v>51</v>
      </c>
      <c r="D19" s="590"/>
      <c r="E19" s="300">
        <v>43.14</v>
      </c>
      <c r="F19" s="372">
        <v>1454</v>
      </c>
      <c r="G19" s="363">
        <f t="shared" ref="G19:G22" si="19">E19*F19</f>
        <v>62725.56</v>
      </c>
      <c r="H19" s="301" t="s">
        <v>35</v>
      </c>
      <c r="I19" s="370">
        <v>17</v>
      </c>
      <c r="J19" s="303">
        <v>2000</v>
      </c>
      <c r="K19" s="304">
        <f t="shared" si="1"/>
        <v>117.64705882352941</v>
      </c>
      <c r="L19" s="370">
        <v>17</v>
      </c>
      <c r="M19" s="305">
        <f t="shared" ref="M19:M22" si="20">F19/V19*60</f>
        <v>1938.6666666666665</v>
      </c>
      <c r="N19" s="304">
        <f t="shared" si="3"/>
        <v>114.0392156862745</v>
      </c>
      <c r="O19" s="306">
        <f t="shared" si="4"/>
        <v>0</v>
      </c>
      <c r="P19" s="307">
        <f t="shared" si="5"/>
        <v>-3.6078431372549034</v>
      </c>
      <c r="Q19" s="366">
        <f t="shared" si="6"/>
        <v>0.96933333333333327</v>
      </c>
      <c r="R19" s="571">
        <f>Q23</f>
        <v>0.96203896103896092</v>
      </c>
      <c r="S19" s="308">
        <v>0.20833333333333334</v>
      </c>
      <c r="T19" s="308">
        <v>0.23958333333333334</v>
      </c>
      <c r="U19" s="363"/>
      <c r="V19" s="371">
        <f t="shared" ref="V19:V22" si="21">(T19-S19)*24*60</f>
        <v>45</v>
      </c>
      <c r="W19" s="315"/>
      <c r="X19" s="315"/>
      <c r="Y19" s="570"/>
      <c r="Z19" s="570"/>
      <c r="AA19" s="306">
        <f t="shared" si="8"/>
        <v>-61.333333333333485</v>
      </c>
      <c r="AB19" s="366">
        <f t="shared" si="9"/>
        <v>0.96933333333333327</v>
      </c>
      <c r="AC19" s="571">
        <f>AB23</f>
        <v>0.96203896103896092</v>
      </c>
    </row>
    <row r="20" spans="1:29" ht="15.75" customHeight="1">
      <c r="A20" s="593" t="s">
        <v>1607</v>
      </c>
      <c r="B20" s="300" t="s">
        <v>36</v>
      </c>
      <c r="C20" s="590" t="s">
        <v>53</v>
      </c>
      <c r="D20" s="590"/>
      <c r="E20" s="300">
        <v>53.68</v>
      </c>
      <c r="F20" s="372">
        <v>2118</v>
      </c>
      <c r="G20" s="363">
        <f t="shared" si="19"/>
        <v>113694.24</v>
      </c>
      <c r="H20" s="301" t="s">
        <v>35</v>
      </c>
      <c r="I20" s="370">
        <v>16</v>
      </c>
      <c r="J20" s="303">
        <v>2000</v>
      </c>
      <c r="K20" s="304">
        <f t="shared" si="1"/>
        <v>125</v>
      </c>
      <c r="L20" s="370">
        <v>16</v>
      </c>
      <c r="M20" s="305">
        <f t="shared" si="20"/>
        <v>1925.4545454545455</v>
      </c>
      <c r="N20" s="304">
        <f t="shared" si="3"/>
        <v>120.34090909090909</v>
      </c>
      <c r="O20" s="306">
        <f t="shared" si="4"/>
        <v>0</v>
      </c>
      <c r="P20" s="307">
        <f t="shared" si="5"/>
        <v>-4.6590909090909065</v>
      </c>
      <c r="Q20" s="366">
        <f t="shared" si="6"/>
        <v>0.96272727272727276</v>
      </c>
      <c r="R20" s="571"/>
      <c r="S20" s="308">
        <v>0.24444444444444446</v>
      </c>
      <c r="T20" s="308">
        <v>0.2902777777777778</v>
      </c>
      <c r="U20" s="363">
        <f t="shared" ref="U20:U22" si="22">IF(S20=TIME(17,0,0),"",(S20-T19)*24*60)</f>
        <v>7.0000000000000151</v>
      </c>
      <c r="V20" s="371">
        <f t="shared" si="21"/>
        <v>66</v>
      </c>
      <c r="W20" s="310"/>
      <c r="X20" s="363"/>
      <c r="Y20" s="570"/>
      <c r="Z20" s="570"/>
      <c r="AA20" s="306">
        <f t="shared" si="8"/>
        <v>-74.545454545454504</v>
      </c>
      <c r="AB20" s="366">
        <f t="shared" si="9"/>
        <v>0.96272727272727276</v>
      </c>
      <c r="AC20" s="571"/>
    </row>
    <row r="21" spans="1:29" ht="15.75" customHeight="1">
      <c r="A21" s="593" t="s">
        <v>1607</v>
      </c>
      <c r="B21" s="300" t="s">
        <v>36</v>
      </c>
      <c r="C21" s="590" t="s">
        <v>52</v>
      </c>
      <c r="D21" s="590"/>
      <c r="E21" s="300">
        <v>57.73</v>
      </c>
      <c r="F21" s="372">
        <v>3351</v>
      </c>
      <c r="G21" s="363">
        <f t="shared" si="19"/>
        <v>193453.22999999998</v>
      </c>
      <c r="H21" s="301" t="s">
        <v>35</v>
      </c>
      <c r="I21" s="370">
        <v>15</v>
      </c>
      <c r="J21" s="303">
        <v>2000</v>
      </c>
      <c r="K21" s="304">
        <f t="shared" si="1"/>
        <v>133.33333333333334</v>
      </c>
      <c r="L21" s="370">
        <v>15</v>
      </c>
      <c r="M21" s="305">
        <f t="shared" si="20"/>
        <v>1914.8571428571422</v>
      </c>
      <c r="N21" s="304">
        <f t="shared" si="3"/>
        <v>127.65714285714282</v>
      </c>
      <c r="O21" s="306">
        <f t="shared" si="4"/>
        <v>0</v>
      </c>
      <c r="P21" s="307">
        <f t="shared" si="5"/>
        <v>-5.6761904761905271</v>
      </c>
      <c r="Q21" s="366">
        <f t="shared" si="6"/>
        <v>0.95742857142857107</v>
      </c>
      <c r="R21" s="571"/>
      <c r="S21" s="308">
        <v>0.29375000000000001</v>
      </c>
      <c r="T21" s="308">
        <v>0.3666666666666667</v>
      </c>
      <c r="U21" s="363">
        <f t="shared" si="22"/>
        <v>4.9999999999999822</v>
      </c>
      <c r="V21" s="371">
        <f t="shared" si="21"/>
        <v>105.00000000000003</v>
      </c>
      <c r="W21" s="310"/>
      <c r="X21" s="363"/>
      <c r="Y21" s="570"/>
      <c r="Z21" s="570"/>
      <c r="AA21" s="306">
        <f t="shared" si="8"/>
        <v>-85.142857142857792</v>
      </c>
      <c r="AB21" s="366">
        <f t="shared" si="9"/>
        <v>0.95742857142857107</v>
      </c>
      <c r="AC21" s="571"/>
    </row>
    <row r="22" spans="1:29" ht="15.75" customHeight="1">
      <c r="A22" s="593" t="s">
        <v>1607</v>
      </c>
      <c r="B22" s="300" t="s">
        <v>36</v>
      </c>
      <c r="C22" s="590" t="s">
        <v>55</v>
      </c>
      <c r="D22" s="590"/>
      <c r="E22" s="300">
        <v>54.09</v>
      </c>
      <c r="F22" s="372">
        <v>2876</v>
      </c>
      <c r="G22" s="363">
        <f t="shared" si="19"/>
        <v>155562.84</v>
      </c>
      <c r="H22" s="301" t="s">
        <v>35</v>
      </c>
      <c r="I22" s="370">
        <v>19</v>
      </c>
      <c r="J22" s="303">
        <v>2000</v>
      </c>
      <c r="K22" s="304">
        <f t="shared" si="1"/>
        <v>105.26315789473684</v>
      </c>
      <c r="L22" s="370">
        <v>19</v>
      </c>
      <c r="M22" s="305">
        <f t="shared" si="20"/>
        <v>1917.3333333333333</v>
      </c>
      <c r="N22" s="304">
        <f t="shared" si="3"/>
        <v>100.91228070175438</v>
      </c>
      <c r="O22" s="306">
        <f t="shared" si="4"/>
        <v>0</v>
      </c>
      <c r="P22" s="307">
        <f t="shared" si="5"/>
        <v>-4.3508771929824519</v>
      </c>
      <c r="Q22" s="366">
        <f t="shared" si="6"/>
        <v>0.95866666666666667</v>
      </c>
      <c r="R22" s="571"/>
      <c r="S22" s="308">
        <v>0.70833333333333337</v>
      </c>
      <c r="T22" s="308">
        <v>0.77083333333333337</v>
      </c>
      <c r="U22" s="363" t="str">
        <f t="shared" si="22"/>
        <v/>
      </c>
      <c r="V22" s="371">
        <f t="shared" si="21"/>
        <v>90</v>
      </c>
      <c r="W22" s="310"/>
      <c r="X22" s="363"/>
      <c r="Y22" s="570"/>
      <c r="Z22" s="570"/>
      <c r="AA22" s="306">
        <f t="shared" si="8"/>
        <v>-82.666666666666742</v>
      </c>
      <c r="AB22" s="366">
        <f t="shared" si="9"/>
        <v>0.95866666666666667</v>
      </c>
      <c r="AC22" s="571"/>
    </row>
    <row r="23" spans="1:29" ht="15.75" customHeight="1">
      <c r="A23" s="593" t="s">
        <v>1607</v>
      </c>
      <c r="B23" s="300" t="s">
        <v>1604</v>
      </c>
      <c r="C23" s="572"/>
      <c r="D23" s="572"/>
      <c r="E23" s="367"/>
      <c r="F23" s="372"/>
      <c r="G23" s="363"/>
      <c r="H23" s="372"/>
      <c r="I23" s="314">
        <v>16.75</v>
      </c>
      <c r="J23" s="303">
        <v>2000</v>
      </c>
      <c r="K23" s="304">
        <f t="shared" si="1"/>
        <v>119.40298507462687</v>
      </c>
      <c r="L23" s="314">
        <v>16.75</v>
      </c>
      <c r="M23" s="305">
        <f>AVERAGE(M19:M22)</f>
        <v>1924.0779220779218</v>
      </c>
      <c r="N23" s="304">
        <f t="shared" si="3"/>
        <v>114.87032370614459</v>
      </c>
      <c r="O23" s="306">
        <f t="shared" si="4"/>
        <v>0</v>
      </c>
      <c r="P23" s="307">
        <f t="shared" si="5"/>
        <v>-4.5326613684822803</v>
      </c>
      <c r="Q23" s="366">
        <f t="shared" si="6"/>
        <v>0.96203896103896092</v>
      </c>
      <c r="R23" s="571"/>
      <c r="S23" s="308"/>
      <c r="T23" s="308"/>
      <c r="U23" s="304"/>
      <c r="V23" s="371"/>
      <c r="W23" s="304"/>
      <c r="X23" s="304"/>
      <c r="Y23" s="570"/>
      <c r="Z23" s="570"/>
      <c r="AA23" s="306">
        <f t="shared" si="8"/>
        <v>-75.922077922078188</v>
      </c>
      <c r="AB23" s="366">
        <f t="shared" si="9"/>
        <v>0.96203896103896092</v>
      </c>
      <c r="AC23" s="571"/>
    </row>
    <row r="24" spans="1:29" ht="15.75" customHeight="1">
      <c r="A24" s="591" t="s">
        <v>1608</v>
      </c>
      <c r="B24" s="300" t="s">
        <v>46</v>
      </c>
      <c r="C24" s="590" t="s">
        <v>61</v>
      </c>
      <c r="D24" s="590"/>
      <c r="E24" s="300">
        <v>31.29</v>
      </c>
      <c r="F24" s="372">
        <v>4600</v>
      </c>
      <c r="G24" s="363">
        <f t="shared" ref="G24:G31" si="23">E24*F24</f>
        <v>143934</v>
      </c>
      <c r="H24" s="301">
        <v>2</v>
      </c>
      <c r="I24" s="370">
        <v>18</v>
      </c>
      <c r="J24" s="303">
        <v>2400</v>
      </c>
      <c r="K24" s="304">
        <f t="shared" si="1"/>
        <v>133.33333333333334</v>
      </c>
      <c r="L24" s="370">
        <v>18</v>
      </c>
      <c r="M24" s="305">
        <f t="shared" ref="M24:M31" si="24">F24/V24*60</f>
        <v>2300.0000000000005</v>
      </c>
      <c r="N24" s="304">
        <f t="shared" si="3"/>
        <v>127.7777777777778</v>
      </c>
      <c r="O24" s="306">
        <f t="shared" si="4"/>
        <v>0</v>
      </c>
      <c r="P24" s="307">
        <f t="shared" si="5"/>
        <v>-5.5555555555555429</v>
      </c>
      <c r="Q24" s="366">
        <f t="shared" si="6"/>
        <v>0.95833333333333348</v>
      </c>
      <c r="R24" s="571">
        <f>Q32</f>
        <v>0.95755898460507993</v>
      </c>
      <c r="S24" s="308">
        <v>0.125</v>
      </c>
      <c r="T24" s="308">
        <v>0.20833333333333331</v>
      </c>
      <c r="U24" s="363"/>
      <c r="V24" s="371">
        <f t="shared" ref="V24:V31" si="25">(T24-S24)*24*60</f>
        <v>119.99999999999997</v>
      </c>
      <c r="W24" s="310">
        <f>T24</f>
        <v>0.20833333333333331</v>
      </c>
      <c r="X24" s="310">
        <f>S25</f>
        <v>0.22916666666666666</v>
      </c>
      <c r="Y24" s="570"/>
      <c r="Z24" s="570"/>
      <c r="AA24" s="306">
        <f t="shared" si="8"/>
        <v>-99.999999999999545</v>
      </c>
      <c r="AB24" s="366">
        <f t="shared" si="9"/>
        <v>0.95833333333333348</v>
      </c>
      <c r="AC24" s="571">
        <f>AB32</f>
        <v>0.95755898460507993</v>
      </c>
    </row>
    <row r="25" spans="1:29" ht="15.75" customHeight="1">
      <c r="A25" s="591" t="s">
        <v>1608</v>
      </c>
      <c r="B25" s="300" t="s">
        <v>46</v>
      </c>
      <c r="C25" s="590" t="s">
        <v>59</v>
      </c>
      <c r="D25" s="590"/>
      <c r="E25" s="300">
        <v>26.18</v>
      </c>
      <c r="F25" s="372">
        <v>4102</v>
      </c>
      <c r="G25" s="363">
        <f t="shared" si="23"/>
        <v>107390.36</v>
      </c>
      <c r="H25" s="301" t="s">
        <v>35</v>
      </c>
      <c r="I25" s="370">
        <v>19</v>
      </c>
      <c r="J25" s="303">
        <v>2400</v>
      </c>
      <c r="K25" s="304">
        <f t="shared" si="1"/>
        <v>126.31578947368421</v>
      </c>
      <c r="L25" s="370">
        <v>19</v>
      </c>
      <c r="M25" s="305">
        <f t="shared" si="24"/>
        <v>2300.1869158878508</v>
      </c>
      <c r="N25" s="304">
        <f t="shared" si="3"/>
        <v>121.0624692572553</v>
      </c>
      <c r="O25" s="306">
        <f t="shared" si="4"/>
        <v>0</v>
      </c>
      <c r="P25" s="307">
        <f t="shared" si="5"/>
        <v>-5.2533202164289037</v>
      </c>
      <c r="Q25" s="366">
        <f t="shared" si="6"/>
        <v>0.9584112149532712</v>
      </c>
      <c r="R25" s="571"/>
      <c r="S25" s="308">
        <v>0.22916666666666666</v>
      </c>
      <c r="T25" s="308">
        <v>0.3034722222222222</v>
      </c>
      <c r="U25" s="363">
        <f t="shared" ref="U25:U31" si="26">(S25-T24)*24*60</f>
        <v>30.000000000000014</v>
      </c>
      <c r="V25" s="371">
        <f t="shared" si="25"/>
        <v>106.99999999999999</v>
      </c>
      <c r="W25" s="310"/>
      <c r="X25" s="310"/>
      <c r="Y25" s="570"/>
      <c r="Z25" s="570"/>
      <c r="AA25" s="306">
        <f t="shared" si="8"/>
        <v>-99.813084112149227</v>
      </c>
      <c r="AB25" s="366">
        <f t="shared" si="9"/>
        <v>0.9584112149532712</v>
      </c>
      <c r="AC25" s="571"/>
    </row>
    <row r="26" spans="1:29" ht="15.75" customHeight="1">
      <c r="A26" s="591" t="s">
        <v>1608</v>
      </c>
      <c r="B26" s="300" t="s">
        <v>46</v>
      </c>
      <c r="C26" s="590" t="s">
        <v>60</v>
      </c>
      <c r="D26" s="590"/>
      <c r="E26" s="300">
        <v>26.2</v>
      </c>
      <c r="F26" s="372">
        <v>3500</v>
      </c>
      <c r="G26" s="363">
        <f t="shared" si="23"/>
        <v>91700</v>
      </c>
      <c r="H26" s="301">
        <v>2</v>
      </c>
      <c r="I26" s="370">
        <v>19</v>
      </c>
      <c r="J26" s="303">
        <v>2400</v>
      </c>
      <c r="K26" s="304">
        <f t="shared" si="1"/>
        <v>126.31578947368421</v>
      </c>
      <c r="L26" s="370">
        <v>19</v>
      </c>
      <c r="M26" s="305">
        <f t="shared" si="24"/>
        <v>2282.608695652174</v>
      </c>
      <c r="N26" s="304">
        <f t="shared" si="3"/>
        <v>120.13729977116705</v>
      </c>
      <c r="O26" s="306">
        <f t="shared" si="4"/>
        <v>0</v>
      </c>
      <c r="P26" s="307">
        <f t="shared" si="5"/>
        <v>-6.1784897025171546</v>
      </c>
      <c r="Q26" s="366">
        <f t="shared" si="6"/>
        <v>0.95108695652173925</v>
      </c>
      <c r="R26" s="571"/>
      <c r="S26" s="308">
        <v>0.30763888888888885</v>
      </c>
      <c r="T26" s="308">
        <v>0.37152777777777773</v>
      </c>
      <c r="U26" s="363">
        <f t="shared" si="26"/>
        <v>5.9999999999999787</v>
      </c>
      <c r="V26" s="371">
        <f t="shared" si="25"/>
        <v>92</v>
      </c>
      <c r="W26" s="310"/>
      <c r="X26" s="310"/>
      <c r="Y26" s="570"/>
      <c r="Z26" s="570"/>
      <c r="AA26" s="306">
        <f t="shared" si="8"/>
        <v>-117.39130434782601</v>
      </c>
      <c r="AB26" s="366">
        <f t="shared" si="9"/>
        <v>0.95108695652173914</v>
      </c>
      <c r="AC26" s="571"/>
    </row>
    <row r="27" spans="1:29" ht="15.75" customHeight="1">
      <c r="A27" s="591" t="s">
        <v>1608</v>
      </c>
      <c r="B27" s="300" t="s">
        <v>46</v>
      </c>
      <c r="C27" s="590" t="s">
        <v>56</v>
      </c>
      <c r="D27" s="590"/>
      <c r="E27" s="300">
        <v>26.2</v>
      </c>
      <c r="F27" s="372">
        <v>3600</v>
      </c>
      <c r="G27" s="363">
        <f t="shared" si="23"/>
        <v>94320</v>
      </c>
      <c r="H27" s="301">
        <v>2</v>
      </c>
      <c r="I27" s="370">
        <v>20</v>
      </c>
      <c r="J27" s="303">
        <v>2400</v>
      </c>
      <c r="K27" s="304">
        <f t="shared" si="1"/>
        <v>120</v>
      </c>
      <c r="L27" s="370">
        <v>20</v>
      </c>
      <c r="M27" s="305">
        <f t="shared" si="24"/>
        <v>2297.872340425532</v>
      </c>
      <c r="N27" s="304">
        <f t="shared" si="3"/>
        <v>114.8936170212766</v>
      </c>
      <c r="O27" s="306">
        <f t="shared" si="4"/>
        <v>0</v>
      </c>
      <c r="P27" s="307">
        <f t="shared" si="5"/>
        <v>-5.1063829787234027</v>
      </c>
      <c r="Q27" s="366">
        <f t="shared" si="6"/>
        <v>0.95744680851063835</v>
      </c>
      <c r="R27" s="571"/>
      <c r="S27" s="308">
        <v>0.37638888888888883</v>
      </c>
      <c r="T27" s="308">
        <v>0.4416666666666666</v>
      </c>
      <c r="U27" s="363">
        <f t="shared" si="26"/>
        <v>6.9999999999999751</v>
      </c>
      <c r="V27" s="371">
        <f t="shared" si="25"/>
        <v>93.999999999999986</v>
      </c>
      <c r="W27" s="310"/>
      <c r="X27" s="310"/>
      <c r="Y27" s="570"/>
      <c r="Z27" s="570"/>
      <c r="AA27" s="306">
        <f t="shared" si="8"/>
        <v>-102.127659574468</v>
      </c>
      <c r="AB27" s="366">
        <f t="shared" si="9"/>
        <v>0.95744680851063835</v>
      </c>
      <c r="AC27" s="571"/>
    </row>
    <row r="28" spans="1:29" ht="15.75" customHeight="1">
      <c r="A28" s="591" t="s">
        <v>1608</v>
      </c>
      <c r="B28" s="300" t="s">
        <v>46</v>
      </c>
      <c r="C28" s="590" t="s">
        <v>62</v>
      </c>
      <c r="D28" s="590"/>
      <c r="E28" s="300">
        <v>25</v>
      </c>
      <c r="F28" s="372">
        <v>5126</v>
      </c>
      <c r="G28" s="363">
        <f t="shared" si="23"/>
        <v>128150</v>
      </c>
      <c r="H28" s="301" t="s">
        <v>35</v>
      </c>
      <c r="I28" s="370">
        <v>15</v>
      </c>
      <c r="J28" s="303">
        <v>2400</v>
      </c>
      <c r="K28" s="304">
        <f t="shared" si="1"/>
        <v>160</v>
      </c>
      <c r="L28" s="370">
        <v>15</v>
      </c>
      <c r="M28" s="305">
        <f t="shared" si="24"/>
        <v>2295.2238805970132</v>
      </c>
      <c r="N28" s="304">
        <f t="shared" si="3"/>
        <v>153.01492537313422</v>
      </c>
      <c r="O28" s="306">
        <f t="shared" si="4"/>
        <v>0</v>
      </c>
      <c r="P28" s="307">
        <f t="shared" si="5"/>
        <v>-6.9850746268657815</v>
      </c>
      <c r="Q28" s="366">
        <f t="shared" si="6"/>
        <v>0.95634328358208887</v>
      </c>
      <c r="R28" s="571"/>
      <c r="S28" s="308">
        <v>0.44652777777777769</v>
      </c>
      <c r="T28" s="308">
        <v>0.5395833333333333</v>
      </c>
      <c r="U28" s="363">
        <f t="shared" si="26"/>
        <v>6.9999999999999751</v>
      </c>
      <c r="V28" s="371">
        <f t="shared" si="25"/>
        <v>134.00000000000009</v>
      </c>
      <c r="W28" s="310">
        <f>T28</f>
        <v>0.5395833333333333</v>
      </c>
      <c r="X28" s="310">
        <f>S29</f>
        <v>0.57916666666666661</v>
      </c>
      <c r="Y28" s="570"/>
      <c r="Z28" s="570"/>
      <c r="AA28" s="306">
        <f t="shared" si="8"/>
        <v>-104.77611940298675</v>
      </c>
      <c r="AB28" s="366">
        <f t="shared" si="9"/>
        <v>0.95634328358208887</v>
      </c>
      <c r="AC28" s="571"/>
    </row>
    <row r="29" spans="1:29" ht="15.75" customHeight="1">
      <c r="A29" s="591" t="s">
        <v>1608</v>
      </c>
      <c r="B29" s="300" t="s">
        <v>46</v>
      </c>
      <c r="C29" s="590" t="s">
        <v>61</v>
      </c>
      <c r="D29" s="590"/>
      <c r="E29" s="300">
        <v>31.29</v>
      </c>
      <c r="F29" s="372">
        <v>6341</v>
      </c>
      <c r="G29" s="363">
        <f t="shared" si="23"/>
        <v>198409.88999999998</v>
      </c>
      <c r="H29" s="301" t="s">
        <v>35</v>
      </c>
      <c r="I29" s="370">
        <v>18</v>
      </c>
      <c r="J29" s="303">
        <v>2400</v>
      </c>
      <c r="K29" s="304">
        <f t="shared" si="1"/>
        <v>133.33333333333334</v>
      </c>
      <c r="L29" s="370">
        <v>18</v>
      </c>
      <c r="M29" s="305">
        <f t="shared" si="24"/>
        <v>2291.9277108433726</v>
      </c>
      <c r="N29" s="304">
        <f t="shared" si="3"/>
        <v>127.32931726907626</v>
      </c>
      <c r="O29" s="306">
        <f t="shared" si="4"/>
        <v>0</v>
      </c>
      <c r="P29" s="307">
        <f t="shared" si="5"/>
        <v>-6.0040160642570868</v>
      </c>
      <c r="Q29" s="366">
        <f t="shared" si="6"/>
        <v>0.95496987951807188</v>
      </c>
      <c r="R29" s="571"/>
      <c r="S29" s="308">
        <v>0.57916666666666661</v>
      </c>
      <c r="T29" s="308">
        <v>0.69444444444444442</v>
      </c>
      <c r="U29" s="363">
        <f t="shared" si="26"/>
        <v>56.999999999999957</v>
      </c>
      <c r="V29" s="371">
        <f t="shared" si="25"/>
        <v>166.00000000000006</v>
      </c>
      <c r="W29" s="310"/>
      <c r="X29" s="310"/>
      <c r="Y29" s="570"/>
      <c r="Z29" s="570"/>
      <c r="AA29" s="306">
        <f t="shared" si="8"/>
        <v>-108.07228915662745</v>
      </c>
      <c r="AB29" s="366">
        <f t="shared" si="9"/>
        <v>0.95496987951807188</v>
      </c>
      <c r="AC29" s="571"/>
    </row>
    <row r="30" spans="1:29" ht="15.75" customHeight="1">
      <c r="A30" s="591" t="s">
        <v>1608</v>
      </c>
      <c r="B30" s="300" t="s">
        <v>46</v>
      </c>
      <c r="C30" s="590" t="s">
        <v>60</v>
      </c>
      <c r="D30" s="590"/>
      <c r="E30" s="300">
        <v>26.2</v>
      </c>
      <c r="F30" s="372">
        <v>2010</v>
      </c>
      <c r="G30" s="363">
        <f t="shared" si="23"/>
        <v>52662</v>
      </c>
      <c r="H30" s="301" t="s">
        <v>35</v>
      </c>
      <c r="I30" s="370">
        <v>19</v>
      </c>
      <c r="J30" s="303">
        <v>2400</v>
      </c>
      <c r="K30" s="304">
        <f t="shared" si="1"/>
        <v>126.31578947368421</v>
      </c>
      <c r="L30" s="370">
        <v>19</v>
      </c>
      <c r="M30" s="305">
        <f t="shared" si="24"/>
        <v>2319.2307692307704</v>
      </c>
      <c r="N30" s="304">
        <f t="shared" si="3"/>
        <v>122.06477732793529</v>
      </c>
      <c r="O30" s="306">
        <f t="shared" si="4"/>
        <v>0</v>
      </c>
      <c r="P30" s="307">
        <f t="shared" si="5"/>
        <v>-4.2510121457489163</v>
      </c>
      <c r="Q30" s="366">
        <f t="shared" si="6"/>
        <v>0.96634615384615441</v>
      </c>
      <c r="R30" s="571"/>
      <c r="S30" s="308">
        <v>0.69791666666666663</v>
      </c>
      <c r="T30" s="308">
        <v>0.73402777777777772</v>
      </c>
      <c r="U30" s="363">
        <f t="shared" si="26"/>
        <v>4.9999999999999822</v>
      </c>
      <c r="V30" s="371">
        <f t="shared" si="25"/>
        <v>51.999999999999972</v>
      </c>
      <c r="W30" s="310"/>
      <c r="X30" s="310"/>
      <c r="Y30" s="570"/>
      <c r="Z30" s="570"/>
      <c r="AA30" s="306">
        <f t="shared" si="8"/>
        <v>-80.76923076922958</v>
      </c>
      <c r="AB30" s="366">
        <f t="shared" si="9"/>
        <v>0.9663461538461543</v>
      </c>
      <c r="AC30" s="571"/>
    </row>
    <row r="31" spans="1:29" ht="15.75" customHeight="1">
      <c r="A31" s="591" t="s">
        <v>1608</v>
      </c>
      <c r="B31" s="300" t="s">
        <v>46</v>
      </c>
      <c r="C31" s="590" t="s">
        <v>56</v>
      </c>
      <c r="D31" s="590"/>
      <c r="E31" s="300">
        <v>26.2</v>
      </c>
      <c r="F31" s="372">
        <v>2796</v>
      </c>
      <c r="G31" s="363">
        <f t="shared" si="23"/>
        <v>73255.199999999997</v>
      </c>
      <c r="H31" s="301" t="s">
        <v>35</v>
      </c>
      <c r="I31" s="370">
        <v>20</v>
      </c>
      <c r="J31" s="303">
        <v>2400</v>
      </c>
      <c r="K31" s="304">
        <f t="shared" si="1"/>
        <v>120</v>
      </c>
      <c r="L31" s="370">
        <v>20</v>
      </c>
      <c r="M31" s="305">
        <f t="shared" si="24"/>
        <v>2298.0821917808203</v>
      </c>
      <c r="N31" s="304">
        <f t="shared" si="3"/>
        <v>114.90410958904101</v>
      </c>
      <c r="O31" s="306">
        <f t="shared" si="4"/>
        <v>0</v>
      </c>
      <c r="P31" s="307">
        <f t="shared" si="5"/>
        <v>-5.0958904109589866</v>
      </c>
      <c r="Q31" s="366">
        <f t="shared" si="6"/>
        <v>0.95753424657534181</v>
      </c>
      <c r="R31" s="571"/>
      <c r="S31" s="308">
        <v>0.73749999999999993</v>
      </c>
      <c r="T31" s="308">
        <v>0.78819444444444442</v>
      </c>
      <c r="U31" s="363">
        <f t="shared" si="26"/>
        <v>4.9999999999999822</v>
      </c>
      <c r="V31" s="371">
        <f t="shared" si="25"/>
        <v>73.000000000000057</v>
      </c>
      <c r="W31" s="310"/>
      <c r="X31" s="310"/>
      <c r="Y31" s="570"/>
      <c r="Z31" s="570"/>
      <c r="AA31" s="306">
        <f t="shared" si="8"/>
        <v>-101.91780821917973</v>
      </c>
      <c r="AB31" s="366">
        <f t="shared" si="9"/>
        <v>0.95753424657534181</v>
      </c>
      <c r="AC31" s="571"/>
    </row>
    <row r="32" spans="1:29" ht="15.75" customHeight="1">
      <c r="A32" s="591" t="s">
        <v>1608</v>
      </c>
      <c r="B32" s="300" t="s">
        <v>1604</v>
      </c>
      <c r="C32" s="572"/>
      <c r="D32" s="572"/>
      <c r="E32" s="367"/>
      <c r="F32" s="372"/>
      <c r="G32" s="363"/>
      <c r="H32" s="372"/>
      <c r="I32" s="314">
        <v>18.5</v>
      </c>
      <c r="J32" s="303">
        <v>2400</v>
      </c>
      <c r="K32" s="304">
        <f t="shared" si="1"/>
        <v>129.72972972972974</v>
      </c>
      <c r="L32" s="314">
        <v>18.5</v>
      </c>
      <c r="M32" s="305">
        <f>AVERAGE(M24:M31)</f>
        <v>2298.1415630521919</v>
      </c>
      <c r="N32" s="304">
        <f t="shared" si="3"/>
        <v>124.22386827309145</v>
      </c>
      <c r="O32" s="306">
        <f t="shared" si="4"/>
        <v>0</v>
      </c>
      <c r="P32" s="307">
        <f t="shared" si="5"/>
        <v>-5.5058614566382857</v>
      </c>
      <c r="Q32" s="366">
        <f t="shared" si="6"/>
        <v>0.95755898460507993</v>
      </c>
      <c r="R32" s="571"/>
      <c r="S32" s="308"/>
      <c r="T32" s="308"/>
      <c r="U32" s="363"/>
      <c r="V32" s="371"/>
      <c r="W32" s="363"/>
      <c r="X32" s="363"/>
      <c r="Y32" s="570"/>
      <c r="Z32" s="570"/>
      <c r="AA32" s="306">
        <f t="shared" si="8"/>
        <v>-101.85843694780806</v>
      </c>
      <c r="AB32" s="366">
        <f t="shared" si="9"/>
        <v>0.95755898460507993</v>
      </c>
      <c r="AC32" s="571"/>
    </row>
    <row r="33" spans="1:29" ht="15.75" customHeight="1">
      <c r="A33" s="588" t="s">
        <v>1609</v>
      </c>
      <c r="B33" s="300" t="s">
        <v>46</v>
      </c>
      <c r="C33" s="565" t="s">
        <v>63</v>
      </c>
      <c r="D33" s="565"/>
      <c r="E33" s="300">
        <v>26.2</v>
      </c>
      <c r="F33" s="372">
        <v>3300</v>
      </c>
      <c r="G33" s="363">
        <f t="shared" ref="G33:G40" si="27">E33*F33</f>
        <v>86460</v>
      </c>
      <c r="H33" s="301">
        <v>2</v>
      </c>
      <c r="I33" s="370">
        <v>18</v>
      </c>
      <c r="J33" s="303">
        <v>2400</v>
      </c>
      <c r="K33" s="304">
        <f t="shared" si="1"/>
        <v>133.33333333333334</v>
      </c>
      <c r="L33" s="370">
        <v>18</v>
      </c>
      <c r="M33" s="305">
        <f t="shared" ref="M33:M40" si="28">F33/V33*60</f>
        <v>2302.3255813953483</v>
      </c>
      <c r="N33" s="304">
        <f t="shared" si="3"/>
        <v>127.90697674418601</v>
      </c>
      <c r="O33" s="306">
        <f t="shared" si="4"/>
        <v>0</v>
      </c>
      <c r="P33" s="307">
        <f t="shared" si="5"/>
        <v>-5.426356589147332</v>
      </c>
      <c r="Q33" s="366">
        <f t="shared" si="6"/>
        <v>0.95930232558139505</v>
      </c>
      <c r="R33" s="571">
        <f>Q41</f>
        <v>0.95817031399374897</v>
      </c>
      <c r="S33" s="308">
        <v>0.125</v>
      </c>
      <c r="T33" s="308">
        <v>0.18472222222222223</v>
      </c>
      <c r="U33" s="363"/>
      <c r="V33" s="371">
        <f t="shared" ref="V33:V40" si="29">(T33-S33)*24*60</f>
        <v>86.000000000000014</v>
      </c>
      <c r="W33" s="315">
        <f>T33</f>
        <v>0.18472222222222223</v>
      </c>
      <c r="X33" s="315">
        <f>S34</f>
        <v>0.20416666666666666</v>
      </c>
      <c r="Y33" s="570"/>
      <c r="Z33" s="570"/>
      <c r="AA33" s="306">
        <f t="shared" si="8"/>
        <v>-97.674418604651692</v>
      </c>
      <c r="AB33" s="366">
        <f t="shared" si="9"/>
        <v>0.95930232558139517</v>
      </c>
      <c r="AC33" s="571">
        <f>AB41</f>
        <v>0.95817031399374897</v>
      </c>
    </row>
    <row r="34" spans="1:29" ht="15.75" customHeight="1">
      <c r="A34" s="588" t="s">
        <v>1610</v>
      </c>
      <c r="B34" s="300" t="s">
        <v>46</v>
      </c>
      <c r="C34" s="565" t="s">
        <v>64</v>
      </c>
      <c r="D34" s="565"/>
      <c r="E34" s="300">
        <v>26.39</v>
      </c>
      <c r="F34" s="372">
        <v>4700</v>
      </c>
      <c r="G34" s="363">
        <f t="shared" si="27"/>
        <v>124033</v>
      </c>
      <c r="H34" s="301">
        <v>2</v>
      </c>
      <c r="I34" s="370">
        <v>19</v>
      </c>
      <c r="J34" s="303">
        <v>2400</v>
      </c>
      <c r="K34" s="304">
        <f t="shared" si="1"/>
        <v>126.31578947368421</v>
      </c>
      <c r="L34" s="370">
        <v>19</v>
      </c>
      <c r="M34" s="305">
        <f t="shared" si="28"/>
        <v>2292.682926829269</v>
      </c>
      <c r="N34" s="304">
        <f t="shared" si="3"/>
        <v>120.66752246469837</v>
      </c>
      <c r="O34" s="306">
        <f t="shared" si="4"/>
        <v>0</v>
      </c>
      <c r="P34" s="307">
        <f t="shared" si="5"/>
        <v>-5.6482670089858402</v>
      </c>
      <c r="Q34" s="366">
        <f t="shared" si="6"/>
        <v>0.95528455284552871</v>
      </c>
      <c r="R34" s="571"/>
      <c r="S34" s="308">
        <v>0.20416666666666666</v>
      </c>
      <c r="T34" s="308">
        <v>0.2895833333333333</v>
      </c>
      <c r="U34" s="363">
        <f t="shared" ref="U34:U40" si="30">(S34-T33)*24*60</f>
        <v>27.999999999999979</v>
      </c>
      <c r="V34" s="371">
        <f t="shared" si="29"/>
        <v>122.99999999999996</v>
      </c>
      <c r="W34" s="363"/>
      <c r="X34" s="363"/>
      <c r="Y34" s="570"/>
      <c r="Z34" s="570"/>
      <c r="AA34" s="306">
        <f t="shared" si="8"/>
        <v>-107.31707317073096</v>
      </c>
      <c r="AB34" s="366">
        <f t="shared" si="9"/>
        <v>0.95528455284552871</v>
      </c>
      <c r="AC34" s="571"/>
    </row>
    <row r="35" spans="1:29">
      <c r="A35" s="589" t="s">
        <v>1609</v>
      </c>
      <c r="B35" s="300" t="s">
        <v>46</v>
      </c>
      <c r="C35" s="565" t="s">
        <v>87</v>
      </c>
      <c r="D35" s="565"/>
      <c r="E35" s="300">
        <v>20.52</v>
      </c>
      <c r="F35" s="372">
        <v>6012</v>
      </c>
      <c r="G35" s="363">
        <f t="shared" si="27"/>
        <v>123366.23999999999</v>
      </c>
      <c r="H35" s="301" t="s">
        <v>35</v>
      </c>
      <c r="I35" s="370">
        <v>18</v>
      </c>
      <c r="J35" s="303">
        <v>2400</v>
      </c>
      <c r="K35" s="304">
        <f t="shared" si="1"/>
        <v>133.33333333333334</v>
      </c>
      <c r="L35" s="370">
        <v>18</v>
      </c>
      <c r="M35" s="305">
        <f t="shared" si="28"/>
        <v>2297.5796178343949</v>
      </c>
      <c r="N35" s="304">
        <f t="shared" si="3"/>
        <v>127.64331210191082</v>
      </c>
      <c r="O35" s="306">
        <f t="shared" si="4"/>
        <v>0</v>
      </c>
      <c r="P35" s="307">
        <f t="shared" si="5"/>
        <v>-5.69002123142252</v>
      </c>
      <c r="Q35" s="366">
        <f t="shared" si="6"/>
        <v>0.95732484076433111</v>
      </c>
      <c r="R35" s="571"/>
      <c r="S35" s="308">
        <v>0.29305555555555551</v>
      </c>
      <c r="T35" s="308">
        <v>0.40208333333333329</v>
      </c>
      <c r="U35" s="363">
        <f t="shared" si="30"/>
        <v>4.9999999999999822</v>
      </c>
      <c r="V35" s="371">
        <f t="shared" si="29"/>
        <v>157</v>
      </c>
      <c r="W35" s="363"/>
      <c r="X35" s="363"/>
      <c r="Y35" s="570"/>
      <c r="Z35" s="570"/>
      <c r="AA35" s="306">
        <f t="shared" si="8"/>
        <v>-102.42038216560513</v>
      </c>
      <c r="AB35" s="366">
        <f t="shared" si="9"/>
        <v>0.95732484076433122</v>
      </c>
      <c r="AC35" s="571"/>
    </row>
    <row r="36" spans="1:29">
      <c r="A36" s="589" t="s">
        <v>1609</v>
      </c>
      <c r="B36" s="300" t="s">
        <v>46</v>
      </c>
      <c r="C36" s="565" t="s">
        <v>48</v>
      </c>
      <c r="D36" s="565"/>
      <c r="E36" s="300">
        <v>22.35</v>
      </c>
      <c r="F36" s="372">
        <v>2113</v>
      </c>
      <c r="G36" s="363">
        <f t="shared" si="27"/>
        <v>47225.55</v>
      </c>
      <c r="H36" s="301" t="s">
        <v>35</v>
      </c>
      <c r="I36" s="370">
        <v>16</v>
      </c>
      <c r="J36" s="303">
        <v>2400</v>
      </c>
      <c r="K36" s="304">
        <f t="shared" si="1"/>
        <v>150</v>
      </c>
      <c r="L36" s="370">
        <v>16</v>
      </c>
      <c r="M36" s="305">
        <f t="shared" si="28"/>
        <v>2305.0909090909104</v>
      </c>
      <c r="N36" s="304">
        <f t="shared" si="3"/>
        <v>144.0681818181819</v>
      </c>
      <c r="O36" s="306">
        <f t="shared" si="4"/>
        <v>0</v>
      </c>
      <c r="P36" s="307">
        <f t="shared" si="5"/>
        <v>-5.9318181818181017</v>
      </c>
      <c r="Q36" s="366">
        <f t="shared" si="6"/>
        <v>0.960454545454546</v>
      </c>
      <c r="R36" s="571"/>
      <c r="S36" s="308">
        <v>0.40624999999999994</v>
      </c>
      <c r="T36" s="308">
        <v>0.44444444444444436</v>
      </c>
      <c r="U36" s="363">
        <f t="shared" si="30"/>
        <v>5.9999999999999787</v>
      </c>
      <c r="V36" s="371">
        <f t="shared" si="29"/>
        <v>54.999999999999964</v>
      </c>
      <c r="W36" s="310"/>
      <c r="X36" s="310"/>
      <c r="Y36" s="570"/>
      <c r="Z36" s="570"/>
      <c r="AA36" s="306">
        <f t="shared" si="8"/>
        <v>-94.909090909089628</v>
      </c>
      <c r="AB36" s="366">
        <f t="shared" si="9"/>
        <v>0.960454545454546</v>
      </c>
      <c r="AC36" s="571"/>
    </row>
    <row r="37" spans="1:29">
      <c r="A37" s="589" t="s">
        <v>1609</v>
      </c>
      <c r="B37" s="300" t="s">
        <v>46</v>
      </c>
      <c r="C37" s="565" t="s">
        <v>65</v>
      </c>
      <c r="D37" s="565"/>
      <c r="E37" s="300">
        <v>24.43</v>
      </c>
      <c r="F37" s="372">
        <v>6000</v>
      </c>
      <c r="G37" s="363">
        <f t="shared" si="27"/>
        <v>146580</v>
      </c>
      <c r="H37" s="301">
        <v>2</v>
      </c>
      <c r="I37" s="370">
        <v>15</v>
      </c>
      <c r="J37" s="303">
        <v>2400</v>
      </c>
      <c r="K37" s="304">
        <f t="shared" si="1"/>
        <v>160</v>
      </c>
      <c r="L37" s="370">
        <v>15</v>
      </c>
      <c r="M37" s="305">
        <f t="shared" si="28"/>
        <v>2292.9936305732485</v>
      </c>
      <c r="N37" s="304">
        <f t="shared" si="3"/>
        <v>152.86624203821657</v>
      </c>
      <c r="O37" s="306">
        <f t="shared" si="4"/>
        <v>0</v>
      </c>
      <c r="P37" s="307">
        <f t="shared" si="5"/>
        <v>-7.1337579617834308</v>
      </c>
      <c r="Q37" s="366">
        <f t="shared" si="6"/>
        <v>0.95541401273885351</v>
      </c>
      <c r="R37" s="571"/>
      <c r="S37" s="308">
        <v>0.44791666666666657</v>
      </c>
      <c r="T37" s="308">
        <v>0.55694444444444435</v>
      </c>
      <c r="U37" s="363">
        <f t="shared" si="30"/>
        <v>4.9999999999999822</v>
      </c>
      <c r="V37" s="371">
        <f t="shared" si="29"/>
        <v>157</v>
      </c>
      <c r="W37" s="310"/>
      <c r="X37" s="310"/>
      <c r="Y37" s="570"/>
      <c r="Z37" s="570"/>
      <c r="AA37" s="306">
        <f t="shared" si="8"/>
        <v>-107.00636942675146</v>
      </c>
      <c r="AB37" s="366">
        <f t="shared" si="9"/>
        <v>0.95541401273885351</v>
      </c>
      <c r="AC37" s="571"/>
    </row>
    <row r="38" spans="1:29">
      <c r="A38" s="589" t="s">
        <v>1609</v>
      </c>
      <c r="B38" s="300" t="s">
        <v>46</v>
      </c>
      <c r="C38" s="565" t="s">
        <v>63</v>
      </c>
      <c r="D38" s="565"/>
      <c r="E38" s="300">
        <v>26.2</v>
      </c>
      <c r="F38" s="372">
        <v>4911</v>
      </c>
      <c r="G38" s="363">
        <f t="shared" si="27"/>
        <v>128668.2</v>
      </c>
      <c r="H38" s="301" t="s">
        <v>35</v>
      </c>
      <c r="I38" s="370">
        <v>18</v>
      </c>
      <c r="J38" s="303">
        <v>2400</v>
      </c>
      <c r="K38" s="304">
        <f t="shared" si="1"/>
        <v>133.33333333333334</v>
      </c>
      <c r="L38" s="370">
        <v>18</v>
      </c>
      <c r="M38" s="305">
        <f t="shared" si="28"/>
        <v>2302.0312499999995</v>
      </c>
      <c r="N38" s="304">
        <f t="shared" si="3"/>
        <v>127.89062499999997</v>
      </c>
      <c r="O38" s="306">
        <f t="shared" si="4"/>
        <v>0</v>
      </c>
      <c r="P38" s="307">
        <f t="shared" si="5"/>
        <v>-5.4427083333333712</v>
      </c>
      <c r="Q38" s="366">
        <f t="shared" si="6"/>
        <v>0.95917968749999971</v>
      </c>
      <c r="R38" s="571"/>
      <c r="S38" s="308">
        <v>0.56041666666666656</v>
      </c>
      <c r="T38" s="308">
        <v>0.64930555555555547</v>
      </c>
      <c r="U38" s="363">
        <f t="shared" si="30"/>
        <v>4.9999999999999822</v>
      </c>
      <c r="V38" s="371">
        <f t="shared" si="29"/>
        <v>128.00000000000003</v>
      </c>
      <c r="W38" s="310"/>
      <c r="X38" s="310"/>
      <c r="Y38" s="570"/>
      <c r="Z38" s="570"/>
      <c r="AA38" s="306">
        <f t="shared" si="8"/>
        <v>-97.968750000000455</v>
      </c>
      <c r="AB38" s="366">
        <f t="shared" si="9"/>
        <v>0.95917968749999982</v>
      </c>
      <c r="AC38" s="571"/>
    </row>
    <row r="39" spans="1:29">
      <c r="A39" s="589" t="s">
        <v>1609</v>
      </c>
      <c r="B39" s="300" t="s">
        <v>46</v>
      </c>
      <c r="C39" s="565" t="s">
        <v>64</v>
      </c>
      <c r="D39" s="565"/>
      <c r="E39" s="300">
        <v>26.39</v>
      </c>
      <c r="F39" s="372">
        <v>3301</v>
      </c>
      <c r="G39" s="363">
        <f t="shared" si="27"/>
        <v>87113.39</v>
      </c>
      <c r="H39" s="301" t="s">
        <v>35</v>
      </c>
      <c r="I39" s="370">
        <v>19</v>
      </c>
      <c r="J39" s="303">
        <v>2400</v>
      </c>
      <c r="K39" s="304">
        <f t="shared" si="1"/>
        <v>126.31578947368421</v>
      </c>
      <c r="L39" s="370">
        <v>19</v>
      </c>
      <c r="M39" s="305">
        <f t="shared" si="28"/>
        <v>2303.0232558139528</v>
      </c>
      <c r="N39" s="304">
        <f t="shared" si="3"/>
        <v>121.21175030599751</v>
      </c>
      <c r="O39" s="306">
        <f t="shared" si="4"/>
        <v>0</v>
      </c>
      <c r="P39" s="307">
        <f t="shared" si="5"/>
        <v>-5.1040391676866932</v>
      </c>
      <c r="Q39" s="366">
        <f t="shared" si="6"/>
        <v>0.95959302325581364</v>
      </c>
      <c r="R39" s="571"/>
      <c r="S39" s="308">
        <v>0.65277777777777768</v>
      </c>
      <c r="T39" s="308">
        <v>0.71249999999999991</v>
      </c>
      <c r="U39" s="363">
        <f t="shared" si="30"/>
        <v>4.9999999999999822</v>
      </c>
      <c r="V39" s="371">
        <f t="shared" si="29"/>
        <v>86.000000000000014</v>
      </c>
      <c r="W39" s="310"/>
      <c r="X39" s="310"/>
      <c r="Y39" s="566"/>
      <c r="Z39" s="567"/>
      <c r="AA39" s="306">
        <f t="shared" si="8"/>
        <v>-96.976744186047199</v>
      </c>
      <c r="AB39" s="366">
        <f t="shared" si="9"/>
        <v>0.95959302325581364</v>
      </c>
      <c r="AC39" s="571"/>
    </row>
    <row r="40" spans="1:29">
      <c r="A40" s="589" t="s">
        <v>1609</v>
      </c>
      <c r="B40" s="300" t="s">
        <v>46</v>
      </c>
      <c r="C40" s="565" t="s">
        <v>65</v>
      </c>
      <c r="D40" s="565"/>
      <c r="E40" s="300">
        <v>24.43</v>
      </c>
      <c r="F40" s="372">
        <v>4027</v>
      </c>
      <c r="G40" s="363">
        <f t="shared" si="27"/>
        <v>98379.61</v>
      </c>
      <c r="H40" s="301" t="s">
        <v>35</v>
      </c>
      <c r="I40" s="370">
        <v>15</v>
      </c>
      <c r="J40" s="303">
        <v>2400</v>
      </c>
      <c r="K40" s="304">
        <f t="shared" si="1"/>
        <v>160</v>
      </c>
      <c r="L40" s="370">
        <v>15</v>
      </c>
      <c r="M40" s="305">
        <f t="shared" si="28"/>
        <v>2301.1428571428587</v>
      </c>
      <c r="N40" s="304">
        <f t="shared" si="3"/>
        <v>153.4095238095239</v>
      </c>
      <c r="O40" s="306">
        <f t="shared" si="4"/>
        <v>0</v>
      </c>
      <c r="P40" s="307">
        <f t="shared" si="5"/>
        <v>-6.590476190476096</v>
      </c>
      <c r="Q40" s="366">
        <f t="shared" si="6"/>
        <v>0.95880952380952444</v>
      </c>
      <c r="R40" s="571"/>
      <c r="S40" s="308">
        <v>0.71805555555555545</v>
      </c>
      <c r="T40" s="308">
        <v>0.79097222222222208</v>
      </c>
      <c r="U40" s="363">
        <f t="shared" si="30"/>
        <v>7.9999999999999716</v>
      </c>
      <c r="V40" s="371">
        <f t="shared" si="29"/>
        <v>104.99999999999994</v>
      </c>
      <c r="W40" s="310"/>
      <c r="X40" s="310"/>
      <c r="Y40" s="566"/>
      <c r="Z40" s="567"/>
      <c r="AA40" s="306">
        <f t="shared" si="8"/>
        <v>-98.857142857141298</v>
      </c>
      <c r="AB40" s="366">
        <f t="shared" si="9"/>
        <v>0.95880952380952444</v>
      </c>
      <c r="AC40" s="571"/>
    </row>
    <row r="41" spans="1:29">
      <c r="A41" s="589" t="s">
        <v>1609</v>
      </c>
      <c r="B41" s="313" t="s">
        <v>1604</v>
      </c>
      <c r="C41" s="572"/>
      <c r="D41" s="572"/>
      <c r="E41" s="367"/>
      <c r="F41" s="313"/>
      <c r="G41" s="304"/>
      <c r="H41" s="372"/>
      <c r="I41" s="314">
        <v>17.25</v>
      </c>
      <c r="J41" s="303">
        <v>2400</v>
      </c>
      <c r="K41" s="304">
        <f t="shared" si="1"/>
        <v>139.13043478260869</v>
      </c>
      <c r="L41" s="314">
        <v>17.25</v>
      </c>
      <c r="M41" s="305">
        <f>AVERAGE(M33:M40)</f>
        <v>2299.6087535849974</v>
      </c>
      <c r="N41" s="304">
        <f t="shared" si="3"/>
        <v>133.31065238173898</v>
      </c>
      <c r="O41" s="306">
        <f t="shared" si="4"/>
        <v>0</v>
      </c>
      <c r="P41" s="307">
        <f t="shared" si="5"/>
        <v>-5.8197824008697125</v>
      </c>
      <c r="Q41" s="366">
        <f t="shared" si="6"/>
        <v>0.95817031399374897</v>
      </c>
      <c r="R41" s="571"/>
      <c r="S41" s="308"/>
      <c r="T41" s="308"/>
      <c r="U41" s="304"/>
      <c r="V41" s="371"/>
      <c r="W41" s="304"/>
      <c r="X41" s="304"/>
      <c r="Y41" s="570"/>
      <c r="Z41" s="570"/>
      <c r="AA41" s="306">
        <f t="shared" si="8"/>
        <v>-100.39124641500257</v>
      </c>
      <c r="AB41" s="366">
        <f t="shared" si="9"/>
        <v>0.95817031399374897</v>
      </c>
      <c r="AC41" s="571"/>
    </row>
    <row r="42" spans="1:29" ht="15.75" customHeight="1">
      <c r="A42" s="585" t="s">
        <v>1611</v>
      </c>
      <c r="B42" s="300" t="s">
        <v>67</v>
      </c>
      <c r="C42" s="580" t="s">
        <v>68</v>
      </c>
      <c r="D42" s="581"/>
      <c r="E42" s="300">
        <v>21.13</v>
      </c>
      <c r="F42" s="372">
        <v>5675</v>
      </c>
      <c r="G42" s="363">
        <f t="shared" ref="G42:G46" si="31">E42*F42</f>
        <v>119912.75</v>
      </c>
      <c r="H42" s="301" t="s">
        <v>35</v>
      </c>
      <c r="I42" s="370">
        <v>10</v>
      </c>
      <c r="J42" s="303">
        <v>3000</v>
      </c>
      <c r="K42" s="304">
        <f t="shared" si="1"/>
        <v>300</v>
      </c>
      <c r="L42" s="370">
        <v>10</v>
      </c>
      <c r="M42" s="305">
        <f t="shared" ref="M42:M46" si="32">F42/V42*60</f>
        <v>2861.3445378151268</v>
      </c>
      <c r="N42" s="305">
        <f t="shared" si="3"/>
        <v>286.13445378151266</v>
      </c>
      <c r="O42" s="306">
        <f t="shared" si="4"/>
        <v>0</v>
      </c>
      <c r="P42" s="307">
        <f t="shared" si="5"/>
        <v>-13.865546218487339</v>
      </c>
      <c r="Q42" s="366">
        <f t="shared" si="6"/>
        <v>0.95378151260504218</v>
      </c>
      <c r="R42" s="582">
        <f>Q47</f>
        <v>0.95431931382332347</v>
      </c>
      <c r="S42" s="308">
        <v>0.125</v>
      </c>
      <c r="T42" s="308">
        <v>0.20763888888888887</v>
      </c>
      <c r="U42" s="315"/>
      <c r="V42" s="371">
        <f t="shared" ref="V42:V46" si="33">(T42-S42)*24*60</f>
        <v>118.99999999999997</v>
      </c>
      <c r="W42" s="310">
        <f>T42</f>
        <v>0.20763888888888887</v>
      </c>
      <c r="X42" s="310">
        <f>S43</f>
        <v>0.22638888888888886</v>
      </c>
      <c r="Y42" s="566"/>
      <c r="Z42" s="567"/>
      <c r="AA42" s="306">
        <f t="shared" si="8"/>
        <v>-138.65546218487316</v>
      </c>
      <c r="AB42" s="366">
        <f t="shared" si="9"/>
        <v>0.95378151260504229</v>
      </c>
      <c r="AC42" s="582">
        <f>AB47</f>
        <v>0.95431931382332336</v>
      </c>
    </row>
    <row r="43" spans="1:29" ht="15.75" customHeight="1">
      <c r="A43" s="586" t="s">
        <v>1611</v>
      </c>
      <c r="B43" s="300" t="s">
        <v>67</v>
      </c>
      <c r="C43" s="580" t="s">
        <v>69</v>
      </c>
      <c r="D43" s="581"/>
      <c r="E43" s="300">
        <v>27.17</v>
      </c>
      <c r="F43" s="372">
        <v>7354</v>
      </c>
      <c r="G43" s="363">
        <f t="shared" si="31"/>
        <v>199808.18000000002</v>
      </c>
      <c r="H43" s="301" t="s">
        <v>35</v>
      </c>
      <c r="I43" s="370">
        <v>10</v>
      </c>
      <c r="J43" s="303">
        <v>3000</v>
      </c>
      <c r="K43" s="304">
        <f t="shared" si="1"/>
        <v>300</v>
      </c>
      <c r="L43" s="370">
        <v>10</v>
      </c>
      <c r="M43" s="305">
        <f t="shared" si="32"/>
        <v>2865.1948051948052</v>
      </c>
      <c r="N43" s="305">
        <f t="shared" si="3"/>
        <v>286.51948051948051</v>
      </c>
      <c r="O43" s="306">
        <f t="shared" si="4"/>
        <v>0</v>
      </c>
      <c r="P43" s="307">
        <f t="shared" si="5"/>
        <v>-13.48051948051949</v>
      </c>
      <c r="Q43" s="366">
        <f t="shared" si="6"/>
        <v>0.95506493506493506</v>
      </c>
      <c r="R43" s="583"/>
      <c r="S43" s="308">
        <v>0.22638888888888886</v>
      </c>
      <c r="T43" s="308">
        <v>0.33333333333333331</v>
      </c>
      <c r="U43" s="363">
        <f t="shared" ref="U43:U46" si="34">(S43-T42)*24*60</f>
        <v>26.999999999999986</v>
      </c>
      <c r="V43" s="371">
        <f t="shared" si="33"/>
        <v>154</v>
      </c>
      <c r="W43" s="310"/>
      <c r="X43" s="310"/>
      <c r="Y43" s="566"/>
      <c r="Z43" s="567"/>
      <c r="AA43" s="306">
        <f t="shared" si="8"/>
        <v>-134.80519480519479</v>
      </c>
      <c r="AB43" s="366">
        <f t="shared" si="9"/>
        <v>0.95506493506493506</v>
      </c>
      <c r="AC43" s="583"/>
    </row>
    <row r="44" spans="1:29" ht="15.75" customHeight="1">
      <c r="A44" s="586" t="s">
        <v>1611</v>
      </c>
      <c r="B44" s="300" t="s">
        <v>67</v>
      </c>
      <c r="C44" s="580" t="s">
        <v>70</v>
      </c>
      <c r="D44" s="581"/>
      <c r="E44" s="300">
        <v>35.119999999999997</v>
      </c>
      <c r="F44" s="372">
        <v>5251</v>
      </c>
      <c r="G44" s="363">
        <f t="shared" si="31"/>
        <v>184415.12</v>
      </c>
      <c r="H44" s="301" t="s">
        <v>35</v>
      </c>
      <c r="I44" s="370">
        <v>10</v>
      </c>
      <c r="J44" s="303">
        <v>3000</v>
      </c>
      <c r="K44" s="304">
        <f t="shared" si="1"/>
        <v>300</v>
      </c>
      <c r="L44" s="370">
        <v>10</v>
      </c>
      <c r="M44" s="305">
        <f t="shared" si="32"/>
        <v>2864.1818181818176</v>
      </c>
      <c r="N44" s="305">
        <f t="shared" si="3"/>
        <v>286.41818181818178</v>
      </c>
      <c r="O44" s="306">
        <f t="shared" si="4"/>
        <v>0</v>
      </c>
      <c r="P44" s="307">
        <f t="shared" si="5"/>
        <v>-13.581818181818221</v>
      </c>
      <c r="Q44" s="366">
        <f t="shared" si="6"/>
        <v>0.95472727272727265</v>
      </c>
      <c r="R44" s="583"/>
      <c r="S44" s="308">
        <v>0.33749999999999997</v>
      </c>
      <c r="T44" s="308">
        <v>0.41388888888888886</v>
      </c>
      <c r="U44" s="363">
        <f t="shared" si="34"/>
        <v>5.9999999999999787</v>
      </c>
      <c r="V44" s="371">
        <f t="shared" si="33"/>
        <v>110.00000000000001</v>
      </c>
      <c r="W44" s="310"/>
      <c r="X44" s="310"/>
      <c r="Y44" s="566"/>
      <c r="Z44" s="567"/>
      <c r="AA44" s="306">
        <f t="shared" si="8"/>
        <v>-135.81818181818244</v>
      </c>
      <c r="AB44" s="366">
        <f t="shared" si="9"/>
        <v>0.95472727272727254</v>
      </c>
      <c r="AC44" s="583"/>
    </row>
    <row r="45" spans="1:29" ht="15.75" customHeight="1">
      <c r="A45" s="586" t="s">
        <v>1611</v>
      </c>
      <c r="B45" s="300" t="s">
        <v>67</v>
      </c>
      <c r="C45" s="580" t="s">
        <v>71</v>
      </c>
      <c r="D45" s="581"/>
      <c r="E45" s="300">
        <v>35.869999999999997</v>
      </c>
      <c r="F45" s="372">
        <v>3204</v>
      </c>
      <c r="G45" s="363">
        <f t="shared" si="31"/>
        <v>114927.48</v>
      </c>
      <c r="H45" s="301" t="s">
        <v>35</v>
      </c>
      <c r="I45" s="370">
        <v>10</v>
      </c>
      <c r="J45" s="303">
        <v>3000</v>
      </c>
      <c r="K45" s="304">
        <f t="shared" si="1"/>
        <v>300</v>
      </c>
      <c r="L45" s="370">
        <v>10</v>
      </c>
      <c r="M45" s="305">
        <f t="shared" si="32"/>
        <v>2869.2537313432836</v>
      </c>
      <c r="N45" s="305">
        <f t="shared" si="3"/>
        <v>286.92537313432837</v>
      </c>
      <c r="O45" s="306">
        <f t="shared" si="4"/>
        <v>0</v>
      </c>
      <c r="P45" s="307">
        <f t="shared" si="5"/>
        <v>-13.074626865671632</v>
      </c>
      <c r="Q45" s="366">
        <f t="shared" si="6"/>
        <v>0.95641791044776125</v>
      </c>
      <c r="R45" s="583"/>
      <c r="S45" s="308">
        <v>0.41874999999999996</v>
      </c>
      <c r="T45" s="308">
        <v>0.46527777777777773</v>
      </c>
      <c r="U45" s="363">
        <f t="shared" si="34"/>
        <v>6.9999999999999751</v>
      </c>
      <c r="V45" s="371">
        <f t="shared" si="33"/>
        <v>67</v>
      </c>
      <c r="W45" s="310"/>
      <c r="X45" s="310"/>
      <c r="Y45" s="566"/>
      <c r="Z45" s="567"/>
      <c r="AA45" s="306">
        <f t="shared" si="8"/>
        <v>-130.74626865671644</v>
      </c>
      <c r="AB45" s="366">
        <f t="shared" si="9"/>
        <v>0.95641791044776114</v>
      </c>
      <c r="AC45" s="583"/>
    </row>
    <row r="46" spans="1:29" ht="15.75" customHeight="1">
      <c r="A46" s="586" t="s">
        <v>1611</v>
      </c>
      <c r="B46" s="300" t="s">
        <v>67</v>
      </c>
      <c r="C46" s="580" t="s">
        <v>664</v>
      </c>
      <c r="D46" s="581"/>
      <c r="E46" s="300">
        <v>34.36</v>
      </c>
      <c r="F46" s="372">
        <v>3854</v>
      </c>
      <c r="G46" s="363">
        <f t="shared" si="31"/>
        <v>132423.44</v>
      </c>
      <c r="H46" s="301" t="s">
        <v>35</v>
      </c>
      <c r="I46" s="370">
        <v>10</v>
      </c>
      <c r="J46" s="303">
        <v>3000</v>
      </c>
      <c r="K46" s="304">
        <f t="shared" si="1"/>
        <v>300</v>
      </c>
      <c r="L46" s="370">
        <v>10</v>
      </c>
      <c r="M46" s="305">
        <f t="shared" si="32"/>
        <v>2854.8148148148166</v>
      </c>
      <c r="N46" s="305">
        <f t="shared" si="3"/>
        <v>285.48148148148164</v>
      </c>
      <c r="O46" s="306">
        <f t="shared" si="4"/>
        <v>0</v>
      </c>
      <c r="P46" s="307">
        <f t="shared" si="5"/>
        <v>-14.518518518518363</v>
      </c>
      <c r="Q46" s="366">
        <f t="shared" si="6"/>
        <v>0.95160493827160542</v>
      </c>
      <c r="R46" s="583"/>
      <c r="S46" s="308">
        <v>0.46874999999999994</v>
      </c>
      <c r="T46" s="308">
        <v>0.52499999999999991</v>
      </c>
      <c r="U46" s="363">
        <f t="shared" si="34"/>
        <v>4.9999999999999822</v>
      </c>
      <c r="V46" s="371">
        <f t="shared" si="33"/>
        <v>80.999999999999957</v>
      </c>
      <c r="W46" s="310"/>
      <c r="X46" s="310"/>
      <c r="Y46" s="566"/>
      <c r="Z46" s="567"/>
      <c r="AA46" s="306">
        <f t="shared" si="8"/>
        <v>-145.1851851851834</v>
      </c>
      <c r="AB46" s="366">
        <f t="shared" si="9"/>
        <v>0.95160493827160553</v>
      </c>
      <c r="AC46" s="583"/>
    </row>
    <row r="47" spans="1:29" ht="15.75" customHeight="1">
      <c r="A47" s="587" t="s">
        <v>1611</v>
      </c>
      <c r="B47" s="300" t="s">
        <v>1604</v>
      </c>
      <c r="C47" s="568"/>
      <c r="D47" s="569"/>
      <c r="E47" s="362"/>
      <c r="F47" s="372"/>
      <c r="G47" s="363"/>
      <c r="H47" s="372"/>
      <c r="I47" s="314">
        <v>10</v>
      </c>
      <c r="J47" s="303">
        <v>3000</v>
      </c>
      <c r="K47" s="304">
        <f t="shared" si="1"/>
        <v>300</v>
      </c>
      <c r="L47" s="314">
        <v>10</v>
      </c>
      <c r="M47" s="305">
        <f>AVERAGE(M42:M46)</f>
        <v>2862.9579414699701</v>
      </c>
      <c r="N47" s="304">
        <f t="shared" si="3"/>
        <v>286.29579414699703</v>
      </c>
      <c r="O47" s="306">
        <f t="shared" si="4"/>
        <v>0</v>
      </c>
      <c r="P47" s="307">
        <f t="shared" si="5"/>
        <v>-13.704205853002975</v>
      </c>
      <c r="Q47" s="366">
        <f t="shared" si="6"/>
        <v>0.95431931382332347</v>
      </c>
      <c r="R47" s="584"/>
      <c r="S47" s="308"/>
      <c r="T47" s="308"/>
      <c r="U47" s="363"/>
      <c r="V47" s="371"/>
      <c r="W47" s="310"/>
      <c r="X47" s="310"/>
      <c r="Y47" s="566"/>
      <c r="Z47" s="567"/>
      <c r="AA47" s="306">
        <f t="shared" si="8"/>
        <v>-137.04205853002986</v>
      </c>
      <c r="AB47" s="366">
        <f t="shared" si="9"/>
        <v>0.95431931382332336</v>
      </c>
      <c r="AC47" s="584"/>
    </row>
    <row r="48" spans="1:29" ht="15.75" customHeight="1">
      <c r="A48" s="578" t="s">
        <v>1612</v>
      </c>
      <c r="B48" s="300" t="s">
        <v>40</v>
      </c>
      <c r="C48" s="565" t="s">
        <v>73</v>
      </c>
      <c r="D48" s="565"/>
      <c r="E48" s="300">
        <v>46</v>
      </c>
      <c r="F48" s="317">
        <v>2877</v>
      </c>
      <c r="G48" s="363">
        <f t="shared" ref="G48:G53" si="35">E48*F48</f>
        <v>132342</v>
      </c>
      <c r="H48" s="301" t="s">
        <v>35</v>
      </c>
      <c r="I48" s="370">
        <v>17</v>
      </c>
      <c r="J48" s="303">
        <v>2000</v>
      </c>
      <c r="K48" s="304">
        <f t="shared" si="1"/>
        <v>117.64705882352941</v>
      </c>
      <c r="L48" s="370">
        <v>17</v>
      </c>
      <c r="M48" s="305">
        <f t="shared" ref="M48:M53" si="36">F48/V48*60</f>
        <v>1918</v>
      </c>
      <c r="N48" s="305">
        <f t="shared" si="3"/>
        <v>112.82352941176471</v>
      </c>
      <c r="O48" s="306">
        <f t="shared" si="4"/>
        <v>0</v>
      </c>
      <c r="P48" s="307">
        <f t="shared" si="5"/>
        <v>-4.8235294117646959</v>
      </c>
      <c r="Q48" s="366">
        <f t="shared" si="6"/>
        <v>0.95900000000000007</v>
      </c>
      <c r="R48" s="571">
        <f>Q54</f>
        <v>0.9570965134846211</v>
      </c>
      <c r="S48" s="308">
        <v>0.29166666666666669</v>
      </c>
      <c r="T48" s="308">
        <v>0.35416666666666669</v>
      </c>
      <c r="U48" s="315"/>
      <c r="V48" s="371">
        <f t="shared" ref="V48:V53" si="37">(T48-S48)*24*60</f>
        <v>90</v>
      </c>
      <c r="W48" s="315"/>
      <c r="X48" s="315"/>
      <c r="Y48" s="570"/>
      <c r="Z48" s="570"/>
      <c r="AA48" s="306">
        <f t="shared" si="8"/>
        <v>-82</v>
      </c>
      <c r="AB48" s="366">
        <f t="shared" si="9"/>
        <v>0.95899999999999996</v>
      </c>
      <c r="AC48" s="571">
        <f>AB54</f>
        <v>0.9570965134846211</v>
      </c>
    </row>
    <row r="49" spans="1:29" ht="15.75" customHeight="1">
      <c r="A49" s="578" t="s">
        <v>1612</v>
      </c>
      <c r="B49" s="300" t="s">
        <v>36</v>
      </c>
      <c r="C49" s="565" t="s">
        <v>75</v>
      </c>
      <c r="D49" s="565"/>
      <c r="E49" s="300">
        <v>54.09</v>
      </c>
      <c r="F49" s="317">
        <v>1093</v>
      </c>
      <c r="G49" s="363">
        <f t="shared" si="35"/>
        <v>59120.37</v>
      </c>
      <c r="H49" s="301" t="s">
        <v>35</v>
      </c>
      <c r="I49" s="370">
        <v>16</v>
      </c>
      <c r="J49" s="303">
        <v>2000</v>
      </c>
      <c r="K49" s="304">
        <f t="shared" si="1"/>
        <v>125</v>
      </c>
      <c r="L49" s="370">
        <v>16</v>
      </c>
      <c r="M49" s="305">
        <f t="shared" si="36"/>
        <v>1928.8235294117669</v>
      </c>
      <c r="N49" s="305">
        <f t="shared" si="3"/>
        <v>120.55147058823543</v>
      </c>
      <c r="O49" s="306">
        <f t="shared" si="4"/>
        <v>0</v>
      </c>
      <c r="P49" s="307">
        <f t="shared" si="5"/>
        <v>-4.448529411764568</v>
      </c>
      <c r="Q49" s="366">
        <f t="shared" si="6"/>
        <v>0.96441176470588341</v>
      </c>
      <c r="R49" s="571"/>
      <c r="S49" s="308">
        <v>0.35902777777777778</v>
      </c>
      <c r="T49" s="308">
        <v>0.38263888888888886</v>
      </c>
      <c r="U49" s="363">
        <f t="shared" ref="U49:U53" si="38">IF(S49=TIME(17,0,0),"",(S49-T48)*24*60)</f>
        <v>6.9999999999999751</v>
      </c>
      <c r="V49" s="371">
        <f t="shared" si="37"/>
        <v>33.999999999999957</v>
      </c>
      <c r="W49" s="310"/>
      <c r="X49" s="310"/>
      <c r="Y49" s="570"/>
      <c r="Z49" s="570"/>
      <c r="AA49" s="306">
        <f t="shared" si="8"/>
        <v>-71.176470588233087</v>
      </c>
      <c r="AB49" s="366">
        <f t="shared" si="9"/>
        <v>0.96441176470588341</v>
      </c>
      <c r="AC49" s="571"/>
    </row>
    <row r="50" spans="1:29" ht="15.75" customHeight="1">
      <c r="A50" s="578" t="s">
        <v>1612</v>
      </c>
      <c r="B50" s="300" t="s">
        <v>40</v>
      </c>
      <c r="C50" s="580" t="s">
        <v>74</v>
      </c>
      <c r="D50" s="581"/>
      <c r="E50" s="300">
        <v>46</v>
      </c>
      <c r="F50" s="317">
        <v>3053</v>
      </c>
      <c r="G50" s="363">
        <f t="shared" si="35"/>
        <v>140438</v>
      </c>
      <c r="H50" s="301" t="s">
        <v>35</v>
      </c>
      <c r="I50" s="370">
        <v>17</v>
      </c>
      <c r="J50" s="303">
        <v>2000</v>
      </c>
      <c r="K50" s="304">
        <f t="shared" si="1"/>
        <v>117.64705882352941</v>
      </c>
      <c r="L50" s="370">
        <v>17</v>
      </c>
      <c r="M50" s="305">
        <f t="shared" si="36"/>
        <v>1908.1250000000005</v>
      </c>
      <c r="N50" s="305">
        <f t="shared" si="3"/>
        <v>112.24264705882355</v>
      </c>
      <c r="O50" s="306">
        <f t="shared" si="4"/>
        <v>0</v>
      </c>
      <c r="P50" s="307">
        <f t="shared" si="5"/>
        <v>-5.4044117647058556</v>
      </c>
      <c r="Q50" s="366">
        <f t="shared" si="6"/>
        <v>0.95406250000000026</v>
      </c>
      <c r="R50" s="571"/>
      <c r="S50" s="308">
        <v>0.3881944444444444</v>
      </c>
      <c r="T50" s="308">
        <v>0.45486111111111105</v>
      </c>
      <c r="U50" s="363">
        <f t="shared" si="38"/>
        <v>7.9999999999999716</v>
      </c>
      <c r="V50" s="371">
        <f t="shared" si="37"/>
        <v>95.999999999999972</v>
      </c>
      <c r="W50" s="310"/>
      <c r="X50" s="310"/>
      <c r="Y50" s="364"/>
      <c r="Z50" s="365"/>
      <c r="AA50" s="306">
        <f t="shared" si="8"/>
        <v>-91.874999999999545</v>
      </c>
      <c r="AB50" s="366">
        <f t="shared" si="9"/>
        <v>0.95406250000000026</v>
      </c>
      <c r="AC50" s="571"/>
    </row>
    <row r="51" spans="1:29" ht="15.75" customHeight="1">
      <c r="A51" s="578" t="s">
        <v>1612</v>
      </c>
      <c r="B51" s="300" t="s">
        <v>36</v>
      </c>
      <c r="C51" s="368" t="s">
        <v>76</v>
      </c>
      <c r="D51" s="369"/>
      <c r="E51" s="300">
        <v>55.56</v>
      </c>
      <c r="F51" s="317">
        <v>2572</v>
      </c>
      <c r="G51" s="363">
        <f t="shared" si="35"/>
        <v>142900.32</v>
      </c>
      <c r="H51" s="301" t="s">
        <v>35</v>
      </c>
      <c r="I51" s="370">
        <v>17</v>
      </c>
      <c r="J51" s="303">
        <v>2000</v>
      </c>
      <c r="K51" s="304">
        <f t="shared" si="1"/>
        <v>117.64705882352941</v>
      </c>
      <c r="L51" s="370">
        <v>17</v>
      </c>
      <c r="M51" s="305">
        <f t="shared" si="36"/>
        <v>1905.1851851851845</v>
      </c>
      <c r="N51" s="305">
        <f t="shared" si="3"/>
        <v>112.06971677559909</v>
      </c>
      <c r="O51" s="306">
        <f t="shared" si="4"/>
        <v>0</v>
      </c>
      <c r="P51" s="307">
        <f t="shared" si="5"/>
        <v>-5.5773420479303155</v>
      </c>
      <c r="Q51" s="366">
        <f t="shared" si="6"/>
        <v>0.95259259259259232</v>
      </c>
      <c r="R51" s="571"/>
      <c r="S51" s="308">
        <v>0.70833333333333337</v>
      </c>
      <c r="T51" s="308">
        <v>0.76458333333333339</v>
      </c>
      <c r="U51" s="363" t="str">
        <f t="shared" si="38"/>
        <v/>
      </c>
      <c r="V51" s="371">
        <f t="shared" si="37"/>
        <v>81.000000000000028</v>
      </c>
      <c r="W51" s="310"/>
      <c r="X51" s="310"/>
      <c r="Y51" s="364"/>
      <c r="Z51" s="365"/>
      <c r="AA51" s="306">
        <f t="shared" si="8"/>
        <v>-94.814814814815463</v>
      </c>
      <c r="AB51" s="366">
        <f t="shared" si="9"/>
        <v>0.95259259259259221</v>
      </c>
      <c r="AC51" s="571"/>
    </row>
    <row r="52" spans="1:29" ht="15.75" customHeight="1">
      <c r="A52" s="578" t="s">
        <v>1612</v>
      </c>
      <c r="B52" s="300" t="s">
        <v>36</v>
      </c>
      <c r="C52" s="368" t="s">
        <v>77</v>
      </c>
      <c r="D52" s="369"/>
      <c r="E52" s="300">
        <v>55.32</v>
      </c>
      <c r="F52" s="317">
        <v>2000</v>
      </c>
      <c r="G52" s="363">
        <f t="shared" si="35"/>
        <v>110640</v>
      </c>
      <c r="H52" s="301" t="s">
        <v>35</v>
      </c>
      <c r="I52" s="370">
        <v>15</v>
      </c>
      <c r="J52" s="303">
        <v>2000</v>
      </c>
      <c r="K52" s="304">
        <f t="shared" si="1"/>
        <v>133.33333333333334</v>
      </c>
      <c r="L52" s="370">
        <v>15</v>
      </c>
      <c r="M52" s="305">
        <f t="shared" si="36"/>
        <v>1904.7619047619066</v>
      </c>
      <c r="N52" s="305">
        <f t="shared" si="3"/>
        <v>126.98412698412712</v>
      </c>
      <c r="O52" s="306">
        <f t="shared" si="4"/>
        <v>0</v>
      </c>
      <c r="P52" s="307">
        <f t="shared" si="5"/>
        <v>-6.3492063492062272</v>
      </c>
      <c r="Q52" s="366">
        <f t="shared" si="6"/>
        <v>0.95238095238095333</v>
      </c>
      <c r="R52" s="571"/>
      <c r="S52" s="308">
        <v>0.7680555555555556</v>
      </c>
      <c r="T52" s="308">
        <v>0.81180555555555556</v>
      </c>
      <c r="U52" s="363">
        <f t="shared" si="38"/>
        <v>4.9999999999999822</v>
      </c>
      <c r="V52" s="371">
        <f t="shared" si="37"/>
        <v>62.999999999999936</v>
      </c>
      <c r="W52" s="310"/>
      <c r="X52" s="310"/>
      <c r="Y52" s="364"/>
      <c r="Z52" s="365"/>
      <c r="AA52" s="306">
        <f t="shared" si="8"/>
        <v>-95.238095238093365</v>
      </c>
      <c r="AB52" s="366">
        <f t="shared" si="9"/>
        <v>0.95238095238095333</v>
      </c>
      <c r="AC52" s="571"/>
    </row>
    <row r="53" spans="1:29" ht="15.75" customHeight="1">
      <c r="A53" s="578" t="s">
        <v>1612</v>
      </c>
      <c r="B53" s="300" t="s">
        <v>36</v>
      </c>
      <c r="C53" s="580" t="s">
        <v>78</v>
      </c>
      <c r="D53" s="581"/>
      <c r="E53" s="300">
        <v>57.73</v>
      </c>
      <c r="F53" s="317">
        <v>1682</v>
      </c>
      <c r="G53" s="363">
        <f t="shared" si="35"/>
        <v>97101.86</v>
      </c>
      <c r="H53" s="301" t="s">
        <v>35</v>
      </c>
      <c r="I53" s="370">
        <v>16</v>
      </c>
      <c r="J53" s="303">
        <v>1500</v>
      </c>
      <c r="K53" s="304">
        <f t="shared" si="1"/>
        <v>93.75</v>
      </c>
      <c r="L53" s="370">
        <v>16</v>
      </c>
      <c r="M53" s="305">
        <f t="shared" si="36"/>
        <v>1441.7142857142842</v>
      </c>
      <c r="N53" s="305">
        <f t="shared" si="3"/>
        <v>90.107142857142762</v>
      </c>
      <c r="O53" s="306">
        <f t="shared" si="4"/>
        <v>0</v>
      </c>
      <c r="P53" s="307">
        <f t="shared" si="5"/>
        <v>-3.6428571428572383</v>
      </c>
      <c r="Q53" s="366">
        <f t="shared" si="6"/>
        <v>0.96114285714285608</v>
      </c>
      <c r="R53" s="571"/>
      <c r="S53" s="308">
        <v>0.81666666666666665</v>
      </c>
      <c r="T53" s="308">
        <v>0.86527777777777781</v>
      </c>
      <c r="U53" s="363">
        <f t="shared" si="38"/>
        <v>6.9999999999999751</v>
      </c>
      <c r="V53" s="371">
        <f t="shared" si="37"/>
        <v>70.000000000000071</v>
      </c>
      <c r="W53" s="310"/>
      <c r="X53" s="310"/>
      <c r="Y53" s="566"/>
      <c r="Z53" s="567"/>
      <c r="AA53" s="306">
        <f t="shared" si="8"/>
        <v>-58.285714285715812</v>
      </c>
      <c r="AB53" s="366">
        <f t="shared" si="9"/>
        <v>0.96114285714285608</v>
      </c>
      <c r="AC53" s="571"/>
    </row>
    <row r="54" spans="1:29">
      <c r="A54" s="579" t="s">
        <v>1612</v>
      </c>
      <c r="B54" s="300" t="s">
        <v>1604</v>
      </c>
      <c r="C54" s="572"/>
      <c r="D54" s="572"/>
      <c r="E54" s="367"/>
      <c r="F54" s="313"/>
      <c r="G54" s="304"/>
      <c r="H54" s="372"/>
      <c r="I54" s="314">
        <v>16.333333333333332</v>
      </c>
      <c r="J54" s="303">
        <v>1916.6666666666667</v>
      </c>
      <c r="K54" s="304">
        <f t="shared" si="1"/>
        <v>117.34693877551021</v>
      </c>
      <c r="L54" s="314">
        <v>16.333333333333332</v>
      </c>
      <c r="M54" s="305">
        <f>AVERAGE(M48:M53)</f>
        <v>1834.4349841788571</v>
      </c>
      <c r="N54" s="304">
        <f t="shared" si="3"/>
        <v>112.31234597013412</v>
      </c>
      <c r="O54" s="306">
        <f t="shared" si="4"/>
        <v>0</v>
      </c>
      <c r="P54" s="307">
        <f t="shared" si="5"/>
        <v>-5.0345928053760929</v>
      </c>
      <c r="Q54" s="366">
        <f t="shared" si="6"/>
        <v>0.9570965134846211</v>
      </c>
      <c r="R54" s="571"/>
      <c r="S54" s="322"/>
      <c r="T54" s="308"/>
      <c r="U54" s="304"/>
      <c r="V54" s="371"/>
      <c r="W54" s="304"/>
      <c r="X54" s="304"/>
      <c r="Y54" s="570"/>
      <c r="Z54" s="570"/>
      <c r="AA54" s="306">
        <f t="shared" si="8"/>
        <v>-82.231682487809621</v>
      </c>
      <c r="AB54" s="366">
        <f t="shared" si="9"/>
        <v>0.9570965134846211</v>
      </c>
      <c r="AC54" s="571"/>
    </row>
    <row r="55" spans="1:29" ht="15.75" customHeight="1">
      <c r="A55" s="576" t="s">
        <v>1613</v>
      </c>
      <c r="B55" s="372" t="s">
        <v>40</v>
      </c>
      <c r="C55" s="565" t="s">
        <v>82</v>
      </c>
      <c r="D55" s="565"/>
      <c r="E55" s="300">
        <v>26.97</v>
      </c>
      <c r="F55" s="317">
        <v>3361</v>
      </c>
      <c r="G55" s="363">
        <f t="shared" ref="G55:G59" si="39">E55*F55</f>
        <v>90646.17</v>
      </c>
      <c r="H55" s="301" t="s">
        <v>35</v>
      </c>
      <c r="I55" s="370">
        <v>8</v>
      </c>
      <c r="J55" s="303">
        <v>1500</v>
      </c>
      <c r="K55" s="304">
        <f t="shared" si="1"/>
        <v>187.5</v>
      </c>
      <c r="L55" s="370">
        <v>8</v>
      </c>
      <c r="M55" s="305">
        <f t="shared" ref="M55:M59" si="40">F55/V55*60</f>
        <v>1430.2127659574464</v>
      </c>
      <c r="N55" s="304">
        <f t="shared" si="3"/>
        <v>178.7765957446808</v>
      </c>
      <c r="O55" s="306">
        <f t="shared" si="4"/>
        <v>0</v>
      </c>
      <c r="P55" s="307">
        <f t="shared" si="5"/>
        <v>-8.7234042553191955</v>
      </c>
      <c r="Q55" s="366">
        <f t="shared" si="6"/>
        <v>0.95347517730496434</v>
      </c>
      <c r="R55" s="571">
        <f>Q60</f>
        <v>0.95997147139700323</v>
      </c>
      <c r="S55" s="308">
        <v>0.20833333333333334</v>
      </c>
      <c r="T55" s="308">
        <v>0.30625000000000002</v>
      </c>
      <c r="U55" s="363"/>
      <c r="V55" s="371">
        <f t="shared" ref="V55:V59" si="41">(T55-S55)*24*60</f>
        <v>141.00000000000003</v>
      </c>
      <c r="W55" s="315"/>
      <c r="X55" s="315"/>
      <c r="Y55" s="570"/>
      <c r="Z55" s="570"/>
      <c r="AA55" s="306">
        <f t="shared" si="8"/>
        <v>-69.787234042553564</v>
      </c>
      <c r="AB55" s="366">
        <f t="shared" si="9"/>
        <v>0.95347517730496434</v>
      </c>
      <c r="AC55" s="571">
        <f>AB60</f>
        <v>0.95997147139700334</v>
      </c>
    </row>
    <row r="56" spans="1:29" ht="15.75" customHeight="1">
      <c r="A56" s="576" t="s">
        <v>1613</v>
      </c>
      <c r="B56" s="372" t="s">
        <v>67</v>
      </c>
      <c r="C56" s="565" t="s">
        <v>79</v>
      </c>
      <c r="D56" s="565"/>
      <c r="E56" s="300">
        <v>26.78</v>
      </c>
      <c r="F56" s="317">
        <v>2889</v>
      </c>
      <c r="G56" s="363">
        <f t="shared" si="39"/>
        <v>77367.42</v>
      </c>
      <c r="H56" s="301" t="s">
        <v>35</v>
      </c>
      <c r="I56" s="370">
        <v>10</v>
      </c>
      <c r="J56" s="303">
        <v>3000</v>
      </c>
      <c r="K56" s="304">
        <f t="shared" si="1"/>
        <v>300</v>
      </c>
      <c r="L56" s="370">
        <v>10</v>
      </c>
      <c r="M56" s="305">
        <f t="shared" si="40"/>
        <v>2888.9999999999986</v>
      </c>
      <c r="N56" s="304">
        <f t="shared" si="3"/>
        <v>288.89999999999986</v>
      </c>
      <c r="O56" s="306">
        <f t="shared" si="4"/>
        <v>0</v>
      </c>
      <c r="P56" s="307">
        <f t="shared" si="5"/>
        <v>-11.100000000000136</v>
      </c>
      <c r="Q56" s="366">
        <f t="shared" si="6"/>
        <v>0.96299999999999952</v>
      </c>
      <c r="R56" s="571"/>
      <c r="S56" s="308">
        <v>0.30972222222222223</v>
      </c>
      <c r="T56" s="308">
        <v>0.35138888888888892</v>
      </c>
      <c r="U56" s="363">
        <f t="shared" ref="U56:U59" si="42">(S56-T55)*24*60</f>
        <v>4.9999999999999822</v>
      </c>
      <c r="V56" s="371">
        <f t="shared" si="41"/>
        <v>60.000000000000028</v>
      </c>
      <c r="W56" s="363"/>
      <c r="X56" s="363"/>
      <c r="Y56" s="570"/>
      <c r="Z56" s="570"/>
      <c r="AA56" s="306">
        <f t="shared" si="8"/>
        <v>-111.00000000000136</v>
      </c>
      <c r="AB56" s="366">
        <f t="shared" si="9"/>
        <v>0.96299999999999952</v>
      </c>
      <c r="AC56" s="571"/>
    </row>
    <row r="57" spans="1:29" ht="15.75" customHeight="1">
      <c r="A57" s="576" t="s">
        <v>1613</v>
      </c>
      <c r="B57" s="372" t="s">
        <v>67</v>
      </c>
      <c r="C57" s="565" t="s">
        <v>83</v>
      </c>
      <c r="D57" s="565"/>
      <c r="E57" s="300">
        <v>35.369999999999997</v>
      </c>
      <c r="F57" s="317">
        <v>1571</v>
      </c>
      <c r="G57" s="363">
        <f t="shared" si="39"/>
        <v>55566.27</v>
      </c>
      <c r="H57" s="301" t="s">
        <v>35</v>
      </c>
      <c r="I57" s="370">
        <v>10</v>
      </c>
      <c r="J57" s="303">
        <v>3000</v>
      </c>
      <c r="K57" s="304">
        <f t="shared" si="1"/>
        <v>300</v>
      </c>
      <c r="L57" s="370">
        <v>10</v>
      </c>
      <c r="M57" s="305">
        <f t="shared" si="40"/>
        <v>2856.3636363636397</v>
      </c>
      <c r="N57" s="304">
        <f t="shared" si="3"/>
        <v>285.63636363636397</v>
      </c>
      <c r="O57" s="306">
        <f t="shared" si="4"/>
        <v>0</v>
      </c>
      <c r="P57" s="307">
        <f t="shared" si="5"/>
        <v>-14.363636363636033</v>
      </c>
      <c r="Q57" s="366">
        <f t="shared" si="6"/>
        <v>0.95212121212121326</v>
      </c>
      <c r="R57" s="571"/>
      <c r="S57" s="308">
        <v>0.35625000000000001</v>
      </c>
      <c r="T57" s="308">
        <v>0.37916666666666665</v>
      </c>
      <c r="U57" s="363">
        <f t="shared" si="42"/>
        <v>6.9999999999999751</v>
      </c>
      <c r="V57" s="371">
        <f t="shared" si="41"/>
        <v>32.999999999999964</v>
      </c>
      <c r="W57" s="363"/>
      <c r="X57" s="363"/>
      <c r="Y57" s="570"/>
      <c r="Z57" s="570"/>
      <c r="AA57" s="306">
        <f t="shared" si="8"/>
        <v>-143.63636363636033</v>
      </c>
      <c r="AB57" s="366">
        <f t="shared" si="9"/>
        <v>0.95212121212121326</v>
      </c>
      <c r="AC57" s="571"/>
    </row>
    <row r="58" spans="1:29" ht="15.75" customHeight="1">
      <c r="A58" s="576" t="s">
        <v>1613</v>
      </c>
      <c r="B58" s="372" t="s">
        <v>67</v>
      </c>
      <c r="C58" s="565" t="s">
        <v>666</v>
      </c>
      <c r="D58" s="565"/>
      <c r="E58" s="300">
        <v>37.880000000000003</v>
      </c>
      <c r="F58" s="317">
        <v>4947</v>
      </c>
      <c r="G58" s="363">
        <f t="shared" si="39"/>
        <v>187392.36000000002</v>
      </c>
      <c r="H58" s="301" t="s">
        <v>35</v>
      </c>
      <c r="I58" s="370">
        <v>11</v>
      </c>
      <c r="J58" s="303">
        <v>3000</v>
      </c>
      <c r="K58" s="304">
        <f t="shared" si="1"/>
        <v>272.72727272727275</v>
      </c>
      <c r="L58" s="370">
        <v>11</v>
      </c>
      <c r="M58" s="305">
        <f t="shared" si="40"/>
        <v>2854.038461538461</v>
      </c>
      <c r="N58" s="304">
        <f t="shared" si="3"/>
        <v>259.45804195804192</v>
      </c>
      <c r="O58" s="306">
        <f t="shared" si="4"/>
        <v>0</v>
      </c>
      <c r="P58" s="307">
        <f t="shared" si="5"/>
        <v>-13.26923076923083</v>
      </c>
      <c r="Q58" s="366">
        <f t="shared" si="6"/>
        <v>0.95134615384615362</v>
      </c>
      <c r="R58" s="571"/>
      <c r="S58" s="308">
        <v>0.38263888888888886</v>
      </c>
      <c r="T58" s="308">
        <v>0.4548611111111111</v>
      </c>
      <c r="U58" s="363">
        <f t="shared" si="42"/>
        <v>4.9999999999999822</v>
      </c>
      <c r="V58" s="371">
        <f t="shared" si="41"/>
        <v>104.00000000000003</v>
      </c>
      <c r="W58" s="363"/>
      <c r="X58" s="363"/>
      <c r="Y58" s="570"/>
      <c r="Z58" s="570"/>
      <c r="AA58" s="306">
        <f t="shared" si="8"/>
        <v>-145.96153846153902</v>
      </c>
      <c r="AB58" s="366">
        <f t="shared" si="9"/>
        <v>0.95134615384615362</v>
      </c>
      <c r="AC58" s="571"/>
    </row>
    <row r="59" spans="1:29">
      <c r="A59" s="577" t="s">
        <v>1613</v>
      </c>
      <c r="B59" s="372" t="s">
        <v>67</v>
      </c>
      <c r="C59" s="565" t="s">
        <v>72</v>
      </c>
      <c r="D59" s="565"/>
      <c r="E59" s="300">
        <v>36.14</v>
      </c>
      <c r="F59" s="317">
        <v>1758</v>
      </c>
      <c r="G59" s="363">
        <f t="shared" si="39"/>
        <v>63534.12</v>
      </c>
      <c r="H59" s="301" t="s">
        <v>35</v>
      </c>
      <c r="I59" s="370">
        <v>8</v>
      </c>
      <c r="J59" s="303">
        <v>3000</v>
      </c>
      <c r="K59" s="304">
        <f t="shared" si="1"/>
        <v>375</v>
      </c>
      <c r="L59" s="370">
        <v>8</v>
      </c>
      <c r="M59" s="305">
        <f t="shared" si="40"/>
        <v>2929.9999999999977</v>
      </c>
      <c r="N59" s="304">
        <f t="shared" si="3"/>
        <v>366.24999999999972</v>
      </c>
      <c r="O59" s="306">
        <f t="shared" si="4"/>
        <v>0</v>
      </c>
      <c r="P59" s="307">
        <f t="shared" si="5"/>
        <v>-8.7500000000002842</v>
      </c>
      <c r="Q59" s="366">
        <f t="shared" si="6"/>
        <v>0.97666666666666591</v>
      </c>
      <c r="R59" s="571"/>
      <c r="S59" s="308">
        <v>0.45902777777777776</v>
      </c>
      <c r="T59" s="308">
        <v>0.48402777777777778</v>
      </c>
      <c r="U59" s="363">
        <f t="shared" si="42"/>
        <v>5.9999999999999787</v>
      </c>
      <c r="V59" s="371">
        <f t="shared" si="41"/>
        <v>36.000000000000028</v>
      </c>
      <c r="W59" s="310"/>
      <c r="X59" s="310"/>
      <c r="Y59" s="570"/>
      <c r="Z59" s="570"/>
      <c r="AA59" s="306">
        <f t="shared" si="8"/>
        <v>-70.000000000002274</v>
      </c>
      <c r="AB59" s="366">
        <f t="shared" si="9"/>
        <v>0.97666666666666591</v>
      </c>
      <c r="AC59" s="571"/>
    </row>
    <row r="60" spans="1:29">
      <c r="A60" s="577" t="s">
        <v>1613</v>
      </c>
      <c r="B60" s="300" t="s">
        <v>1604</v>
      </c>
      <c r="C60" s="572"/>
      <c r="D60" s="572"/>
      <c r="E60" s="367"/>
      <c r="F60" s="313"/>
      <c r="G60" s="304"/>
      <c r="H60" s="372"/>
      <c r="I60" s="314">
        <v>9.4</v>
      </c>
      <c r="J60" s="303">
        <v>2700</v>
      </c>
      <c r="K60" s="304">
        <f t="shared" si="1"/>
        <v>287.2340425531915</v>
      </c>
      <c r="L60" s="314">
        <v>9.4</v>
      </c>
      <c r="M60" s="305">
        <f>AVERAGE(M55:M59)</f>
        <v>2591.9229727719089</v>
      </c>
      <c r="N60" s="304">
        <f t="shared" si="3"/>
        <v>275.73648646509668</v>
      </c>
      <c r="O60" s="306">
        <f t="shared" si="4"/>
        <v>0</v>
      </c>
      <c r="P60" s="307">
        <f t="shared" si="5"/>
        <v>-11.497556088094825</v>
      </c>
      <c r="Q60" s="366">
        <f t="shared" si="6"/>
        <v>0.95997147139700323</v>
      </c>
      <c r="R60" s="571"/>
      <c r="S60" s="308"/>
      <c r="T60" s="308"/>
      <c r="U60" s="304"/>
      <c r="V60" s="371"/>
      <c r="W60" s="304"/>
      <c r="X60" s="304"/>
      <c r="Y60" s="570"/>
      <c r="Z60" s="570"/>
      <c r="AA60" s="306">
        <f t="shared" si="8"/>
        <v>-108.07702722809108</v>
      </c>
      <c r="AB60" s="366">
        <f t="shared" si="9"/>
        <v>0.95997147139700334</v>
      </c>
      <c r="AC60" s="571"/>
    </row>
    <row r="61" spans="1:29" ht="15.75" customHeight="1">
      <c r="A61" s="573" t="s">
        <v>1614</v>
      </c>
      <c r="B61" s="372" t="s">
        <v>46</v>
      </c>
      <c r="C61" s="565" t="s">
        <v>84</v>
      </c>
      <c r="D61" s="565"/>
      <c r="E61" s="300">
        <v>20.2</v>
      </c>
      <c r="F61" s="372">
        <v>2774</v>
      </c>
      <c r="G61" s="363">
        <f t="shared" ref="G61:G70" si="43">E61*F61</f>
        <v>56034.799999999996</v>
      </c>
      <c r="H61" s="301" t="s">
        <v>35</v>
      </c>
      <c r="I61" s="370">
        <v>19</v>
      </c>
      <c r="J61" s="303">
        <v>2400</v>
      </c>
      <c r="K61" s="304">
        <f t="shared" si="1"/>
        <v>126.31578947368421</v>
      </c>
      <c r="L61" s="370">
        <v>19</v>
      </c>
      <c r="M61" s="305">
        <f t="shared" ref="M61:M70" si="44">F61/V61*60</f>
        <v>2280.0000000000005</v>
      </c>
      <c r="N61" s="304">
        <f t="shared" si="3"/>
        <v>120.00000000000003</v>
      </c>
      <c r="O61" s="306">
        <f t="shared" si="4"/>
        <v>0</v>
      </c>
      <c r="P61" s="307">
        <f t="shared" si="5"/>
        <v>-6.3157894736841769</v>
      </c>
      <c r="Q61" s="366">
        <f t="shared" si="6"/>
        <v>0.95000000000000029</v>
      </c>
      <c r="R61" s="571">
        <f>Q71</f>
        <v>0.95779426388008737</v>
      </c>
      <c r="S61" s="308">
        <v>0.125</v>
      </c>
      <c r="T61" s="308">
        <v>0.17569444444444443</v>
      </c>
      <c r="U61" s="315"/>
      <c r="V61" s="371">
        <f t="shared" ref="V61:V70" si="45">(T61-S61)*24*60</f>
        <v>72.999999999999986</v>
      </c>
      <c r="W61" s="310">
        <f>T61</f>
        <v>0.17569444444444443</v>
      </c>
      <c r="X61" s="310">
        <f>S62</f>
        <v>0.19652777777777777</v>
      </c>
      <c r="Y61" s="570"/>
      <c r="Z61" s="570"/>
      <c r="AA61" s="306">
        <f t="shared" si="8"/>
        <v>-119.99999999999955</v>
      </c>
      <c r="AB61" s="366">
        <f t="shared" si="9"/>
        <v>0.95000000000000018</v>
      </c>
      <c r="AC61" s="571">
        <f>AB71</f>
        <v>0.95779426388008726</v>
      </c>
    </row>
    <row r="62" spans="1:29" ht="15.75" customHeight="1">
      <c r="A62" s="574" t="s">
        <v>1615</v>
      </c>
      <c r="B62" s="372" t="s">
        <v>46</v>
      </c>
      <c r="C62" s="565" t="s">
        <v>85</v>
      </c>
      <c r="D62" s="565"/>
      <c r="E62" s="300">
        <v>19.02</v>
      </c>
      <c r="F62" s="372">
        <v>4500</v>
      </c>
      <c r="G62" s="363">
        <f t="shared" si="43"/>
        <v>85590</v>
      </c>
      <c r="H62" s="301">
        <v>2</v>
      </c>
      <c r="I62" s="370">
        <v>15</v>
      </c>
      <c r="J62" s="303">
        <v>2400</v>
      </c>
      <c r="K62" s="304">
        <f t="shared" si="1"/>
        <v>160</v>
      </c>
      <c r="L62" s="370">
        <v>15</v>
      </c>
      <c r="M62" s="305">
        <f t="shared" si="44"/>
        <v>2288.1355932203387</v>
      </c>
      <c r="N62" s="304">
        <f t="shared" si="3"/>
        <v>152.5423728813559</v>
      </c>
      <c r="O62" s="306">
        <f t="shared" si="4"/>
        <v>0</v>
      </c>
      <c r="P62" s="307">
        <f t="shared" si="5"/>
        <v>-7.4576271186440977</v>
      </c>
      <c r="Q62" s="366">
        <f t="shared" si="6"/>
        <v>0.95338983050847437</v>
      </c>
      <c r="R62" s="571"/>
      <c r="S62" s="308">
        <v>0.19652777777777777</v>
      </c>
      <c r="T62" s="308">
        <v>0.27847222222222223</v>
      </c>
      <c r="U62" s="363">
        <f t="shared" ref="U62:U70" si="46">(S62-T61)*24*60</f>
        <v>30.000000000000014</v>
      </c>
      <c r="V62" s="371">
        <f t="shared" si="45"/>
        <v>118.00000000000001</v>
      </c>
      <c r="W62" s="310"/>
      <c r="X62" s="310"/>
      <c r="Y62" s="570"/>
      <c r="Z62" s="570"/>
      <c r="AA62" s="306">
        <f t="shared" si="8"/>
        <v>-111.86440677966129</v>
      </c>
      <c r="AB62" s="366">
        <f t="shared" si="9"/>
        <v>0.95338983050847448</v>
      </c>
      <c r="AC62" s="571"/>
    </row>
    <row r="63" spans="1:29" ht="15.75" customHeight="1">
      <c r="A63" s="574" t="s">
        <v>1616</v>
      </c>
      <c r="B63" s="372" t="s">
        <v>46</v>
      </c>
      <c r="C63" s="565" t="s">
        <v>88</v>
      </c>
      <c r="D63" s="565"/>
      <c r="E63" s="300">
        <v>24.25</v>
      </c>
      <c r="F63" s="372">
        <v>3409</v>
      </c>
      <c r="G63" s="363">
        <f t="shared" si="43"/>
        <v>82668.25</v>
      </c>
      <c r="H63" s="301" t="s">
        <v>35</v>
      </c>
      <c r="I63" s="370">
        <v>17</v>
      </c>
      <c r="J63" s="303">
        <v>2400</v>
      </c>
      <c r="K63" s="304">
        <f t="shared" si="1"/>
        <v>141.1764705882353</v>
      </c>
      <c r="L63" s="370">
        <v>17</v>
      </c>
      <c r="M63" s="305">
        <f t="shared" si="44"/>
        <v>2298.2022471910109</v>
      </c>
      <c r="N63" s="304">
        <f t="shared" si="3"/>
        <v>135.18836748182417</v>
      </c>
      <c r="O63" s="306">
        <f t="shared" si="4"/>
        <v>0</v>
      </c>
      <c r="P63" s="307">
        <f t="shared" si="5"/>
        <v>-5.9881031064111312</v>
      </c>
      <c r="Q63" s="366">
        <f t="shared" si="6"/>
        <v>0.95758426966292121</v>
      </c>
      <c r="R63" s="571"/>
      <c r="S63" s="308">
        <v>0.28263888888888888</v>
      </c>
      <c r="T63" s="308">
        <v>0.34444444444444444</v>
      </c>
      <c r="U63" s="363">
        <f t="shared" si="46"/>
        <v>5.9999999999999787</v>
      </c>
      <c r="V63" s="371">
        <f t="shared" si="45"/>
        <v>89</v>
      </c>
      <c r="W63" s="310"/>
      <c r="X63" s="310"/>
      <c r="Y63" s="570"/>
      <c r="Z63" s="570"/>
      <c r="AA63" s="306">
        <f t="shared" si="8"/>
        <v>-101.79775280898912</v>
      </c>
      <c r="AB63" s="366">
        <f t="shared" si="9"/>
        <v>0.95758426966292121</v>
      </c>
      <c r="AC63" s="571"/>
    </row>
    <row r="64" spans="1:29" ht="15.75" customHeight="1">
      <c r="A64" s="574" t="s">
        <v>1615</v>
      </c>
      <c r="B64" s="372" t="s">
        <v>46</v>
      </c>
      <c r="C64" s="565" t="s">
        <v>47</v>
      </c>
      <c r="D64" s="565"/>
      <c r="E64" s="300">
        <v>24.45</v>
      </c>
      <c r="F64" s="372">
        <v>2569</v>
      </c>
      <c r="G64" s="363">
        <f t="shared" si="43"/>
        <v>62812.049999999996</v>
      </c>
      <c r="H64" s="301" t="s">
        <v>35</v>
      </c>
      <c r="I64" s="370">
        <v>20</v>
      </c>
      <c r="J64" s="303">
        <v>2400</v>
      </c>
      <c r="K64" s="304">
        <f t="shared" si="1"/>
        <v>120</v>
      </c>
      <c r="L64" s="370">
        <v>20</v>
      </c>
      <c r="M64" s="305">
        <f t="shared" si="44"/>
        <v>2300.5970149253735</v>
      </c>
      <c r="N64" s="304">
        <f t="shared" si="3"/>
        <v>115.02985074626868</v>
      </c>
      <c r="O64" s="306">
        <f t="shared" si="4"/>
        <v>0</v>
      </c>
      <c r="P64" s="307">
        <f t="shared" si="5"/>
        <v>-4.9701492537313214</v>
      </c>
      <c r="Q64" s="366">
        <f t="shared" si="6"/>
        <v>0.958582089552239</v>
      </c>
      <c r="R64" s="571"/>
      <c r="S64" s="308">
        <v>0.35</v>
      </c>
      <c r="T64" s="308">
        <v>0.39652777777777776</v>
      </c>
      <c r="U64" s="363">
        <f t="shared" si="46"/>
        <v>7.9999999999999716</v>
      </c>
      <c r="V64" s="371">
        <f t="shared" si="45"/>
        <v>67</v>
      </c>
      <c r="W64" s="310"/>
      <c r="X64" s="310"/>
      <c r="Y64" s="570"/>
      <c r="Z64" s="570"/>
      <c r="AA64" s="306">
        <f t="shared" si="8"/>
        <v>-99.402985074626486</v>
      </c>
      <c r="AB64" s="366">
        <f t="shared" si="9"/>
        <v>0.958582089552239</v>
      </c>
      <c r="AC64" s="571"/>
    </row>
    <row r="65" spans="1:29" ht="15.75" customHeight="1">
      <c r="A65" s="574" t="s">
        <v>33</v>
      </c>
      <c r="B65" s="372" t="s">
        <v>46</v>
      </c>
      <c r="C65" s="565" t="s">
        <v>66</v>
      </c>
      <c r="D65" s="565"/>
      <c r="E65" s="300">
        <v>24.25</v>
      </c>
      <c r="F65" s="372">
        <v>2900</v>
      </c>
      <c r="G65" s="363">
        <f t="shared" si="43"/>
        <v>70325</v>
      </c>
      <c r="H65" s="301">
        <v>2</v>
      </c>
      <c r="I65" s="370">
        <v>14</v>
      </c>
      <c r="J65" s="303">
        <v>2400</v>
      </c>
      <c r="K65" s="304">
        <f t="shared" si="1"/>
        <v>171.42857142857142</v>
      </c>
      <c r="L65" s="370">
        <v>14</v>
      </c>
      <c r="M65" s="305">
        <f t="shared" si="44"/>
        <v>2289.4736842105272</v>
      </c>
      <c r="N65" s="304">
        <f t="shared" si="3"/>
        <v>163.53383458646621</v>
      </c>
      <c r="O65" s="306">
        <f t="shared" si="4"/>
        <v>0</v>
      </c>
      <c r="P65" s="307">
        <f t="shared" si="5"/>
        <v>-7.8947368421052033</v>
      </c>
      <c r="Q65" s="366">
        <f t="shared" si="6"/>
        <v>0.95394736842105299</v>
      </c>
      <c r="R65" s="571"/>
      <c r="S65" s="308">
        <v>0.40208333333333329</v>
      </c>
      <c r="T65" s="308">
        <v>0.45486111111111105</v>
      </c>
      <c r="U65" s="363">
        <f t="shared" si="46"/>
        <v>7.9999999999999716</v>
      </c>
      <c r="V65" s="371">
        <f t="shared" si="45"/>
        <v>75.999999999999972</v>
      </c>
      <c r="W65" s="310"/>
      <c r="X65" s="310"/>
      <c r="Y65" s="570"/>
      <c r="Z65" s="570"/>
      <c r="AA65" s="306">
        <f t="shared" si="8"/>
        <v>-110.52631578947285</v>
      </c>
      <c r="AB65" s="366">
        <f t="shared" si="9"/>
        <v>0.95394736842105299</v>
      </c>
      <c r="AC65" s="571"/>
    </row>
    <row r="66" spans="1:29" ht="15.75" customHeight="1">
      <c r="A66" s="574" t="s">
        <v>1615</v>
      </c>
      <c r="B66" s="372" t="s">
        <v>46</v>
      </c>
      <c r="C66" s="565" t="s">
        <v>58</v>
      </c>
      <c r="D66" s="565"/>
      <c r="E66" s="300">
        <v>25.98</v>
      </c>
      <c r="F66" s="372">
        <v>1626</v>
      </c>
      <c r="G66" s="363">
        <f t="shared" si="43"/>
        <v>42243.48</v>
      </c>
      <c r="H66" s="301" t="s">
        <v>35</v>
      </c>
      <c r="I66" s="370">
        <v>17</v>
      </c>
      <c r="J66" s="303">
        <v>2400</v>
      </c>
      <c r="K66" s="304">
        <f t="shared" si="1"/>
        <v>141.1764705882353</v>
      </c>
      <c r="L66" s="370">
        <v>17</v>
      </c>
      <c r="M66" s="305">
        <f t="shared" si="44"/>
        <v>2322.8571428571422</v>
      </c>
      <c r="N66" s="304">
        <f t="shared" si="3"/>
        <v>136.63865546218483</v>
      </c>
      <c r="O66" s="306">
        <f t="shared" si="4"/>
        <v>0</v>
      </c>
      <c r="P66" s="307">
        <f t="shared" si="5"/>
        <v>-4.5378151260504751</v>
      </c>
      <c r="Q66" s="366">
        <f t="shared" si="6"/>
        <v>0.96785714285714242</v>
      </c>
      <c r="R66" s="571"/>
      <c r="S66" s="308">
        <v>0.46041666666666659</v>
      </c>
      <c r="T66" s="308">
        <v>0.48958333333333326</v>
      </c>
      <c r="U66" s="363">
        <f t="shared" si="46"/>
        <v>7.9999999999999716</v>
      </c>
      <c r="V66" s="371">
        <f t="shared" si="45"/>
        <v>42.000000000000014</v>
      </c>
      <c r="W66" s="310"/>
      <c r="X66" s="310"/>
      <c r="Y66" s="570"/>
      <c r="Z66" s="570"/>
      <c r="AA66" s="306">
        <f t="shared" si="8"/>
        <v>-77.142857142857792</v>
      </c>
      <c r="AB66" s="366">
        <f t="shared" si="9"/>
        <v>0.96785714285714264</v>
      </c>
      <c r="AC66" s="571"/>
    </row>
    <row r="67" spans="1:29" ht="15.75" customHeight="1">
      <c r="A67" s="574" t="s">
        <v>1615</v>
      </c>
      <c r="B67" s="372" t="s">
        <v>46</v>
      </c>
      <c r="C67" s="565" t="s">
        <v>57</v>
      </c>
      <c r="D67" s="565"/>
      <c r="E67" s="300">
        <v>20.52</v>
      </c>
      <c r="F67" s="372">
        <v>2100</v>
      </c>
      <c r="G67" s="363">
        <f t="shared" si="43"/>
        <v>43092</v>
      </c>
      <c r="H67" s="301">
        <v>2</v>
      </c>
      <c r="I67" s="370">
        <v>18</v>
      </c>
      <c r="J67" s="303">
        <v>2400</v>
      </c>
      <c r="K67" s="304">
        <f t="shared" si="1"/>
        <v>133.33333333333334</v>
      </c>
      <c r="L67" s="370">
        <v>18</v>
      </c>
      <c r="M67" s="305">
        <f t="shared" si="44"/>
        <v>2290.9090909090924</v>
      </c>
      <c r="N67" s="304">
        <f t="shared" si="3"/>
        <v>127.27272727272735</v>
      </c>
      <c r="O67" s="306">
        <f t="shared" si="4"/>
        <v>0</v>
      </c>
      <c r="P67" s="307">
        <f t="shared" si="5"/>
        <v>-6.0606060606059913</v>
      </c>
      <c r="Q67" s="366">
        <f t="shared" si="6"/>
        <v>0.95454545454545503</v>
      </c>
      <c r="R67" s="571"/>
      <c r="S67" s="308">
        <v>0.49374999999999991</v>
      </c>
      <c r="T67" s="308">
        <v>0.53194444444444433</v>
      </c>
      <c r="U67" s="363">
        <f t="shared" si="46"/>
        <v>5.9999999999999787</v>
      </c>
      <c r="V67" s="371">
        <f t="shared" si="45"/>
        <v>54.999999999999964</v>
      </c>
      <c r="W67" s="310">
        <f>T67</f>
        <v>0.53194444444444433</v>
      </c>
      <c r="X67" s="310">
        <f>S68</f>
        <v>0.57222222222222208</v>
      </c>
      <c r="Y67" s="566"/>
      <c r="Z67" s="567"/>
      <c r="AA67" s="306">
        <f t="shared" si="8"/>
        <v>-109.09090909090764</v>
      </c>
      <c r="AB67" s="366">
        <f t="shared" si="9"/>
        <v>0.95454545454545514</v>
      </c>
      <c r="AC67" s="571"/>
    </row>
    <row r="68" spans="1:29" ht="15.75" customHeight="1">
      <c r="A68" s="574" t="s">
        <v>1615</v>
      </c>
      <c r="B68" s="372" t="s">
        <v>46</v>
      </c>
      <c r="C68" s="565" t="s">
        <v>85</v>
      </c>
      <c r="D68" s="565"/>
      <c r="E68" s="300">
        <v>19.02</v>
      </c>
      <c r="F68" s="372">
        <v>7267</v>
      </c>
      <c r="G68" s="363">
        <f t="shared" si="43"/>
        <v>138218.34</v>
      </c>
      <c r="H68" s="301" t="s">
        <v>35</v>
      </c>
      <c r="I68" s="370">
        <v>15</v>
      </c>
      <c r="J68" s="303">
        <v>2400</v>
      </c>
      <c r="K68" s="304">
        <f t="shared" si="1"/>
        <v>160</v>
      </c>
      <c r="L68" s="370">
        <v>15</v>
      </c>
      <c r="M68" s="305">
        <f t="shared" si="44"/>
        <v>2294.8421052631579</v>
      </c>
      <c r="N68" s="304">
        <f t="shared" si="3"/>
        <v>152.98947368421054</v>
      </c>
      <c r="O68" s="306">
        <f t="shared" si="4"/>
        <v>0</v>
      </c>
      <c r="P68" s="307">
        <f t="shared" si="5"/>
        <v>-7.0105263157894626</v>
      </c>
      <c r="Q68" s="366">
        <f t="shared" si="6"/>
        <v>0.95618421052631586</v>
      </c>
      <c r="R68" s="571"/>
      <c r="S68" s="308">
        <v>0.57222222222222208</v>
      </c>
      <c r="T68" s="308">
        <v>0.7041666666666665</v>
      </c>
      <c r="U68" s="363">
        <f t="shared" si="46"/>
        <v>57.999999999999957</v>
      </c>
      <c r="V68" s="371">
        <f t="shared" si="45"/>
        <v>189.99999999999997</v>
      </c>
      <c r="W68" s="310"/>
      <c r="X68" s="310"/>
      <c r="Y68" s="566"/>
      <c r="Z68" s="567"/>
      <c r="AA68" s="306">
        <f t="shared" si="8"/>
        <v>-105.15789473684208</v>
      </c>
      <c r="AB68" s="366">
        <f t="shared" si="9"/>
        <v>0.95618421052631575</v>
      </c>
      <c r="AC68" s="571"/>
    </row>
    <row r="69" spans="1:29" ht="15.75" customHeight="1">
      <c r="A69" s="574" t="s">
        <v>1615</v>
      </c>
      <c r="B69" s="372" t="s">
        <v>46</v>
      </c>
      <c r="C69" s="565" t="s">
        <v>66</v>
      </c>
      <c r="D69" s="565"/>
      <c r="E69" s="300">
        <v>24.25</v>
      </c>
      <c r="F69" s="372">
        <v>2535</v>
      </c>
      <c r="G69" s="363">
        <f t="shared" si="43"/>
        <v>61473.75</v>
      </c>
      <c r="H69" s="301" t="s">
        <v>35</v>
      </c>
      <c r="I69" s="370">
        <v>14</v>
      </c>
      <c r="J69" s="303">
        <v>2400</v>
      </c>
      <c r="K69" s="304">
        <f t="shared" ref="K69:K71" si="47">J69/I69</f>
        <v>171.42857142857142</v>
      </c>
      <c r="L69" s="370">
        <v>14</v>
      </c>
      <c r="M69" s="305">
        <f t="shared" si="44"/>
        <v>2304.5454545454513</v>
      </c>
      <c r="N69" s="304">
        <f t="shared" ref="N69:N71" si="48">M69/L69</f>
        <v>164.61038961038938</v>
      </c>
      <c r="O69" s="306">
        <f t="shared" ref="O69:O71" si="49">L69-I69</f>
        <v>0</v>
      </c>
      <c r="P69" s="307">
        <f t="shared" ref="P69:P71" si="50">N69-K69</f>
        <v>-6.8181818181820404</v>
      </c>
      <c r="Q69" s="366">
        <f t="shared" ref="Q69:Q71" si="51">N69/K69</f>
        <v>0.96022727272727137</v>
      </c>
      <c r="R69" s="571"/>
      <c r="S69" s="308">
        <v>0.70902777777777759</v>
      </c>
      <c r="T69" s="308">
        <v>0.75486111111111098</v>
      </c>
      <c r="U69" s="363">
        <f t="shared" si="46"/>
        <v>6.9999999999999751</v>
      </c>
      <c r="V69" s="371">
        <f t="shared" si="45"/>
        <v>66.000000000000085</v>
      </c>
      <c r="W69" s="310"/>
      <c r="X69" s="310"/>
      <c r="Y69" s="566"/>
      <c r="Z69" s="567"/>
      <c r="AA69" s="306">
        <f t="shared" ref="AA69:AA71" si="52">M69-J69</f>
        <v>-95.454545454548679</v>
      </c>
      <c r="AB69" s="366">
        <f t="shared" ref="AB69:AB71" si="53">M69/J69</f>
        <v>0.96022727272727137</v>
      </c>
      <c r="AC69" s="571"/>
    </row>
    <row r="70" spans="1:29" ht="15.75" customHeight="1">
      <c r="A70" s="574" t="s">
        <v>1615</v>
      </c>
      <c r="B70" s="372" t="s">
        <v>46</v>
      </c>
      <c r="C70" s="565" t="s">
        <v>57</v>
      </c>
      <c r="D70" s="565"/>
      <c r="E70" s="300">
        <v>20.52</v>
      </c>
      <c r="F70" s="372">
        <v>1545</v>
      </c>
      <c r="G70" s="363">
        <f t="shared" si="43"/>
        <v>31703.399999999998</v>
      </c>
      <c r="H70" s="301" t="s">
        <v>35</v>
      </c>
      <c r="I70" s="370">
        <v>18</v>
      </c>
      <c r="J70" s="303">
        <v>2400</v>
      </c>
      <c r="K70" s="304">
        <f t="shared" si="47"/>
        <v>133.33333333333334</v>
      </c>
      <c r="L70" s="370">
        <v>18</v>
      </c>
      <c r="M70" s="305">
        <f t="shared" si="44"/>
        <v>2317.4999999999991</v>
      </c>
      <c r="N70" s="304">
        <f t="shared" si="48"/>
        <v>128.74999999999994</v>
      </c>
      <c r="O70" s="306">
        <f t="shared" si="49"/>
        <v>0</v>
      </c>
      <c r="P70" s="307">
        <f t="shared" si="50"/>
        <v>-4.5833333333333997</v>
      </c>
      <c r="Q70" s="366">
        <f t="shared" si="51"/>
        <v>0.96562499999999951</v>
      </c>
      <c r="R70" s="571"/>
      <c r="S70" s="308">
        <v>0.76041666666666652</v>
      </c>
      <c r="T70" s="308">
        <v>0.78819444444444431</v>
      </c>
      <c r="U70" s="363">
        <f t="shared" si="46"/>
        <v>7.9999999999999716</v>
      </c>
      <c r="V70" s="371">
        <f t="shared" si="45"/>
        <v>40.000000000000014</v>
      </c>
      <c r="W70" s="310"/>
      <c r="X70" s="310"/>
      <c r="Y70" s="566"/>
      <c r="Z70" s="567"/>
      <c r="AA70" s="306">
        <f t="shared" si="52"/>
        <v>-82.500000000000909</v>
      </c>
      <c r="AB70" s="366">
        <f t="shared" si="53"/>
        <v>0.96562499999999962</v>
      </c>
      <c r="AC70" s="571"/>
    </row>
    <row r="71" spans="1:29" ht="16.5" customHeight="1">
      <c r="A71" s="575" t="s">
        <v>1615</v>
      </c>
      <c r="B71" s="300" t="s">
        <v>1617</v>
      </c>
      <c r="C71" s="568"/>
      <c r="D71" s="569"/>
      <c r="E71" s="367"/>
      <c r="F71" s="313"/>
      <c r="G71" s="304"/>
      <c r="H71" s="372"/>
      <c r="I71" s="314">
        <v>16.7</v>
      </c>
      <c r="J71" s="303">
        <v>2400</v>
      </c>
      <c r="K71" s="304">
        <f t="shared" si="47"/>
        <v>143.7125748502994</v>
      </c>
      <c r="L71" s="314">
        <v>16.7</v>
      </c>
      <c r="M71" s="305">
        <f>AVERAGE(M61:M70)</f>
        <v>2298.7062333122094</v>
      </c>
      <c r="N71" s="304">
        <f t="shared" si="48"/>
        <v>137.64707983905447</v>
      </c>
      <c r="O71" s="306">
        <f t="shared" si="49"/>
        <v>0</v>
      </c>
      <c r="P71" s="307">
        <f t="shared" si="50"/>
        <v>-6.0654950112449342</v>
      </c>
      <c r="Q71" s="366">
        <f t="shared" si="51"/>
        <v>0.95779426388008737</v>
      </c>
      <c r="R71" s="571"/>
      <c r="S71" s="308"/>
      <c r="T71" s="308"/>
      <c r="U71" s="304"/>
      <c r="V71" s="371"/>
      <c r="W71" s="304"/>
      <c r="X71" s="304"/>
      <c r="Y71" s="570"/>
      <c r="Z71" s="570"/>
      <c r="AA71" s="306">
        <f t="shared" si="52"/>
        <v>-101.29376668779059</v>
      </c>
      <c r="AB71" s="366">
        <f t="shared" si="53"/>
        <v>0.95779426388008726</v>
      </c>
      <c r="AC71" s="571"/>
    </row>
    <row r="72" spans="1:29">
      <c r="D72" s="323"/>
      <c r="E72" s="323"/>
    </row>
  </sheetData>
  <mergeCells count="190">
    <mergeCell ref="S1:X2"/>
    <mergeCell ref="Y1:Z2"/>
    <mergeCell ref="AA1:AC2"/>
    <mergeCell ref="A3:A4"/>
    <mergeCell ref="B3:B4"/>
    <mergeCell ref="C3:D4"/>
    <mergeCell ref="E3:E4"/>
    <mergeCell ref="F3:F4"/>
    <mergeCell ref="G3:G4"/>
    <mergeCell ref="I1:K2"/>
    <mergeCell ref="L1:N2"/>
    <mergeCell ref="O1:R2"/>
    <mergeCell ref="P3:P4"/>
    <mergeCell ref="Q3:Q4"/>
    <mergeCell ref="R3:R4"/>
    <mergeCell ref="S3:T3"/>
    <mergeCell ref="H3:H4"/>
    <mergeCell ref="I3:I4"/>
    <mergeCell ref="J3:J4"/>
    <mergeCell ref="K3:K4"/>
    <mergeCell ref="L3:L4"/>
    <mergeCell ref="M3:M4"/>
    <mergeCell ref="C8:D8"/>
    <mergeCell ref="Y8:Z8"/>
    <mergeCell ref="A9:A12"/>
    <mergeCell ref="C9:D9"/>
    <mergeCell ref="R9:R12"/>
    <mergeCell ref="Y9:Z9"/>
    <mergeCell ref="AC3:AC4"/>
    <mergeCell ref="A5:A8"/>
    <mergeCell ref="C5:D5"/>
    <mergeCell ref="R5:R8"/>
    <mergeCell ref="Y5:Z5"/>
    <mergeCell ref="AC5:AC8"/>
    <mergeCell ref="C6:D6"/>
    <mergeCell ref="Y6:Z6"/>
    <mergeCell ref="C7:D7"/>
    <mergeCell ref="Y7:Z7"/>
    <mergeCell ref="U3:U4"/>
    <mergeCell ref="V3:V4"/>
    <mergeCell ref="W3:X3"/>
    <mergeCell ref="Y3:Z4"/>
    <mergeCell ref="AA3:AA4"/>
    <mergeCell ref="AB3:AB4"/>
    <mergeCell ref="N3:N4"/>
    <mergeCell ref="O3:O4"/>
    <mergeCell ref="AC13:AC18"/>
    <mergeCell ref="C14:D14"/>
    <mergeCell ref="Y14:Z14"/>
    <mergeCell ref="C15:D15"/>
    <mergeCell ref="Y15:Z15"/>
    <mergeCell ref="C16:D16"/>
    <mergeCell ref="AC9:AC12"/>
    <mergeCell ref="C10:D10"/>
    <mergeCell ref="Y10:Z10"/>
    <mergeCell ref="C11:D11"/>
    <mergeCell ref="Y11:Z11"/>
    <mergeCell ref="C12:D12"/>
    <mergeCell ref="Y12:Z12"/>
    <mergeCell ref="Y16:Z16"/>
    <mergeCell ref="C17:D17"/>
    <mergeCell ref="Y17:Z17"/>
    <mergeCell ref="C18:D18"/>
    <mergeCell ref="Y18:Z18"/>
    <mergeCell ref="A19:A23"/>
    <mergeCell ref="C19:D19"/>
    <mergeCell ref="R19:R23"/>
    <mergeCell ref="Y19:Z19"/>
    <mergeCell ref="A13:A18"/>
    <mergeCell ref="C13:D13"/>
    <mergeCell ref="R13:R18"/>
    <mergeCell ref="Y13:Z13"/>
    <mergeCell ref="AC24:AC32"/>
    <mergeCell ref="C25:D25"/>
    <mergeCell ref="Y25:Z25"/>
    <mergeCell ref="C26:D26"/>
    <mergeCell ref="Y26:Z26"/>
    <mergeCell ref="C27:D27"/>
    <mergeCell ref="AC19:AC23"/>
    <mergeCell ref="C20:D20"/>
    <mergeCell ref="Y20:Z20"/>
    <mergeCell ref="C21:D21"/>
    <mergeCell ref="Y21:Z21"/>
    <mergeCell ref="C22:D22"/>
    <mergeCell ref="Y22:Z22"/>
    <mergeCell ref="C23:D23"/>
    <mergeCell ref="Y23:Z23"/>
    <mergeCell ref="Y27:Z27"/>
    <mergeCell ref="C28:D28"/>
    <mergeCell ref="Y28:Z28"/>
    <mergeCell ref="C29:D29"/>
    <mergeCell ref="Y29:Z29"/>
    <mergeCell ref="C30:D30"/>
    <mergeCell ref="Y30:Z30"/>
    <mergeCell ref="A24:A32"/>
    <mergeCell ref="C24:D24"/>
    <mergeCell ref="R24:R32"/>
    <mergeCell ref="Y24:Z24"/>
    <mergeCell ref="C31:D31"/>
    <mergeCell ref="Y31:Z31"/>
    <mergeCell ref="C32:D32"/>
    <mergeCell ref="Y32:Z32"/>
    <mergeCell ref="A33:A41"/>
    <mergeCell ref="C33:D33"/>
    <mergeCell ref="R33:R41"/>
    <mergeCell ref="Y33:Z33"/>
    <mergeCell ref="Y38:Z38"/>
    <mergeCell ref="C39:D39"/>
    <mergeCell ref="AC33:AC41"/>
    <mergeCell ref="C34:D34"/>
    <mergeCell ref="Y34:Z34"/>
    <mergeCell ref="C35:D35"/>
    <mergeCell ref="Y35:Z35"/>
    <mergeCell ref="C36:D36"/>
    <mergeCell ref="Y36:Z36"/>
    <mergeCell ref="C37:D37"/>
    <mergeCell ref="Y37:Z37"/>
    <mergeCell ref="C38:D38"/>
    <mergeCell ref="Y39:Z39"/>
    <mergeCell ref="C40:D40"/>
    <mergeCell ref="Y40:Z40"/>
    <mergeCell ref="C41:D41"/>
    <mergeCell ref="Y41:Z41"/>
    <mergeCell ref="AC48:AC54"/>
    <mergeCell ref="C49:D49"/>
    <mergeCell ref="Y49:Z49"/>
    <mergeCell ref="C50:D50"/>
    <mergeCell ref="C53:D53"/>
    <mergeCell ref="Y53:Z53"/>
    <mergeCell ref="AC42:AC47"/>
    <mergeCell ref="C43:D43"/>
    <mergeCell ref="Y43:Z43"/>
    <mergeCell ref="C44:D44"/>
    <mergeCell ref="Y44:Z44"/>
    <mergeCell ref="C45:D45"/>
    <mergeCell ref="Y45:Z45"/>
    <mergeCell ref="C46:D46"/>
    <mergeCell ref="Y46:Z46"/>
    <mergeCell ref="C47:D47"/>
    <mergeCell ref="C54:D54"/>
    <mergeCell ref="Y54:Z54"/>
    <mergeCell ref="A61:A71"/>
    <mergeCell ref="C61:D61"/>
    <mergeCell ref="R61:R71"/>
    <mergeCell ref="Y61:Z61"/>
    <mergeCell ref="A42:A47"/>
    <mergeCell ref="C42:D42"/>
    <mergeCell ref="R42:R47"/>
    <mergeCell ref="Y42:Z42"/>
    <mergeCell ref="Y47:Z47"/>
    <mergeCell ref="A55:A60"/>
    <mergeCell ref="C55:D55"/>
    <mergeCell ref="R55:R60"/>
    <mergeCell ref="Y55:Z55"/>
    <mergeCell ref="Y60:Z60"/>
    <mergeCell ref="A48:A54"/>
    <mergeCell ref="C48:D48"/>
    <mergeCell ref="R48:R54"/>
    <mergeCell ref="Y48:Z48"/>
    <mergeCell ref="AC55:AC60"/>
    <mergeCell ref="C56:D56"/>
    <mergeCell ref="Y56:Z56"/>
    <mergeCell ref="C57:D57"/>
    <mergeCell ref="Y57:Z57"/>
    <mergeCell ref="C58:D58"/>
    <mergeCell ref="Y58:Z58"/>
    <mergeCell ref="C59:D59"/>
    <mergeCell ref="Y59:Z59"/>
    <mergeCell ref="C60:D60"/>
    <mergeCell ref="AC61:AC71"/>
    <mergeCell ref="C62:D62"/>
    <mergeCell ref="Y62:Z62"/>
    <mergeCell ref="C63:D63"/>
    <mergeCell ref="Y63:Z63"/>
    <mergeCell ref="C64:D64"/>
    <mergeCell ref="C71:D71"/>
    <mergeCell ref="Y71:Z71"/>
    <mergeCell ref="C68:D68"/>
    <mergeCell ref="Y68:Z68"/>
    <mergeCell ref="C69:D69"/>
    <mergeCell ref="Y69:Z69"/>
    <mergeCell ref="C70:D70"/>
    <mergeCell ref="Y70:Z70"/>
    <mergeCell ref="Y64:Z64"/>
    <mergeCell ref="C65:D65"/>
    <mergeCell ref="Y65:Z65"/>
    <mergeCell ref="C66:D66"/>
    <mergeCell ref="Y66:Z66"/>
    <mergeCell ref="C67:D67"/>
    <mergeCell ref="Y67:Z67"/>
  </mergeCells>
  <phoneticPr fontId="3" type="noConversion"/>
  <conditionalFormatting sqref="O58:O66 O71 O5:O9 O12:O14 O18:O55">
    <cfRule type="cellIs" dxfId="1281" priority="56" operator="greaterThan">
      <formula>0</formula>
    </cfRule>
  </conditionalFormatting>
  <conditionalFormatting sqref="P5:P7 P58:P59 AA58:AA59 P61:P66 P24:P31 P55 P9 P12:P14 P19:P22 P48:P53 P33:P46 AA5:AA55 AA61:AA71">
    <cfRule type="cellIs" dxfId="1280" priority="60" operator="lessThan">
      <formula>0</formula>
    </cfRule>
  </conditionalFormatting>
  <conditionalFormatting sqref="AB58:AB59 Q58:Q66 Q71 Q5:Q9 Q12:Q14 Q18:Q55 AB5:AB55 AB61:AB71">
    <cfRule type="cellIs" dxfId="1279" priority="57" operator="greaterThan">
      <formula>1</formula>
    </cfRule>
    <cfRule type="cellIs" dxfId="1278" priority="58" operator="lessThan">
      <formula>0.8</formula>
    </cfRule>
  </conditionalFormatting>
  <conditionalFormatting sqref="AC13:AC14 R13:R14 AC58 R58:R66 R71 AC5:AC9 R5:R9 AC18:AC55 R18:R55">
    <cfRule type="cellIs" dxfId="1277" priority="62" operator="lessThan">
      <formula>0.8</formula>
    </cfRule>
  </conditionalFormatting>
  <conditionalFormatting sqref="AC42">
    <cfRule type="cellIs" dxfId="1276" priority="64" operator="lessThan">
      <formula>0.8</formula>
    </cfRule>
  </conditionalFormatting>
  <conditionalFormatting sqref="AC19:AC22">
    <cfRule type="cellIs" dxfId="1275" priority="61" operator="lessThan">
      <formula>0.8</formula>
    </cfRule>
  </conditionalFormatting>
  <conditionalFormatting sqref="AC24">
    <cfRule type="cellIs" dxfId="1274" priority="63" operator="lessThan">
      <formula>0.8</formula>
    </cfRule>
  </conditionalFormatting>
  <conditionalFormatting sqref="AC33:AC40">
    <cfRule type="cellIs" dxfId="1273" priority="59" operator="lessThan">
      <formula>0.8</formula>
    </cfRule>
  </conditionalFormatting>
  <conditionalFormatting sqref="AA60">
    <cfRule type="cellIs" dxfId="1272" priority="55" operator="lessThan">
      <formula>0</formula>
    </cfRule>
  </conditionalFormatting>
  <conditionalFormatting sqref="AB60">
    <cfRule type="cellIs" dxfId="1271" priority="53" operator="greaterThan">
      <formula>1</formula>
    </cfRule>
    <cfRule type="cellIs" dxfId="1270" priority="54" operator="lessThan">
      <formula>0.8</formula>
    </cfRule>
  </conditionalFormatting>
  <conditionalFormatting sqref="O15:O16">
    <cfRule type="cellIs" dxfId="1269" priority="48" operator="greaterThan">
      <formula>0</formula>
    </cfRule>
  </conditionalFormatting>
  <conditionalFormatting sqref="P15:P16">
    <cfRule type="cellIs" dxfId="1268" priority="51" operator="lessThan">
      <formula>0</formula>
    </cfRule>
  </conditionalFormatting>
  <conditionalFormatting sqref="Q15:Q16">
    <cfRule type="cellIs" dxfId="1267" priority="49" operator="greaterThan">
      <formula>1</formula>
    </cfRule>
    <cfRule type="cellIs" dxfId="1266" priority="50" operator="lessThan">
      <formula>0.8</formula>
    </cfRule>
  </conditionalFormatting>
  <conditionalFormatting sqref="R15:R16 AC15:AC16">
    <cfRule type="cellIs" dxfId="1265" priority="52" operator="lessThan">
      <formula>0.8</formula>
    </cfRule>
  </conditionalFormatting>
  <conditionalFormatting sqref="O10:O11">
    <cfRule type="cellIs" dxfId="1264" priority="44" operator="greaterThan">
      <formula>0</formula>
    </cfRule>
  </conditionalFormatting>
  <conditionalFormatting sqref="P10:P11">
    <cfRule type="cellIs" dxfId="1263" priority="47" operator="lessThan">
      <formula>0</formula>
    </cfRule>
  </conditionalFormatting>
  <conditionalFormatting sqref="Q10:Q11">
    <cfRule type="cellIs" dxfId="1262" priority="45" operator="greaterThan">
      <formula>1</formula>
    </cfRule>
    <cfRule type="cellIs" dxfId="1261" priority="46" operator="lessThan">
      <formula>0.8</formula>
    </cfRule>
  </conditionalFormatting>
  <conditionalFormatting sqref="O57">
    <cfRule type="cellIs" dxfId="1260" priority="39" operator="greaterThan">
      <formula>0</formula>
    </cfRule>
  </conditionalFormatting>
  <conditionalFormatting sqref="P57 AA57">
    <cfRule type="cellIs" dxfId="1259" priority="42" operator="lessThan">
      <formula>0</formula>
    </cfRule>
  </conditionalFormatting>
  <conditionalFormatting sqref="Q57 AB57">
    <cfRule type="cellIs" dxfId="1258" priority="40" operator="greaterThan">
      <formula>1</formula>
    </cfRule>
    <cfRule type="cellIs" dxfId="1257" priority="41" operator="lessThan">
      <formula>0.8</formula>
    </cfRule>
  </conditionalFormatting>
  <conditionalFormatting sqref="R57 AC57">
    <cfRule type="cellIs" dxfId="1256" priority="43" operator="lessThan">
      <formula>0.8</formula>
    </cfRule>
  </conditionalFormatting>
  <conditionalFormatting sqref="O67">
    <cfRule type="cellIs" dxfId="1255" priority="34" operator="greaterThan">
      <formula>0</formula>
    </cfRule>
  </conditionalFormatting>
  <conditionalFormatting sqref="P67">
    <cfRule type="cellIs" dxfId="1254" priority="37" operator="lessThan">
      <formula>0</formula>
    </cfRule>
  </conditionalFormatting>
  <conditionalFormatting sqref="Q67">
    <cfRule type="cellIs" dxfId="1253" priority="35" operator="greaterThan">
      <formula>1</formula>
    </cfRule>
    <cfRule type="cellIs" dxfId="1252" priority="36" operator="lessThan">
      <formula>0.8</formula>
    </cfRule>
  </conditionalFormatting>
  <conditionalFormatting sqref="R67">
    <cfRule type="cellIs" dxfId="1251" priority="38" operator="lessThan">
      <formula>0.8</formula>
    </cfRule>
  </conditionalFormatting>
  <conditionalFormatting sqref="O17">
    <cfRule type="cellIs" dxfId="1250" priority="29" operator="greaterThan">
      <formula>0</formula>
    </cfRule>
  </conditionalFormatting>
  <conditionalFormatting sqref="P17">
    <cfRule type="cellIs" dxfId="1249" priority="32" operator="lessThan">
      <formula>0</formula>
    </cfRule>
  </conditionalFormatting>
  <conditionalFormatting sqref="Q17">
    <cfRule type="cellIs" dxfId="1248" priority="30" operator="greaterThan">
      <formula>1</formula>
    </cfRule>
    <cfRule type="cellIs" dxfId="1247" priority="31" operator="lessThan">
      <formula>0.8</formula>
    </cfRule>
  </conditionalFormatting>
  <conditionalFormatting sqref="R17 AC17">
    <cfRule type="cellIs" dxfId="1246" priority="33" operator="lessThan">
      <formula>0.8</formula>
    </cfRule>
  </conditionalFormatting>
  <conditionalFormatting sqref="O56">
    <cfRule type="cellIs" dxfId="1245" priority="24" operator="greaterThan">
      <formula>0</formula>
    </cfRule>
  </conditionalFormatting>
  <conditionalFormatting sqref="P56 AA56">
    <cfRule type="cellIs" dxfId="1244" priority="27" operator="lessThan">
      <formula>0</formula>
    </cfRule>
  </conditionalFormatting>
  <conditionalFormatting sqref="Q56 AB56">
    <cfRule type="cellIs" dxfId="1243" priority="25" operator="greaterThan">
      <formula>1</formula>
    </cfRule>
    <cfRule type="cellIs" dxfId="1242" priority="26" operator="lessThan">
      <formula>0.8</formula>
    </cfRule>
  </conditionalFormatting>
  <conditionalFormatting sqref="R56 AC56">
    <cfRule type="cellIs" dxfId="1241" priority="28" operator="lessThan">
      <formula>0.8</formula>
    </cfRule>
  </conditionalFormatting>
  <conditionalFormatting sqref="P8">
    <cfRule type="cellIs" dxfId="1240" priority="23" operator="lessThan">
      <formula>0</formula>
    </cfRule>
  </conditionalFormatting>
  <conditionalFormatting sqref="P18">
    <cfRule type="cellIs" dxfId="1239" priority="22" operator="lessThan">
      <formula>0</formula>
    </cfRule>
  </conditionalFormatting>
  <conditionalFormatting sqref="P23">
    <cfRule type="cellIs" dxfId="1238" priority="21" operator="lessThan">
      <formula>0</formula>
    </cfRule>
  </conditionalFormatting>
  <conditionalFormatting sqref="P32">
    <cfRule type="cellIs" dxfId="1237" priority="20" operator="lessThan">
      <formula>0</formula>
    </cfRule>
  </conditionalFormatting>
  <conditionalFormatting sqref="P47">
    <cfRule type="cellIs" dxfId="1236" priority="19" operator="lessThan">
      <formula>0</formula>
    </cfRule>
  </conditionalFormatting>
  <conditionalFormatting sqref="P54">
    <cfRule type="cellIs" dxfId="1235" priority="18" operator="lessThan">
      <formula>0</formula>
    </cfRule>
  </conditionalFormatting>
  <conditionalFormatting sqref="P60">
    <cfRule type="cellIs" dxfId="1234" priority="17" operator="lessThan">
      <formula>0</formula>
    </cfRule>
  </conditionalFormatting>
  <conditionalFormatting sqref="P71">
    <cfRule type="cellIs" dxfId="1233" priority="16" operator="lessThan">
      <formula>0</formula>
    </cfRule>
  </conditionalFormatting>
  <conditionalFormatting sqref="O68">
    <cfRule type="cellIs" dxfId="1232" priority="11" operator="greaterThan">
      <formula>0</formula>
    </cfRule>
  </conditionalFormatting>
  <conditionalFormatting sqref="P68">
    <cfRule type="cellIs" dxfId="1231" priority="14" operator="lessThan">
      <formula>0</formula>
    </cfRule>
  </conditionalFormatting>
  <conditionalFormatting sqref="Q68">
    <cfRule type="cellIs" dxfId="1230" priority="12" operator="greaterThan">
      <formula>1</formula>
    </cfRule>
    <cfRule type="cellIs" dxfId="1229" priority="13" operator="lessThan">
      <formula>0.8</formula>
    </cfRule>
  </conditionalFormatting>
  <conditionalFormatting sqref="R68">
    <cfRule type="cellIs" dxfId="1228" priority="15" operator="lessThan">
      <formula>0.8</formula>
    </cfRule>
  </conditionalFormatting>
  <conditionalFormatting sqref="O69">
    <cfRule type="cellIs" dxfId="1227" priority="6" operator="greaterThan">
      <formula>0</formula>
    </cfRule>
  </conditionalFormatting>
  <conditionalFormatting sqref="P69">
    <cfRule type="cellIs" dxfId="1226" priority="9" operator="lessThan">
      <formula>0</formula>
    </cfRule>
  </conditionalFormatting>
  <conditionalFormatting sqref="Q69">
    <cfRule type="cellIs" dxfId="1225" priority="7" operator="greaterThan">
      <formula>1</formula>
    </cfRule>
    <cfRule type="cellIs" dxfId="1224" priority="8" operator="lessThan">
      <formula>0.8</formula>
    </cfRule>
  </conditionalFormatting>
  <conditionalFormatting sqref="R69">
    <cfRule type="cellIs" dxfId="1223" priority="10" operator="lessThan">
      <formula>0.8</formula>
    </cfRule>
  </conditionalFormatting>
  <conditionalFormatting sqref="O70">
    <cfRule type="cellIs" dxfId="1222" priority="1" operator="greaterThan">
      <formula>0</formula>
    </cfRule>
  </conditionalFormatting>
  <conditionalFormatting sqref="P70">
    <cfRule type="cellIs" dxfId="1221" priority="4" operator="lessThan">
      <formula>0</formula>
    </cfRule>
  </conditionalFormatting>
  <conditionalFormatting sqref="Q70">
    <cfRule type="cellIs" dxfId="1220" priority="2" operator="greaterThan">
      <formula>1</formula>
    </cfRule>
    <cfRule type="cellIs" dxfId="1219" priority="3" operator="lessThan">
      <formula>0.8</formula>
    </cfRule>
  </conditionalFormatting>
  <conditionalFormatting sqref="R70">
    <cfRule type="cellIs" dxfId="1218" priority="5" operator="lessThan">
      <formula>0.8</formula>
    </cfRule>
  </conditionalFormatting>
  <dataValidations count="1">
    <dataValidation type="list" allowBlank="1" showInputMessage="1" showErrorMessage="1" sqref="Z8 Z59 Y5:Z7 Y8:Y59 Z10:Z55 Y60:Z71">
      <formula1>#REF!</formula1>
    </dataValidation>
  </dataValidations>
  <pageMargins left="0" right="0" top="0" bottom="0" header="0" footer="0"/>
  <pageSetup paperSize="9" scale="11" orientation="landscape" horizontalDpi="300" verticalDpi="300" r:id="rId1"/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工作表20"/>
  <dimension ref="B1:Q28"/>
  <sheetViews>
    <sheetView zoomScale="85" zoomScaleNormal="85" workbookViewId="0">
      <selection activeCell="C3" sqref="C3:D3"/>
    </sheetView>
  </sheetViews>
  <sheetFormatPr defaultColWidth="8.75" defaultRowHeight="15.75"/>
  <cols>
    <col min="1" max="1" width="8.75" style="30"/>
    <col min="2" max="2" width="17.875" style="30" customWidth="1"/>
    <col min="3" max="3" width="9.25" style="37" customWidth="1"/>
    <col min="4" max="13" width="12.625" style="30" customWidth="1"/>
    <col min="14" max="14" width="11" style="30" bestFit="1" customWidth="1"/>
    <col min="15" max="15" width="17.75" style="30" bestFit="1" customWidth="1"/>
    <col min="16" max="16" width="12.25" style="30" bestFit="1" customWidth="1"/>
    <col min="17" max="22" width="9.25" style="30" customWidth="1"/>
    <col min="23" max="23" width="10.75" style="30" customWidth="1"/>
    <col min="24" max="24" width="11" style="30" customWidth="1"/>
    <col min="25" max="16384" width="8.75" style="30"/>
  </cols>
  <sheetData>
    <row r="1" spans="2:17" ht="27.75" customHeight="1">
      <c r="B1" s="552" t="s">
        <v>112</v>
      </c>
      <c r="C1" s="552"/>
      <c r="D1" s="552"/>
      <c r="E1" s="552"/>
      <c r="F1" s="552"/>
      <c r="G1" s="552"/>
      <c r="H1" s="552"/>
      <c r="I1" s="552"/>
      <c r="J1" s="552"/>
      <c r="K1" s="29"/>
      <c r="L1" s="29"/>
      <c r="M1" s="29"/>
      <c r="N1" s="29"/>
      <c r="O1" s="29"/>
      <c r="P1" s="29"/>
    </row>
    <row r="2" spans="2:17" ht="27.75" customHeight="1">
      <c r="B2" s="553"/>
      <c r="C2" s="553"/>
      <c r="D2" s="553"/>
      <c r="E2" s="553"/>
      <c r="F2" s="553"/>
      <c r="G2" s="553"/>
      <c r="H2" s="553"/>
      <c r="I2" s="553"/>
      <c r="J2" s="553"/>
      <c r="K2" s="31"/>
      <c r="L2" s="31"/>
      <c r="M2" s="31"/>
      <c r="N2" s="29"/>
      <c r="O2" s="29"/>
      <c r="P2" s="29"/>
    </row>
    <row r="3" spans="2:17" ht="46.5" customHeight="1">
      <c r="B3" s="32" t="s">
        <v>113</v>
      </c>
      <c r="C3" s="554" t="str">
        <f>TEXT('1020 4度C'!A2,"yyyy.mm.ddaaaa")</f>
        <v>2025.10.20星期一</v>
      </c>
      <c r="D3" s="555"/>
      <c r="E3" s="32" t="s">
        <v>89</v>
      </c>
      <c r="F3" s="556">
        <f>'1020 4度C'!D1</f>
        <v>200178</v>
      </c>
      <c r="G3" s="557"/>
      <c r="H3" s="32" t="s">
        <v>90</v>
      </c>
      <c r="I3" s="558">
        <f>'1020 4度C'!F1</f>
        <v>6520754.8100000015</v>
      </c>
      <c r="J3" s="559"/>
      <c r="K3" s="33"/>
      <c r="L3" s="34"/>
      <c r="M3" s="35"/>
      <c r="N3" s="35"/>
    </row>
    <row r="4" spans="2:17" ht="28.5" customHeight="1">
      <c r="B4" s="560" t="s">
        <v>203</v>
      </c>
      <c r="C4" s="542" t="s">
        <v>115</v>
      </c>
      <c r="D4" s="543"/>
      <c r="E4" s="563" t="s">
        <v>116</v>
      </c>
      <c r="F4" s="564"/>
      <c r="G4" s="563" t="s">
        <v>117</v>
      </c>
      <c r="H4" s="564"/>
      <c r="I4" s="563" t="s">
        <v>118</v>
      </c>
      <c r="J4" s="564"/>
      <c r="L4" s="35"/>
      <c r="M4" s="35"/>
      <c r="N4" s="35"/>
    </row>
    <row r="5" spans="2:17" ht="28.5" customHeight="1">
      <c r="B5" s="561"/>
      <c r="C5" s="542" t="s">
        <v>119</v>
      </c>
      <c r="D5" s="543"/>
      <c r="E5" s="542" t="s">
        <v>120</v>
      </c>
      <c r="F5" s="543"/>
      <c r="G5" s="544" t="s">
        <v>121</v>
      </c>
      <c r="H5" s="545"/>
      <c r="I5" s="546" t="s">
        <v>91</v>
      </c>
      <c r="J5" s="547"/>
      <c r="K5" s="35"/>
      <c r="L5" s="35"/>
      <c r="M5" s="35"/>
      <c r="N5" s="35"/>
    </row>
    <row r="6" spans="2:17" ht="28.5" customHeight="1">
      <c r="B6" s="561"/>
      <c r="C6" s="542" t="s">
        <v>92</v>
      </c>
      <c r="D6" s="543"/>
      <c r="E6" s="548">
        <f>AVERAGE(D13:M13)</f>
        <v>152.98833109281708</v>
      </c>
      <c r="F6" s="549">
        <f>AVERAGE(D27:O27,D13:J13)</f>
        <v>159.43667192325887</v>
      </c>
      <c r="G6" s="550">
        <f>AVERAGE(D13:J13)</f>
        <v>159.43667192325887</v>
      </c>
      <c r="H6" s="551"/>
      <c r="I6" s="550">
        <f>AVERAGE(K13:M13)</f>
        <v>137.94220248845286</v>
      </c>
      <c r="J6" s="551"/>
      <c r="K6" s="35"/>
      <c r="L6" s="35"/>
      <c r="M6" s="35"/>
      <c r="N6" s="35"/>
    </row>
    <row r="7" spans="2:17" ht="28.5" customHeight="1">
      <c r="B7" s="561"/>
      <c r="C7" s="532" t="s">
        <v>93</v>
      </c>
      <c r="D7" s="533"/>
      <c r="E7" s="534">
        <f>AVERAGE(D14:M14)</f>
        <v>146.27479076753514</v>
      </c>
      <c r="F7" s="535">
        <f>AVERAGE(D28:O28,D14:J14)</f>
        <v>152.4526457489647</v>
      </c>
      <c r="G7" s="536">
        <f>AVERAGE(D14:J14)</f>
        <v>152.4526457489647</v>
      </c>
      <c r="H7" s="537"/>
      <c r="I7" s="536">
        <f>AVERAGE(K14:M14)</f>
        <v>131.85979581086616</v>
      </c>
      <c r="J7" s="537"/>
      <c r="K7" s="35"/>
      <c r="L7" s="35"/>
      <c r="M7" s="35"/>
      <c r="N7" s="35"/>
    </row>
    <row r="8" spans="2:17" ht="28.5" customHeight="1">
      <c r="B8" s="562"/>
      <c r="C8" s="532" t="s">
        <v>94</v>
      </c>
      <c r="D8" s="533"/>
      <c r="E8" s="538">
        <f>AVERAGE(D15:M15)</f>
        <v>0.95613496583676516</v>
      </c>
      <c r="F8" s="539">
        <f>AVERAGE(D15:J15,D29:O29)</f>
        <v>0.95621882761474353</v>
      </c>
      <c r="G8" s="540">
        <f>AVERAGE(D15:J15)</f>
        <v>0.95621882761474353</v>
      </c>
      <c r="H8" s="541"/>
      <c r="I8" s="540">
        <f>AVERAGE(K15:M15)</f>
        <v>0.95593928835481601</v>
      </c>
      <c r="J8" s="541"/>
      <c r="K8" s="36" t="s">
        <v>122</v>
      </c>
      <c r="L8" s="35"/>
      <c r="M8" s="35"/>
      <c r="N8" s="35"/>
    </row>
    <row r="9" spans="2:17" ht="28.5" customHeight="1" thickBot="1">
      <c r="H9" s="38"/>
      <c r="N9" s="35"/>
      <c r="O9" s="35"/>
      <c r="P9" s="35"/>
      <c r="Q9" s="35"/>
    </row>
    <row r="10" spans="2:17" ht="30" customHeight="1">
      <c r="B10" s="515" t="s">
        <v>213</v>
      </c>
      <c r="C10" s="516"/>
      <c r="D10" s="517" t="s">
        <v>95</v>
      </c>
      <c r="E10" s="518"/>
      <c r="F10" s="518"/>
      <c r="G10" s="518"/>
      <c r="H10" s="518"/>
      <c r="I10" s="518"/>
      <c r="J10" s="519"/>
      <c r="K10" s="520" t="s">
        <v>214</v>
      </c>
      <c r="L10" s="521"/>
      <c r="M10" s="522"/>
      <c r="P10" s="39"/>
      <c r="Q10" s="39"/>
    </row>
    <row r="11" spans="2:17" ht="17.25" customHeight="1">
      <c r="B11" s="523" t="s">
        <v>215</v>
      </c>
      <c r="C11" s="524"/>
      <c r="D11" s="40">
        <v>1</v>
      </c>
      <c r="E11" s="41">
        <v>2</v>
      </c>
      <c r="F11" s="41">
        <v>3</v>
      </c>
      <c r="G11" s="41">
        <v>4</v>
      </c>
      <c r="H11" s="41">
        <v>5</v>
      </c>
      <c r="I11" s="41">
        <v>6</v>
      </c>
      <c r="J11" s="42">
        <v>7</v>
      </c>
      <c r="K11" s="40">
        <v>1</v>
      </c>
      <c r="L11" s="41">
        <v>2</v>
      </c>
      <c r="M11" s="42">
        <v>3</v>
      </c>
      <c r="P11" s="39"/>
      <c r="Q11" s="39"/>
    </row>
    <row r="12" spans="2:17" ht="34.15" customHeight="1">
      <c r="B12" s="525"/>
      <c r="C12" s="526"/>
      <c r="D12" s="43" t="s">
        <v>96</v>
      </c>
      <c r="E12" s="44" t="s">
        <v>97</v>
      </c>
      <c r="F12" s="44" t="s">
        <v>98</v>
      </c>
      <c r="G12" s="44" t="s">
        <v>99</v>
      </c>
      <c r="H12" s="44" t="s">
        <v>100</v>
      </c>
      <c r="I12" s="44" t="s">
        <v>101</v>
      </c>
      <c r="J12" s="45" t="s">
        <v>102</v>
      </c>
      <c r="K12" s="43" t="s">
        <v>103</v>
      </c>
      <c r="L12" s="44" t="s">
        <v>104</v>
      </c>
      <c r="M12" s="45" t="s">
        <v>105</v>
      </c>
    </row>
    <row r="13" spans="2:17" ht="40.15" customHeight="1">
      <c r="B13" s="527" t="s">
        <v>1</v>
      </c>
      <c r="C13" s="46" t="s">
        <v>107</v>
      </c>
      <c r="D13" s="47">
        <f>SUMIFS('1020 4度C'!$K:$K,'1020 4度C'!$A:$A,"新豐6線",'1020 4度C'!$B:$B,"平均")</f>
        <v>125</v>
      </c>
      <c r="E13" s="48">
        <f>SUMIFS('1020 4度C'!$K:$K,'1020 4度C'!$A:$A,"新豐2線",'1020 4度C'!$B:$B,"平均")</f>
        <v>83.333333333333329</v>
      </c>
      <c r="F13" s="49">
        <f>SUMIFS('1020 4度C'!$K:$K,'1020 4度C'!$A:$A,"新豐5線",'1020 4度C'!$B:$B,"平均")</f>
        <v>91.397849462365585</v>
      </c>
      <c r="G13" s="49">
        <f>SUMIFS('1020 4度C'!$K:$K,'1020 4度C'!$A:$A,"新豐7線",'1020 4度C'!$B:$B,"平均")</f>
        <v>119.40298507462687</v>
      </c>
      <c r="H13" s="49">
        <f>SUMIFS('1020 4度C'!$K:$K,'1020 4度C'!$A:$A,"新豐3線",'1020 4度C'!$B:$B,"平均")</f>
        <v>310.34482758620692</v>
      </c>
      <c r="I13" s="49">
        <f>SUMIFS('1020 4度C'!$K:$K,'1020 4度C'!$A:$A,"新豐1線",'1020 4度C'!$B:$B,"平均")</f>
        <v>117.34693877551021</v>
      </c>
      <c r="J13" s="50">
        <f>SUMIFS('1020 4度C'!$K:$K,'1020 4度C'!$A:$A,"新豐10線",'1020 4度C'!$B:$B,"平均")</f>
        <v>269.23076923076923</v>
      </c>
      <c r="K13" s="51">
        <f>SUMIFS('1020 4度C'!$K:$K,'1020 4度C'!$A:$A,"新豐8線",'1020 4度C'!$B:$B,"平均")</f>
        <v>129.72972972972974</v>
      </c>
      <c r="L13" s="52">
        <f>SUMIFS('1020 4度C'!$K:$K,'1020 4度C'!$A:$A,"新豐9線",'1020 4度C'!$B:$B,"平均")</f>
        <v>139.13043478260869</v>
      </c>
      <c r="M13" s="50">
        <f>SUMIFS('1020 4度C'!$K:$K,'1020 4度C'!$A:$A,"新豐4線",'1020 4度C'!$B:$B,"平均")</f>
        <v>144.96644295302013</v>
      </c>
    </row>
    <row r="14" spans="2:17" ht="39.6" customHeight="1">
      <c r="B14" s="528"/>
      <c r="C14" s="53" t="s">
        <v>128</v>
      </c>
      <c r="D14" s="54">
        <f>SUMIFS('1020 4度C'!$N:$N,'1020 4度C'!$A:$A,"新豐6線",'1020 4度C'!$B:$B,"平均")</f>
        <v>119.5965737848649</v>
      </c>
      <c r="E14" s="55">
        <f>SUMIFS('1020 4度C'!$N:$N,'1020 4度C'!$A:$A,"新豐2線",'1020 4度C'!$B:$B,"平均")</f>
        <v>79.558347016967687</v>
      </c>
      <c r="F14" s="55">
        <f>SUMIFS('1020 4度C'!$N:$N,'1020 4度C'!$A:$A,"新豐5線",'1020 4度C'!$B:$B,"平均")</f>
        <v>87.223854513599377</v>
      </c>
      <c r="G14" s="55">
        <f>SUMIFS('1020 4度C'!$N:$N,'1020 4度C'!$A:$A,"新豐7線",'1020 4度C'!$B:$B,"平均")</f>
        <v>113.97331011027114</v>
      </c>
      <c r="H14" s="55">
        <f>SUMIFS('1020 4度C'!$N:$N,'1020 4度C'!$A:$A,"新豐3線",'1020 4度C'!$B:$B,"平均")</f>
        <v>296.32400576876609</v>
      </c>
      <c r="I14" s="55">
        <f>SUMIFS('1020 4度C'!$N:$N,'1020 4度C'!$A:$A,"新豐1線",'1020 4度C'!$B:$B,"平均")</f>
        <v>112.79661022118465</v>
      </c>
      <c r="J14" s="56">
        <f>SUMIFS('1020 4度C'!$N:$N,'1020 4度C'!$A:$A,"新豐10線",'1020 4度C'!$B:$B,"平均")</f>
        <v>257.69581882709895</v>
      </c>
      <c r="K14" s="57">
        <f>SUMIFS('1020 4度C'!$N:$N,'1020 4度C'!$A:$A,"新豐8線",'1020 4度C'!$B:$B,"平均")</f>
        <v>124.11699566171848</v>
      </c>
      <c r="L14" s="58">
        <f>SUMIFS('1020 4度C'!$N:$N,'1020 4度C'!$A:$A,"新豐9線",'1020 4度C'!$B:$B,"平均")</f>
        <v>133.03835741677341</v>
      </c>
      <c r="M14" s="56">
        <f>SUMIFS('1020 4度C'!$N:$N,'1020 4度C'!$A:$A,"新豐4線",'1020 4度C'!$B:$B,"平均")</f>
        <v>138.4240343541066</v>
      </c>
    </row>
    <row r="15" spans="2:17" ht="40.15" customHeight="1">
      <c r="B15" s="529"/>
      <c r="C15" s="59" t="s">
        <v>129</v>
      </c>
      <c r="D15" s="60">
        <f t="shared" ref="D15:M15" si="0">D14/D13</f>
        <v>0.95677259027891925</v>
      </c>
      <c r="E15" s="61">
        <f t="shared" si="0"/>
        <v>0.95470016420361226</v>
      </c>
      <c r="F15" s="61">
        <f t="shared" si="0"/>
        <v>0.954331584678205</v>
      </c>
      <c r="G15" s="61">
        <f t="shared" si="0"/>
        <v>0.95452647217352082</v>
      </c>
      <c r="H15" s="61">
        <f t="shared" si="0"/>
        <v>0.95482179636602393</v>
      </c>
      <c r="I15" s="61">
        <f t="shared" si="0"/>
        <v>0.96122328710226912</v>
      </c>
      <c r="J15" s="62">
        <f t="shared" si="0"/>
        <v>0.9571558985006533</v>
      </c>
      <c r="K15" s="60">
        <f t="shared" si="0"/>
        <v>0.95673517489241322</v>
      </c>
      <c r="L15" s="61">
        <f t="shared" si="0"/>
        <v>0.95621319393305892</v>
      </c>
      <c r="M15" s="62">
        <f t="shared" si="0"/>
        <v>0.9548694962389761</v>
      </c>
    </row>
    <row r="16" spans="2:17" ht="17.25" customHeight="1">
      <c r="B16" s="530" t="s">
        <v>130</v>
      </c>
      <c r="C16" s="63" t="s">
        <v>131</v>
      </c>
      <c r="D16" s="284">
        <f>VLOOKUP("新豐6線",'1020 4度C'!$A:$T,19,0)</f>
        <v>0.70833333333333337</v>
      </c>
      <c r="E16" s="285">
        <f>VLOOKUP("新豐2線",'1020 4度C'!$A:$T,19,0)</f>
        <v>0.20833333333333334</v>
      </c>
      <c r="F16" s="285">
        <f>VLOOKUP("新豐5線",'1020 4度C'!$A:$T,19,0)</f>
        <v>8.3333333333333329E-2</v>
      </c>
      <c r="G16" s="285">
        <f>VLOOKUP("新豐7線",'1020 4度C'!$A:$T,19,0)</f>
        <v>0.20833333333333334</v>
      </c>
      <c r="H16" s="285">
        <f>VLOOKUP("新豐3線",'1020 4度C'!$A:$T,19,0)</f>
        <v>8.3333333333333329E-2</v>
      </c>
      <c r="I16" s="285">
        <f>VLOOKUP("新豐1線",'1020 4度C'!$A:$T,19,0)</f>
        <v>0.29166666666666669</v>
      </c>
      <c r="J16" s="286">
        <f>VLOOKUP("新豐10線",'1020 4度C'!$A:$T,19,0)</f>
        <v>0.20833333333333334</v>
      </c>
      <c r="K16" s="66">
        <f>VLOOKUP("新豐8線",'1020 4度C'!$A:$T,19,0)</f>
        <v>8.3333333333333329E-2</v>
      </c>
      <c r="L16" s="67">
        <f>VLOOKUP("新豐9線",'1020 4度C'!$A:$T,19,0)</f>
        <v>8.3333333333333329E-2</v>
      </c>
      <c r="M16" s="68">
        <f>VLOOKUP("新豐4線",'1020 4度C'!$A:$T,19,0)</f>
        <v>8.3333333333333329E-2</v>
      </c>
    </row>
    <row r="17" spans="2:13" ht="17.25" customHeight="1">
      <c r="B17" s="531"/>
      <c r="C17" s="63" t="s">
        <v>132</v>
      </c>
      <c r="D17" s="66">
        <f>LOOKUP(2,1/(('1020 4度C'!$A:$A="新豐6線")*('1020 4度C'!$T:$T&lt;&gt;"")),'1020 4度C'!$T:$T)</f>
        <v>0.84375</v>
      </c>
      <c r="E17" s="285">
        <f>LOOKUP(2,1/(('1020 4度C'!$A:$A="新豐2線")*('1020 4度C'!$T:$T&lt;&gt;"")),'1020 4度C'!$T:$T)</f>
        <v>0.60138888888888886</v>
      </c>
      <c r="F17" s="285">
        <f>LOOKUP(2,1/(('1020 4度C'!$A:$A="新豐5線")*('1020 4度C'!$T:$T&lt;&gt;"")),'1020 4度C'!$T:$T)</f>
        <v>0.86111111111111116</v>
      </c>
      <c r="G17" s="285">
        <f>LOOKUP(2,1/(('1020 4度C'!$A:$A="新豐7線")*('1020 4度C'!$T:$T&lt;&gt;"")),'1020 4度C'!$T:$T)</f>
        <v>0.7729166666666667</v>
      </c>
      <c r="H17" s="285">
        <f>LOOKUP(2,1/(('1020 4度C'!$A:$A="新豐3線")*('1020 4度C'!$T:$T&lt;&gt;"")),'1020 4度C'!$T:$T)</f>
        <v>0.52708333333333324</v>
      </c>
      <c r="I17" s="285">
        <f>LOOKUP(2,1/(('1020 4度C'!$A:$A="新豐1線")*('1020 4度C'!$T:$T&lt;&gt;"")),'1020 4度C'!$T:$T)</f>
        <v>0.86597222222222225</v>
      </c>
      <c r="J17" s="286">
        <f>LOOKUP(2,1/(('1020 4度C'!$A:$A="新豐10線")*('1020 4度C'!$T:$T&lt;&gt;"")),'1020 4度C'!$T:$T)</f>
        <v>0.47152777777777777</v>
      </c>
      <c r="K17" s="284">
        <f>LOOKUP(2,1/(('1020 4度C'!$A:$A="新豐8線")*('1020 4度C'!$T:$T&lt;&gt;"")),'1020 4度C'!$T:$T)</f>
        <v>0.77222222222222214</v>
      </c>
      <c r="L17" s="285">
        <f>LOOKUP(2,1/(('1020 4度C'!$A:$A="新豐9線")*('1020 4度C'!$T:$T&lt;&gt;"")),'1020 4度C'!$T:$T)</f>
        <v>0.77500000000000002</v>
      </c>
      <c r="M17" s="286">
        <f>LOOKUP(2,1/(('1020 4度C'!$A:$A="新豐4線")*('1020 4度C'!$T:$T&lt;&gt;"")),'1020 4度C'!$T:$T)</f>
        <v>0.76874999999999982</v>
      </c>
    </row>
    <row r="18" spans="2:13" ht="17.25" customHeight="1">
      <c r="B18" s="509" t="s">
        <v>223</v>
      </c>
      <c r="C18" s="510"/>
      <c r="D18" s="69">
        <f>SUMIFS('1020 4度C'!$I:$I,'1020 4度C'!$A:$A,"新豐6線",'1020 4度C'!$B:$B,"平均")</f>
        <v>16</v>
      </c>
      <c r="E18" s="70">
        <f>SUMIFS('1020 4度C'!$I:$I,'1020 4度C'!$A:$A,"新豐2線",'1020 4度C'!$B:$B,"平均")</f>
        <v>18</v>
      </c>
      <c r="F18" s="70">
        <f>SUMIFS('1020 4度C'!$I:$I,'1020 4度C'!$A:$A,"新豐5線",'1020 4度C'!$B:$B,"平均")</f>
        <v>18.600000000000001</v>
      </c>
      <c r="G18" s="70">
        <f>SUMIFS('1020 4度C'!$I:$I,'1020 4度C'!$A:$A,"新豐7線",'1020 4度C'!$B:$B,"平均")</f>
        <v>16.75</v>
      </c>
      <c r="H18" s="70">
        <f>SUMIFS('1020 4度C'!$I:$I,'1020 4度C'!$A:$A,"新豐3線",'1020 4度C'!$B:$B,"平均")</f>
        <v>9.6666666666666661</v>
      </c>
      <c r="I18" s="70">
        <f>SUMIFS('1020 4度C'!$I:$I,'1020 4度C'!$A:$A,"新豐1線",'1020 4度C'!$B:$B,"平均")</f>
        <v>16.333333333333332</v>
      </c>
      <c r="J18" s="71">
        <f>SUMIFS('1020 4度C'!$I:$I,'1020 4度C'!$A:$A,"新豐10線",'1020 4度C'!$B:$B,"平均")</f>
        <v>9.75</v>
      </c>
      <c r="K18" s="69">
        <f>SUMIFS('1020 4度C'!$I:$I,'1020 4度C'!$A:$A,"新豐8線",'1020 4度C'!$B:$B,"平均")</f>
        <v>18.5</v>
      </c>
      <c r="L18" s="70">
        <f>SUMIFS('1020 4度C'!$I:$I,'1020 4度C'!$A:$A,"新豐9線",'1020 4度C'!$B:$B,"平均")</f>
        <v>17.25</v>
      </c>
      <c r="M18" s="71">
        <f>SUMIFS('1020 4度C'!$I:$I,'1020 4度C'!$A:$A,"新豐4線",'1020 4度C'!$B:$B,"平均")</f>
        <v>16.555555555555557</v>
      </c>
    </row>
    <row r="19" spans="2:13" ht="17.25" customHeight="1">
      <c r="B19" s="509" t="s">
        <v>133</v>
      </c>
      <c r="C19" s="510"/>
      <c r="D19" s="72" t="s">
        <v>109</v>
      </c>
      <c r="E19" s="73" t="s">
        <v>110</v>
      </c>
      <c r="F19" s="73" t="s">
        <v>134</v>
      </c>
      <c r="G19" s="73" t="s">
        <v>134</v>
      </c>
      <c r="H19" s="73" t="s">
        <v>111</v>
      </c>
      <c r="I19" s="73" t="s">
        <v>109</v>
      </c>
      <c r="J19" s="74" t="s">
        <v>111</v>
      </c>
      <c r="K19" s="72" t="s">
        <v>1520</v>
      </c>
      <c r="L19" s="73" t="s">
        <v>136</v>
      </c>
      <c r="M19" s="74" t="s">
        <v>136</v>
      </c>
    </row>
    <row r="20" spans="2:13" ht="17.25" customHeight="1">
      <c r="B20" s="509" t="s">
        <v>1521</v>
      </c>
      <c r="C20" s="510"/>
      <c r="D20" s="72"/>
      <c r="E20" s="73"/>
      <c r="F20" s="73" t="s">
        <v>140</v>
      </c>
      <c r="G20" s="73" t="s">
        <v>109</v>
      </c>
      <c r="H20" s="73"/>
      <c r="I20" s="73"/>
      <c r="J20" s="74"/>
      <c r="K20" s="72"/>
      <c r="L20" s="73"/>
      <c r="M20" s="74"/>
    </row>
    <row r="21" spans="2:13" ht="17.25" customHeight="1" thickBot="1">
      <c r="B21" s="511" t="s">
        <v>141</v>
      </c>
      <c r="C21" s="512"/>
      <c r="D21" s="75"/>
      <c r="E21" s="76" t="s">
        <v>142</v>
      </c>
      <c r="F21" s="513" t="s">
        <v>143</v>
      </c>
      <c r="G21" s="514"/>
      <c r="H21" s="76" t="s">
        <v>144</v>
      </c>
      <c r="I21" s="76" t="s">
        <v>145</v>
      </c>
      <c r="J21" s="77" t="s">
        <v>144</v>
      </c>
      <c r="K21" s="78"/>
      <c r="L21" s="76"/>
      <c r="M21" s="77"/>
    </row>
    <row r="22" spans="2:13" ht="17.25" customHeight="1"/>
    <row r="23" spans="2:13" ht="17.25" customHeight="1"/>
    <row r="24" spans="2:13" ht="17.25" customHeight="1"/>
    <row r="25" spans="2:13" ht="37.5" customHeight="1"/>
    <row r="26" spans="2:13" ht="35.25" customHeight="1"/>
    <row r="27" spans="2:13" ht="35.25" customHeight="1"/>
    <row r="28" spans="2:13" ht="39.75" customHeight="1"/>
  </sheetData>
  <mergeCells count="36">
    <mergeCell ref="B20:C20"/>
    <mergeCell ref="B21:C21"/>
    <mergeCell ref="F21:G21"/>
    <mergeCell ref="K10:M10"/>
    <mergeCell ref="B11:C12"/>
    <mergeCell ref="B13:B15"/>
    <mergeCell ref="B18:C18"/>
    <mergeCell ref="B19:C19"/>
    <mergeCell ref="I6:J6"/>
    <mergeCell ref="B16:B17"/>
    <mergeCell ref="C7:D7"/>
    <mergeCell ref="E7:F7"/>
    <mergeCell ref="G7:H7"/>
    <mergeCell ref="I7:J7"/>
    <mergeCell ref="C8:D8"/>
    <mergeCell ref="E8:F8"/>
    <mergeCell ref="G8:H8"/>
    <mergeCell ref="I8:J8"/>
    <mergeCell ref="B10:C10"/>
    <mergeCell ref="D10:J10"/>
    <mergeCell ref="B1:J2"/>
    <mergeCell ref="C3:D3"/>
    <mergeCell ref="F3:G3"/>
    <mergeCell ref="I3:J3"/>
    <mergeCell ref="B4:B8"/>
    <mergeCell ref="C4:D4"/>
    <mergeCell ref="E4:F4"/>
    <mergeCell ref="G4:H4"/>
    <mergeCell ref="I4:J4"/>
    <mergeCell ref="C5:D5"/>
    <mergeCell ref="E5:F5"/>
    <mergeCell ref="G5:H5"/>
    <mergeCell ref="I5:J5"/>
    <mergeCell ref="C6:D6"/>
    <mergeCell ref="E6:F6"/>
    <mergeCell ref="G6:H6"/>
  </mergeCells>
  <phoneticPr fontId="3" type="noConversion"/>
  <conditionalFormatting sqref="D15:M15">
    <cfRule type="cellIs" dxfId="1217" priority="1" operator="lessThan">
      <formula>0.8</formula>
    </cfRule>
  </conditionalFormatting>
  <pageMargins left="0.7" right="0.7" top="0.75" bottom="0.75" header="0.3" footer="0.3"/>
  <pageSetup paperSize="9" orientation="portrait" horizontalDpi="300" verticalDpi="300" r:id="rId1"/>
</worksheet>
</file>

<file path=xl/worksheets/sheet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工作表134">
    <pageSetUpPr fitToPage="1"/>
  </sheetPr>
  <dimension ref="A1:AC71"/>
  <sheetViews>
    <sheetView zoomScale="80" zoomScaleNormal="80" workbookViewId="0">
      <pane ySplit="4" topLeftCell="A5" activePane="bottomLeft" state="frozen"/>
      <selection activeCell="F3" sqref="F3:G3"/>
      <selection pane="bottomLeft" activeCell="J3" sqref="J3:J4"/>
    </sheetView>
  </sheetViews>
  <sheetFormatPr defaultColWidth="8" defaultRowHeight="15.75"/>
  <cols>
    <col min="1" max="1" width="15.125" style="291" customWidth="1"/>
    <col min="2" max="2" width="19.375" style="291" customWidth="1"/>
    <col min="3" max="3" width="15.25" style="291" customWidth="1"/>
    <col min="4" max="4" width="17.5" style="291" customWidth="1"/>
    <col min="5" max="5" width="7.5" style="291" bestFit="1" customWidth="1"/>
    <col min="6" max="6" width="14.375" style="291" bestFit="1" customWidth="1"/>
    <col min="7" max="7" width="14.375" style="291" customWidth="1"/>
    <col min="8" max="8" width="8" style="291" customWidth="1"/>
    <col min="9" max="9" width="5.875" style="291" customWidth="1"/>
    <col min="10" max="10" width="10.625" style="291" customWidth="1"/>
    <col min="11" max="11" width="14.625" style="291" customWidth="1"/>
    <col min="12" max="12" width="7.25" style="291" bestFit="1" customWidth="1"/>
    <col min="13" max="13" width="8" style="291" customWidth="1"/>
    <col min="14" max="14" width="12" style="291" customWidth="1"/>
    <col min="15" max="15" width="6" style="291" customWidth="1"/>
    <col min="16" max="16" width="9.25" style="291" customWidth="1"/>
    <col min="17" max="17" width="11.5" style="291" customWidth="1"/>
    <col min="18" max="18" width="8.5" style="291" customWidth="1"/>
    <col min="19" max="19" width="10.125" style="291" bestFit="1" customWidth="1"/>
    <col min="20" max="20" width="7.625" style="291" bestFit="1" customWidth="1"/>
    <col min="21" max="21" width="10.25" style="291" bestFit="1" customWidth="1"/>
    <col min="22" max="22" width="8.75" style="325" customWidth="1"/>
    <col min="23" max="23" width="7.375" style="291" customWidth="1"/>
    <col min="24" max="24" width="6.875" style="291" bestFit="1" customWidth="1"/>
    <col min="25" max="25" width="12.75" style="291" customWidth="1"/>
    <col min="26" max="26" width="18.875" style="291" customWidth="1"/>
    <col min="27" max="27" width="13.125" style="291" bestFit="1" customWidth="1"/>
    <col min="28" max="28" width="10.375" style="291" customWidth="1"/>
    <col min="29" max="29" width="9.375" style="291" customWidth="1"/>
    <col min="30" max="30" width="8" style="291"/>
    <col min="31" max="31" width="24.625" style="291" bestFit="1" customWidth="1"/>
    <col min="32" max="16384" width="8" style="291"/>
  </cols>
  <sheetData>
    <row r="1" spans="1:29" ht="26.25" customHeight="1">
      <c r="A1" s="287" t="s">
        <v>1522</v>
      </c>
      <c r="B1" s="287"/>
      <c r="C1" s="288" t="s">
        <v>1523</v>
      </c>
      <c r="D1" s="289">
        <f>SUM(F5:F70)</f>
        <v>200178</v>
      </c>
      <c r="E1" s="351" t="s">
        <v>1524</v>
      </c>
      <c r="F1" s="287">
        <f>SUM(G5:G70)</f>
        <v>6520754.8100000015</v>
      </c>
      <c r="G1" s="287" t="s">
        <v>1525</v>
      </c>
      <c r="H1" s="290">
        <f>L8+L12+L48+L55+L18+L60+L32+L41+L23+L70</f>
        <v>157.40555555555557</v>
      </c>
      <c r="I1" s="611" t="s">
        <v>1526</v>
      </c>
      <c r="J1" s="611"/>
      <c r="K1" s="611"/>
      <c r="L1" s="611" t="s">
        <v>1527</v>
      </c>
      <c r="M1" s="611"/>
      <c r="N1" s="611"/>
      <c r="O1" s="611" t="s">
        <v>1528</v>
      </c>
      <c r="P1" s="611"/>
      <c r="Q1" s="611"/>
      <c r="R1" s="611"/>
      <c r="S1" s="611" t="s">
        <v>1529</v>
      </c>
      <c r="T1" s="611"/>
      <c r="U1" s="611"/>
      <c r="V1" s="611"/>
      <c r="W1" s="611"/>
      <c r="X1" s="611"/>
      <c r="Y1" s="611" t="s">
        <v>1530</v>
      </c>
      <c r="Z1" s="611"/>
      <c r="AA1" s="611" t="s">
        <v>1531</v>
      </c>
      <c r="AB1" s="612"/>
      <c r="AC1" s="612"/>
    </row>
    <row r="2" spans="1:29" ht="26.25" customHeight="1">
      <c r="A2" s="292">
        <v>45950</v>
      </c>
      <c r="B2" s="293" t="s">
        <v>540</v>
      </c>
      <c r="C2" s="288" t="s">
        <v>1532</v>
      </c>
      <c r="D2" s="294">
        <f>AVERAGE(N8,N12,N48,N55,N18,N60,N23,N32,N41,N70)</f>
        <v>146.27479076753511</v>
      </c>
      <c r="E2" s="295" t="s">
        <v>2</v>
      </c>
      <c r="F2" s="296">
        <f>F1/D1</f>
        <v>32.57478249358072</v>
      </c>
      <c r="G2" s="287" t="s">
        <v>1533</v>
      </c>
      <c r="H2" s="361">
        <f>COUNT(H5:H70)</f>
        <v>9</v>
      </c>
      <c r="I2" s="611"/>
      <c r="J2" s="611"/>
      <c r="K2" s="611"/>
      <c r="L2" s="611"/>
      <c r="M2" s="611"/>
      <c r="N2" s="611"/>
      <c r="O2" s="611"/>
      <c r="P2" s="611"/>
      <c r="Q2" s="611"/>
      <c r="R2" s="611"/>
      <c r="S2" s="611"/>
      <c r="T2" s="611"/>
      <c r="U2" s="611"/>
      <c r="V2" s="611"/>
      <c r="W2" s="611"/>
      <c r="X2" s="611"/>
      <c r="Y2" s="611"/>
      <c r="Z2" s="611"/>
      <c r="AA2" s="612"/>
      <c r="AB2" s="612"/>
      <c r="AC2" s="612"/>
    </row>
    <row r="3" spans="1:29" ht="23.25" customHeight="1">
      <c r="A3" s="570" t="s">
        <v>1534</v>
      </c>
      <c r="B3" s="570" t="s">
        <v>1535</v>
      </c>
      <c r="C3" s="570" t="s">
        <v>1536</v>
      </c>
      <c r="D3" s="570"/>
      <c r="E3" s="609" t="s">
        <v>1537</v>
      </c>
      <c r="F3" s="570" t="s">
        <v>1538</v>
      </c>
      <c r="G3" s="609" t="s">
        <v>1539</v>
      </c>
      <c r="H3" s="602" t="s">
        <v>1540</v>
      </c>
      <c r="I3" s="600" t="s">
        <v>1541</v>
      </c>
      <c r="J3" s="605" t="s">
        <v>1542</v>
      </c>
      <c r="K3" s="607" t="s">
        <v>1532</v>
      </c>
      <c r="L3" s="600" t="s">
        <v>1541</v>
      </c>
      <c r="M3" s="605" t="s">
        <v>1542</v>
      </c>
      <c r="N3" s="607" t="s">
        <v>1532</v>
      </c>
      <c r="O3" s="600" t="s">
        <v>1541</v>
      </c>
      <c r="P3" s="607" t="s">
        <v>1532</v>
      </c>
      <c r="Q3" s="606" t="s">
        <v>1543</v>
      </c>
      <c r="R3" s="578" t="s">
        <v>1544</v>
      </c>
      <c r="S3" s="570" t="s">
        <v>14</v>
      </c>
      <c r="T3" s="570"/>
      <c r="U3" s="602" t="s">
        <v>15</v>
      </c>
      <c r="V3" s="602" t="s">
        <v>1545</v>
      </c>
      <c r="W3" s="570" t="s">
        <v>1546</v>
      </c>
      <c r="X3" s="570"/>
      <c r="Y3" s="603" t="s">
        <v>1547</v>
      </c>
      <c r="Z3" s="604"/>
      <c r="AA3" s="605" t="s">
        <v>1542</v>
      </c>
      <c r="AB3" s="606" t="s">
        <v>1543</v>
      </c>
      <c r="AC3" s="578" t="s">
        <v>1544</v>
      </c>
    </row>
    <row r="4" spans="1:29">
      <c r="A4" s="570"/>
      <c r="B4" s="570"/>
      <c r="C4" s="570"/>
      <c r="D4" s="570"/>
      <c r="E4" s="610"/>
      <c r="F4" s="570"/>
      <c r="G4" s="610"/>
      <c r="H4" s="602"/>
      <c r="I4" s="600"/>
      <c r="J4" s="605"/>
      <c r="K4" s="607"/>
      <c r="L4" s="600"/>
      <c r="M4" s="605"/>
      <c r="N4" s="607"/>
      <c r="O4" s="600"/>
      <c r="P4" s="607"/>
      <c r="Q4" s="606"/>
      <c r="R4" s="578"/>
      <c r="S4" s="351" t="s">
        <v>18</v>
      </c>
      <c r="T4" s="351" t="s">
        <v>19</v>
      </c>
      <c r="U4" s="602"/>
      <c r="V4" s="602"/>
      <c r="W4" s="351" t="s">
        <v>1548</v>
      </c>
      <c r="X4" s="351" t="s">
        <v>1549</v>
      </c>
      <c r="Y4" s="604"/>
      <c r="Z4" s="604"/>
      <c r="AA4" s="605"/>
      <c r="AB4" s="606"/>
      <c r="AC4" s="578"/>
    </row>
    <row r="5" spans="1:29">
      <c r="A5" s="599" t="s">
        <v>1550</v>
      </c>
      <c r="B5" s="300" t="s">
        <v>36</v>
      </c>
      <c r="C5" s="601" t="s">
        <v>37</v>
      </c>
      <c r="D5" s="601"/>
      <c r="E5" s="300">
        <v>46.93</v>
      </c>
      <c r="F5" s="360">
        <v>1112</v>
      </c>
      <c r="G5" s="351">
        <f t="shared" ref="G5:G7" si="0">E5*F5</f>
        <v>52186.159999999996</v>
      </c>
      <c r="H5" s="301" t="s">
        <v>35</v>
      </c>
      <c r="I5" s="358">
        <v>16</v>
      </c>
      <c r="J5" s="303">
        <v>2000</v>
      </c>
      <c r="K5" s="304">
        <f t="shared" ref="K5:K68" si="1">J5/I5</f>
        <v>125</v>
      </c>
      <c r="L5" s="358">
        <v>16</v>
      </c>
      <c r="M5" s="305">
        <f t="shared" ref="M5:M7" si="2">F5/V5*60</f>
        <v>1906.2857142857124</v>
      </c>
      <c r="N5" s="304">
        <f t="shared" ref="N5:N68" si="3">M5/L5</f>
        <v>119.14285714285703</v>
      </c>
      <c r="O5" s="306">
        <f t="shared" ref="O5:O68" si="4">L5-I5</f>
        <v>0</v>
      </c>
      <c r="P5" s="307">
        <f t="shared" ref="P5:P68" si="5">N5-K5</f>
        <v>-5.8571428571429749</v>
      </c>
      <c r="Q5" s="354">
        <f t="shared" ref="Q5:Q68" si="6">N5/K5</f>
        <v>0.95314285714285618</v>
      </c>
      <c r="R5" s="571">
        <f>Q8</f>
        <v>0.95677259027891925</v>
      </c>
      <c r="S5" s="308">
        <v>0.70833333333333337</v>
      </c>
      <c r="T5" s="308">
        <v>0.73263888888888895</v>
      </c>
      <c r="U5" s="351"/>
      <c r="V5" s="359">
        <f t="shared" ref="V5:V7" si="7">(T5-S5)*24*60</f>
        <v>35.000000000000036</v>
      </c>
      <c r="W5" s="310"/>
      <c r="X5" s="311"/>
      <c r="Y5" s="570"/>
      <c r="Z5" s="570"/>
      <c r="AA5" s="306">
        <f t="shared" ref="AA5:AA68" si="8">M5-J5</f>
        <v>-93.714285714287598</v>
      </c>
      <c r="AB5" s="354">
        <f t="shared" ref="AB5:AB68" si="9">M5/J5</f>
        <v>0.95314285714285618</v>
      </c>
      <c r="AC5" s="571">
        <f>AB8</f>
        <v>0.95677259027891925</v>
      </c>
    </row>
    <row r="6" spans="1:29">
      <c r="A6" s="600" t="s">
        <v>1550</v>
      </c>
      <c r="B6" s="300" t="s">
        <v>36</v>
      </c>
      <c r="C6" s="601" t="s">
        <v>38</v>
      </c>
      <c r="D6" s="601"/>
      <c r="E6" s="300">
        <v>50.49</v>
      </c>
      <c r="F6" s="360">
        <v>2505</v>
      </c>
      <c r="G6" s="351">
        <f t="shared" si="0"/>
        <v>126477.45000000001</v>
      </c>
      <c r="H6" s="301" t="s">
        <v>35</v>
      </c>
      <c r="I6" s="358">
        <v>15</v>
      </c>
      <c r="J6" s="303">
        <v>2000</v>
      </c>
      <c r="K6" s="304">
        <f t="shared" si="1"/>
        <v>133.33333333333334</v>
      </c>
      <c r="L6" s="358">
        <v>15</v>
      </c>
      <c r="M6" s="305">
        <f t="shared" si="2"/>
        <v>1902.5316455696193</v>
      </c>
      <c r="N6" s="304">
        <f t="shared" si="3"/>
        <v>126.83544303797461</v>
      </c>
      <c r="O6" s="306">
        <f t="shared" si="4"/>
        <v>0</v>
      </c>
      <c r="P6" s="307">
        <f t="shared" si="5"/>
        <v>-6.4978902953587294</v>
      </c>
      <c r="Q6" s="354">
        <f t="shared" si="6"/>
        <v>0.95126582278480953</v>
      </c>
      <c r="R6" s="571"/>
      <c r="S6" s="308">
        <v>0.73750000000000004</v>
      </c>
      <c r="T6" s="308">
        <v>0.79236111111111118</v>
      </c>
      <c r="U6" s="351">
        <f t="shared" ref="U6:U7" si="10">IF(S6=TIME(17,0,0),"",(S6-T5)*24*60)</f>
        <v>6.9999999999999751</v>
      </c>
      <c r="V6" s="359">
        <f t="shared" si="7"/>
        <v>79.000000000000043</v>
      </c>
      <c r="W6" s="310"/>
      <c r="X6" s="310"/>
      <c r="Y6" s="570"/>
      <c r="Z6" s="570"/>
      <c r="AA6" s="306">
        <f t="shared" si="8"/>
        <v>-97.468354430380714</v>
      </c>
      <c r="AB6" s="354">
        <f t="shared" si="9"/>
        <v>0.95126582278480964</v>
      </c>
      <c r="AC6" s="571"/>
    </row>
    <row r="7" spans="1:29">
      <c r="A7" s="600" t="s">
        <v>1550</v>
      </c>
      <c r="B7" s="300" t="s">
        <v>36</v>
      </c>
      <c r="C7" s="594" t="s">
        <v>39</v>
      </c>
      <c r="D7" s="595"/>
      <c r="E7" s="300">
        <v>50.67</v>
      </c>
      <c r="F7" s="360">
        <v>2125</v>
      </c>
      <c r="G7" s="351">
        <f t="shared" si="0"/>
        <v>107673.75</v>
      </c>
      <c r="H7" s="301" t="s">
        <v>35</v>
      </c>
      <c r="I7" s="358">
        <v>17</v>
      </c>
      <c r="J7" s="303">
        <v>2000</v>
      </c>
      <c r="K7" s="304">
        <f t="shared" si="1"/>
        <v>117.64705882352941</v>
      </c>
      <c r="L7" s="358">
        <v>17</v>
      </c>
      <c r="M7" s="305">
        <f t="shared" si="2"/>
        <v>1931.8181818181838</v>
      </c>
      <c r="N7" s="304">
        <f t="shared" si="3"/>
        <v>113.63636363636375</v>
      </c>
      <c r="O7" s="306">
        <f t="shared" si="4"/>
        <v>0</v>
      </c>
      <c r="P7" s="307">
        <f t="shared" si="5"/>
        <v>-4.010695187165652</v>
      </c>
      <c r="Q7" s="354">
        <f t="shared" si="6"/>
        <v>0.96590909090909194</v>
      </c>
      <c r="R7" s="571"/>
      <c r="S7" s="308">
        <v>0.79791666666666672</v>
      </c>
      <c r="T7" s="308">
        <v>0.84375</v>
      </c>
      <c r="U7" s="351">
        <f t="shared" si="10"/>
        <v>7.9999999999999716</v>
      </c>
      <c r="V7" s="359">
        <f t="shared" si="7"/>
        <v>65.999999999999929</v>
      </c>
      <c r="W7" s="310"/>
      <c r="X7" s="310"/>
      <c r="Y7" s="566"/>
      <c r="Z7" s="567"/>
      <c r="AA7" s="306">
        <f t="shared" si="8"/>
        <v>-68.181818181816197</v>
      </c>
      <c r="AB7" s="354">
        <f t="shared" si="9"/>
        <v>0.96590909090909194</v>
      </c>
      <c r="AC7" s="571"/>
    </row>
    <row r="8" spans="1:29">
      <c r="A8" s="600" t="s">
        <v>1550</v>
      </c>
      <c r="B8" s="300" t="s">
        <v>1551</v>
      </c>
      <c r="C8" s="572"/>
      <c r="D8" s="572"/>
      <c r="E8" s="355"/>
      <c r="F8" s="313"/>
      <c r="G8" s="304"/>
      <c r="H8" s="360"/>
      <c r="I8" s="314">
        <v>16</v>
      </c>
      <c r="J8" s="303">
        <v>2000</v>
      </c>
      <c r="K8" s="304">
        <f t="shared" si="1"/>
        <v>125</v>
      </c>
      <c r="L8" s="314">
        <v>16</v>
      </c>
      <c r="M8" s="305">
        <f>AVERAGE(M5:M7)</f>
        <v>1913.5451805578384</v>
      </c>
      <c r="N8" s="304">
        <f t="shared" si="3"/>
        <v>119.5965737848649</v>
      </c>
      <c r="O8" s="306">
        <f t="shared" si="4"/>
        <v>0</v>
      </c>
      <c r="P8" s="307">
        <f t="shared" si="5"/>
        <v>-5.4034262151350987</v>
      </c>
      <c r="Q8" s="354">
        <f t="shared" si="6"/>
        <v>0.95677259027891925</v>
      </c>
      <c r="R8" s="571"/>
      <c r="S8" s="308"/>
      <c r="T8" s="308"/>
      <c r="U8" s="351"/>
      <c r="V8" s="359"/>
      <c r="W8" s="304"/>
      <c r="X8" s="304"/>
      <c r="Y8" s="570"/>
      <c r="Z8" s="570"/>
      <c r="AA8" s="306">
        <f t="shared" si="8"/>
        <v>-86.454819442161579</v>
      </c>
      <c r="AB8" s="354">
        <f t="shared" si="9"/>
        <v>0.95677259027891925</v>
      </c>
      <c r="AC8" s="571"/>
    </row>
    <row r="9" spans="1:29" ht="15.75" customHeight="1">
      <c r="A9" s="598" t="s">
        <v>1552</v>
      </c>
      <c r="B9" s="300" t="s">
        <v>40</v>
      </c>
      <c r="C9" s="594" t="s">
        <v>42</v>
      </c>
      <c r="D9" s="595"/>
      <c r="E9" s="300">
        <v>39.36</v>
      </c>
      <c r="F9" s="360">
        <v>2777</v>
      </c>
      <c r="G9" s="351">
        <f t="shared" ref="G9:G11" si="11">E9*F9</f>
        <v>109302.72</v>
      </c>
      <c r="H9" s="301" t="s">
        <v>35</v>
      </c>
      <c r="I9" s="358">
        <v>20</v>
      </c>
      <c r="J9" s="303">
        <v>1500</v>
      </c>
      <c r="K9" s="304">
        <f t="shared" si="1"/>
        <v>75</v>
      </c>
      <c r="L9" s="358">
        <v>20</v>
      </c>
      <c r="M9" s="305">
        <f t="shared" ref="M9:M11" si="12">F9/V9*60</f>
        <v>1436.3793103448272</v>
      </c>
      <c r="N9" s="304">
        <f t="shared" si="3"/>
        <v>71.818965517241367</v>
      </c>
      <c r="O9" s="306">
        <f t="shared" si="4"/>
        <v>0</v>
      </c>
      <c r="P9" s="307">
        <f t="shared" si="5"/>
        <v>-3.1810344827586334</v>
      </c>
      <c r="Q9" s="354">
        <f t="shared" si="6"/>
        <v>0.95758620689655161</v>
      </c>
      <c r="R9" s="571">
        <f>Q12</f>
        <v>0.95470016420361226</v>
      </c>
      <c r="S9" s="308">
        <v>0.20833333333333334</v>
      </c>
      <c r="T9" s="308">
        <v>0.28888888888888892</v>
      </c>
      <c r="U9" s="351"/>
      <c r="V9" s="359">
        <f t="shared" ref="V9:V11" si="13">(T9-S9)*24*60</f>
        <v>116.00000000000003</v>
      </c>
      <c r="W9" s="310"/>
      <c r="X9" s="310"/>
      <c r="Y9" s="570"/>
      <c r="Z9" s="570"/>
      <c r="AA9" s="306">
        <f t="shared" si="8"/>
        <v>-63.620689655172782</v>
      </c>
      <c r="AB9" s="354">
        <f t="shared" si="9"/>
        <v>0.9575862068965515</v>
      </c>
      <c r="AC9" s="571">
        <f>AB12</f>
        <v>0.95470016420361226</v>
      </c>
    </row>
    <row r="10" spans="1:29" ht="15.75" customHeight="1">
      <c r="A10" s="598" t="s">
        <v>1552</v>
      </c>
      <c r="B10" s="300" t="s">
        <v>40</v>
      </c>
      <c r="C10" s="594" t="s">
        <v>41</v>
      </c>
      <c r="D10" s="595"/>
      <c r="E10" s="300">
        <v>39.799999999999997</v>
      </c>
      <c r="F10" s="360">
        <v>6000</v>
      </c>
      <c r="G10" s="351">
        <f t="shared" si="11"/>
        <v>238799.99999999997</v>
      </c>
      <c r="H10" s="301">
        <v>2</v>
      </c>
      <c r="I10" s="358">
        <v>17</v>
      </c>
      <c r="J10" s="303">
        <v>1500</v>
      </c>
      <c r="K10" s="304">
        <f t="shared" si="1"/>
        <v>88.235294117647058</v>
      </c>
      <c r="L10" s="358">
        <v>17</v>
      </c>
      <c r="M10" s="305">
        <f t="shared" si="12"/>
        <v>1428.5714285714289</v>
      </c>
      <c r="N10" s="304">
        <f t="shared" si="3"/>
        <v>84.033613445378165</v>
      </c>
      <c r="O10" s="306">
        <f t="shared" si="4"/>
        <v>0</v>
      </c>
      <c r="P10" s="307">
        <f t="shared" si="5"/>
        <v>-4.2016806722688926</v>
      </c>
      <c r="Q10" s="354">
        <f t="shared" si="6"/>
        <v>0.95238095238095255</v>
      </c>
      <c r="R10" s="571"/>
      <c r="S10" s="308">
        <v>0.29305555555555557</v>
      </c>
      <c r="T10" s="308">
        <v>0.46805555555555556</v>
      </c>
      <c r="U10" s="351">
        <f t="shared" ref="U10:U11" si="14">IF(S10=TIME(17,0,0),"",(S10-T9)*24*60)</f>
        <v>5.9999999999999787</v>
      </c>
      <c r="V10" s="359">
        <f t="shared" si="13"/>
        <v>251.99999999999994</v>
      </c>
      <c r="W10" s="310">
        <f>T10</f>
        <v>0.46805555555555556</v>
      </c>
      <c r="X10" s="310">
        <f>S11</f>
        <v>0.54930555555555549</v>
      </c>
      <c r="Y10" s="570"/>
      <c r="Z10" s="570"/>
      <c r="AA10" s="306">
        <f t="shared" si="8"/>
        <v>-71.428571428571104</v>
      </c>
      <c r="AB10" s="354">
        <f t="shared" si="9"/>
        <v>0.95238095238095255</v>
      </c>
      <c r="AC10" s="571"/>
    </row>
    <row r="11" spans="1:29" ht="15.75" customHeight="1">
      <c r="A11" s="598" t="s">
        <v>1552</v>
      </c>
      <c r="B11" s="300" t="s">
        <v>40</v>
      </c>
      <c r="C11" s="594" t="s">
        <v>41</v>
      </c>
      <c r="D11" s="595"/>
      <c r="E11" s="300">
        <v>39.799999999999997</v>
      </c>
      <c r="F11" s="360">
        <v>1789</v>
      </c>
      <c r="G11" s="351">
        <f t="shared" si="11"/>
        <v>71202.2</v>
      </c>
      <c r="H11" s="301" t="s">
        <v>35</v>
      </c>
      <c r="I11" s="358">
        <v>17</v>
      </c>
      <c r="J11" s="303">
        <v>1500</v>
      </c>
      <c r="K11" s="304">
        <f t="shared" si="1"/>
        <v>88.235294117647058</v>
      </c>
      <c r="L11" s="358">
        <v>17</v>
      </c>
      <c r="M11" s="305">
        <f t="shared" si="12"/>
        <v>1431.1999999999989</v>
      </c>
      <c r="N11" s="304">
        <f t="shared" si="3"/>
        <v>84.18823529411759</v>
      </c>
      <c r="O11" s="306">
        <f t="shared" si="4"/>
        <v>0</v>
      </c>
      <c r="P11" s="307">
        <f t="shared" si="5"/>
        <v>-4.0470588235294684</v>
      </c>
      <c r="Q11" s="354">
        <f t="shared" si="6"/>
        <v>0.95413333333333272</v>
      </c>
      <c r="R11" s="571"/>
      <c r="S11" s="308">
        <v>0.54930555555555549</v>
      </c>
      <c r="T11" s="308">
        <v>0.60138888888888886</v>
      </c>
      <c r="U11" s="351">
        <f t="shared" si="14"/>
        <v>116.9999999999999</v>
      </c>
      <c r="V11" s="359">
        <f t="shared" si="13"/>
        <v>75.000000000000057</v>
      </c>
      <c r="W11" s="310"/>
      <c r="X11" s="310"/>
      <c r="Y11" s="570"/>
      <c r="Z11" s="570"/>
      <c r="AA11" s="306">
        <f t="shared" si="8"/>
        <v>-68.800000000001091</v>
      </c>
      <c r="AB11" s="354">
        <f t="shared" si="9"/>
        <v>0.95413333333333261</v>
      </c>
      <c r="AC11" s="571"/>
    </row>
    <row r="12" spans="1:29" ht="16.5" customHeight="1">
      <c r="A12" s="598" t="s">
        <v>1552</v>
      </c>
      <c r="B12" s="300" t="s">
        <v>1551</v>
      </c>
      <c r="C12" s="572"/>
      <c r="D12" s="572"/>
      <c r="E12" s="355"/>
      <c r="F12" s="303"/>
      <c r="G12" s="305"/>
      <c r="H12" s="360"/>
      <c r="I12" s="314">
        <v>18</v>
      </c>
      <c r="J12" s="303">
        <v>1500</v>
      </c>
      <c r="K12" s="304">
        <f t="shared" si="1"/>
        <v>83.333333333333329</v>
      </c>
      <c r="L12" s="314">
        <v>18</v>
      </c>
      <c r="M12" s="305">
        <f>AVERAGE(M9:M11)</f>
        <v>1432.0502463054183</v>
      </c>
      <c r="N12" s="304">
        <f t="shared" si="3"/>
        <v>79.558347016967687</v>
      </c>
      <c r="O12" s="306">
        <f t="shared" si="4"/>
        <v>0</v>
      </c>
      <c r="P12" s="307">
        <f t="shared" si="5"/>
        <v>-3.7749863163656414</v>
      </c>
      <c r="Q12" s="354">
        <f t="shared" si="6"/>
        <v>0.95470016420361226</v>
      </c>
      <c r="R12" s="571"/>
      <c r="S12" s="308"/>
      <c r="T12" s="308"/>
      <c r="U12" s="304"/>
      <c r="V12" s="359"/>
      <c r="W12" s="304"/>
      <c r="X12" s="304"/>
      <c r="Y12" s="570"/>
      <c r="Z12" s="570"/>
      <c r="AA12" s="306">
        <f t="shared" si="8"/>
        <v>-67.949753694581659</v>
      </c>
      <c r="AB12" s="354">
        <f t="shared" si="9"/>
        <v>0.95470016420361226</v>
      </c>
      <c r="AC12" s="571"/>
    </row>
    <row r="13" spans="1:29" ht="16.5" customHeight="1">
      <c r="A13" s="596" t="s">
        <v>1553</v>
      </c>
      <c r="B13" s="360" t="s">
        <v>43</v>
      </c>
      <c r="C13" s="590" t="s">
        <v>44</v>
      </c>
      <c r="D13" s="590"/>
      <c r="E13" s="300">
        <v>41</v>
      </c>
      <c r="F13" s="360">
        <v>2409</v>
      </c>
      <c r="G13" s="351">
        <f t="shared" ref="G13:G17" si="15">E13*F13</f>
        <v>98769</v>
      </c>
      <c r="H13" s="301" t="s">
        <v>35</v>
      </c>
      <c r="I13" s="358">
        <v>26</v>
      </c>
      <c r="J13" s="303">
        <v>1500</v>
      </c>
      <c r="K13" s="304">
        <f t="shared" si="1"/>
        <v>57.692307692307693</v>
      </c>
      <c r="L13" s="358">
        <v>26</v>
      </c>
      <c r="M13" s="305">
        <f t="shared" ref="M13:M17" si="16">F13/V13*60</f>
        <v>1431.0891089108909</v>
      </c>
      <c r="N13" s="304">
        <f t="shared" si="3"/>
        <v>55.041888804265035</v>
      </c>
      <c r="O13" s="306">
        <f t="shared" si="4"/>
        <v>0</v>
      </c>
      <c r="P13" s="307">
        <f t="shared" si="5"/>
        <v>-2.6504188880426582</v>
      </c>
      <c r="Q13" s="354">
        <f t="shared" si="6"/>
        <v>0.95405940594059391</v>
      </c>
      <c r="R13" s="571">
        <f>Q18</f>
        <v>0.954331584678205</v>
      </c>
      <c r="S13" s="308">
        <v>8.3333333333333329E-2</v>
      </c>
      <c r="T13" s="308">
        <v>0.15347222222222223</v>
      </c>
      <c r="U13" s="351"/>
      <c r="V13" s="359">
        <f t="shared" ref="V13:V17" si="17">(T13-S13)*24*60</f>
        <v>101.00000000000001</v>
      </c>
      <c r="W13" s="310">
        <f>T13</f>
        <v>0.15347222222222223</v>
      </c>
      <c r="X13" s="310">
        <f>S14</f>
        <v>0.17083333333333331</v>
      </c>
      <c r="Y13" s="570"/>
      <c r="Z13" s="570"/>
      <c r="AA13" s="306">
        <f t="shared" si="8"/>
        <v>-68.9108910891091</v>
      </c>
      <c r="AB13" s="354">
        <f t="shared" si="9"/>
        <v>0.95405940594059391</v>
      </c>
      <c r="AC13" s="571">
        <f>AB18</f>
        <v>0.954331584678205</v>
      </c>
    </row>
    <row r="14" spans="1:29" ht="16.5" customHeight="1">
      <c r="A14" s="597" t="s">
        <v>1553</v>
      </c>
      <c r="B14" s="360" t="s">
        <v>40</v>
      </c>
      <c r="C14" s="590" t="s">
        <v>45</v>
      </c>
      <c r="D14" s="590"/>
      <c r="E14" s="300">
        <v>39.619999999999997</v>
      </c>
      <c r="F14" s="360">
        <v>5143</v>
      </c>
      <c r="G14" s="351">
        <f t="shared" si="15"/>
        <v>203765.65999999997</v>
      </c>
      <c r="H14" s="301" t="s">
        <v>35</v>
      </c>
      <c r="I14" s="358">
        <v>19</v>
      </c>
      <c r="J14" s="303">
        <v>1500</v>
      </c>
      <c r="K14" s="304">
        <f t="shared" si="1"/>
        <v>78.94736842105263</v>
      </c>
      <c r="L14" s="358">
        <v>19</v>
      </c>
      <c r="M14" s="305">
        <f t="shared" si="16"/>
        <v>1428.6111111111113</v>
      </c>
      <c r="N14" s="304">
        <f t="shared" si="3"/>
        <v>75.190058479532169</v>
      </c>
      <c r="O14" s="306">
        <f t="shared" si="4"/>
        <v>0</v>
      </c>
      <c r="P14" s="307">
        <f t="shared" si="5"/>
        <v>-3.7573099415204609</v>
      </c>
      <c r="Q14" s="354">
        <f t="shared" si="6"/>
        <v>0.95240740740740748</v>
      </c>
      <c r="R14" s="571"/>
      <c r="S14" s="308">
        <v>0.17083333333333331</v>
      </c>
      <c r="T14" s="308">
        <v>0.3208333333333333</v>
      </c>
      <c r="U14" s="351">
        <f t="shared" ref="U14:U17" si="18">IF(S14=TIME(17,0,0),"",(S14-T13)*24*60)</f>
        <v>24.99999999999995</v>
      </c>
      <c r="V14" s="359">
        <f t="shared" si="17"/>
        <v>215.99999999999997</v>
      </c>
      <c r="W14" s="310"/>
      <c r="X14" s="310"/>
      <c r="Y14" s="570"/>
      <c r="Z14" s="570"/>
      <c r="AA14" s="306">
        <f t="shared" si="8"/>
        <v>-71.388888888888687</v>
      </c>
      <c r="AB14" s="354">
        <f t="shared" si="9"/>
        <v>0.95240740740740759</v>
      </c>
      <c r="AC14" s="571"/>
    </row>
    <row r="15" spans="1:29" ht="16.5" customHeight="1">
      <c r="A15" s="597" t="s">
        <v>1553</v>
      </c>
      <c r="B15" s="360" t="s">
        <v>1182</v>
      </c>
      <c r="C15" s="590" t="s">
        <v>1041</v>
      </c>
      <c r="D15" s="590"/>
      <c r="E15" s="300">
        <v>57.3</v>
      </c>
      <c r="F15" s="360">
        <v>2215</v>
      </c>
      <c r="G15" s="351">
        <f t="shared" si="15"/>
        <v>126919.5</v>
      </c>
      <c r="H15" s="301" t="s">
        <v>35</v>
      </c>
      <c r="I15" s="358">
        <v>17</v>
      </c>
      <c r="J15" s="303">
        <v>1500</v>
      </c>
      <c r="K15" s="304">
        <f t="shared" si="1"/>
        <v>88.235294117647058</v>
      </c>
      <c r="L15" s="358">
        <v>17</v>
      </c>
      <c r="M15" s="305">
        <f t="shared" si="16"/>
        <v>1429.0322580645163</v>
      </c>
      <c r="N15" s="304">
        <f t="shared" si="3"/>
        <v>84.060721062618612</v>
      </c>
      <c r="O15" s="306">
        <f t="shared" si="4"/>
        <v>0</v>
      </c>
      <c r="P15" s="307">
        <f t="shared" si="5"/>
        <v>-4.1745730550284463</v>
      </c>
      <c r="Q15" s="354">
        <f t="shared" si="6"/>
        <v>0.95268817204301093</v>
      </c>
      <c r="R15" s="571"/>
      <c r="S15" s="308">
        <v>0.3256944444444444</v>
      </c>
      <c r="T15" s="308">
        <v>0.39027777777777772</v>
      </c>
      <c r="U15" s="351">
        <f t="shared" si="18"/>
        <v>6.9999999999999751</v>
      </c>
      <c r="V15" s="359">
        <f t="shared" si="17"/>
        <v>92.999999999999986</v>
      </c>
      <c r="W15" s="310"/>
      <c r="X15" s="310"/>
      <c r="Y15" s="570"/>
      <c r="Z15" s="570"/>
      <c r="AA15" s="306">
        <f t="shared" si="8"/>
        <v>-70.967741935483673</v>
      </c>
      <c r="AB15" s="354">
        <f t="shared" si="9"/>
        <v>0.95268817204301093</v>
      </c>
      <c r="AC15" s="571"/>
    </row>
    <row r="16" spans="1:29" ht="16.5" customHeight="1">
      <c r="A16" s="597" t="s">
        <v>1553</v>
      </c>
      <c r="B16" s="360" t="s">
        <v>36</v>
      </c>
      <c r="C16" s="590" t="s">
        <v>49</v>
      </c>
      <c r="D16" s="590"/>
      <c r="E16" s="300">
        <v>50.98</v>
      </c>
      <c r="F16" s="360">
        <v>3278</v>
      </c>
      <c r="G16" s="351">
        <f t="shared" si="15"/>
        <v>167112.44</v>
      </c>
      <c r="H16" s="301" t="s">
        <v>35</v>
      </c>
      <c r="I16" s="358">
        <v>16</v>
      </c>
      <c r="J16" s="303">
        <v>2000</v>
      </c>
      <c r="K16" s="304">
        <f t="shared" si="1"/>
        <v>125</v>
      </c>
      <c r="L16" s="358">
        <v>16</v>
      </c>
      <c r="M16" s="305">
        <f t="shared" si="16"/>
        <v>1909.5145631067969</v>
      </c>
      <c r="N16" s="304">
        <f t="shared" si="3"/>
        <v>119.34466019417481</v>
      </c>
      <c r="O16" s="306">
        <f t="shared" si="4"/>
        <v>0</v>
      </c>
      <c r="P16" s="307">
        <f t="shared" si="5"/>
        <v>-5.6553398058251929</v>
      </c>
      <c r="Q16" s="354">
        <f t="shared" si="6"/>
        <v>0.95475728155339845</v>
      </c>
      <c r="R16" s="571"/>
      <c r="S16" s="308">
        <v>0.70833333333333337</v>
      </c>
      <c r="T16" s="308">
        <v>0.77986111111111112</v>
      </c>
      <c r="U16" s="351" t="str">
        <f t="shared" si="18"/>
        <v/>
      </c>
      <c r="V16" s="359">
        <f t="shared" si="17"/>
        <v>102.99999999999996</v>
      </c>
      <c r="W16" s="310"/>
      <c r="X16" s="310"/>
      <c r="Y16" s="570"/>
      <c r="Z16" s="570"/>
      <c r="AA16" s="306">
        <f t="shared" si="8"/>
        <v>-90.485436893203087</v>
      </c>
      <c r="AB16" s="354">
        <f t="shared" si="9"/>
        <v>0.95475728155339845</v>
      </c>
      <c r="AC16" s="571"/>
    </row>
    <row r="17" spans="1:29" ht="16.5" customHeight="1">
      <c r="A17" s="597" t="s">
        <v>1553</v>
      </c>
      <c r="B17" s="360" t="s">
        <v>36</v>
      </c>
      <c r="C17" s="590" t="s">
        <v>50</v>
      </c>
      <c r="D17" s="590"/>
      <c r="E17" s="300">
        <v>50.92</v>
      </c>
      <c r="F17" s="360">
        <v>3572</v>
      </c>
      <c r="G17" s="351">
        <f t="shared" si="15"/>
        <v>181886.24000000002</v>
      </c>
      <c r="H17" s="301" t="s">
        <v>35</v>
      </c>
      <c r="I17" s="358">
        <v>15</v>
      </c>
      <c r="J17" s="303">
        <v>2000</v>
      </c>
      <c r="K17" s="304">
        <f t="shared" si="1"/>
        <v>133.33333333333334</v>
      </c>
      <c r="L17" s="358">
        <v>15</v>
      </c>
      <c r="M17" s="305">
        <f t="shared" si="16"/>
        <v>1913.5714285714271</v>
      </c>
      <c r="N17" s="304">
        <f t="shared" si="3"/>
        <v>127.57142857142847</v>
      </c>
      <c r="O17" s="306">
        <f t="shared" si="4"/>
        <v>0</v>
      </c>
      <c r="P17" s="307">
        <f t="shared" si="5"/>
        <v>-5.7619047619048729</v>
      </c>
      <c r="Q17" s="354">
        <f t="shared" si="6"/>
        <v>0.95678571428571346</v>
      </c>
      <c r="R17" s="571"/>
      <c r="S17" s="308">
        <v>0.78333333333333333</v>
      </c>
      <c r="T17" s="308">
        <v>0.86111111111111116</v>
      </c>
      <c r="U17" s="351">
        <f t="shared" si="18"/>
        <v>4.9999999999999822</v>
      </c>
      <c r="V17" s="359">
        <f t="shared" si="17"/>
        <v>112.00000000000009</v>
      </c>
      <c r="W17" s="310"/>
      <c r="X17" s="310"/>
      <c r="Y17" s="570"/>
      <c r="Z17" s="570"/>
      <c r="AA17" s="306">
        <f t="shared" si="8"/>
        <v>-86.428571428572923</v>
      </c>
      <c r="AB17" s="354">
        <f t="shared" si="9"/>
        <v>0.95678571428571357</v>
      </c>
      <c r="AC17" s="571"/>
    </row>
    <row r="18" spans="1:29" ht="16.5" customHeight="1">
      <c r="A18" s="597" t="s">
        <v>1553</v>
      </c>
      <c r="B18" s="300" t="s">
        <v>1551</v>
      </c>
      <c r="C18" s="572"/>
      <c r="D18" s="572"/>
      <c r="E18" s="355"/>
      <c r="F18" s="313"/>
      <c r="G18" s="304"/>
      <c r="H18" s="360"/>
      <c r="I18" s="314">
        <v>18.600000000000001</v>
      </c>
      <c r="J18" s="303">
        <v>1700</v>
      </c>
      <c r="K18" s="304">
        <f t="shared" si="1"/>
        <v>91.397849462365585</v>
      </c>
      <c r="L18" s="314">
        <v>18.600000000000001</v>
      </c>
      <c r="M18" s="305">
        <f>AVERAGE(M13:M17)</f>
        <v>1622.3636939529486</v>
      </c>
      <c r="N18" s="304">
        <f t="shared" si="3"/>
        <v>87.223854513599377</v>
      </c>
      <c r="O18" s="306">
        <f t="shared" si="4"/>
        <v>0</v>
      </c>
      <c r="P18" s="307">
        <f t="shared" si="5"/>
        <v>-4.1739949487662074</v>
      </c>
      <c r="Q18" s="354">
        <f t="shared" si="6"/>
        <v>0.954331584678205</v>
      </c>
      <c r="R18" s="571"/>
      <c r="S18" s="308"/>
      <c r="T18" s="308"/>
      <c r="U18" s="351"/>
      <c r="V18" s="359"/>
      <c r="W18" s="304"/>
      <c r="X18" s="304"/>
      <c r="Y18" s="570"/>
      <c r="Z18" s="570"/>
      <c r="AA18" s="306">
        <f t="shared" si="8"/>
        <v>-77.636306047051448</v>
      </c>
      <c r="AB18" s="354">
        <f t="shared" si="9"/>
        <v>0.954331584678205</v>
      </c>
      <c r="AC18" s="571"/>
    </row>
    <row r="19" spans="1:29" ht="15.75" customHeight="1">
      <c r="A19" s="592" t="s">
        <v>1554</v>
      </c>
      <c r="B19" s="300" t="s">
        <v>43</v>
      </c>
      <c r="C19" s="590" t="s">
        <v>51</v>
      </c>
      <c r="D19" s="590"/>
      <c r="E19" s="300">
        <v>43.14</v>
      </c>
      <c r="F19" s="360">
        <v>1429</v>
      </c>
      <c r="G19" s="351">
        <f t="shared" ref="G19:G22" si="19">E19*F19</f>
        <v>61647.06</v>
      </c>
      <c r="H19" s="301" t="s">
        <v>35</v>
      </c>
      <c r="I19" s="358">
        <v>17</v>
      </c>
      <c r="J19" s="303">
        <v>2000</v>
      </c>
      <c r="K19" s="304">
        <f t="shared" si="1"/>
        <v>117.64705882352941</v>
      </c>
      <c r="L19" s="358">
        <v>17</v>
      </c>
      <c r="M19" s="305">
        <f t="shared" ref="M19:M22" si="20">F19/V19*60</f>
        <v>1905.3333333333335</v>
      </c>
      <c r="N19" s="304">
        <f t="shared" si="3"/>
        <v>112.07843137254903</v>
      </c>
      <c r="O19" s="306">
        <f t="shared" si="4"/>
        <v>0</v>
      </c>
      <c r="P19" s="307">
        <f t="shared" si="5"/>
        <v>-5.5686274509803724</v>
      </c>
      <c r="Q19" s="354">
        <f t="shared" si="6"/>
        <v>0.95266666666666688</v>
      </c>
      <c r="R19" s="571">
        <f>Q23</f>
        <v>0.95452647217352082</v>
      </c>
      <c r="S19" s="308">
        <v>0.20833333333333334</v>
      </c>
      <c r="T19" s="308">
        <v>0.23958333333333334</v>
      </c>
      <c r="U19" s="351"/>
      <c r="V19" s="359">
        <f t="shared" ref="V19:V22" si="21">(T19-S19)*24*60</f>
        <v>45</v>
      </c>
      <c r="W19" s="315"/>
      <c r="X19" s="315"/>
      <c r="Y19" s="570"/>
      <c r="Z19" s="570"/>
      <c r="AA19" s="306">
        <f t="shared" si="8"/>
        <v>-94.666666666666515</v>
      </c>
      <c r="AB19" s="354">
        <f t="shared" si="9"/>
        <v>0.95266666666666677</v>
      </c>
      <c r="AC19" s="571">
        <f>AB23</f>
        <v>0.95452647217352082</v>
      </c>
    </row>
    <row r="20" spans="1:29" ht="15.75" customHeight="1">
      <c r="A20" s="593" t="s">
        <v>1554</v>
      </c>
      <c r="B20" s="300" t="s">
        <v>36</v>
      </c>
      <c r="C20" s="590" t="s">
        <v>53</v>
      </c>
      <c r="D20" s="590"/>
      <c r="E20" s="300">
        <v>53.68</v>
      </c>
      <c r="F20" s="360">
        <v>2139</v>
      </c>
      <c r="G20" s="351">
        <f t="shared" si="19"/>
        <v>114821.52</v>
      </c>
      <c r="H20" s="301" t="s">
        <v>35</v>
      </c>
      <c r="I20" s="358">
        <v>16</v>
      </c>
      <c r="J20" s="303">
        <v>2000</v>
      </c>
      <c r="K20" s="304">
        <f t="shared" si="1"/>
        <v>125</v>
      </c>
      <c r="L20" s="358">
        <v>16</v>
      </c>
      <c r="M20" s="305">
        <f t="shared" si="20"/>
        <v>1915.5223880597027</v>
      </c>
      <c r="N20" s="304">
        <f t="shared" si="3"/>
        <v>119.72014925373142</v>
      </c>
      <c r="O20" s="306">
        <f t="shared" si="4"/>
        <v>0</v>
      </c>
      <c r="P20" s="307">
        <f t="shared" si="5"/>
        <v>-5.2798507462685791</v>
      </c>
      <c r="Q20" s="354">
        <f t="shared" si="6"/>
        <v>0.95776119402985138</v>
      </c>
      <c r="R20" s="571"/>
      <c r="S20" s="308">
        <v>0.24305555555555555</v>
      </c>
      <c r="T20" s="308">
        <v>0.2895833333333333</v>
      </c>
      <c r="U20" s="351">
        <f t="shared" ref="U20:U22" si="22">IF(S20=TIME(17,0,0),"",(S20-T19)*24*60)</f>
        <v>4.9999999999999822</v>
      </c>
      <c r="V20" s="359">
        <f t="shared" si="21"/>
        <v>66.999999999999957</v>
      </c>
      <c r="W20" s="310"/>
      <c r="X20" s="351"/>
      <c r="Y20" s="570"/>
      <c r="Z20" s="570"/>
      <c r="AA20" s="306">
        <f t="shared" si="8"/>
        <v>-84.477611940297265</v>
      </c>
      <c r="AB20" s="354">
        <f t="shared" si="9"/>
        <v>0.95776119402985138</v>
      </c>
      <c r="AC20" s="571"/>
    </row>
    <row r="21" spans="1:29" ht="15.75" customHeight="1">
      <c r="A21" s="593" t="s">
        <v>1554</v>
      </c>
      <c r="B21" s="300" t="s">
        <v>36</v>
      </c>
      <c r="C21" s="590" t="s">
        <v>52</v>
      </c>
      <c r="D21" s="590"/>
      <c r="E21" s="300">
        <v>57.73</v>
      </c>
      <c r="F21" s="360">
        <v>3361</v>
      </c>
      <c r="G21" s="351">
        <f t="shared" si="19"/>
        <v>194030.53</v>
      </c>
      <c r="H21" s="301" t="s">
        <v>35</v>
      </c>
      <c r="I21" s="358">
        <v>15</v>
      </c>
      <c r="J21" s="303">
        <v>2000</v>
      </c>
      <c r="K21" s="304">
        <f t="shared" si="1"/>
        <v>133.33333333333334</v>
      </c>
      <c r="L21" s="358">
        <v>15</v>
      </c>
      <c r="M21" s="305">
        <f t="shared" si="20"/>
        <v>1902.4528301886787</v>
      </c>
      <c r="N21" s="304">
        <f t="shared" si="3"/>
        <v>126.83018867924525</v>
      </c>
      <c r="O21" s="306">
        <f t="shared" si="4"/>
        <v>0</v>
      </c>
      <c r="P21" s="307">
        <f t="shared" si="5"/>
        <v>-6.5031446540880893</v>
      </c>
      <c r="Q21" s="354">
        <f t="shared" si="6"/>
        <v>0.95122641509433936</v>
      </c>
      <c r="R21" s="571"/>
      <c r="S21" s="308">
        <v>0.29374999999999996</v>
      </c>
      <c r="T21" s="308">
        <v>0.36736111111111108</v>
      </c>
      <c r="U21" s="351">
        <f t="shared" si="22"/>
        <v>5.9999999999999787</v>
      </c>
      <c r="V21" s="359">
        <f t="shared" si="21"/>
        <v>106.00000000000003</v>
      </c>
      <c r="W21" s="310"/>
      <c r="X21" s="351"/>
      <c r="Y21" s="570"/>
      <c r="Z21" s="570"/>
      <c r="AA21" s="306">
        <f t="shared" si="8"/>
        <v>-97.547169811321282</v>
      </c>
      <c r="AB21" s="354">
        <f t="shared" si="9"/>
        <v>0.95122641509433936</v>
      </c>
      <c r="AC21" s="571"/>
    </row>
    <row r="22" spans="1:29" ht="15.75" customHeight="1">
      <c r="A22" s="593" t="s">
        <v>1554</v>
      </c>
      <c r="B22" s="300" t="s">
        <v>36</v>
      </c>
      <c r="C22" s="590" t="s">
        <v>55</v>
      </c>
      <c r="D22" s="590"/>
      <c r="E22" s="300">
        <v>54.09</v>
      </c>
      <c r="F22" s="360">
        <v>2965</v>
      </c>
      <c r="G22" s="351">
        <f t="shared" si="19"/>
        <v>160376.85</v>
      </c>
      <c r="H22" s="301" t="s">
        <v>35</v>
      </c>
      <c r="I22" s="358">
        <v>19</v>
      </c>
      <c r="J22" s="303">
        <v>2000</v>
      </c>
      <c r="K22" s="304">
        <f t="shared" si="1"/>
        <v>105.26315789473684</v>
      </c>
      <c r="L22" s="358">
        <v>19</v>
      </c>
      <c r="M22" s="305">
        <f t="shared" si="20"/>
        <v>1912.9032258064519</v>
      </c>
      <c r="N22" s="304">
        <f t="shared" si="3"/>
        <v>100.679117147708</v>
      </c>
      <c r="O22" s="306">
        <f t="shared" si="4"/>
        <v>0</v>
      </c>
      <c r="P22" s="307">
        <f t="shared" si="5"/>
        <v>-4.5840407470288369</v>
      </c>
      <c r="Q22" s="354">
        <f t="shared" si="6"/>
        <v>0.956451612903226</v>
      </c>
      <c r="R22" s="571"/>
      <c r="S22" s="308">
        <v>0.70833333333333337</v>
      </c>
      <c r="T22" s="308">
        <v>0.7729166666666667</v>
      </c>
      <c r="U22" s="351" t="str">
        <f t="shared" si="22"/>
        <v/>
      </c>
      <c r="V22" s="359">
        <f t="shared" si="21"/>
        <v>92.999999999999986</v>
      </c>
      <c r="W22" s="310"/>
      <c r="X22" s="351"/>
      <c r="Y22" s="570"/>
      <c r="Z22" s="570"/>
      <c r="AA22" s="306">
        <f t="shared" si="8"/>
        <v>-87.096774193548072</v>
      </c>
      <c r="AB22" s="354">
        <f t="shared" si="9"/>
        <v>0.956451612903226</v>
      </c>
      <c r="AC22" s="571"/>
    </row>
    <row r="23" spans="1:29" ht="15.75" customHeight="1">
      <c r="A23" s="593" t="s">
        <v>1554</v>
      </c>
      <c r="B23" s="300" t="s">
        <v>1551</v>
      </c>
      <c r="C23" s="572"/>
      <c r="D23" s="572"/>
      <c r="E23" s="355"/>
      <c r="F23" s="360"/>
      <c r="G23" s="351"/>
      <c r="H23" s="360"/>
      <c r="I23" s="314">
        <v>16.75</v>
      </c>
      <c r="J23" s="303">
        <v>2000</v>
      </c>
      <c r="K23" s="304">
        <f t="shared" si="1"/>
        <v>119.40298507462687</v>
      </c>
      <c r="L23" s="314">
        <v>16.75</v>
      </c>
      <c r="M23" s="305">
        <f>AVERAGE(M19:M22)</f>
        <v>1909.0529443470416</v>
      </c>
      <c r="N23" s="304">
        <f t="shared" si="3"/>
        <v>113.97331011027114</v>
      </c>
      <c r="O23" s="306">
        <f t="shared" si="4"/>
        <v>0</v>
      </c>
      <c r="P23" s="307">
        <f t="shared" si="5"/>
        <v>-5.4296749643557263</v>
      </c>
      <c r="Q23" s="354">
        <f t="shared" si="6"/>
        <v>0.95452647217352082</v>
      </c>
      <c r="R23" s="571"/>
      <c r="S23" s="308"/>
      <c r="T23" s="308"/>
      <c r="U23" s="304"/>
      <c r="V23" s="359"/>
      <c r="W23" s="304"/>
      <c r="X23" s="304"/>
      <c r="Y23" s="570"/>
      <c r="Z23" s="570"/>
      <c r="AA23" s="306">
        <f t="shared" si="8"/>
        <v>-90.947055652958397</v>
      </c>
      <c r="AB23" s="354">
        <f t="shared" si="9"/>
        <v>0.95452647217352082</v>
      </c>
      <c r="AC23" s="571"/>
    </row>
    <row r="24" spans="1:29" ht="15.75" customHeight="1">
      <c r="A24" s="591" t="s">
        <v>1555</v>
      </c>
      <c r="B24" s="300" t="s">
        <v>46</v>
      </c>
      <c r="C24" s="590" t="s">
        <v>61</v>
      </c>
      <c r="D24" s="590"/>
      <c r="E24" s="300">
        <v>31.29</v>
      </c>
      <c r="F24" s="360">
        <v>4600</v>
      </c>
      <c r="G24" s="351">
        <f t="shared" ref="G24:G31" si="23">E24*F24</f>
        <v>143934</v>
      </c>
      <c r="H24" s="301">
        <v>2</v>
      </c>
      <c r="I24" s="358">
        <v>18</v>
      </c>
      <c r="J24" s="303">
        <v>2400</v>
      </c>
      <c r="K24" s="304">
        <f t="shared" si="1"/>
        <v>133.33333333333334</v>
      </c>
      <c r="L24" s="358">
        <v>18</v>
      </c>
      <c r="M24" s="305">
        <f t="shared" ref="M24:M31" si="24">F24/V24*60</f>
        <v>2300</v>
      </c>
      <c r="N24" s="304">
        <f t="shared" si="3"/>
        <v>127.77777777777777</v>
      </c>
      <c r="O24" s="306">
        <f t="shared" si="4"/>
        <v>0</v>
      </c>
      <c r="P24" s="307">
        <f t="shared" si="5"/>
        <v>-5.5555555555555713</v>
      </c>
      <c r="Q24" s="354">
        <f t="shared" si="6"/>
        <v>0.95833333333333326</v>
      </c>
      <c r="R24" s="571">
        <f>Q32</f>
        <v>0.95673517489241322</v>
      </c>
      <c r="S24" s="308">
        <v>8.3333333333333329E-2</v>
      </c>
      <c r="T24" s="308">
        <v>0.16666666666666666</v>
      </c>
      <c r="U24" s="351"/>
      <c r="V24" s="359">
        <f t="shared" ref="V24:V31" si="25">(T24-S24)*24*60</f>
        <v>120</v>
      </c>
      <c r="W24" s="310">
        <f>T24</f>
        <v>0.16666666666666666</v>
      </c>
      <c r="X24" s="310">
        <f>S25</f>
        <v>0.1875</v>
      </c>
      <c r="Y24" s="570"/>
      <c r="Z24" s="570"/>
      <c r="AA24" s="306">
        <f t="shared" si="8"/>
        <v>-100</v>
      </c>
      <c r="AB24" s="354">
        <f t="shared" si="9"/>
        <v>0.95833333333333337</v>
      </c>
      <c r="AC24" s="571">
        <f>AB32</f>
        <v>0.95673517489241322</v>
      </c>
    </row>
    <row r="25" spans="1:29" ht="15.75" customHeight="1">
      <c r="A25" s="591" t="s">
        <v>1555</v>
      </c>
      <c r="B25" s="300" t="s">
        <v>46</v>
      </c>
      <c r="C25" s="590" t="s">
        <v>59</v>
      </c>
      <c r="D25" s="590"/>
      <c r="E25" s="300">
        <v>26.18</v>
      </c>
      <c r="F25" s="360">
        <v>4356</v>
      </c>
      <c r="G25" s="351">
        <f t="shared" si="23"/>
        <v>114040.08</v>
      </c>
      <c r="H25" s="301" t="s">
        <v>35</v>
      </c>
      <c r="I25" s="358">
        <v>19</v>
      </c>
      <c r="J25" s="303">
        <v>2400</v>
      </c>
      <c r="K25" s="304">
        <f t="shared" si="1"/>
        <v>126.31578947368421</v>
      </c>
      <c r="L25" s="358">
        <v>19</v>
      </c>
      <c r="M25" s="305">
        <f t="shared" si="24"/>
        <v>2292.6315789473683</v>
      </c>
      <c r="N25" s="304">
        <f t="shared" si="3"/>
        <v>120.66481994459834</v>
      </c>
      <c r="O25" s="306">
        <f t="shared" si="4"/>
        <v>0</v>
      </c>
      <c r="P25" s="307">
        <f t="shared" si="5"/>
        <v>-5.6509695290858701</v>
      </c>
      <c r="Q25" s="354">
        <f t="shared" si="6"/>
        <v>0.95526315789473681</v>
      </c>
      <c r="R25" s="571"/>
      <c r="S25" s="308">
        <v>0.1875</v>
      </c>
      <c r="T25" s="308">
        <v>0.26666666666666666</v>
      </c>
      <c r="U25" s="351">
        <f t="shared" ref="U25:U31" si="26">(S25-T24)*24*60</f>
        <v>30.000000000000014</v>
      </c>
      <c r="V25" s="359">
        <f t="shared" si="25"/>
        <v>114</v>
      </c>
      <c r="W25" s="310"/>
      <c r="X25" s="310"/>
      <c r="Y25" s="570"/>
      <c r="Z25" s="570"/>
      <c r="AA25" s="306">
        <f t="shared" si="8"/>
        <v>-107.36842105263167</v>
      </c>
      <c r="AB25" s="354">
        <f t="shared" si="9"/>
        <v>0.95526315789473681</v>
      </c>
      <c r="AC25" s="571"/>
    </row>
    <row r="26" spans="1:29" ht="15.75" customHeight="1">
      <c r="A26" s="591" t="s">
        <v>1555</v>
      </c>
      <c r="B26" s="300" t="s">
        <v>46</v>
      </c>
      <c r="C26" s="590" t="s">
        <v>60</v>
      </c>
      <c r="D26" s="590"/>
      <c r="E26" s="300">
        <v>26.2</v>
      </c>
      <c r="F26" s="360">
        <v>3500</v>
      </c>
      <c r="G26" s="351">
        <f t="shared" si="23"/>
        <v>91700</v>
      </c>
      <c r="H26" s="301">
        <v>2</v>
      </c>
      <c r="I26" s="358">
        <v>19</v>
      </c>
      <c r="J26" s="303">
        <v>2400</v>
      </c>
      <c r="K26" s="304">
        <f t="shared" si="1"/>
        <v>126.31578947368421</v>
      </c>
      <c r="L26" s="358">
        <v>19</v>
      </c>
      <c r="M26" s="305">
        <f t="shared" si="24"/>
        <v>2307.6923076923076</v>
      </c>
      <c r="N26" s="304">
        <f t="shared" si="3"/>
        <v>121.4574898785425</v>
      </c>
      <c r="O26" s="306">
        <f t="shared" si="4"/>
        <v>0</v>
      </c>
      <c r="P26" s="307">
        <f t="shared" si="5"/>
        <v>-4.8582995951417018</v>
      </c>
      <c r="Q26" s="354">
        <f t="shared" si="6"/>
        <v>0.96153846153846156</v>
      </c>
      <c r="R26" s="571"/>
      <c r="S26" s="308">
        <v>0.2722222222222222</v>
      </c>
      <c r="T26" s="308">
        <v>0.33541666666666664</v>
      </c>
      <c r="U26" s="351">
        <f t="shared" si="26"/>
        <v>7.9999999999999716</v>
      </c>
      <c r="V26" s="359">
        <f t="shared" si="25"/>
        <v>91</v>
      </c>
      <c r="W26" s="310"/>
      <c r="X26" s="310"/>
      <c r="Y26" s="570"/>
      <c r="Z26" s="570"/>
      <c r="AA26" s="306">
        <f t="shared" si="8"/>
        <v>-92.307692307692378</v>
      </c>
      <c r="AB26" s="354">
        <f t="shared" si="9"/>
        <v>0.96153846153846156</v>
      </c>
      <c r="AC26" s="571"/>
    </row>
    <row r="27" spans="1:29" ht="15.75" customHeight="1">
      <c r="A27" s="591" t="s">
        <v>1555</v>
      </c>
      <c r="B27" s="300" t="s">
        <v>46</v>
      </c>
      <c r="C27" s="590" t="s">
        <v>56</v>
      </c>
      <c r="D27" s="590"/>
      <c r="E27" s="300">
        <v>26.2</v>
      </c>
      <c r="F27" s="360">
        <v>3600</v>
      </c>
      <c r="G27" s="351">
        <f t="shared" si="23"/>
        <v>94320</v>
      </c>
      <c r="H27" s="301">
        <v>2</v>
      </c>
      <c r="I27" s="358">
        <v>20</v>
      </c>
      <c r="J27" s="303">
        <v>2400</v>
      </c>
      <c r="K27" s="304">
        <f t="shared" si="1"/>
        <v>120</v>
      </c>
      <c r="L27" s="358">
        <v>20</v>
      </c>
      <c r="M27" s="305">
        <f t="shared" si="24"/>
        <v>2297.872340425532</v>
      </c>
      <c r="N27" s="304">
        <f t="shared" si="3"/>
        <v>114.8936170212766</v>
      </c>
      <c r="O27" s="306">
        <f t="shared" si="4"/>
        <v>0</v>
      </c>
      <c r="P27" s="307">
        <f t="shared" si="5"/>
        <v>-5.1063829787234027</v>
      </c>
      <c r="Q27" s="354">
        <f t="shared" si="6"/>
        <v>0.95744680851063835</v>
      </c>
      <c r="R27" s="571"/>
      <c r="S27" s="308">
        <v>0.34097222222222218</v>
      </c>
      <c r="T27" s="308">
        <v>0.40624999999999994</v>
      </c>
      <c r="U27" s="351">
        <f t="shared" si="26"/>
        <v>7.9999999999999716</v>
      </c>
      <c r="V27" s="359">
        <f t="shared" si="25"/>
        <v>93.999999999999986</v>
      </c>
      <c r="W27" s="310"/>
      <c r="X27" s="310"/>
      <c r="Y27" s="570"/>
      <c r="Z27" s="570"/>
      <c r="AA27" s="306">
        <f t="shared" si="8"/>
        <v>-102.127659574468</v>
      </c>
      <c r="AB27" s="354">
        <f t="shared" si="9"/>
        <v>0.95744680851063835</v>
      </c>
      <c r="AC27" s="571"/>
    </row>
    <row r="28" spans="1:29" ht="15.75" customHeight="1">
      <c r="A28" s="591" t="s">
        <v>1555</v>
      </c>
      <c r="B28" s="300" t="s">
        <v>46</v>
      </c>
      <c r="C28" s="590" t="s">
        <v>62</v>
      </c>
      <c r="D28" s="590"/>
      <c r="E28" s="300">
        <v>25</v>
      </c>
      <c r="F28" s="360">
        <v>5437</v>
      </c>
      <c r="G28" s="351">
        <f t="shared" si="23"/>
        <v>135925</v>
      </c>
      <c r="H28" s="301" t="s">
        <v>35</v>
      </c>
      <c r="I28" s="358">
        <v>15</v>
      </c>
      <c r="J28" s="303">
        <v>2400</v>
      </c>
      <c r="K28" s="304">
        <f t="shared" si="1"/>
        <v>160</v>
      </c>
      <c r="L28" s="358">
        <v>15</v>
      </c>
      <c r="M28" s="305">
        <f t="shared" si="24"/>
        <v>2281.2587412587404</v>
      </c>
      <c r="N28" s="304">
        <f t="shared" si="3"/>
        <v>152.08391608391602</v>
      </c>
      <c r="O28" s="306">
        <f t="shared" si="4"/>
        <v>0</v>
      </c>
      <c r="P28" s="307">
        <f t="shared" si="5"/>
        <v>-7.9160839160839771</v>
      </c>
      <c r="Q28" s="354">
        <f t="shared" si="6"/>
        <v>0.95052447552447517</v>
      </c>
      <c r="R28" s="571"/>
      <c r="S28" s="308">
        <v>0.41111111111111104</v>
      </c>
      <c r="T28" s="308">
        <v>0.51041666666666663</v>
      </c>
      <c r="U28" s="351">
        <f t="shared" si="26"/>
        <v>6.9999999999999751</v>
      </c>
      <c r="V28" s="359">
        <f t="shared" si="25"/>
        <v>143.00000000000006</v>
      </c>
      <c r="W28" s="310">
        <f>T28</f>
        <v>0.51041666666666663</v>
      </c>
      <c r="X28" s="310">
        <f>S29</f>
        <v>0.5527777777777777</v>
      </c>
      <c r="Y28" s="570"/>
      <c r="Z28" s="570"/>
      <c r="AA28" s="306">
        <f t="shared" si="8"/>
        <v>-118.74125874125957</v>
      </c>
      <c r="AB28" s="354">
        <f t="shared" si="9"/>
        <v>0.95052447552447517</v>
      </c>
      <c r="AC28" s="571"/>
    </row>
    <row r="29" spans="1:29" ht="15.75" customHeight="1">
      <c r="A29" s="591" t="s">
        <v>1555</v>
      </c>
      <c r="B29" s="300" t="s">
        <v>46</v>
      </c>
      <c r="C29" s="590" t="s">
        <v>61</v>
      </c>
      <c r="D29" s="590"/>
      <c r="E29" s="300">
        <v>31.29</v>
      </c>
      <c r="F29" s="360">
        <v>6701</v>
      </c>
      <c r="G29" s="351">
        <f t="shared" si="23"/>
        <v>209674.29</v>
      </c>
      <c r="H29" s="301" t="s">
        <v>35</v>
      </c>
      <c r="I29" s="358">
        <v>18</v>
      </c>
      <c r="J29" s="303">
        <v>2400</v>
      </c>
      <c r="K29" s="304">
        <f t="shared" si="1"/>
        <v>133.33333333333334</v>
      </c>
      <c r="L29" s="358">
        <v>18</v>
      </c>
      <c r="M29" s="305">
        <f t="shared" si="24"/>
        <v>2284.431818181818</v>
      </c>
      <c r="N29" s="304">
        <f t="shared" si="3"/>
        <v>126.91287878787878</v>
      </c>
      <c r="O29" s="306">
        <f t="shared" si="4"/>
        <v>0</v>
      </c>
      <c r="P29" s="307">
        <f t="shared" si="5"/>
        <v>-6.420454545454561</v>
      </c>
      <c r="Q29" s="354">
        <f t="shared" si="6"/>
        <v>0.95184659090909085</v>
      </c>
      <c r="R29" s="571"/>
      <c r="S29" s="308">
        <v>0.5527777777777777</v>
      </c>
      <c r="T29" s="308">
        <v>0.67499999999999993</v>
      </c>
      <c r="U29" s="351">
        <f t="shared" si="26"/>
        <v>60.999999999999943</v>
      </c>
      <c r="V29" s="359">
        <f t="shared" si="25"/>
        <v>176</v>
      </c>
      <c r="W29" s="310"/>
      <c r="X29" s="310"/>
      <c r="Y29" s="570"/>
      <c r="Z29" s="570"/>
      <c r="AA29" s="306">
        <f t="shared" si="8"/>
        <v>-115.56818181818198</v>
      </c>
      <c r="AB29" s="354">
        <f t="shared" si="9"/>
        <v>0.95184659090909085</v>
      </c>
      <c r="AC29" s="571"/>
    </row>
    <row r="30" spans="1:29" ht="15.75" customHeight="1">
      <c r="A30" s="591" t="s">
        <v>1555</v>
      </c>
      <c r="B30" s="300" t="s">
        <v>46</v>
      </c>
      <c r="C30" s="590" t="s">
        <v>60</v>
      </c>
      <c r="D30" s="590"/>
      <c r="E30" s="300">
        <v>26.2</v>
      </c>
      <c r="F30" s="360">
        <v>2160</v>
      </c>
      <c r="G30" s="351">
        <f t="shared" si="23"/>
        <v>56592</v>
      </c>
      <c r="H30" s="301" t="s">
        <v>35</v>
      </c>
      <c r="I30" s="358">
        <v>19</v>
      </c>
      <c r="J30" s="303">
        <v>2400</v>
      </c>
      <c r="K30" s="304">
        <f t="shared" si="1"/>
        <v>126.31578947368421</v>
      </c>
      <c r="L30" s="358">
        <v>19</v>
      </c>
      <c r="M30" s="305">
        <f t="shared" si="24"/>
        <v>2314.285714285716</v>
      </c>
      <c r="N30" s="304">
        <f t="shared" si="3"/>
        <v>121.80451127819558</v>
      </c>
      <c r="O30" s="306">
        <f t="shared" si="4"/>
        <v>0</v>
      </c>
      <c r="P30" s="307">
        <f t="shared" si="5"/>
        <v>-4.5112781954886287</v>
      </c>
      <c r="Q30" s="354">
        <f t="shared" si="6"/>
        <v>0.96428571428571497</v>
      </c>
      <c r="R30" s="571"/>
      <c r="S30" s="308">
        <v>0.67916666666666659</v>
      </c>
      <c r="T30" s="308">
        <v>0.71805555555555545</v>
      </c>
      <c r="U30" s="351">
        <f t="shared" si="26"/>
        <v>5.9999999999999787</v>
      </c>
      <c r="V30" s="359">
        <f t="shared" si="25"/>
        <v>55.999999999999957</v>
      </c>
      <c r="W30" s="310"/>
      <c r="X30" s="310"/>
      <c r="Y30" s="570"/>
      <c r="Z30" s="570"/>
      <c r="AA30" s="306">
        <f t="shared" si="8"/>
        <v>-85.71428571428396</v>
      </c>
      <c r="AB30" s="354">
        <f t="shared" si="9"/>
        <v>0.96428571428571497</v>
      </c>
      <c r="AC30" s="571"/>
    </row>
    <row r="31" spans="1:29" ht="15.75" customHeight="1">
      <c r="A31" s="591" t="s">
        <v>1555</v>
      </c>
      <c r="B31" s="300" t="s">
        <v>46</v>
      </c>
      <c r="C31" s="590" t="s">
        <v>56</v>
      </c>
      <c r="D31" s="590"/>
      <c r="E31" s="300">
        <v>26.2</v>
      </c>
      <c r="F31" s="360">
        <v>2673</v>
      </c>
      <c r="G31" s="351">
        <f t="shared" si="23"/>
        <v>70032.599999999991</v>
      </c>
      <c r="H31" s="301" t="s">
        <v>35</v>
      </c>
      <c r="I31" s="358">
        <v>20</v>
      </c>
      <c r="J31" s="303">
        <v>2400</v>
      </c>
      <c r="K31" s="304">
        <f t="shared" si="1"/>
        <v>120</v>
      </c>
      <c r="L31" s="358">
        <v>20</v>
      </c>
      <c r="M31" s="305">
        <f t="shared" si="24"/>
        <v>2291.1428571428551</v>
      </c>
      <c r="N31" s="304">
        <f t="shared" si="3"/>
        <v>114.55714285714275</v>
      </c>
      <c r="O31" s="306">
        <f t="shared" si="4"/>
        <v>0</v>
      </c>
      <c r="P31" s="307">
        <f t="shared" si="5"/>
        <v>-5.4428571428572496</v>
      </c>
      <c r="Q31" s="354">
        <f t="shared" si="6"/>
        <v>0.95464285714285624</v>
      </c>
      <c r="R31" s="571"/>
      <c r="S31" s="308">
        <v>0.72361111111111098</v>
      </c>
      <c r="T31" s="308">
        <v>0.77222222222222214</v>
      </c>
      <c r="U31" s="351">
        <f t="shared" si="26"/>
        <v>7.9999999999999716</v>
      </c>
      <c r="V31" s="359">
        <f t="shared" si="25"/>
        <v>70.000000000000071</v>
      </c>
      <c r="W31" s="310"/>
      <c r="X31" s="310"/>
      <c r="Y31" s="570"/>
      <c r="Z31" s="570"/>
      <c r="AA31" s="306">
        <f t="shared" si="8"/>
        <v>-108.85714285714494</v>
      </c>
      <c r="AB31" s="354">
        <f t="shared" si="9"/>
        <v>0.95464285714285624</v>
      </c>
      <c r="AC31" s="571"/>
    </row>
    <row r="32" spans="1:29" ht="15.75" customHeight="1">
      <c r="A32" s="591" t="s">
        <v>1555</v>
      </c>
      <c r="B32" s="300" t="s">
        <v>1551</v>
      </c>
      <c r="C32" s="572"/>
      <c r="D32" s="572"/>
      <c r="E32" s="355"/>
      <c r="F32" s="360"/>
      <c r="G32" s="351"/>
      <c r="H32" s="360"/>
      <c r="I32" s="314">
        <v>18.5</v>
      </c>
      <c r="J32" s="303">
        <v>2400</v>
      </c>
      <c r="K32" s="304">
        <f t="shared" si="1"/>
        <v>129.72972972972974</v>
      </c>
      <c r="L32" s="314">
        <v>18.5</v>
      </c>
      <c r="M32" s="305">
        <f>AVERAGE(M24:M31)</f>
        <v>2296.1644197417918</v>
      </c>
      <c r="N32" s="304">
        <f t="shared" si="3"/>
        <v>124.11699566171848</v>
      </c>
      <c r="O32" s="306">
        <f t="shared" si="4"/>
        <v>0</v>
      </c>
      <c r="P32" s="307">
        <f t="shared" si="5"/>
        <v>-5.6127340680112638</v>
      </c>
      <c r="Q32" s="354">
        <f t="shared" si="6"/>
        <v>0.95673517489241322</v>
      </c>
      <c r="R32" s="571"/>
      <c r="S32" s="308"/>
      <c r="T32" s="308"/>
      <c r="U32" s="351"/>
      <c r="V32" s="359"/>
      <c r="W32" s="351"/>
      <c r="X32" s="351"/>
      <c r="Y32" s="570"/>
      <c r="Z32" s="570"/>
      <c r="AA32" s="306">
        <f t="shared" si="8"/>
        <v>-103.83558025820821</v>
      </c>
      <c r="AB32" s="354">
        <f t="shared" si="9"/>
        <v>0.95673517489241322</v>
      </c>
      <c r="AC32" s="571"/>
    </row>
    <row r="33" spans="1:29" ht="15.75" customHeight="1">
      <c r="A33" s="588" t="s">
        <v>1556</v>
      </c>
      <c r="B33" s="300" t="s">
        <v>46</v>
      </c>
      <c r="C33" s="565" t="s">
        <v>63</v>
      </c>
      <c r="D33" s="565"/>
      <c r="E33" s="300">
        <v>26.2</v>
      </c>
      <c r="F33" s="360">
        <v>3300</v>
      </c>
      <c r="G33" s="351">
        <f t="shared" ref="G33:G40" si="27">E33*F33</f>
        <v>86460</v>
      </c>
      <c r="H33" s="301">
        <v>2</v>
      </c>
      <c r="I33" s="358">
        <v>18</v>
      </c>
      <c r="J33" s="303">
        <v>2400</v>
      </c>
      <c r="K33" s="304">
        <f t="shared" si="1"/>
        <v>133.33333333333334</v>
      </c>
      <c r="L33" s="358">
        <v>18</v>
      </c>
      <c r="M33" s="305">
        <f t="shared" ref="M33:M40" si="28">F33/V33*60</f>
        <v>2302.3255813953492</v>
      </c>
      <c r="N33" s="304">
        <f t="shared" si="3"/>
        <v>127.90697674418607</v>
      </c>
      <c r="O33" s="306">
        <f t="shared" si="4"/>
        <v>0</v>
      </c>
      <c r="P33" s="307">
        <f t="shared" si="5"/>
        <v>-5.4263565891472751</v>
      </c>
      <c r="Q33" s="354">
        <f t="shared" si="6"/>
        <v>0.95930232558139539</v>
      </c>
      <c r="R33" s="571">
        <f>Q41</f>
        <v>0.95621319393305892</v>
      </c>
      <c r="S33" s="308">
        <v>8.3333333333333329E-2</v>
      </c>
      <c r="T33" s="308">
        <v>0.14305555555555555</v>
      </c>
      <c r="U33" s="351"/>
      <c r="V33" s="359">
        <f t="shared" ref="V33:V40" si="29">(T33-S33)*24*60</f>
        <v>85.999999999999986</v>
      </c>
      <c r="W33" s="315">
        <f>T33</f>
        <v>0.14305555555555555</v>
      </c>
      <c r="X33" s="315">
        <f>S34</f>
        <v>0.16250000000000001</v>
      </c>
      <c r="Y33" s="570"/>
      <c r="Z33" s="570"/>
      <c r="AA33" s="306">
        <f t="shared" si="8"/>
        <v>-97.674418604650782</v>
      </c>
      <c r="AB33" s="354">
        <f t="shared" si="9"/>
        <v>0.9593023255813955</v>
      </c>
      <c r="AC33" s="571">
        <f>AB41</f>
        <v>0.95621319393305892</v>
      </c>
    </row>
    <row r="34" spans="1:29" ht="15.75" customHeight="1">
      <c r="A34" s="588" t="s">
        <v>1556</v>
      </c>
      <c r="B34" s="300" t="s">
        <v>46</v>
      </c>
      <c r="C34" s="565" t="s">
        <v>64</v>
      </c>
      <c r="D34" s="565"/>
      <c r="E34" s="300">
        <v>26.39</v>
      </c>
      <c r="F34" s="360">
        <v>4700</v>
      </c>
      <c r="G34" s="351">
        <f t="shared" si="27"/>
        <v>124033</v>
      </c>
      <c r="H34" s="301">
        <v>2</v>
      </c>
      <c r="I34" s="358">
        <v>19</v>
      </c>
      <c r="J34" s="303">
        <v>2400</v>
      </c>
      <c r="K34" s="304">
        <f t="shared" si="1"/>
        <v>126.31578947368421</v>
      </c>
      <c r="L34" s="358">
        <v>19</v>
      </c>
      <c r="M34" s="305">
        <f t="shared" si="28"/>
        <v>2292.6829268292686</v>
      </c>
      <c r="N34" s="304">
        <f t="shared" si="3"/>
        <v>120.66752246469835</v>
      </c>
      <c r="O34" s="306">
        <f t="shared" si="4"/>
        <v>0</v>
      </c>
      <c r="P34" s="307">
        <f t="shared" si="5"/>
        <v>-5.6482670089858544</v>
      </c>
      <c r="Q34" s="354">
        <f t="shared" si="6"/>
        <v>0.9552845528455286</v>
      </c>
      <c r="R34" s="571"/>
      <c r="S34" s="308">
        <v>0.16250000000000001</v>
      </c>
      <c r="T34" s="308">
        <v>0.24791666666666667</v>
      </c>
      <c r="U34" s="351">
        <f t="shared" ref="U34:U40" si="30">(S34-T33)*24*60</f>
        <v>28.000000000000021</v>
      </c>
      <c r="V34" s="359">
        <f t="shared" si="29"/>
        <v>122.99999999999999</v>
      </c>
      <c r="W34" s="351"/>
      <c r="X34" s="351"/>
      <c r="Y34" s="570"/>
      <c r="Z34" s="570"/>
      <c r="AA34" s="306">
        <f t="shared" si="8"/>
        <v>-107.31707317073142</v>
      </c>
      <c r="AB34" s="354">
        <f t="shared" si="9"/>
        <v>0.9552845528455286</v>
      </c>
      <c r="AC34" s="571"/>
    </row>
    <row r="35" spans="1:29">
      <c r="A35" s="589" t="s">
        <v>1556</v>
      </c>
      <c r="B35" s="300" t="s">
        <v>46</v>
      </c>
      <c r="C35" s="565" t="s">
        <v>87</v>
      </c>
      <c r="D35" s="565"/>
      <c r="E35" s="300">
        <v>20.52</v>
      </c>
      <c r="F35" s="360">
        <v>6140</v>
      </c>
      <c r="G35" s="351">
        <f t="shared" si="27"/>
        <v>125992.8</v>
      </c>
      <c r="H35" s="301" t="s">
        <v>35</v>
      </c>
      <c r="I35" s="358">
        <v>18</v>
      </c>
      <c r="J35" s="303">
        <v>2400</v>
      </c>
      <c r="K35" s="304">
        <f t="shared" si="1"/>
        <v>133.33333333333334</v>
      </c>
      <c r="L35" s="358">
        <v>18</v>
      </c>
      <c r="M35" s="305">
        <f t="shared" si="28"/>
        <v>2288.1987577639752</v>
      </c>
      <c r="N35" s="304">
        <f t="shared" si="3"/>
        <v>127.12215320910974</v>
      </c>
      <c r="O35" s="306">
        <f t="shared" si="4"/>
        <v>0</v>
      </c>
      <c r="P35" s="307">
        <f t="shared" si="5"/>
        <v>-6.2111801242236027</v>
      </c>
      <c r="Q35" s="354">
        <f t="shared" si="6"/>
        <v>0.95341614906832295</v>
      </c>
      <c r="R35" s="571"/>
      <c r="S35" s="308">
        <v>0.25347222222222221</v>
      </c>
      <c r="T35" s="308">
        <v>0.36527777777777776</v>
      </c>
      <c r="U35" s="351">
        <f t="shared" si="30"/>
        <v>7.9999999999999716</v>
      </c>
      <c r="V35" s="359">
        <f t="shared" si="29"/>
        <v>161</v>
      </c>
      <c r="W35" s="351"/>
      <c r="X35" s="351"/>
      <c r="Y35" s="570"/>
      <c r="Z35" s="570"/>
      <c r="AA35" s="306">
        <f t="shared" si="8"/>
        <v>-111.80124223602479</v>
      </c>
      <c r="AB35" s="354">
        <f t="shared" si="9"/>
        <v>0.95341614906832295</v>
      </c>
      <c r="AC35" s="571"/>
    </row>
    <row r="36" spans="1:29">
      <c r="A36" s="589" t="s">
        <v>1556</v>
      </c>
      <c r="B36" s="300" t="s">
        <v>46</v>
      </c>
      <c r="C36" s="565" t="s">
        <v>48</v>
      </c>
      <c r="D36" s="565"/>
      <c r="E36" s="300">
        <v>22.35</v>
      </c>
      <c r="F36" s="360">
        <v>2306</v>
      </c>
      <c r="G36" s="351">
        <f t="shared" si="27"/>
        <v>51539.100000000006</v>
      </c>
      <c r="H36" s="301" t="s">
        <v>35</v>
      </c>
      <c r="I36" s="358">
        <v>16</v>
      </c>
      <c r="J36" s="303">
        <v>2400</v>
      </c>
      <c r="K36" s="304">
        <f t="shared" si="1"/>
        <v>150</v>
      </c>
      <c r="L36" s="358">
        <v>16</v>
      </c>
      <c r="M36" s="305">
        <f t="shared" si="28"/>
        <v>2305.9999999999991</v>
      </c>
      <c r="N36" s="304">
        <f t="shared" si="3"/>
        <v>144.12499999999994</v>
      </c>
      <c r="O36" s="306">
        <f t="shared" si="4"/>
        <v>0</v>
      </c>
      <c r="P36" s="307">
        <f t="shared" si="5"/>
        <v>-5.8750000000000568</v>
      </c>
      <c r="Q36" s="354">
        <f t="shared" si="6"/>
        <v>0.96083333333333298</v>
      </c>
      <c r="R36" s="571"/>
      <c r="S36" s="308">
        <v>0.37083333333333329</v>
      </c>
      <c r="T36" s="308">
        <v>0.41249999999999998</v>
      </c>
      <c r="U36" s="351">
        <f t="shared" si="30"/>
        <v>7.9999999999999716</v>
      </c>
      <c r="V36" s="359">
        <f t="shared" si="29"/>
        <v>60.000000000000028</v>
      </c>
      <c r="W36" s="310"/>
      <c r="X36" s="310"/>
      <c r="Y36" s="570"/>
      <c r="Z36" s="570"/>
      <c r="AA36" s="306">
        <f t="shared" si="8"/>
        <v>-94.000000000000909</v>
      </c>
      <c r="AB36" s="354">
        <f t="shared" si="9"/>
        <v>0.96083333333333298</v>
      </c>
      <c r="AC36" s="571"/>
    </row>
    <row r="37" spans="1:29">
      <c r="A37" s="589" t="s">
        <v>1556</v>
      </c>
      <c r="B37" s="300" t="s">
        <v>46</v>
      </c>
      <c r="C37" s="565" t="s">
        <v>65</v>
      </c>
      <c r="D37" s="565"/>
      <c r="E37" s="300">
        <v>24.43</v>
      </c>
      <c r="F37" s="360">
        <v>6000</v>
      </c>
      <c r="G37" s="351">
        <f t="shared" si="27"/>
        <v>146580</v>
      </c>
      <c r="H37" s="301">
        <v>2</v>
      </c>
      <c r="I37" s="358">
        <v>15</v>
      </c>
      <c r="J37" s="303">
        <v>2400</v>
      </c>
      <c r="K37" s="304">
        <f t="shared" si="1"/>
        <v>160</v>
      </c>
      <c r="L37" s="358">
        <v>15</v>
      </c>
      <c r="M37" s="305">
        <f t="shared" si="28"/>
        <v>2292.9936305732472</v>
      </c>
      <c r="N37" s="304">
        <f t="shared" si="3"/>
        <v>152.86624203821648</v>
      </c>
      <c r="O37" s="306">
        <f t="shared" si="4"/>
        <v>0</v>
      </c>
      <c r="P37" s="307">
        <f t="shared" si="5"/>
        <v>-7.1337579617835161</v>
      </c>
      <c r="Q37" s="354">
        <f t="shared" si="6"/>
        <v>0.95541401273885307</v>
      </c>
      <c r="R37" s="571"/>
      <c r="S37" s="308">
        <v>0.41666666666666663</v>
      </c>
      <c r="T37" s="308">
        <v>0.52569444444444446</v>
      </c>
      <c r="U37" s="351">
        <f t="shared" si="30"/>
        <v>5.9999999999999787</v>
      </c>
      <c r="V37" s="359">
        <f t="shared" si="29"/>
        <v>157.00000000000009</v>
      </c>
      <c r="W37" s="310"/>
      <c r="X37" s="310"/>
      <c r="Y37" s="570"/>
      <c r="Z37" s="570"/>
      <c r="AA37" s="306">
        <f t="shared" si="8"/>
        <v>-107.00636942675283</v>
      </c>
      <c r="AB37" s="354">
        <f t="shared" si="9"/>
        <v>0.95541401273885296</v>
      </c>
      <c r="AC37" s="571"/>
    </row>
    <row r="38" spans="1:29">
      <c r="A38" s="589" t="s">
        <v>1556</v>
      </c>
      <c r="B38" s="300" t="s">
        <v>46</v>
      </c>
      <c r="C38" s="565" t="s">
        <v>63</v>
      </c>
      <c r="D38" s="565"/>
      <c r="E38" s="300">
        <v>26.2</v>
      </c>
      <c r="F38" s="360">
        <v>5142</v>
      </c>
      <c r="G38" s="351">
        <f t="shared" si="27"/>
        <v>134720.4</v>
      </c>
      <c r="H38" s="301" t="s">
        <v>35</v>
      </c>
      <c r="I38" s="358">
        <v>18</v>
      </c>
      <c r="J38" s="303">
        <v>2400</v>
      </c>
      <c r="K38" s="304">
        <f t="shared" si="1"/>
        <v>133.33333333333334</v>
      </c>
      <c r="L38" s="358">
        <v>18</v>
      </c>
      <c r="M38" s="305">
        <f t="shared" si="28"/>
        <v>2285.3333333333335</v>
      </c>
      <c r="N38" s="304">
        <f t="shared" si="3"/>
        <v>126.96296296296298</v>
      </c>
      <c r="O38" s="306">
        <f t="shared" si="4"/>
        <v>0</v>
      </c>
      <c r="P38" s="307">
        <f t="shared" si="5"/>
        <v>-6.3703703703703667</v>
      </c>
      <c r="Q38" s="354">
        <f t="shared" si="6"/>
        <v>0.9522222222222223</v>
      </c>
      <c r="R38" s="571"/>
      <c r="S38" s="308">
        <v>0.53125</v>
      </c>
      <c r="T38" s="308">
        <v>0.625</v>
      </c>
      <c r="U38" s="351">
        <f t="shared" si="30"/>
        <v>7.9999999999999716</v>
      </c>
      <c r="V38" s="359">
        <f t="shared" si="29"/>
        <v>135</v>
      </c>
      <c r="W38" s="310"/>
      <c r="X38" s="310"/>
      <c r="Y38" s="570"/>
      <c r="Z38" s="570"/>
      <c r="AA38" s="306">
        <f t="shared" si="8"/>
        <v>-114.66666666666652</v>
      </c>
      <c r="AB38" s="354">
        <f t="shared" si="9"/>
        <v>0.9522222222222223</v>
      </c>
      <c r="AC38" s="571"/>
    </row>
    <row r="39" spans="1:29">
      <c r="A39" s="589" t="s">
        <v>1556</v>
      </c>
      <c r="B39" s="300" t="s">
        <v>46</v>
      </c>
      <c r="C39" s="565" t="s">
        <v>64</v>
      </c>
      <c r="D39" s="565"/>
      <c r="E39" s="300">
        <v>26.39</v>
      </c>
      <c r="F39" s="360">
        <v>3290</v>
      </c>
      <c r="G39" s="351">
        <f t="shared" si="27"/>
        <v>86823.1</v>
      </c>
      <c r="H39" s="301" t="s">
        <v>35</v>
      </c>
      <c r="I39" s="358">
        <v>19</v>
      </c>
      <c r="J39" s="303">
        <v>2400</v>
      </c>
      <c r="K39" s="304">
        <f t="shared" si="1"/>
        <v>126.31578947368421</v>
      </c>
      <c r="L39" s="358">
        <v>19</v>
      </c>
      <c r="M39" s="305">
        <f t="shared" si="28"/>
        <v>2295.348837209302</v>
      </c>
      <c r="N39" s="304">
        <f t="shared" si="3"/>
        <v>120.80783353733169</v>
      </c>
      <c r="O39" s="306">
        <f t="shared" si="4"/>
        <v>0</v>
      </c>
      <c r="P39" s="307">
        <f t="shared" si="5"/>
        <v>-5.5079559363525163</v>
      </c>
      <c r="Q39" s="354">
        <f t="shared" si="6"/>
        <v>0.95639534883720922</v>
      </c>
      <c r="R39" s="571"/>
      <c r="S39" s="308">
        <v>0.62847222222222221</v>
      </c>
      <c r="T39" s="308">
        <v>0.68819444444444444</v>
      </c>
      <c r="U39" s="351">
        <f t="shared" si="30"/>
        <v>4.9999999999999822</v>
      </c>
      <c r="V39" s="359">
        <f t="shared" si="29"/>
        <v>86.000000000000014</v>
      </c>
      <c r="W39" s="310"/>
      <c r="X39" s="310"/>
      <c r="Y39" s="566"/>
      <c r="Z39" s="567"/>
      <c r="AA39" s="306">
        <f t="shared" si="8"/>
        <v>-104.65116279069798</v>
      </c>
      <c r="AB39" s="354">
        <f t="shared" si="9"/>
        <v>0.95639534883720922</v>
      </c>
      <c r="AC39" s="571"/>
    </row>
    <row r="40" spans="1:29">
      <c r="A40" s="589" t="s">
        <v>1556</v>
      </c>
      <c r="B40" s="300" t="s">
        <v>46</v>
      </c>
      <c r="C40" s="565" t="s">
        <v>65</v>
      </c>
      <c r="D40" s="565"/>
      <c r="E40" s="300">
        <v>24.43</v>
      </c>
      <c r="F40" s="360">
        <v>4478</v>
      </c>
      <c r="G40" s="351">
        <f t="shared" si="27"/>
        <v>109397.54</v>
      </c>
      <c r="H40" s="301" t="s">
        <v>35</v>
      </c>
      <c r="I40" s="358">
        <v>15</v>
      </c>
      <c r="J40" s="303">
        <v>2400</v>
      </c>
      <c r="K40" s="304">
        <f t="shared" si="1"/>
        <v>160</v>
      </c>
      <c r="L40" s="358">
        <v>15</v>
      </c>
      <c r="M40" s="305">
        <f t="shared" si="28"/>
        <v>2296.4102564102554</v>
      </c>
      <c r="N40" s="304">
        <f t="shared" si="3"/>
        <v>153.09401709401703</v>
      </c>
      <c r="O40" s="306">
        <f t="shared" si="4"/>
        <v>0</v>
      </c>
      <c r="P40" s="307">
        <f t="shared" si="5"/>
        <v>-6.9059829059829667</v>
      </c>
      <c r="Q40" s="354">
        <f t="shared" si="6"/>
        <v>0.95683760683760644</v>
      </c>
      <c r="R40" s="571"/>
      <c r="S40" s="308">
        <v>0.69374999999999998</v>
      </c>
      <c r="T40" s="308">
        <v>0.77500000000000002</v>
      </c>
      <c r="U40" s="351">
        <f t="shared" si="30"/>
        <v>7.9999999999999716</v>
      </c>
      <c r="V40" s="359">
        <f t="shared" si="29"/>
        <v>117.00000000000006</v>
      </c>
      <c r="W40" s="310"/>
      <c r="X40" s="310"/>
      <c r="Y40" s="566"/>
      <c r="Z40" s="567"/>
      <c r="AA40" s="306">
        <f t="shared" si="8"/>
        <v>-103.58974358974456</v>
      </c>
      <c r="AB40" s="354">
        <f t="shared" si="9"/>
        <v>0.95683760683760644</v>
      </c>
      <c r="AC40" s="571"/>
    </row>
    <row r="41" spans="1:29">
      <c r="A41" s="589" t="s">
        <v>1556</v>
      </c>
      <c r="B41" s="313" t="s">
        <v>1551</v>
      </c>
      <c r="C41" s="572"/>
      <c r="D41" s="572"/>
      <c r="E41" s="355"/>
      <c r="F41" s="313"/>
      <c r="G41" s="304"/>
      <c r="H41" s="360"/>
      <c r="I41" s="314">
        <v>17.25</v>
      </c>
      <c r="J41" s="303">
        <v>2400</v>
      </c>
      <c r="K41" s="304">
        <f t="shared" si="1"/>
        <v>139.13043478260869</v>
      </c>
      <c r="L41" s="314">
        <v>17.25</v>
      </c>
      <c r="M41" s="305">
        <f>AVERAGE(M33:M40)</f>
        <v>2294.9116654393415</v>
      </c>
      <c r="N41" s="304">
        <f t="shared" si="3"/>
        <v>133.03835741677341</v>
      </c>
      <c r="O41" s="306">
        <f t="shared" si="4"/>
        <v>0</v>
      </c>
      <c r="P41" s="307">
        <f t="shared" si="5"/>
        <v>-6.09207736583528</v>
      </c>
      <c r="Q41" s="354">
        <f t="shared" si="6"/>
        <v>0.95621319393305892</v>
      </c>
      <c r="R41" s="571"/>
      <c r="S41" s="308"/>
      <c r="T41" s="308"/>
      <c r="U41" s="304"/>
      <c r="V41" s="359"/>
      <c r="W41" s="304"/>
      <c r="X41" s="304"/>
      <c r="Y41" s="570"/>
      <c r="Z41" s="570"/>
      <c r="AA41" s="306">
        <f t="shared" si="8"/>
        <v>-105.0883345606585</v>
      </c>
      <c r="AB41" s="354">
        <f t="shared" si="9"/>
        <v>0.95621319393305892</v>
      </c>
      <c r="AC41" s="571"/>
    </row>
    <row r="42" spans="1:29" ht="15.75" customHeight="1">
      <c r="A42" s="585" t="s">
        <v>1557</v>
      </c>
      <c r="B42" s="300" t="s">
        <v>67</v>
      </c>
      <c r="C42" s="580" t="s">
        <v>68</v>
      </c>
      <c r="D42" s="581"/>
      <c r="E42" s="300">
        <v>21.13</v>
      </c>
      <c r="F42" s="360">
        <v>6015</v>
      </c>
      <c r="G42" s="351">
        <f t="shared" ref="G42:G47" si="31">E42*F42</f>
        <v>127096.95</v>
      </c>
      <c r="H42" s="301" t="s">
        <v>35</v>
      </c>
      <c r="I42" s="358">
        <v>10</v>
      </c>
      <c r="J42" s="303">
        <v>3000</v>
      </c>
      <c r="K42" s="304">
        <f t="shared" si="1"/>
        <v>300</v>
      </c>
      <c r="L42" s="358">
        <v>10</v>
      </c>
      <c r="M42" s="305">
        <f t="shared" ref="M42:M47" si="32">F42/V42*60</f>
        <v>2864.2857142857147</v>
      </c>
      <c r="N42" s="305">
        <f t="shared" si="3"/>
        <v>286.42857142857144</v>
      </c>
      <c r="O42" s="306">
        <f t="shared" si="4"/>
        <v>0</v>
      </c>
      <c r="P42" s="307">
        <f t="shared" si="5"/>
        <v>-13.571428571428555</v>
      </c>
      <c r="Q42" s="354">
        <f t="shared" si="6"/>
        <v>0.95476190476190481</v>
      </c>
      <c r="R42" s="582">
        <f>Q48</f>
        <v>0.95482179636602393</v>
      </c>
      <c r="S42" s="308">
        <v>8.3333333333333329E-2</v>
      </c>
      <c r="T42" s="308">
        <v>0.17083333333333334</v>
      </c>
      <c r="U42" s="315"/>
      <c r="V42" s="359">
        <f t="shared" ref="V42:V47" si="33">(T42-S42)*24*60</f>
        <v>126</v>
      </c>
      <c r="W42" s="310">
        <f>T42</f>
        <v>0.17083333333333334</v>
      </c>
      <c r="X42" s="310">
        <f>S43</f>
        <v>0.18819444444444441</v>
      </c>
      <c r="Y42" s="566"/>
      <c r="Z42" s="567"/>
      <c r="AA42" s="306">
        <f t="shared" si="8"/>
        <v>-135.71428571428532</v>
      </c>
      <c r="AB42" s="354">
        <f t="shared" si="9"/>
        <v>0.95476190476190492</v>
      </c>
      <c r="AC42" s="582">
        <f>AB48</f>
        <v>0.95482179636602404</v>
      </c>
    </row>
    <row r="43" spans="1:29" ht="15.75" customHeight="1">
      <c r="A43" s="586" t="s">
        <v>1557</v>
      </c>
      <c r="B43" s="300" t="s">
        <v>67</v>
      </c>
      <c r="C43" s="580" t="s">
        <v>69</v>
      </c>
      <c r="D43" s="581"/>
      <c r="E43" s="300">
        <v>27.17</v>
      </c>
      <c r="F43" s="360">
        <v>7607</v>
      </c>
      <c r="G43" s="351">
        <f t="shared" si="31"/>
        <v>206682.19</v>
      </c>
      <c r="H43" s="301" t="s">
        <v>35</v>
      </c>
      <c r="I43" s="358">
        <v>10</v>
      </c>
      <c r="J43" s="303">
        <v>3000</v>
      </c>
      <c r="K43" s="304">
        <f t="shared" si="1"/>
        <v>300</v>
      </c>
      <c r="L43" s="358">
        <v>10</v>
      </c>
      <c r="M43" s="305">
        <f t="shared" si="32"/>
        <v>2852.6250000000005</v>
      </c>
      <c r="N43" s="305">
        <f t="shared" si="3"/>
        <v>285.26250000000005</v>
      </c>
      <c r="O43" s="306">
        <f t="shared" si="4"/>
        <v>0</v>
      </c>
      <c r="P43" s="307">
        <f t="shared" si="5"/>
        <v>-14.737499999999955</v>
      </c>
      <c r="Q43" s="354">
        <f t="shared" si="6"/>
        <v>0.95087500000000014</v>
      </c>
      <c r="R43" s="583"/>
      <c r="S43" s="308">
        <v>0.18819444444444441</v>
      </c>
      <c r="T43" s="308">
        <v>0.29930555555555549</v>
      </c>
      <c r="U43" s="351">
        <f t="shared" ref="U43:U47" si="34">(S43-T42)*24*60</f>
        <v>24.99999999999995</v>
      </c>
      <c r="V43" s="359">
        <f t="shared" si="33"/>
        <v>159.99999999999997</v>
      </c>
      <c r="W43" s="310"/>
      <c r="X43" s="310"/>
      <c r="Y43" s="566"/>
      <c r="Z43" s="567"/>
      <c r="AA43" s="306">
        <f t="shared" si="8"/>
        <v>-147.37499999999955</v>
      </c>
      <c r="AB43" s="354">
        <f t="shared" si="9"/>
        <v>0.95087500000000014</v>
      </c>
      <c r="AC43" s="583"/>
    </row>
    <row r="44" spans="1:29" ht="15.75" customHeight="1">
      <c r="A44" s="586" t="s">
        <v>1557</v>
      </c>
      <c r="B44" s="300" t="s">
        <v>67</v>
      </c>
      <c r="C44" s="580" t="s">
        <v>70</v>
      </c>
      <c r="D44" s="581"/>
      <c r="E44" s="300">
        <v>35.119999999999997</v>
      </c>
      <c r="F44" s="360">
        <v>5327</v>
      </c>
      <c r="G44" s="351">
        <f t="shared" si="31"/>
        <v>187084.24</v>
      </c>
      <c r="H44" s="301" t="s">
        <v>35</v>
      </c>
      <c r="I44" s="358">
        <v>10</v>
      </c>
      <c r="J44" s="303">
        <v>3000</v>
      </c>
      <c r="K44" s="304">
        <f t="shared" si="1"/>
        <v>300</v>
      </c>
      <c r="L44" s="358">
        <v>10</v>
      </c>
      <c r="M44" s="305">
        <f t="shared" si="32"/>
        <v>2853.75</v>
      </c>
      <c r="N44" s="305">
        <f t="shared" si="3"/>
        <v>285.375</v>
      </c>
      <c r="O44" s="306">
        <f t="shared" si="4"/>
        <v>0</v>
      </c>
      <c r="P44" s="307">
        <f t="shared" si="5"/>
        <v>-14.625</v>
      </c>
      <c r="Q44" s="354">
        <f t="shared" si="6"/>
        <v>0.95125000000000004</v>
      </c>
      <c r="R44" s="583"/>
      <c r="S44" s="308">
        <v>0.30347222222222214</v>
      </c>
      <c r="T44" s="308">
        <v>0.38124999999999992</v>
      </c>
      <c r="U44" s="351">
        <f t="shared" si="34"/>
        <v>5.9999999999999787</v>
      </c>
      <c r="V44" s="359">
        <f t="shared" si="33"/>
        <v>112</v>
      </c>
      <c r="W44" s="310"/>
      <c r="X44" s="310"/>
      <c r="Y44" s="566"/>
      <c r="Z44" s="567"/>
      <c r="AA44" s="306">
        <f t="shared" si="8"/>
        <v>-146.25</v>
      </c>
      <c r="AB44" s="354">
        <f t="shared" si="9"/>
        <v>0.95125000000000004</v>
      </c>
      <c r="AC44" s="583"/>
    </row>
    <row r="45" spans="1:29" ht="15.75" customHeight="1">
      <c r="A45" s="586" t="s">
        <v>1557</v>
      </c>
      <c r="B45" s="300" t="s">
        <v>67</v>
      </c>
      <c r="C45" s="580" t="s">
        <v>71</v>
      </c>
      <c r="D45" s="581"/>
      <c r="E45" s="300">
        <v>35.869999999999997</v>
      </c>
      <c r="F45" s="360">
        <v>3304</v>
      </c>
      <c r="G45" s="351">
        <f t="shared" si="31"/>
        <v>118514.48</v>
      </c>
      <c r="H45" s="301" t="s">
        <v>35</v>
      </c>
      <c r="I45" s="358">
        <v>10</v>
      </c>
      <c r="J45" s="303">
        <v>3000</v>
      </c>
      <c r="K45" s="304">
        <f t="shared" si="1"/>
        <v>300</v>
      </c>
      <c r="L45" s="358">
        <v>10</v>
      </c>
      <c r="M45" s="305">
        <f t="shared" si="32"/>
        <v>2873.0434782608695</v>
      </c>
      <c r="N45" s="305">
        <f t="shared" si="3"/>
        <v>287.30434782608694</v>
      </c>
      <c r="O45" s="306">
        <f t="shared" si="4"/>
        <v>0</v>
      </c>
      <c r="P45" s="307">
        <f t="shared" si="5"/>
        <v>-12.695652173913061</v>
      </c>
      <c r="Q45" s="354">
        <f t="shared" si="6"/>
        <v>0.95768115942028975</v>
      </c>
      <c r="R45" s="583"/>
      <c r="S45" s="308">
        <v>0.38611111111111102</v>
      </c>
      <c r="T45" s="308">
        <v>0.43402777777777768</v>
      </c>
      <c r="U45" s="351">
        <f t="shared" si="34"/>
        <v>6.9999999999999751</v>
      </c>
      <c r="V45" s="359">
        <f t="shared" si="33"/>
        <v>69</v>
      </c>
      <c r="W45" s="310"/>
      <c r="X45" s="310"/>
      <c r="Y45" s="566"/>
      <c r="Z45" s="567"/>
      <c r="AA45" s="306">
        <f t="shared" si="8"/>
        <v>-126.95652173913049</v>
      </c>
      <c r="AB45" s="354">
        <f t="shared" si="9"/>
        <v>0.95768115942028986</v>
      </c>
      <c r="AC45" s="583"/>
    </row>
    <row r="46" spans="1:29" ht="15.75" customHeight="1">
      <c r="A46" s="586" t="s">
        <v>1557</v>
      </c>
      <c r="B46" s="300" t="s">
        <v>67</v>
      </c>
      <c r="C46" s="580" t="s">
        <v>72</v>
      </c>
      <c r="D46" s="581"/>
      <c r="E46" s="300">
        <v>36.14</v>
      </c>
      <c r="F46" s="360">
        <v>1811</v>
      </c>
      <c r="G46" s="351">
        <f t="shared" si="31"/>
        <v>65449.54</v>
      </c>
      <c r="H46" s="301" t="s">
        <v>35</v>
      </c>
      <c r="I46" s="358">
        <v>8</v>
      </c>
      <c r="J46" s="303">
        <v>3000</v>
      </c>
      <c r="K46" s="304">
        <f t="shared" si="1"/>
        <v>375</v>
      </c>
      <c r="L46" s="358">
        <v>8</v>
      </c>
      <c r="M46" s="305">
        <f t="shared" si="32"/>
        <v>2859.473684210524</v>
      </c>
      <c r="N46" s="305">
        <f t="shared" si="3"/>
        <v>357.4342105263155</v>
      </c>
      <c r="O46" s="306">
        <f t="shared" si="4"/>
        <v>0</v>
      </c>
      <c r="P46" s="307">
        <f t="shared" si="5"/>
        <v>-17.565789473684504</v>
      </c>
      <c r="Q46" s="354">
        <f t="shared" si="6"/>
        <v>0.95315789473684132</v>
      </c>
      <c r="R46" s="583"/>
      <c r="S46" s="308">
        <v>0.43819444444444433</v>
      </c>
      <c r="T46" s="308">
        <v>0.46458333333333324</v>
      </c>
      <c r="U46" s="351">
        <f t="shared" si="34"/>
        <v>5.9999999999999787</v>
      </c>
      <c r="V46" s="359">
        <f t="shared" si="33"/>
        <v>38.000000000000028</v>
      </c>
      <c r="W46" s="310"/>
      <c r="X46" s="310"/>
      <c r="Y46" s="566"/>
      <c r="Z46" s="567"/>
      <c r="AA46" s="306">
        <f t="shared" si="8"/>
        <v>-140.52631578947603</v>
      </c>
      <c r="AB46" s="354">
        <f t="shared" si="9"/>
        <v>0.95315789473684132</v>
      </c>
      <c r="AC46" s="583"/>
    </row>
    <row r="47" spans="1:29" ht="15.75" customHeight="1">
      <c r="A47" s="586" t="s">
        <v>1557</v>
      </c>
      <c r="B47" s="300" t="s">
        <v>67</v>
      </c>
      <c r="C47" s="580" t="s">
        <v>664</v>
      </c>
      <c r="D47" s="581"/>
      <c r="E47" s="300">
        <v>34.36</v>
      </c>
      <c r="F47" s="360">
        <v>3989</v>
      </c>
      <c r="G47" s="351">
        <f t="shared" si="31"/>
        <v>137062.04</v>
      </c>
      <c r="H47" s="301" t="s">
        <v>35</v>
      </c>
      <c r="I47" s="358">
        <v>10</v>
      </c>
      <c r="J47" s="303">
        <v>3000</v>
      </c>
      <c r="K47" s="304">
        <f t="shared" si="1"/>
        <v>300</v>
      </c>
      <c r="L47" s="358">
        <v>10</v>
      </c>
      <c r="M47" s="305">
        <f t="shared" si="32"/>
        <v>2883.6144578313242</v>
      </c>
      <c r="N47" s="305">
        <f t="shared" si="3"/>
        <v>288.36144578313241</v>
      </c>
      <c r="O47" s="306">
        <f t="shared" si="4"/>
        <v>0</v>
      </c>
      <c r="P47" s="307">
        <f t="shared" si="5"/>
        <v>-11.63855421686759</v>
      </c>
      <c r="Q47" s="354">
        <f t="shared" si="6"/>
        <v>0.96120481927710799</v>
      </c>
      <c r="R47" s="583"/>
      <c r="S47" s="308">
        <v>0.46944444444444433</v>
      </c>
      <c r="T47" s="308">
        <v>0.52708333333333324</v>
      </c>
      <c r="U47" s="351">
        <f t="shared" si="34"/>
        <v>6.9999999999999751</v>
      </c>
      <c r="V47" s="359">
        <f t="shared" si="33"/>
        <v>83.000000000000028</v>
      </c>
      <c r="W47" s="310"/>
      <c r="X47" s="310"/>
      <c r="Y47" s="566"/>
      <c r="Z47" s="567"/>
      <c r="AA47" s="306">
        <f t="shared" si="8"/>
        <v>-116.38554216867578</v>
      </c>
      <c r="AB47" s="354">
        <f t="shared" si="9"/>
        <v>0.9612048192771081</v>
      </c>
      <c r="AC47" s="583"/>
    </row>
    <row r="48" spans="1:29" ht="15.75" customHeight="1">
      <c r="A48" s="587" t="s">
        <v>1557</v>
      </c>
      <c r="B48" s="300" t="s">
        <v>1551</v>
      </c>
      <c r="C48" s="568"/>
      <c r="D48" s="569"/>
      <c r="E48" s="350"/>
      <c r="F48" s="360"/>
      <c r="G48" s="351"/>
      <c r="H48" s="360"/>
      <c r="I48" s="314">
        <v>9.6666666666666661</v>
      </c>
      <c r="J48" s="303">
        <v>3000</v>
      </c>
      <c r="K48" s="304">
        <f t="shared" si="1"/>
        <v>310.34482758620692</v>
      </c>
      <c r="L48" s="314">
        <v>9.6666666666666661</v>
      </c>
      <c r="M48" s="305">
        <f>AVERAGE(M42:M47)</f>
        <v>2864.4653890980721</v>
      </c>
      <c r="N48" s="304">
        <f t="shared" si="3"/>
        <v>296.32400576876609</v>
      </c>
      <c r="O48" s="306">
        <f t="shared" si="4"/>
        <v>0</v>
      </c>
      <c r="P48" s="307">
        <f t="shared" si="5"/>
        <v>-14.020821817440833</v>
      </c>
      <c r="Q48" s="354">
        <f t="shared" si="6"/>
        <v>0.95482179636602393</v>
      </c>
      <c r="R48" s="584"/>
      <c r="S48" s="308"/>
      <c r="T48" s="308"/>
      <c r="U48" s="351"/>
      <c r="V48" s="359"/>
      <c r="W48" s="310"/>
      <c r="X48" s="310"/>
      <c r="Y48" s="566"/>
      <c r="Z48" s="567"/>
      <c r="AA48" s="306">
        <f t="shared" si="8"/>
        <v>-135.53461090192786</v>
      </c>
      <c r="AB48" s="354">
        <f t="shared" si="9"/>
        <v>0.95482179636602404</v>
      </c>
      <c r="AC48" s="584"/>
    </row>
    <row r="49" spans="1:29" ht="15.75" customHeight="1">
      <c r="A49" s="578" t="s">
        <v>1558</v>
      </c>
      <c r="B49" s="300" t="s">
        <v>40</v>
      </c>
      <c r="C49" s="565" t="s">
        <v>73</v>
      </c>
      <c r="D49" s="565"/>
      <c r="E49" s="300">
        <v>46</v>
      </c>
      <c r="F49" s="317">
        <v>3257</v>
      </c>
      <c r="G49" s="351">
        <f t="shared" ref="G49:G54" si="35">E49*F49</f>
        <v>149822</v>
      </c>
      <c r="H49" s="301" t="s">
        <v>35</v>
      </c>
      <c r="I49" s="358">
        <v>17</v>
      </c>
      <c r="J49" s="303">
        <v>2000</v>
      </c>
      <c r="K49" s="304">
        <f t="shared" si="1"/>
        <v>117.64705882352941</v>
      </c>
      <c r="L49" s="358">
        <v>17</v>
      </c>
      <c r="M49" s="305">
        <f t="shared" ref="M49:M54" si="36">F49/V49*60</f>
        <v>1915.8823529411757</v>
      </c>
      <c r="N49" s="305">
        <f t="shared" si="3"/>
        <v>112.69896193771622</v>
      </c>
      <c r="O49" s="306">
        <f t="shared" si="4"/>
        <v>0</v>
      </c>
      <c r="P49" s="307">
        <f t="shared" si="5"/>
        <v>-4.948096885813186</v>
      </c>
      <c r="Q49" s="354">
        <f t="shared" si="6"/>
        <v>0.95794117647058796</v>
      </c>
      <c r="R49" s="571">
        <f>Q55</f>
        <v>0.96122328710226912</v>
      </c>
      <c r="S49" s="308">
        <v>0.29166666666666669</v>
      </c>
      <c r="T49" s="308">
        <v>0.36250000000000004</v>
      </c>
      <c r="U49" s="315"/>
      <c r="V49" s="359">
        <f t="shared" ref="V49:V54" si="37">(T49-S49)*24*60</f>
        <v>102.00000000000004</v>
      </c>
      <c r="W49" s="315"/>
      <c r="X49" s="315"/>
      <c r="Y49" s="570"/>
      <c r="Z49" s="570"/>
      <c r="AA49" s="306">
        <f t="shared" si="8"/>
        <v>-84.117647058824332</v>
      </c>
      <c r="AB49" s="354">
        <f t="shared" si="9"/>
        <v>0.95794117647058785</v>
      </c>
      <c r="AC49" s="571">
        <f>AB55</f>
        <v>0.96122328710226901</v>
      </c>
    </row>
    <row r="50" spans="1:29" ht="15.75" customHeight="1">
      <c r="A50" s="578" t="s">
        <v>1558</v>
      </c>
      <c r="B50" s="300" t="s">
        <v>36</v>
      </c>
      <c r="C50" s="565" t="s">
        <v>75</v>
      </c>
      <c r="D50" s="565"/>
      <c r="E50" s="300">
        <v>54.09</v>
      </c>
      <c r="F50" s="317">
        <v>1200</v>
      </c>
      <c r="G50" s="351">
        <f t="shared" si="35"/>
        <v>64908.000000000007</v>
      </c>
      <c r="H50" s="301" t="s">
        <v>35</v>
      </c>
      <c r="I50" s="358">
        <v>16</v>
      </c>
      <c r="J50" s="303">
        <v>2000</v>
      </c>
      <c r="K50" s="304">
        <f t="shared" si="1"/>
        <v>125</v>
      </c>
      <c r="L50" s="358">
        <v>16</v>
      </c>
      <c r="M50" s="305">
        <f t="shared" si="36"/>
        <v>1945.9459459459445</v>
      </c>
      <c r="N50" s="305">
        <f t="shared" si="3"/>
        <v>121.62162162162153</v>
      </c>
      <c r="O50" s="306">
        <f t="shared" si="4"/>
        <v>0</v>
      </c>
      <c r="P50" s="307">
        <f t="shared" si="5"/>
        <v>-3.3783783783784713</v>
      </c>
      <c r="Q50" s="354">
        <f t="shared" si="6"/>
        <v>0.97297297297297225</v>
      </c>
      <c r="R50" s="571"/>
      <c r="S50" s="308">
        <v>0.36805555555555558</v>
      </c>
      <c r="T50" s="308">
        <v>0.39375000000000004</v>
      </c>
      <c r="U50" s="351">
        <f t="shared" ref="U50:U54" si="38">IF(S50=TIME(17,0,0),"",(S50-T49)*24*60)</f>
        <v>7.9999999999999716</v>
      </c>
      <c r="V50" s="359">
        <f t="shared" si="37"/>
        <v>37.000000000000028</v>
      </c>
      <c r="W50" s="310"/>
      <c r="X50" s="310"/>
      <c r="Y50" s="570"/>
      <c r="Z50" s="570"/>
      <c r="AA50" s="306">
        <f t="shared" si="8"/>
        <v>-54.054054054055541</v>
      </c>
      <c r="AB50" s="354">
        <f t="shared" si="9"/>
        <v>0.97297297297297225</v>
      </c>
      <c r="AC50" s="571"/>
    </row>
    <row r="51" spans="1:29" ht="15.75" customHeight="1">
      <c r="A51" s="578" t="s">
        <v>1558</v>
      </c>
      <c r="B51" s="300" t="s">
        <v>40</v>
      </c>
      <c r="C51" s="580" t="s">
        <v>74</v>
      </c>
      <c r="D51" s="581"/>
      <c r="E51" s="300">
        <v>46</v>
      </c>
      <c r="F51" s="317">
        <v>3378</v>
      </c>
      <c r="G51" s="351">
        <f t="shared" si="35"/>
        <v>155388</v>
      </c>
      <c r="H51" s="301" t="s">
        <v>35</v>
      </c>
      <c r="I51" s="358">
        <v>17</v>
      </c>
      <c r="J51" s="303">
        <v>2000</v>
      </c>
      <c r="K51" s="304">
        <f t="shared" si="1"/>
        <v>117.64705882352941</v>
      </c>
      <c r="L51" s="358">
        <v>17</v>
      </c>
      <c r="M51" s="305">
        <f t="shared" si="36"/>
        <v>1912.0754716981126</v>
      </c>
      <c r="N51" s="305">
        <f t="shared" si="3"/>
        <v>112.4750277469478</v>
      </c>
      <c r="O51" s="306">
        <f t="shared" si="4"/>
        <v>0</v>
      </c>
      <c r="P51" s="307">
        <f t="shared" si="5"/>
        <v>-5.1720310765816038</v>
      </c>
      <c r="Q51" s="354">
        <f t="shared" si="6"/>
        <v>0.95603773584905638</v>
      </c>
      <c r="R51" s="571"/>
      <c r="S51" s="308">
        <v>0.39861111111111114</v>
      </c>
      <c r="T51" s="308">
        <v>0.47222222222222227</v>
      </c>
      <c r="U51" s="351">
        <f t="shared" si="38"/>
        <v>6.9999999999999751</v>
      </c>
      <c r="V51" s="359">
        <f t="shared" si="37"/>
        <v>106.00000000000003</v>
      </c>
      <c r="W51" s="310"/>
      <c r="X51" s="310"/>
      <c r="Y51" s="352"/>
      <c r="Z51" s="353"/>
      <c r="AA51" s="306">
        <f t="shared" si="8"/>
        <v>-87.924528301887449</v>
      </c>
      <c r="AB51" s="354">
        <f t="shared" si="9"/>
        <v>0.95603773584905627</v>
      </c>
      <c r="AC51" s="571"/>
    </row>
    <row r="52" spans="1:29" ht="15.75" customHeight="1">
      <c r="A52" s="578" t="s">
        <v>1558</v>
      </c>
      <c r="B52" s="300" t="s">
        <v>36</v>
      </c>
      <c r="C52" s="356" t="s">
        <v>76</v>
      </c>
      <c r="D52" s="357"/>
      <c r="E52" s="300">
        <v>55.56</v>
      </c>
      <c r="F52" s="317">
        <v>2629</v>
      </c>
      <c r="G52" s="351">
        <f t="shared" si="35"/>
        <v>146067.24000000002</v>
      </c>
      <c r="H52" s="301" t="s">
        <v>35</v>
      </c>
      <c r="I52" s="358">
        <v>17</v>
      </c>
      <c r="J52" s="303">
        <v>2000</v>
      </c>
      <c r="K52" s="304">
        <f t="shared" si="1"/>
        <v>117.64705882352941</v>
      </c>
      <c r="L52" s="358">
        <v>17</v>
      </c>
      <c r="M52" s="305">
        <f t="shared" si="36"/>
        <v>1923.658536585365</v>
      </c>
      <c r="N52" s="305">
        <f t="shared" si="3"/>
        <v>113.15638450502148</v>
      </c>
      <c r="O52" s="306">
        <f t="shared" si="4"/>
        <v>0</v>
      </c>
      <c r="P52" s="307">
        <f t="shared" si="5"/>
        <v>-4.4906743185079279</v>
      </c>
      <c r="Q52" s="354">
        <f t="shared" si="6"/>
        <v>0.96182926829268256</v>
      </c>
      <c r="R52" s="571"/>
      <c r="S52" s="308">
        <v>0.70833333333333337</v>
      </c>
      <c r="T52" s="308">
        <v>0.76527777777777783</v>
      </c>
      <c r="U52" s="351" t="str">
        <f t="shared" si="38"/>
        <v/>
      </c>
      <c r="V52" s="359">
        <f t="shared" si="37"/>
        <v>82.000000000000028</v>
      </c>
      <c r="W52" s="310"/>
      <c r="X52" s="310"/>
      <c r="Y52" s="352"/>
      <c r="Z52" s="353"/>
      <c r="AA52" s="306">
        <f t="shared" si="8"/>
        <v>-76.341463414634973</v>
      </c>
      <c r="AB52" s="354">
        <f t="shared" si="9"/>
        <v>0.96182926829268256</v>
      </c>
      <c r="AC52" s="571"/>
    </row>
    <row r="53" spans="1:29" ht="15.75" customHeight="1">
      <c r="A53" s="578" t="s">
        <v>1558</v>
      </c>
      <c r="B53" s="300" t="s">
        <v>36</v>
      </c>
      <c r="C53" s="356" t="s">
        <v>77</v>
      </c>
      <c r="D53" s="357"/>
      <c r="E53" s="300">
        <v>55.32</v>
      </c>
      <c r="F53" s="317">
        <v>2079</v>
      </c>
      <c r="G53" s="351">
        <f t="shared" si="35"/>
        <v>115010.28</v>
      </c>
      <c r="H53" s="301" t="s">
        <v>35</v>
      </c>
      <c r="I53" s="358">
        <v>15</v>
      </c>
      <c r="J53" s="303">
        <v>2000</v>
      </c>
      <c r="K53" s="304">
        <f t="shared" si="1"/>
        <v>133.33333333333334</v>
      </c>
      <c r="L53" s="358">
        <v>15</v>
      </c>
      <c r="M53" s="305">
        <f t="shared" si="36"/>
        <v>1919.0769230769251</v>
      </c>
      <c r="N53" s="305">
        <f t="shared" si="3"/>
        <v>127.93846153846168</v>
      </c>
      <c r="O53" s="306">
        <f t="shared" si="4"/>
        <v>0</v>
      </c>
      <c r="P53" s="307">
        <f t="shared" si="5"/>
        <v>-5.394871794871662</v>
      </c>
      <c r="Q53" s="354">
        <f t="shared" si="6"/>
        <v>0.95953846153846256</v>
      </c>
      <c r="R53" s="571"/>
      <c r="S53" s="308">
        <v>0.76875000000000004</v>
      </c>
      <c r="T53" s="308">
        <v>0.81388888888888888</v>
      </c>
      <c r="U53" s="351">
        <f t="shared" si="38"/>
        <v>4.9999999999999822</v>
      </c>
      <c r="V53" s="359">
        <f t="shared" si="37"/>
        <v>64.999999999999929</v>
      </c>
      <c r="W53" s="310"/>
      <c r="X53" s="310"/>
      <c r="Y53" s="352"/>
      <c r="Z53" s="353"/>
      <c r="AA53" s="306">
        <f t="shared" si="8"/>
        <v>-80.923076923074859</v>
      </c>
      <c r="AB53" s="354">
        <f t="shared" si="9"/>
        <v>0.95953846153846256</v>
      </c>
      <c r="AC53" s="571"/>
    </row>
    <row r="54" spans="1:29" ht="15.75" customHeight="1">
      <c r="A54" s="578" t="s">
        <v>1558</v>
      </c>
      <c r="B54" s="300" t="s">
        <v>36</v>
      </c>
      <c r="C54" s="580" t="s">
        <v>78</v>
      </c>
      <c r="D54" s="581"/>
      <c r="E54" s="300">
        <v>57.73</v>
      </c>
      <c r="F54" s="317">
        <v>1677</v>
      </c>
      <c r="G54" s="351">
        <f t="shared" si="35"/>
        <v>96813.209999999992</v>
      </c>
      <c r="H54" s="301" t="s">
        <v>35</v>
      </c>
      <c r="I54" s="358">
        <v>16</v>
      </c>
      <c r="J54" s="303">
        <v>1500</v>
      </c>
      <c r="K54" s="304">
        <f t="shared" si="1"/>
        <v>93.75</v>
      </c>
      <c r="L54" s="358">
        <v>16</v>
      </c>
      <c r="M54" s="305">
        <f t="shared" si="36"/>
        <v>1437.42857142857</v>
      </c>
      <c r="N54" s="305">
        <f t="shared" si="3"/>
        <v>89.839285714285623</v>
      </c>
      <c r="O54" s="306">
        <f t="shared" si="4"/>
        <v>0</v>
      </c>
      <c r="P54" s="307">
        <f t="shared" si="5"/>
        <v>-3.9107142857143771</v>
      </c>
      <c r="Q54" s="354">
        <f t="shared" si="6"/>
        <v>0.9582857142857133</v>
      </c>
      <c r="R54" s="571"/>
      <c r="S54" s="308">
        <v>0.81736111111111109</v>
      </c>
      <c r="T54" s="308">
        <v>0.86597222222222225</v>
      </c>
      <c r="U54" s="351">
        <f t="shared" si="38"/>
        <v>4.9999999999999822</v>
      </c>
      <c r="V54" s="359">
        <f t="shared" si="37"/>
        <v>70.000000000000071</v>
      </c>
      <c r="W54" s="310"/>
      <c r="X54" s="310"/>
      <c r="Y54" s="566"/>
      <c r="Z54" s="567"/>
      <c r="AA54" s="306">
        <f t="shared" si="8"/>
        <v>-62.571428571430033</v>
      </c>
      <c r="AB54" s="354">
        <f t="shared" si="9"/>
        <v>0.9582857142857133</v>
      </c>
      <c r="AC54" s="571"/>
    </row>
    <row r="55" spans="1:29">
      <c r="A55" s="579" t="s">
        <v>1558</v>
      </c>
      <c r="B55" s="300" t="s">
        <v>1551</v>
      </c>
      <c r="C55" s="572"/>
      <c r="D55" s="572"/>
      <c r="E55" s="355"/>
      <c r="F55" s="313"/>
      <c r="G55" s="304"/>
      <c r="H55" s="360"/>
      <c r="I55" s="314">
        <v>16.333333333333332</v>
      </c>
      <c r="J55" s="303">
        <v>1916.6666666666667</v>
      </c>
      <c r="K55" s="304">
        <f t="shared" si="1"/>
        <v>117.34693877551021</v>
      </c>
      <c r="L55" s="314">
        <v>16.333333333333332</v>
      </c>
      <c r="M55" s="305">
        <f>AVERAGE(M49:M54)</f>
        <v>1842.3446336126824</v>
      </c>
      <c r="N55" s="304">
        <f t="shared" si="3"/>
        <v>112.79661022118465</v>
      </c>
      <c r="O55" s="306">
        <f t="shared" si="4"/>
        <v>0</v>
      </c>
      <c r="P55" s="307">
        <f t="shared" si="5"/>
        <v>-4.55032855432556</v>
      </c>
      <c r="Q55" s="354">
        <f t="shared" si="6"/>
        <v>0.96122328710226912</v>
      </c>
      <c r="R55" s="571"/>
      <c r="S55" s="322"/>
      <c r="T55" s="308"/>
      <c r="U55" s="304"/>
      <c r="V55" s="359"/>
      <c r="W55" s="304"/>
      <c r="X55" s="304"/>
      <c r="Y55" s="570"/>
      <c r="Z55" s="570"/>
      <c r="AA55" s="306">
        <f t="shared" si="8"/>
        <v>-74.322033053984342</v>
      </c>
      <c r="AB55" s="354">
        <f t="shared" si="9"/>
        <v>0.96122328710226901</v>
      </c>
      <c r="AC55" s="571"/>
    </row>
    <row r="56" spans="1:29" ht="15.75" customHeight="1">
      <c r="A56" s="576" t="s">
        <v>1559</v>
      </c>
      <c r="B56" s="360" t="s">
        <v>40</v>
      </c>
      <c r="C56" s="565" t="s">
        <v>82</v>
      </c>
      <c r="D56" s="565"/>
      <c r="E56" s="300">
        <v>26.97</v>
      </c>
      <c r="F56" s="317">
        <v>3554</v>
      </c>
      <c r="G56" s="351">
        <f t="shared" ref="G56:G59" si="39">E56*F56</f>
        <v>95851.37999999999</v>
      </c>
      <c r="H56" s="301" t="s">
        <v>35</v>
      </c>
      <c r="I56" s="358">
        <v>8</v>
      </c>
      <c r="J56" s="303">
        <v>1500</v>
      </c>
      <c r="K56" s="304">
        <f t="shared" si="1"/>
        <v>187.5</v>
      </c>
      <c r="L56" s="358">
        <v>8</v>
      </c>
      <c r="M56" s="305">
        <f t="shared" ref="M56:M59" si="40">F56/V56*60</f>
        <v>1431.1409395973153</v>
      </c>
      <c r="N56" s="304">
        <f t="shared" si="3"/>
        <v>178.89261744966441</v>
      </c>
      <c r="O56" s="306">
        <f t="shared" si="4"/>
        <v>0</v>
      </c>
      <c r="P56" s="307">
        <f t="shared" si="5"/>
        <v>-8.6073825503355863</v>
      </c>
      <c r="Q56" s="354">
        <f t="shared" si="6"/>
        <v>0.95409395973154354</v>
      </c>
      <c r="R56" s="571">
        <f>Q60</f>
        <v>0.9571558985006533</v>
      </c>
      <c r="S56" s="308">
        <v>0.20833333333333334</v>
      </c>
      <c r="T56" s="308">
        <v>0.31180555555555556</v>
      </c>
      <c r="U56" s="351"/>
      <c r="V56" s="359">
        <f t="shared" ref="V56:V59" si="41">(T56-S56)*24*60</f>
        <v>149</v>
      </c>
      <c r="W56" s="315"/>
      <c r="X56" s="315"/>
      <c r="Y56" s="570"/>
      <c r="Z56" s="570"/>
      <c r="AA56" s="306">
        <f t="shared" si="8"/>
        <v>-68.85906040268469</v>
      </c>
      <c r="AB56" s="354">
        <f t="shared" si="9"/>
        <v>0.95409395973154354</v>
      </c>
      <c r="AC56" s="571">
        <f>AB60</f>
        <v>0.9571558985006533</v>
      </c>
    </row>
    <row r="57" spans="1:29" ht="15.75" customHeight="1">
      <c r="A57" s="576" t="s">
        <v>1559</v>
      </c>
      <c r="B57" s="360" t="s">
        <v>67</v>
      </c>
      <c r="C57" s="565" t="s">
        <v>79</v>
      </c>
      <c r="D57" s="565"/>
      <c r="E57" s="300">
        <v>26.78</v>
      </c>
      <c r="F57" s="317">
        <v>3326</v>
      </c>
      <c r="G57" s="351">
        <f t="shared" si="39"/>
        <v>89070.28</v>
      </c>
      <c r="H57" s="301" t="s">
        <v>35</v>
      </c>
      <c r="I57" s="358">
        <v>10</v>
      </c>
      <c r="J57" s="303">
        <v>3000</v>
      </c>
      <c r="K57" s="304">
        <f t="shared" si="1"/>
        <v>300</v>
      </c>
      <c r="L57" s="358">
        <v>10</v>
      </c>
      <c r="M57" s="305">
        <f t="shared" si="40"/>
        <v>2850.8571428571436</v>
      </c>
      <c r="N57" s="304">
        <f t="shared" si="3"/>
        <v>285.08571428571435</v>
      </c>
      <c r="O57" s="306">
        <f t="shared" si="4"/>
        <v>0</v>
      </c>
      <c r="P57" s="307">
        <f t="shared" si="5"/>
        <v>-14.914285714285654</v>
      </c>
      <c r="Q57" s="354">
        <f t="shared" si="6"/>
        <v>0.95028571428571451</v>
      </c>
      <c r="R57" s="571"/>
      <c r="S57" s="308">
        <v>0.31527777777777777</v>
      </c>
      <c r="T57" s="308">
        <v>0.36388888888888887</v>
      </c>
      <c r="U57" s="351">
        <f t="shared" ref="U57:U59" si="42">(S57-T56)*24*60</f>
        <v>4.9999999999999822</v>
      </c>
      <c r="V57" s="359">
        <f t="shared" si="41"/>
        <v>69.999999999999986</v>
      </c>
      <c r="W57" s="351"/>
      <c r="X57" s="351"/>
      <c r="Y57" s="570"/>
      <c r="Z57" s="570"/>
      <c r="AA57" s="306">
        <f t="shared" si="8"/>
        <v>-149.14285714285643</v>
      </c>
      <c r="AB57" s="354">
        <f t="shared" si="9"/>
        <v>0.95028571428571451</v>
      </c>
      <c r="AC57" s="571"/>
    </row>
    <row r="58" spans="1:29" ht="15.75" customHeight="1">
      <c r="A58" s="576" t="s">
        <v>1559</v>
      </c>
      <c r="B58" s="360" t="s">
        <v>67</v>
      </c>
      <c r="C58" s="565" t="s">
        <v>83</v>
      </c>
      <c r="D58" s="565"/>
      <c r="E58" s="300">
        <v>35.369999999999997</v>
      </c>
      <c r="F58" s="317">
        <v>1689</v>
      </c>
      <c r="G58" s="351">
        <f t="shared" si="39"/>
        <v>59739.929999999993</v>
      </c>
      <c r="H58" s="301" t="s">
        <v>35</v>
      </c>
      <c r="I58" s="358">
        <v>10</v>
      </c>
      <c r="J58" s="303">
        <v>3000</v>
      </c>
      <c r="K58" s="304">
        <f t="shared" si="1"/>
        <v>300</v>
      </c>
      <c r="L58" s="358">
        <v>10</v>
      </c>
      <c r="M58" s="305">
        <f t="shared" si="40"/>
        <v>2895.4285714285688</v>
      </c>
      <c r="N58" s="304">
        <f t="shared" si="3"/>
        <v>289.54285714285686</v>
      </c>
      <c r="O58" s="306">
        <f t="shared" si="4"/>
        <v>0</v>
      </c>
      <c r="P58" s="307">
        <f t="shared" si="5"/>
        <v>-10.45714285714314</v>
      </c>
      <c r="Q58" s="354">
        <f t="shared" si="6"/>
        <v>0.96514285714285619</v>
      </c>
      <c r="R58" s="571"/>
      <c r="S58" s="308">
        <v>0.36944444444444441</v>
      </c>
      <c r="T58" s="308">
        <v>0.39374999999999999</v>
      </c>
      <c r="U58" s="351">
        <f t="shared" si="42"/>
        <v>7.9999999999999716</v>
      </c>
      <c r="V58" s="359">
        <f t="shared" si="41"/>
        <v>35.000000000000036</v>
      </c>
      <c r="W58" s="351"/>
      <c r="X58" s="351"/>
      <c r="Y58" s="570"/>
      <c r="Z58" s="570"/>
      <c r="AA58" s="306">
        <f t="shared" si="8"/>
        <v>-104.57142857143117</v>
      </c>
      <c r="AB58" s="354">
        <f t="shared" si="9"/>
        <v>0.9651428571428563</v>
      </c>
      <c r="AC58" s="571"/>
    </row>
    <row r="59" spans="1:29" ht="15.75" customHeight="1">
      <c r="A59" s="576" t="s">
        <v>1559</v>
      </c>
      <c r="B59" s="360" t="s">
        <v>67</v>
      </c>
      <c r="C59" s="565" t="s">
        <v>666</v>
      </c>
      <c r="D59" s="565"/>
      <c r="E59" s="300">
        <v>37.880000000000003</v>
      </c>
      <c r="F59" s="317">
        <v>5123</v>
      </c>
      <c r="G59" s="351">
        <f t="shared" si="39"/>
        <v>194059.24000000002</v>
      </c>
      <c r="H59" s="301" t="s">
        <v>35</v>
      </c>
      <c r="I59" s="358">
        <v>11</v>
      </c>
      <c r="J59" s="303">
        <v>3000</v>
      </c>
      <c r="K59" s="304">
        <f t="shared" si="1"/>
        <v>272.72727272727275</v>
      </c>
      <c r="L59" s="358">
        <v>11</v>
      </c>
      <c r="M59" s="305">
        <f t="shared" si="40"/>
        <v>2872.7102803738312</v>
      </c>
      <c r="N59" s="304">
        <f t="shared" si="3"/>
        <v>261.15548003398465</v>
      </c>
      <c r="O59" s="306">
        <f t="shared" si="4"/>
        <v>0</v>
      </c>
      <c r="P59" s="307">
        <f t="shared" si="5"/>
        <v>-11.571792693288103</v>
      </c>
      <c r="Q59" s="354">
        <f t="shared" si="6"/>
        <v>0.95757009345794364</v>
      </c>
      <c r="R59" s="571"/>
      <c r="S59" s="308">
        <v>0.3972222222222222</v>
      </c>
      <c r="T59" s="308">
        <v>0.47152777777777777</v>
      </c>
      <c r="U59" s="351">
        <f t="shared" si="42"/>
        <v>4.9999999999999822</v>
      </c>
      <c r="V59" s="359">
        <f t="shared" si="41"/>
        <v>107.00000000000001</v>
      </c>
      <c r="W59" s="351"/>
      <c r="X59" s="351"/>
      <c r="Y59" s="570"/>
      <c r="Z59" s="570"/>
      <c r="AA59" s="306">
        <f t="shared" si="8"/>
        <v>-127.28971962616879</v>
      </c>
      <c r="AB59" s="354">
        <f t="shared" si="9"/>
        <v>0.95757009345794375</v>
      </c>
      <c r="AC59" s="571"/>
    </row>
    <row r="60" spans="1:29">
      <c r="A60" s="577" t="s">
        <v>1559</v>
      </c>
      <c r="B60" s="300" t="s">
        <v>1551</v>
      </c>
      <c r="C60" s="572"/>
      <c r="D60" s="572"/>
      <c r="E60" s="355"/>
      <c r="F60" s="313"/>
      <c r="G60" s="304"/>
      <c r="H60" s="360"/>
      <c r="I60" s="314">
        <v>9.75</v>
      </c>
      <c r="J60" s="303">
        <v>2625</v>
      </c>
      <c r="K60" s="304">
        <f t="shared" si="1"/>
        <v>269.23076923076923</v>
      </c>
      <c r="L60" s="314">
        <v>9.75</v>
      </c>
      <c r="M60" s="305">
        <f>AVERAGE(M56:M59)</f>
        <v>2512.5342335642149</v>
      </c>
      <c r="N60" s="304">
        <f t="shared" si="3"/>
        <v>257.69581882709895</v>
      </c>
      <c r="O60" s="306">
        <f t="shared" si="4"/>
        <v>0</v>
      </c>
      <c r="P60" s="307">
        <f t="shared" si="5"/>
        <v>-11.53495040367028</v>
      </c>
      <c r="Q60" s="354">
        <f t="shared" si="6"/>
        <v>0.9571558985006533</v>
      </c>
      <c r="R60" s="571"/>
      <c r="S60" s="308"/>
      <c r="T60" s="308"/>
      <c r="U60" s="304"/>
      <c r="V60" s="359"/>
      <c r="W60" s="304"/>
      <c r="X60" s="304"/>
      <c r="Y60" s="570"/>
      <c r="Z60" s="570"/>
      <c r="AA60" s="306">
        <f t="shared" si="8"/>
        <v>-112.4657664357851</v>
      </c>
      <c r="AB60" s="354">
        <f t="shared" si="9"/>
        <v>0.9571558985006533</v>
      </c>
      <c r="AC60" s="571"/>
    </row>
    <row r="61" spans="1:29" ht="15.75" customHeight="1">
      <c r="A61" s="573" t="s">
        <v>1560</v>
      </c>
      <c r="B61" s="360" t="s">
        <v>46</v>
      </c>
      <c r="C61" s="565" t="s">
        <v>84</v>
      </c>
      <c r="D61" s="565"/>
      <c r="E61" s="300">
        <v>20.2</v>
      </c>
      <c r="F61" s="360">
        <v>2896</v>
      </c>
      <c r="G61" s="351">
        <f t="shared" ref="G61:G69" si="43">E61*F61</f>
        <v>58499.199999999997</v>
      </c>
      <c r="H61" s="301" t="s">
        <v>35</v>
      </c>
      <c r="I61" s="358">
        <v>19</v>
      </c>
      <c r="J61" s="303">
        <v>2400</v>
      </c>
      <c r="K61" s="304">
        <f t="shared" si="1"/>
        <v>126.31578947368421</v>
      </c>
      <c r="L61" s="358">
        <v>19</v>
      </c>
      <c r="M61" s="305">
        <f t="shared" ref="M61:M69" si="44">F61/V61*60</f>
        <v>2286.3157894736842</v>
      </c>
      <c r="N61" s="304">
        <f t="shared" si="3"/>
        <v>120.33240997229916</v>
      </c>
      <c r="O61" s="306">
        <f t="shared" si="4"/>
        <v>0</v>
      </c>
      <c r="P61" s="307">
        <f t="shared" si="5"/>
        <v>-5.9833795013850448</v>
      </c>
      <c r="Q61" s="354">
        <f t="shared" si="6"/>
        <v>0.95263157894736838</v>
      </c>
      <c r="R61" s="571">
        <f>Q70</f>
        <v>0.9548694962389761</v>
      </c>
      <c r="S61" s="308">
        <v>8.3333333333333329E-2</v>
      </c>
      <c r="T61" s="308">
        <v>0.1361111111111111</v>
      </c>
      <c r="U61" s="315"/>
      <c r="V61" s="359">
        <f t="shared" ref="V61:V69" si="45">(T61-S61)*24*60</f>
        <v>76</v>
      </c>
      <c r="W61" s="310">
        <f>T61</f>
        <v>0.1361111111111111</v>
      </c>
      <c r="X61" s="310">
        <f>S62</f>
        <v>0.15625</v>
      </c>
      <c r="Y61" s="570"/>
      <c r="Z61" s="570"/>
      <c r="AA61" s="306">
        <f t="shared" si="8"/>
        <v>-113.68421052631584</v>
      </c>
      <c r="AB61" s="354">
        <f t="shared" si="9"/>
        <v>0.95263157894736838</v>
      </c>
      <c r="AC61" s="571">
        <f>AB70</f>
        <v>0.95486949623897621</v>
      </c>
    </row>
    <row r="62" spans="1:29" ht="15.75" customHeight="1">
      <c r="A62" s="574" t="s">
        <v>1560</v>
      </c>
      <c r="B62" s="360" t="s">
        <v>46</v>
      </c>
      <c r="C62" s="565" t="s">
        <v>85</v>
      </c>
      <c r="D62" s="565"/>
      <c r="E62" s="300">
        <v>19.02</v>
      </c>
      <c r="F62" s="360">
        <v>4700</v>
      </c>
      <c r="G62" s="351">
        <f t="shared" si="43"/>
        <v>89394</v>
      </c>
      <c r="H62" s="301">
        <v>2</v>
      </c>
      <c r="I62" s="358">
        <v>15</v>
      </c>
      <c r="J62" s="303">
        <v>2400</v>
      </c>
      <c r="K62" s="304">
        <f t="shared" si="1"/>
        <v>160</v>
      </c>
      <c r="L62" s="358">
        <v>15</v>
      </c>
      <c r="M62" s="305">
        <f t="shared" si="44"/>
        <v>2292.682926829269</v>
      </c>
      <c r="N62" s="304">
        <f t="shared" si="3"/>
        <v>152.84552845528461</v>
      </c>
      <c r="O62" s="306">
        <f t="shared" si="4"/>
        <v>0</v>
      </c>
      <c r="P62" s="307">
        <f t="shared" si="5"/>
        <v>-7.1544715447153919</v>
      </c>
      <c r="Q62" s="354">
        <f t="shared" si="6"/>
        <v>0.95528455284552882</v>
      </c>
      <c r="R62" s="571"/>
      <c r="S62" s="308">
        <v>0.15625</v>
      </c>
      <c r="T62" s="308">
        <v>0.24166666666666664</v>
      </c>
      <c r="U62" s="351">
        <f t="shared" ref="U62:U69" si="46">(S62-T61)*24*60</f>
        <v>29.000000000000018</v>
      </c>
      <c r="V62" s="359">
        <f t="shared" si="45"/>
        <v>122.99999999999996</v>
      </c>
      <c r="W62" s="310"/>
      <c r="X62" s="310"/>
      <c r="Y62" s="570"/>
      <c r="Z62" s="570"/>
      <c r="AA62" s="306">
        <f t="shared" si="8"/>
        <v>-107.31707317073096</v>
      </c>
      <c r="AB62" s="354">
        <f t="shared" si="9"/>
        <v>0.95528455284552871</v>
      </c>
      <c r="AC62" s="571"/>
    </row>
    <row r="63" spans="1:29" ht="15.75" customHeight="1">
      <c r="A63" s="574" t="s">
        <v>1560</v>
      </c>
      <c r="B63" s="360" t="s">
        <v>46</v>
      </c>
      <c r="C63" s="565" t="s">
        <v>88</v>
      </c>
      <c r="D63" s="565"/>
      <c r="E63" s="300">
        <v>24.25</v>
      </c>
      <c r="F63" s="360">
        <v>3717</v>
      </c>
      <c r="G63" s="351">
        <f t="shared" si="43"/>
        <v>90137.25</v>
      </c>
      <c r="H63" s="301" t="s">
        <v>35</v>
      </c>
      <c r="I63" s="358">
        <v>17</v>
      </c>
      <c r="J63" s="303">
        <v>2400</v>
      </c>
      <c r="K63" s="304">
        <f t="shared" si="1"/>
        <v>141.1764705882353</v>
      </c>
      <c r="L63" s="358">
        <v>17</v>
      </c>
      <c r="M63" s="305">
        <f t="shared" si="44"/>
        <v>2299.1752577319594</v>
      </c>
      <c r="N63" s="304">
        <f t="shared" si="3"/>
        <v>135.24560339599762</v>
      </c>
      <c r="O63" s="306">
        <f t="shared" si="4"/>
        <v>0</v>
      </c>
      <c r="P63" s="307">
        <f t="shared" si="5"/>
        <v>-5.9308671922376845</v>
      </c>
      <c r="Q63" s="354">
        <f t="shared" si="6"/>
        <v>0.95798969072164974</v>
      </c>
      <c r="R63" s="571"/>
      <c r="S63" s="308">
        <v>0.24513888888888885</v>
      </c>
      <c r="T63" s="308">
        <v>0.31249999999999994</v>
      </c>
      <c r="U63" s="351">
        <f t="shared" si="46"/>
        <v>4.9999999999999822</v>
      </c>
      <c r="V63" s="359">
        <f t="shared" si="45"/>
        <v>96.999999999999972</v>
      </c>
      <c r="W63" s="310"/>
      <c r="X63" s="310"/>
      <c r="Y63" s="570"/>
      <c r="Z63" s="570"/>
      <c r="AA63" s="306">
        <f t="shared" si="8"/>
        <v>-100.82474226804061</v>
      </c>
      <c r="AB63" s="354">
        <f t="shared" si="9"/>
        <v>0.95798969072164974</v>
      </c>
      <c r="AC63" s="571"/>
    </row>
    <row r="64" spans="1:29" ht="15.75" customHeight="1">
      <c r="A64" s="574" t="s">
        <v>1560</v>
      </c>
      <c r="B64" s="360" t="s">
        <v>46</v>
      </c>
      <c r="C64" s="565" t="s">
        <v>47</v>
      </c>
      <c r="D64" s="565"/>
      <c r="E64" s="300">
        <v>24.45</v>
      </c>
      <c r="F64" s="360">
        <v>2780</v>
      </c>
      <c r="G64" s="351">
        <f t="shared" si="43"/>
        <v>67971</v>
      </c>
      <c r="H64" s="301" t="s">
        <v>35</v>
      </c>
      <c r="I64" s="358">
        <v>20</v>
      </c>
      <c r="J64" s="303">
        <v>2400</v>
      </c>
      <c r="K64" s="304">
        <f t="shared" si="1"/>
        <v>120</v>
      </c>
      <c r="L64" s="358">
        <v>20</v>
      </c>
      <c r="M64" s="305">
        <f t="shared" si="44"/>
        <v>2284.9315068493152</v>
      </c>
      <c r="N64" s="304">
        <f t="shared" si="3"/>
        <v>114.24657534246576</v>
      </c>
      <c r="O64" s="306">
        <f t="shared" si="4"/>
        <v>0</v>
      </c>
      <c r="P64" s="307">
        <f t="shared" si="5"/>
        <v>-5.7534246575342394</v>
      </c>
      <c r="Q64" s="354">
        <f t="shared" si="6"/>
        <v>0.95205479452054798</v>
      </c>
      <c r="R64" s="571"/>
      <c r="S64" s="308">
        <v>0.31736111111111104</v>
      </c>
      <c r="T64" s="308">
        <v>0.36805555555555547</v>
      </c>
      <c r="U64" s="351">
        <f t="shared" si="46"/>
        <v>6.9999999999999751</v>
      </c>
      <c r="V64" s="359">
        <f t="shared" si="45"/>
        <v>72.999999999999986</v>
      </c>
      <c r="W64" s="310"/>
      <c r="X64" s="310"/>
      <c r="Y64" s="570"/>
      <c r="Z64" s="570"/>
      <c r="AA64" s="306">
        <f t="shared" si="8"/>
        <v>-115.06849315068484</v>
      </c>
      <c r="AB64" s="354">
        <f t="shared" si="9"/>
        <v>0.95205479452054798</v>
      </c>
      <c r="AC64" s="571"/>
    </row>
    <row r="65" spans="1:29" ht="15.75" customHeight="1">
      <c r="A65" s="574" t="s">
        <v>1560</v>
      </c>
      <c r="B65" s="360" t="s">
        <v>46</v>
      </c>
      <c r="C65" s="565" t="s">
        <v>66</v>
      </c>
      <c r="D65" s="565"/>
      <c r="E65" s="300">
        <v>24.25</v>
      </c>
      <c r="F65" s="360">
        <v>2600</v>
      </c>
      <c r="G65" s="351">
        <f t="shared" si="43"/>
        <v>63050</v>
      </c>
      <c r="H65" s="301">
        <v>2</v>
      </c>
      <c r="I65" s="358">
        <v>14</v>
      </c>
      <c r="J65" s="303">
        <v>2400</v>
      </c>
      <c r="K65" s="304">
        <f t="shared" si="1"/>
        <v>171.42857142857142</v>
      </c>
      <c r="L65" s="358">
        <v>14</v>
      </c>
      <c r="M65" s="305">
        <f t="shared" si="44"/>
        <v>2294.1176470588234</v>
      </c>
      <c r="N65" s="304">
        <f t="shared" si="3"/>
        <v>163.8655462184874</v>
      </c>
      <c r="O65" s="306">
        <f t="shared" si="4"/>
        <v>0</v>
      </c>
      <c r="P65" s="307">
        <f t="shared" si="5"/>
        <v>-7.563025210084021</v>
      </c>
      <c r="Q65" s="354">
        <f t="shared" si="6"/>
        <v>0.95588235294117652</v>
      </c>
      <c r="R65" s="571"/>
      <c r="S65" s="308">
        <v>0.37222222222222212</v>
      </c>
      <c r="T65" s="308">
        <v>0.41944444444444434</v>
      </c>
      <c r="U65" s="351">
        <f t="shared" si="46"/>
        <v>5.9999999999999787</v>
      </c>
      <c r="V65" s="359">
        <f t="shared" si="45"/>
        <v>68</v>
      </c>
      <c r="W65" s="310"/>
      <c r="X65" s="310"/>
      <c r="Y65" s="570"/>
      <c r="Z65" s="570"/>
      <c r="AA65" s="306">
        <f t="shared" si="8"/>
        <v>-105.88235294117658</v>
      </c>
      <c r="AB65" s="354">
        <f t="shared" si="9"/>
        <v>0.95588235294117641</v>
      </c>
      <c r="AC65" s="571"/>
    </row>
    <row r="66" spans="1:29" ht="15.75" customHeight="1">
      <c r="A66" s="574" t="s">
        <v>1560</v>
      </c>
      <c r="B66" s="360" t="s">
        <v>46</v>
      </c>
      <c r="C66" s="565" t="s">
        <v>58</v>
      </c>
      <c r="D66" s="565"/>
      <c r="E66" s="300">
        <v>25.98</v>
      </c>
      <c r="F66" s="360">
        <v>1830</v>
      </c>
      <c r="G66" s="351">
        <f t="shared" si="43"/>
        <v>47543.4</v>
      </c>
      <c r="H66" s="301" t="s">
        <v>35</v>
      </c>
      <c r="I66" s="358">
        <v>17</v>
      </c>
      <c r="J66" s="303">
        <v>2400</v>
      </c>
      <c r="K66" s="304">
        <f t="shared" si="1"/>
        <v>141.1764705882353</v>
      </c>
      <c r="L66" s="358">
        <v>17</v>
      </c>
      <c r="M66" s="305">
        <f t="shared" si="44"/>
        <v>2287.5000000000009</v>
      </c>
      <c r="N66" s="304">
        <f t="shared" si="3"/>
        <v>134.55882352941182</v>
      </c>
      <c r="O66" s="306">
        <f t="shared" si="4"/>
        <v>0</v>
      </c>
      <c r="P66" s="307">
        <f t="shared" si="5"/>
        <v>-6.6176470588234793</v>
      </c>
      <c r="Q66" s="354">
        <f t="shared" si="6"/>
        <v>0.95312500000000033</v>
      </c>
      <c r="R66" s="571"/>
      <c r="S66" s="308">
        <v>0.42361111111111099</v>
      </c>
      <c r="T66" s="308">
        <v>0.45694444444444432</v>
      </c>
      <c r="U66" s="351">
        <f t="shared" si="46"/>
        <v>5.9999999999999787</v>
      </c>
      <c r="V66" s="359">
        <f t="shared" si="45"/>
        <v>47.999999999999986</v>
      </c>
      <c r="W66" s="310"/>
      <c r="X66" s="310"/>
      <c r="Y66" s="570"/>
      <c r="Z66" s="570"/>
      <c r="AA66" s="306">
        <f t="shared" si="8"/>
        <v>-112.49999999999909</v>
      </c>
      <c r="AB66" s="354">
        <f t="shared" si="9"/>
        <v>0.95312500000000033</v>
      </c>
      <c r="AC66" s="571"/>
    </row>
    <row r="67" spans="1:29" ht="15.75" customHeight="1">
      <c r="A67" s="574" t="s">
        <v>1560</v>
      </c>
      <c r="B67" s="360" t="s">
        <v>46</v>
      </c>
      <c r="C67" s="565" t="s">
        <v>57</v>
      </c>
      <c r="D67" s="565"/>
      <c r="E67" s="300">
        <v>20.52</v>
      </c>
      <c r="F67" s="360">
        <v>3896</v>
      </c>
      <c r="G67" s="351">
        <f t="shared" si="43"/>
        <v>79945.919999999998</v>
      </c>
      <c r="H67" s="301" t="s">
        <v>35</v>
      </c>
      <c r="I67" s="358">
        <v>18</v>
      </c>
      <c r="J67" s="303">
        <v>2400</v>
      </c>
      <c r="K67" s="304">
        <f t="shared" si="1"/>
        <v>133.33333333333334</v>
      </c>
      <c r="L67" s="358">
        <v>18</v>
      </c>
      <c r="M67" s="305">
        <f t="shared" si="44"/>
        <v>2291.7647058823522</v>
      </c>
      <c r="N67" s="304">
        <f t="shared" si="3"/>
        <v>127.32026143790846</v>
      </c>
      <c r="O67" s="306">
        <f t="shared" si="4"/>
        <v>0</v>
      </c>
      <c r="P67" s="307">
        <f t="shared" si="5"/>
        <v>-6.0130718954248863</v>
      </c>
      <c r="Q67" s="354">
        <f t="shared" si="6"/>
        <v>0.95490196078431333</v>
      </c>
      <c r="R67" s="571"/>
      <c r="S67" s="308">
        <v>0.46180555555555541</v>
      </c>
      <c r="T67" s="308">
        <v>0.53263888888888877</v>
      </c>
      <c r="U67" s="351">
        <f t="shared" si="46"/>
        <v>6.9999999999999751</v>
      </c>
      <c r="V67" s="359">
        <f t="shared" si="45"/>
        <v>102.00000000000004</v>
      </c>
      <c r="W67" s="310">
        <f>T67</f>
        <v>0.53263888888888877</v>
      </c>
      <c r="X67" s="310">
        <f>S68</f>
        <v>0.57222222222222208</v>
      </c>
      <c r="Y67" s="566"/>
      <c r="Z67" s="567"/>
      <c r="AA67" s="306">
        <f t="shared" si="8"/>
        <v>-108.23529411764775</v>
      </c>
      <c r="AB67" s="354">
        <f t="shared" si="9"/>
        <v>0.95490196078431344</v>
      </c>
      <c r="AC67" s="571"/>
    </row>
    <row r="68" spans="1:29" ht="15.75" customHeight="1">
      <c r="A68" s="574" t="s">
        <v>1560</v>
      </c>
      <c r="B68" s="360" t="s">
        <v>46</v>
      </c>
      <c r="C68" s="565" t="s">
        <v>85</v>
      </c>
      <c r="D68" s="565"/>
      <c r="E68" s="300">
        <v>19.02</v>
      </c>
      <c r="F68" s="360">
        <v>7265</v>
      </c>
      <c r="G68" s="351">
        <f t="shared" si="43"/>
        <v>138180.29999999999</v>
      </c>
      <c r="H68" s="301" t="s">
        <v>35</v>
      </c>
      <c r="I68" s="358">
        <v>15</v>
      </c>
      <c r="J68" s="303">
        <v>2400</v>
      </c>
      <c r="K68" s="304">
        <f t="shared" si="1"/>
        <v>160</v>
      </c>
      <c r="L68" s="358">
        <v>15</v>
      </c>
      <c r="M68" s="305">
        <f t="shared" si="44"/>
        <v>2294.21052631579</v>
      </c>
      <c r="N68" s="304">
        <f t="shared" si="3"/>
        <v>152.94736842105266</v>
      </c>
      <c r="O68" s="306">
        <f t="shared" si="4"/>
        <v>0</v>
      </c>
      <c r="P68" s="307">
        <f t="shared" si="5"/>
        <v>-7.0526315789473415</v>
      </c>
      <c r="Q68" s="354">
        <f t="shared" si="6"/>
        <v>0.95592105263157912</v>
      </c>
      <c r="R68" s="571"/>
      <c r="S68" s="308">
        <v>0.57222222222222208</v>
      </c>
      <c r="T68" s="308">
        <v>0.7041666666666665</v>
      </c>
      <c r="U68" s="351">
        <f t="shared" si="46"/>
        <v>56.999999999999957</v>
      </c>
      <c r="V68" s="359">
        <f t="shared" si="45"/>
        <v>189.99999999999997</v>
      </c>
      <c r="W68" s="310"/>
      <c r="X68" s="310"/>
      <c r="Y68" s="566"/>
      <c r="Z68" s="567"/>
      <c r="AA68" s="306">
        <f t="shared" si="8"/>
        <v>-105.78947368420995</v>
      </c>
      <c r="AB68" s="354">
        <f t="shared" si="9"/>
        <v>0.95592105263157923</v>
      </c>
      <c r="AC68" s="571"/>
    </row>
    <row r="69" spans="1:29" ht="15.75" customHeight="1">
      <c r="A69" s="574" t="s">
        <v>1560</v>
      </c>
      <c r="B69" s="360" t="s">
        <v>46</v>
      </c>
      <c r="C69" s="565" t="s">
        <v>66</v>
      </c>
      <c r="D69" s="565"/>
      <c r="E69" s="300">
        <v>24.25</v>
      </c>
      <c r="F69" s="360">
        <v>3327</v>
      </c>
      <c r="G69" s="351">
        <f t="shared" si="43"/>
        <v>80679.75</v>
      </c>
      <c r="H69" s="301" t="s">
        <v>35</v>
      </c>
      <c r="I69" s="358">
        <v>14</v>
      </c>
      <c r="J69" s="303">
        <v>2400</v>
      </c>
      <c r="K69" s="304">
        <f t="shared" ref="K69:K70" si="47">J69/I69</f>
        <v>171.42857142857142</v>
      </c>
      <c r="L69" s="358">
        <v>14</v>
      </c>
      <c r="M69" s="305">
        <f t="shared" si="44"/>
        <v>2294.4827586206893</v>
      </c>
      <c r="N69" s="304">
        <f t="shared" ref="N69:N70" si="48">M69/L69</f>
        <v>163.89162561576353</v>
      </c>
      <c r="O69" s="306">
        <f t="shared" ref="O69:O70" si="49">L69-I69</f>
        <v>0</v>
      </c>
      <c r="P69" s="307">
        <f t="shared" ref="P69:P70" si="50">N69-K69</f>
        <v>-7.5369458128078861</v>
      </c>
      <c r="Q69" s="354">
        <f t="shared" ref="Q69:Q70" si="51">N69/K69</f>
        <v>0.95603448275862069</v>
      </c>
      <c r="R69" s="571"/>
      <c r="S69" s="308">
        <v>0.70833333333333315</v>
      </c>
      <c r="T69" s="308">
        <v>0.76874999999999982</v>
      </c>
      <c r="U69" s="351">
        <f t="shared" si="46"/>
        <v>5.9999999999999787</v>
      </c>
      <c r="V69" s="359">
        <f t="shared" si="45"/>
        <v>87.000000000000014</v>
      </c>
      <c r="W69" s="310"/>
      <c r="X69" s="310"/>
      <c r="Y69" s="566"/>
      <c r="Z69" s="567"/>
      <c r="AA69" s="306">
        <f t="shared" ref="AA69:AA70" si="52">M69-J69</f>
        <v>-105.51724137931069</v>
      </c>
      <c r="AB69" s="354">
        <f t="shared" ref="AB69:AB70" si="53">M69/J69</f>
        <v>0.95603448275862057</v>
      </c>
      <c r="AC69" s="571"/>
    </row>
    <row r="70" spans="1:29" ht="16.5" customHeight="1">
      <c r="A70" s="575" t="s">
        <v>1560</v>
      </c>
      <c r="B70" s="300" t="s">
        <v>1551</v>
      </c>
      <c r="C70" s="568"/>
      <c r="D70" s="569"/>
      <c r="E70" s="355"/>
      <c r="F70" s="313"/>
      <c r="G70" s="304"/>
      <c r="H70" s="360"/>
      <c r="I70" s="314">
        <v>16.555555555555557</v>
      </c>
      <c r="J70" s="303">
        <v>2400</v>
      </c>
      <c r="K70" s="304">
        <f t="shared" si="47"/>
        <v>144.96644295302013</v>
      </c>
      <c r="L70" s="314">
        <v>16.555555555555557</v>
      </c>
      <c r="M70" s="305">
        <f>AVERAGE(M61:M69)</f>
        <v>2291.6867909735429</v>
      </c>
      <c r="N70" s="304">
        <f t="shared" si="48"/>
        <v>138.4240343541066</v>
      </c>
      <c r="O70" s="306">
        <f t="shared" si="49"/>
        <v>0</v>
      </c>
      <c r="P70" s="307">
        <f t="shared" si="50"/>
        <v>-6.5424085989135392</v>
      </c>
      <c r="Q70" s="354">
        <f t="shared" si="51"/>
        <v>0.9548694962389761</v>
      </c>
      <c r="R70" s="571"/>
      <c r="S70" s="308"/>
      <c r="T70" s="308"/>
      <c r="U70" s="304"/>
      <c r="V70" s="359"/>
      <c r="W70" s="304"/>
      <c r="X70" s="304"/>
      <c r="Y70" s="570"/>
      <c r="Z70" s="570"/>
      <c r="AA70" s="306">
        <f t="shared" si="52"/>
        <v>-108.31320902645712</v>
      </c>
      <c r="AB70" s="354">
        <f t="shared" si="53"/>
        <v>0.95486949623897621</v>
      </c>
      <c r="AC70" s="571"/>
    </row>
    <row r="71" spans="1:29">
      <c r="D71" s="323"/>
      <c r="E71" s="323"/>
    </row>
  </sheetData>
  <mergeCells count="188">
    <mergeCell ref="AC61:AC70"/>
    <mergeCell ref="C62:D62"/>
    <mergeCell ref="Y62:Z62"/>
    <mergeCell ref="C63:D63"/>
    <mergeCell ref="Y63:Z63"/>
    <mergeCell ref="C64:D64"/>
    <mergeCell ref="Y64:Z64"/>
    <mergeCell ref="C65:D65"/>
    <mergeCell ref="Y65:Z65"/>
    <mergeCell ref="C66:D66"/>
    <mergeCell ref="A61:A70"/>
    <mergeCell ref="C61:D61"/>
    <mergeCell ref="R61:R70"/>
    <mergeCell ref="Y61:Z61"/>
    <mergeCell ref="Y66:Z66"/>
    <mergeCell ref="C67:D67"/>
    <mergeCell ref="Y67:Z67"/>
    <mergeCell ref="A56:A60"/>
    <mergeCell ref="C56:D56"/>
    <mergeCell ref="R56:R60"/>
    <mergeCell ref="Y56:Z56"/>
    <mergeCell ref="C68:D68"/>
    <mergeCell ref="Y68:Z68"/>
    <mergeCell ref="C69:D69"/>
    <mergeCell ref="Y69:Z69"/>
    <mergeCell ref="C70:D70"/>
    <mergeCell ref="Y70:Z70"/>
    <mergeCell ref="AC56:AC60"/>
    <mergeCell ref="C57:D57"/>
    <mergeCell ref="Y57:Z57"/>
    <mergeCell ref="C58:D58"/>
    <mergeCell ref="Y58:Z58"/>
    <mergeCell ref="C59:D59"/>
    <mergeCell ref="AC49:AC55"/>
    <mergeCell ref="C50:D50"/>
    <mergeCell ref="Y50:Z50"/>
    <mergeCell ref="C51:D51"/>
    <mergeCell ref="C54:D54"/>
    <mergeCell ref="Y54:Z54"/>
    <mergeCell ref="C55:D55"/>
    <mergeCell ref="Y55:Z55"/>
    <mergeCell ref="Y59:Z59"/>
    <mergeCell ref="C60:D60"/>
    <mergeCell ref="Y60:Z60"/>
    <mergeCell ref="AC42:AC48"/>
    <mergeCell ref="C43:D43"/>
    <mergeCell ref="Y43:Z43"/>
    <mergeCell ref="C44:D44"/>
    <mergeCell ref="Y44:Z44"/>
    <mergeCell ref="C45:D45"/>
    <mergeCell ref="Y45:Z45"/>
    <mergeCell ref="C46:D46"/>
    <mergeCell ref="Y46:Z46"/>
    <mergeCell ref="C47:D47"/>
    <mergeCell ref="A42:A48"/>
    <mergeCell ref="C42:D42"/>
    <mergeCell ref="R42:R48"/>
    <mergeCell ref="Y42:Z42"/>
    <mergeCell ref="Y47:Z47"/>
    <mergeCell ref="C48:D48"/>
    <mergeCell ref="Y48:Z48"/>
    <mergeCell ref="A49:A55"/>
    <mergeCell ref="C49:D49"/>
    <mergeCell ref="R49:R55"/>
    <mergeCell ref="Y49:Z49"/>
    <mergeCell ref="A33:A41"/>
    <mergeCell ref="C33:D33"/>
    <mergeCell ref="R33:R41"/>
    <mergeCell ref="Y33:Z33"/>
    <mergeCell ref="Y38:Z38"/>
    <mergeCell ref="C39:D39"/>
    <mergeCell ref="AC33:AC41"/>
    <mergeCell ref="C34:D34"/>
    <mergeCell ref="Y34:Z34"/>
    <mergeCell ref="C35:D35"/>
    <mergeCell ref="Y35:Z35"/>
    <mergeCell ref="C36:D36"/>
    <mergeCell ref="Y36:Z36"/>
    <mergeCell ref="C37:D37"/>
    <mergeCell ref="Y37:Z37"/>
    <mergeCell ref="C38:D38"/>
    <mergeCell ref="Y39:Z39"/>
    <mergeCell ref="C40:D40"/>
    <mergeCell ref="Y40:Z40"/>
    <mergeCell ref="C41:D41"/>
    <mergeCell ref="Y41:Z41"/>
    <mergeCell ref="C28:D28"/>
    <mergeCell ref="Y28:Z28"/>
    <mergeCell ref="C29:D29"/>
    <mergeCell ref="Y29:Z29"/>
    <mergeCell ref="C30:D30"/>
    <mergeCell ref="Y30:Z30"/>
    <mergeCell ref="A24:A32"/>
    <mergeCell ref="C24:D24"/>
    <mergeCell ref="R24:R32"/>
    <mergeCell ref="Y24:Z24"/>
    <mergeCell ref="C31:D31"/>
    <mergeCell ref="Y31:Z31"/>
    <mergeCell ref="C32:D32"/>
    <mergeCell ref="Y32:Z32"/>
    <mergeCell ref="A19:A23"/>
    <mergeCell ref="C19:D19"/>
    <mergeCell ref="R19:R23"/>
    <mergeCell ref="Y19:Z19"/>
    <mergeCell ref="A13:A18"/>
    <mergeCell ref="C13:D13"/>
    <mergeCell ref="R13:R18"/>
    <mergeCell ref="Y13:Z13"/>
    <mergeCell ref="AC24:AC32"/>
    <mergeCell ref="C25:D25"/>
    <mergeCell ref="Y25:Z25"/>
    <mergeCell ref="C26:D26"/>
    <mergeCell ref="Y26:Z26"/>
    <mergeCell ref="C27:D27"/>
    <mergeCell ref="AC19:AC23"/>
    <mergeCell ref="C20:D20"/>
    <mergeCell ref="Y20:Z20"/>
    <mergeCell ref="C21:D21"/>
    <mergeCell ref="Y21:Z21"/>
    <mergeCell ref="C22:D22"/>
    <mergeCell ref="Y22:Z22"/>
    <mergeCell ref="C23:D23"/>
    <mergeCell ref="Y23:Z23"/>
    <mergeCell ref="Y27:Z27"/>
    <mergeCell ref="AC13:AC18"/>
    <mergeCell ref="C14:D14"/>
    <mergeCell ref="Y14:Z14"/>
    <mergeCell ref="C15:D15"/>
    <mergeCell ref="Y15:Z15"/>
    <mergeCell ref="C16:D16"/>
    <mergeCell ref="AC9:AC12"/>
    <mergeCell ref="C10:D10"/>
    <mergeCell ref="Y10:Z10"/>
    <mergeCell ref="C11:D11"/>
    <mergeCell ref="Y11:Z11"/>
    <mergeCell ref="C12:D12"/>
    <mergeCell ref="Y12:Z12"/>
    <mergeCell ref="Y16:Z16"/>
    <mergeCell ref="C17:D17"/>
    <mergeCell ref="Y17:Z17"/>
    <mergeCell ref="C18:D18"/>
    <mergeCell ref="Y18:Z18"/>
    <mergeCell ref="C8:D8"/>
    <mergeCell ref="Y8:Z8"/>
    <mergeCell ref="A9:A12"/>
    <mergeCell ref="C9:D9"/>
    <mergeCell ref="R9:R12"/>
    <mergeCell ref="Y9:Z9"/>
    <mergeCell ref="AC3:AC4"/>
    <mergeCell ref="A5:A8"/>
    <mergeCell ref="C5:D5"/>
    <mergeCell ref="R5:R8"/>
    <mergeCell ref="Y5:Z5"/>
    <mergeCell ref="AC5:AC8"/>
    <mergeCell ref="C6:D6"/>
    <mergeCell ref="Y6:Z6"/>
    <mergeCell ref="C7:D7"/>
    <mergeCell ref="Y7:Z7"/>
    <mergeCell ref="U3:U4"/>
    <mergeCell ref="V3:V4"/>
    <mergeCell ref="W3:X3"/>
    <mergeCell ref="Y3:Z4"/>
    <mergeCell ref="AA3:AA4"/>
    <mergeCell ref="AB3:AB4"/>
    <mergeCell ref="N3:N4"/>
    <mergeCell ref="O3:O4"/>
    <mergeCell ref="S1:X2"/>
    <mergeCell ref="Y1:Z2"/>
    <mergeCell ref="AA1:AC2"/>
    <mergeCell ref="A3:A4"/>
    <mergeCell ref="B3:B4"/>
    <mergeCell ref="C3:D4"/>
    <mergeCell ref="E3:E4"/>
    <mergeCell ref="F3:F4"/>
    <mergeCell ref="G3:G4"/>
    <mergeCell ref="I1:K2"/>
    <mergeCell ref="L1:N2"/>
    <mergeCell ref="O1:R2"/>
    <mergeCell ref="P3:P4"/>
    <mergeCell ref="Q3:Q4"/>
    <mergeCell ref="R3:R4"/>
    <mergeCell ref="S3:T3"/>
    <mergeCell ref="H3:H4"/>
    <mergeCell ref="I3:I4"/>
    <mergeCell ref="J3:J4"/>
    <mergeCell ref="K3:K4"/>
    <mergeCell ref="L3:L4"/>
    <mergeCell ref="M3:M4"/>
  </mergeCells>
  <phoneticPr fontId="3" type="noConversion"/>
  <conditionalFormatting sqref="O59:O66 O70 O5:O9 O12:O14 O18:O56">
    <cfRule type="cellIs" dxfId="1216" priority="51" operator="greaterThan">
      <formula>0</formula>
    </cfRule>
  </conditionalFormatting>
  <conditionalFormatting sqref="P5:P7 P59 AA59 P61:P66 P24:P31 P56 P9 P12:P14 P19:P22 P49:P54 P33:P47 AA5:AA56 AA61:AA70">
    <cfRule type="cellIs" dxfId="1215" priority="55" operator="lessThan">
      <formula>0</formula>
    </cfRule>
  </conditionalFormatting>
  <conditionalFormatting sqref="AB59 Q59:Q66 Q70 Q5:Q9 Q12:Q14 Q18:Q56 AB5:AB56 AB61:AB70">
    <cfRule type="cellIs" dxfId="1214" priority="52" operator="greaterThan">
      <formula>1</formula>
    </cfRule>
    <cfRule type="cellIs" dxfId="1213" priority="53" operator="lessThan">
      <formula>0.8</formula>
    </cfRule>
  </conditionalFormatting>
  <conditionalFormatting sqref="AC13:AC14 R13:R14 AC59 R59:R66 R70 AC5:AC9 R5:R9 AC18:AC56 R18:R56">
    <cfRule type="cellIs" dxfId="1212" priority="57" operator="lessThan">
      <formula>0.8</formula>
    </cfRule>
  </conditionalFormatting>
  <conditionalFormatting sqref="AC42">
    <cfRule type="cellIs" dxfId="1211" priority="59" operator="lessThan">
      <formula>0.8</formula>
    </cfRule>
  </conditionalFormatting>
  <conditionalFormatting sqref="AC19:AC22">
    <cfRule type="cellIs" dxfId="1210" priority="56" operator="lessThan">
      <formula>0.8</formula>
    </cfRule>
  </conditionalFormatting>
  <conditionalFormatting sqref="AC24">
    <cfRule type="cellIs" dxfId="1209" priority="58" operator="lessThan">
      <formula>0.8</formula>
    </cfRule>
  </conditionalFormatting>
  <conditionalFormatting sqref="AC33:AC40">
    <cfRule type="cellIs" dxfId="1208" priority="54" operator="lessThan">
      <formula>0.8</formula>
    </cfRule>
  </conditionalFormatting>
  <conditionalFormatting sqref="AA60">
    <cfRule type="cellIs" dxfId="1207" priority="50" operator="lessThan">
      <formula>0</formula>
    </cfRule>
  </conditionalFormatting>
  <conditionalFormatting sqref="AB60">
    <cfRule type="cellIs" dxfId="1206" priority="48" operator="greaterThan">
      <formula>1</formula>
    </cfRule>
    <cfRule type="cellIs" dxfId="1205" priority="49" operator="lessThan">
      <formula>0.8</formula>
    </cfRule>
  </conditionalFormatting>
  <conditionalFormatting sqref="O15:O16">
    <cfRule type="cellIs" dxfId="1204" priority="43" operator="greaterThan">
      <formula>0</formula>
    </cfRule>
  </conditionalFormatting>
  <conditionalFormatting sqref="P15:P16">
    <cfRule type="cellIs" dxfId="1203" priority="46" operator="lessThan">
      <formula>0</formula>
    </cfRule>
  </conditionalFormatting>
  <conditionalFormatting sqref="Q15:Q16">
    <cfRule type="cellIs" dxfId="1202" priority="44" operator="greaterThan">
      <formula>1</formula>
    </cfRule>
    <cfRule type="cellIs" dxfId="1201" priority="45" operator="lessThan">
      <formula>0.8</formula>
    </cfRule>
  </conditionalFormatting>
  <conditionalFormatting sqref="R15:R16 AC15:AC16">
    <cfRule type="cellIs" dxfId="1200" priority="47" operator="lessThan">
      <formula>0.8</formula>
    </cfRule>
  </conditionalFormatting>
  <conditionalFormatting sqref="O10:O11">
    <cfRule type="cellIs" dxfId="1199" priority="39" operator="greaterThan">
      <formula>0</formula>
    </cfRule>
  </conditionalFormatting>
  <conditionalFormatting sqref="P10:P11">
    <cfRule type="cellIs" dxfId="1198" priority="42" operator="lessThan">
      <formula>0</formula>
    </cfRule>
  </conditionalFormatting>
  <conditionalFormatting sqref="Q10:Q11">
    <cfRule type="cellIs" dxfId="1197" priority="40" operator="greaterThan">
      <formula>1</formula>
    </cfRule>
    <cfRule type="cellIs" dxfId="1196" priority="41" operator="lessThan">
      <formula>0.8</formula>
    </cfRule>
  </conditionalFormatting>
  <conditionalFormatting sqref="O58">
    <cfRule type="cellIs" dxfId="1195" priority="34" operator="greaterThan">
      <formula>0</formula>
    </cfRule>
  </conditionalFormatting>
  <conditionalFormatting sqref="P58 AA58">
    <cfRule type="cellIs" dxfId="1194" priority="37" operator="lessThan">
      <formula>0</formula>
    </cfRule>
  </conditionalFormatting>
  <conditionalFormatting sqref="Q58 AB58">
    <cfRule type="cellIs" dxfId="1193" priority="35" operator="greaterThan">
      <formula>1</formula>
    </cfRule>
    <cfRule type="cellIs" dxfId="1192" priority="36" operator="lessThan">
      <formula>0.8</formula>
    </cfRule>
  </conditionalFormatting>
  <conditionalFormatting sqref="R58 AC58">
    <cfRule type="cellIs" dxfId="1191" priority="38" operator="lessThan">
      <formula>0.8</formula>
    </cfRule>
  </conditionalFormatting>
  <conditionalFormatting sqref="O67">
    <cfRule type="cellIs" dxfId="1190" priority="29" operator="greaterThan">
      <formula>0</formula>
    </cfRule>
  </conditionalFormatting>
  <conditionalFormatting sqref="P67">
    <cfRule type="cellIs" dxfId="1189" priority="32" operator="lessThan">
      <formula>0</formula>
    </cfRule>
  </conditionalFormatting>
  <conditionalFormatting sqref="Q67">
    <cfRule type="cellIs" dxfId="1188" priority="30" operator="greaterThan">
      <formula>1</formula>
    </cfRule>
    <cfRule type="cellIs" dxfId="1187" priority="31" operator="lessThan">
      <formula>0.8</formula>
    </cfRule>
  </conditionalFormatting>
  <conditionalFormatting sqref="R67">
    <cfRule type="cellIs" dxfId="1186" priority="33" operator="lessThan">
      <formula>0.8</formula>
    </cfRule>
  </conditionalFormatting>
  <conditionalFormatting sqref="O17">
    <cfRule type="cellIs" dxfId="1185" priority="24" operator="greaterThan">
      <formula>0</formula>
    </cfRule>
  </conditionalFormatting>
  <conditionalFormatting sqref="P17">
    <cfRule type="cellIs" dxfId="1184" priority="27" operator="lessThan">
      <formula>0</formula>
    </cfRule>
  </conditionalFormatting>
  <conditionalFormatting sqref="Q17">
    <cfRule type="cellIs" dxfId="1183" priority="25" operator="greaterThan">
      <formula>1</formula>
    </cfRule>
    <cfRule type="cellIs" dxfId="1182" priority="26" operator="lessThan">
      <formula>0.8</formula>
    </cfRule>
  </conditionalFormatting>
  <conditionalFormatting sqref="R17 AC17">
    <cfRule type="cellIs" dxfId="1181" priority="28" operator="lessThan">
      <formula>0.8</formula>
    </cfRule>
  </conditionalFormatting>
  <conditionalFormatting sqref="O57">
    <cfRule type="cellIs" dxfId="1180" priority="19" operator="greaterThan">
      <formula>0</formula>
    </cfRule>
  </conditionalFormatting>
  <conditionalFormatting sqref="P57 AA57">
    <cfRule type="cellIs" dxfId="1179" priority="22" operator="lessThan">
      <formula>0</formula>
    </cfRule>
  </conditionalFormatting>
  <conditionalFormatting sqref="Q57 AB57">
    <cfRule type="cellIs" dxfId="1178" priority="20" operator="greaterThan">
      <formula>1</formula>
    </cfRule>
    <cfRule type="cellIs" dxfId="1177" priority="21" operator="lessThan">
      <formula>0.8</formula>
    </cfRule>
  </conditionalFormatting>
  <conditionalFormatting sqref="R57 AC57">
    <cfRule type="cellIs" dxfId="1176" priority="23" operator="lessThan">
      <formula>0.8</formula>
    </cfRule>
  </conditionalFormatting>
  <conditionalFormatting sqref="P8">
    <cfRule type="cellIs" dxfId="1175" priority="18" operator="lessThan">
      <formula>0</formula>
    </cfRule>
  </conditionalFormatting>
  <conditionalFormatting sqref="P18">
    <cfRule type="cellIs" dxfId="1174" priority="17" operator="lessThan">
      <formula>0</formula>
    </cfRule>
  </conditionalFormatting>
  <conditionalFormatting sqref="P23">
    <cfRule type="cellIs" dxfId="1173" priority="16" operator="lessThan">
      <formula>0</formula>
    </cfRule>
  </conditionalFormatting>
  <conditionalFormatting sqref="P32">
    <cfRule type="cellIs" dxfId="1172" priority="15" operator="lessThan">
      <formula>0</formula>
    </cfRule>
  </conditionalFormatting>
  <conditionalFormatting sqref="P48">
    <cfRule type="cellIs" dxfId="1171" priority="14" operator="lessThan">
      <formula>0</formula>
    </cfRule>
  </conditionalFormatting>
  <conditionalFormatting sqref="P55">
    <cfRule type="cellIs" dxfId="1170" priority="13" operator="lessThan">
      <formula>0</formula>
    </cfRule>
  </conditionalFormatting>
  <conditionalFormatting sqref="P60">
    <cfRule type="cellIs" dxfId="1169" priority="12" operator="lessThan">
      <formula>0</formula>
    </cfRule>
  </conditionalFormatting>
  <conditionalFormatting sqref="P70">
    <cfRule type="cellIs" dxfId="1168" priority="11" operator="lessThan">
      <formula>0</formula>
    </cfRule>
  </conditionalFormatting>
  <conditionalFormatting sqref="O68">
    <cfRule type="cellIs" dxfId="1167" priority="6" operator="greaterThan">
      <formula>0</formula>
    </cfRule>
  </conditionalFormatting>
  <conditionalFormatting sqref="P68">
    <cfRule type="cellIs" dxfId="1166" priority="9" operator="lessThan">
      <formula>0</formula>
    </cfRule>
  </conditionalFormatting>
  <conditionalFormatting sqref="Q68">
    <cfRule type="cellIs" dxfId="1165" priority="7" operator="greaterThan">
      <formula>1</formula>
    </cfRule>
    <cfRule type="cellIs" dxfId="1164" priority="8" operator="lessThan">
      <formula>0.8</formula>
    </cfRule>
  </conditionalFormatting>
  <conditionalFormatting sqref="R68">
    <cfRule type="cellIs" dxfId="1163" priority="10" operator="lessThan">
      <formula>0.8</formula>
    </cfRule>
  </conditionalFormatting>
  <conditionalFormatting sqref="O69">
    <cfRule type="cellIs" dxfId="1162" priority="1" operator="greaterThan">
      <formula>0</formula>
    </cfRule>
  </conditionalFormatting>
  <conditionalFormatting sqref="P69">
    <cfRule type="cellIs" dxfId="1161" priority="4" operator="lessThan">
      <formula>0</formula>
    </cfRule>
  </conditionalFormatting>
  <conditionalFormatting sqref="Q69">
    <cfRule type="cellIs" dxfId="1160" priority="2" operator="greaterThan">
      <formula>1</formula>
    </cfRule>
    <cfRule type="cellIs" dxfId="1159" priority="3" operator="lessThan">
      <formula>0.8</formula>
    </cfRule>
  </conditionalFormatting>
  <conditionalFormatting sqref="R69">
    <cfRule type="cellIs" dxfId="1158" priority="5" operator="lessThan">
      <formula>0.8</formula>
    </cfRule>
  </conditionalFormatting>
  <dataValidations count="1">
    <dataValidation type="list" allowBlank="1" showInputMessage="1" showErrorMessage="1" sqref="Z8 Y5:Z7 Y8:Y59 Z10:Z56 Y60:Z70">
      <formula1>#REF!</formula1>
    </dataValidation>
  </dataValidations>
  <pageMargins left="0" right="0" top="0" bottom="0" header="0" footer="0"/>
  <pageSetup paperSize="9" scale="11" orientation="landscape" horizontalDpi="300" verticalDpi="300" r:id="rId1"/>
</worksheet>
</file>

<file path=xl/worksheets/sheet2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工作表21"/>
  <dimension ref="B1:Q28"/>
  <sheetViews>
    <sheetView zoomScale="85" zoomScaleNormal="85" workbookViewId="0">
      <selection activeCell="P13" sqref="P13"/>
    </sheetView>
  </sheetViews>
  <sheetFormatPr defaultColWidth="8.75" defaultRowHeight="15.75"/>
  <cols>
    <col min="1" max="1" width="8.75" style="30"/>
    <col min="2" max="2" width="17.875" style="30" customWidth="1"/>
    <col min="3" max="3" width="9.25" style="37" customWidth="1"/>
    <col min="4" max="13" width="12.625" style="30" customWidth="1"/>
    <col min="14" max="14" width="11" style="30" bestFit="1" customWidth="1"/>
    <col min="15" max="15" width="17.75" style="30" bestFit="1" customWidth="1"/>
    <col min="16" max="16" width="12.25" style="30" bestFit="1" customWidth="1"/>
    <col min="17" max="22" width="9.25" style="30" customWidth="1"/>
    <col min="23" max="23" width="10.75" style="30" customWidth="1"/>
    <col min="24" max="24" width="11" style="30" customWidth="1"/>
    <col min="25" max="16384" width="8.75" style="30"/>
  </cols>
  <sheetData>
    <row r="1" spans="2:17" ht="27.75" customHeight="1">
      <c r="B1" s="552" t="s">
        <v>1441</v>
      </c>
      <c r="C1" s="552"/>
      <c r="D1" s="552"/>
      <c r="E1" s="552"/>
      <c r="F1" s="552"/>
      <c r="G1" s="552"/>
      <c r="H1" s="552"/>
      <c r="I1" s="552"/>
      <c r="J1" s="552"/>
      <c r="K1" s="29"/>
      <c r="L1" s="29"/>
      <c r="M1" s="29"/>
      <c r="N1" s="29"/>
      <c r="O1" s="29"/>
      <c r="P1" s="29"/>
    </row>
    <row r="2" spans="2:17" ht="27.75" customHeight="1">
      <c r="B2" s="553"/>
      <c r="C2" s="553"/>
      <c r="D2" s="553"/>
      <c r="E2" s="553"/>
      <c r="F2" s="553"/>
      <c r="G2" s="553"/>
      <c r="H2" s="553"/>
      <c r="I2" s="553"/>
      <c r="J2" s="553"/>
      <c r="K2" s="31"/>
      <c r="L2" s="31"/>
      <c r="M2" s="31"/>
      <c r="N2" s="29"/>
      <c r="O2" s="29"/>
      <c r="P2" s="29"/>
    </row>
    <row r="3" spans="2:17" ht="46.5" customHeight="1">
      <c r="B3" s="32" t="s">
        <v>1442</v>
      </c>
      <c r="C3" s="554" t="str">
        <f>TEXT('1019 4度C'!A2,"yyyy.mm.ddaaaa")</f>
        <v>2025.10.19星期日</v>
      </c>
      <c r="D3" s="555"/>
      <c r="E3" s="32" t="s">
        <v>1443</v>
      </c>
      <c r="F3" s="556">
        <f>'1019 4度C'!D1</f>
        <v>201305</v>
      </c>
      <c r="G3" s="557"/>
      <c r="H3" s="32" t="s">
        <v>1444</v>
      </c>
      <c r="I3" s="558">
        <f>'1019 4度C'!F1</f>
        <v>6561088.4399999985</v>
      </c>
      <c r="J3" s="559"/>
      <c r="K3" s="33"/>
      <c r="L3" s="34"/>
      <c r="M3" s="35"/>
      <c r="N3" s="35"/>
    </row>
    <row r="4" spans="2:17" ht="28.5" customHeight="1">
      <c r="B4" s="560" t="s">
        <v>1445</v>
      </c>
      <c r="C4" s="542" t="s">
        <v>1446</v>
      </c>
      <c r="D4" s="543"/>
      <c r="E4" s="563" t="s">
        <v>1447</v>
      </c>
      <c r="F4" s="564"/>
      <c r="G4" s="563" t="s">
        <v>1448</v>
      </c>
      <c r="H4" s="564"/>
      <c r="I4" s="563" t="s">
        <v>1449</v>
      </c>
      <c r="J4" s="564"/>
      <c r="L4" s="35"/>
      <c r="M4" s="35"/>
      <c r="N4" s="35"/>
    </row>
    <row r="5" spans="2:17" ht="28.5" customHeight="1">
      <c r="B5" s="561"/>
      <c r="C5" s="542" t="s">
        <v>1450</v>
      </c>
      <c r="D5" s="543"/>
      <c r="E5" s="542" t="s">
        <v>1451</v>
      </c>
      <c r="F5" s="543"/>
      <c r="G5" s="544" t="s">
        <v>1452</v>
      </c>
      <c r="H5" s="545"/>
      <c r="I5" s="546" t="s">
        <v>1453</v>
      </c>
      <c r="J5" s="547"/>
      <c r="K5" s="35"/>
      <c r="L5" s="35"/>
      <c r="M5" s="35"/>
      <c r="N5" s="35"/>
    </row>
    <row r="6" spans="2:17" ht="28.5" customHeight="1">
      <c r="B6" s="561"/>
      <c r="C6" s="542" t="s">
        <v>92</v>
      </c>
      <c r="D6" s="543"/>
      <c r="E6" s="548">
        <f>AVERAGE(D13:M13)</f>
        <v>152.94951812281627</v>
      </c>
      <c r="F6" s="549">
        <f>AVERAGE(D27:O27,D13:J13)</f>
        <v>159.43667192325887</v>
      </c>
      <c r="G6" s="550">
        <f>AVERAGE(D13:J13)</f>
        <v>159.43667192325887</v>
      </c>
      <c r="H6" s="551"/>
      <c r="I6" s="550">
        <f>AVERAGE(K13:M13)</f>
        <v>137.81282592178349</v>
      </c>
      <c r="J6" s="551"/>
      <c r="K6" s="35"/>
      <c r="L6" s="35"/>
      <c r="M6" s="35"/>
      <c r="N6" s="35"/>
    </row>
    <row r="7" spans="2:17" ht="28.5" customHeight="1">
      <c r="B7" s="561"/>
      <c r="C7" s="532" t="s">
        <v>93</v>
      </c>
      <c r="D7" s="533"/>
      <c r="E7" s="534">
        <f>AVERAGE(D14:M14)</f>
        <v>146.41310809534531</v>
      </c>
      <c r="F7" s="535">
        <f>AVERAGE(D28:O28,D14:J14)</f>
        <v>152.66314598305806</v>
      </c>
      <c r="G7" s="536">
        <f>AVERAGE(D14:J14)</f>
        <v>152.66314598305806</v>
      </c>
      <c r="H7" s="537"/>
      <c r="I7" s="536">
        <f>AVERAGE(K14:M14)</f>
        <v>131.82968635734889</v>
      </c>
      <c r="J7" s="537"/>
      <c r="K7" s="35"/>
      <c r="L7" s="35"/>
      <c r="M7" s="35"/>
      <c r="N7" s="35"/>
    </row>
    <row r="8" spans="2:17" ht="28.5" customHeight="1">
      <c r="B8" s="562"/>
      <c r="C8" s="532" t="s">
        <v>94</v>
      </c>
      <c r="D8" s="533"/>
      <c r="E8" s="538">
        <f>AVERAGE(D15:M15)</f>
        <v>0.95725828577518368</v>
      </c>
      <c r="F8" s="539">
        <f>AVERAGE(D15:J15,D29:O29)</f>
        <v>0.95755078721174292</v>
      </c>
      <c r="G8" s="540">
        <f>AVERAGE(D15:J15)</f>
        <v>0.95755078721174292</v>
      </c>
      <c r="H8" s="541"/>
      <c r="I8" s="540">
        <f>AVERAGE(K15:M15)</f>
        <v>0.95657578242321184</v>
      </c>
      <c r="J8" s="541"/>
      <c r="K8" s="36" t="s">
        <v>1454</v>
      </c>
      <c r="L8" s="35"/>
      <c r="M8" s="35"/>
      <c r="N8" s="35"/>
    </row>
    <row r="9" spans="2:17" ht="28.5" customHeight="1" thickBot="1">
      <c r="H9" s="38"/>
      <c r="N9" s="35"/>
      <c r="O9" s="35"/>
      <c r="P9" s="35"/>
      <c r="Q9" s="35"/>
    </row>
    <row r="10" spans="2:17" ht="30" customHeight="1">
      <c r="B10" s="515" t="s">
        <v>1455</v>
      </c>
      <c r="C10" s="516"/>
      <c r="D10" s="517" t="s">
        <v>1456</v>
      </c>
      <c r="E10" s="518"/>
      <c r="F10" s="518"/>
      <c r="G10" s="518"/>
      <c r="H10" s="518"/>
      <c r="I10" s="518"/>
      <c r="J10" s="519"/>
      <c r="K10" s="520" t="s">
        <v>1457</v>
      </c>
      <c r="L10" s="521"/>
      <c r="M10" s="522"/>
      <c r="P10" s="39"/>
      <c r="Q10" s="39"/>
    </row>
    <row r="11" spans="2:17" ht="17.25" customHeight="1">
      <c r="B11" s="523" t="s">
        <v>1458</v>
      </c>
      <c r="C11" s="524"/>
      <c r="D11" s="40">
        <v>1</v>
      </c>
      <c r="E11" s="41">
        <v>2</v>
      </c>
      <c r="F11" s="41">
        <v>3</v>
      </c>
      <c r="G11" s="41">
        <v>4</v>
      </c>
      <c r="H11" s="41">
        <v>5</v>
      </c>
      <c r="I11" s="41">
        <v>6</v>
      </c>
      <c r="J11" s="42">
        <v>7</v>
      </c>
      <c r="K11" s="40">
        <v>1</v>
      </c>
      <c r="L11" s="41">
        <v>2</v>
      </c>
      <c r="M11" s="42">
        <v>3</v>
      </c>
      <c r="P11" s="39"/>
      <c r="Q11" s="39"/>
    </row>
    <row r="12" spans="2:17" ht="34.15" customHeight="1">
      <c r="B12" s="525"/>
      <c r="C12" s="526"/>
      <c r="D12" s="43" t="s">
        <v>96</v>
      </c>
      <c r="E12" s="44" t="s">
        <v>97</v>
      </c>
      <c r="F12" s="44" t="s">
        <v>98</v>
      </c>
      <c r="G12" s="44" t="s">
        <v>99</v>
      </c>
      <c r="H12" s="44" t="s">
        <v>100</v>
      </c>
      <c r="I12" s="44" t="s">
        <v>101</v>
      </c>
      <c r="J12" s="45" t="s">
        <v>102</v>
      </c>
      <c r="K12" s="43" t="s">
        <v>103</v>
      </c>
      <c r="L12" s="44" t="s">
        <v>104</v>
      </c>
      <c r="M12" s="45" t="s">
        <v>105</v>
      </c>
    </row>
    <row r="13" spans="2:17" ht="40.15" customHeight="1">
      <c r="B13" s="527" t="s">
        <v>1459</v>
      </c>
      <c r="C13" s="46" t="s">
        <v>1460</v>
      </c>
      <c r="D13" s="47">
        <f>SUMIFS('1019 4度C'!$K:$K,'1019 4度C'!$A:$A,"新豐6線",'1019 4度C'!$B:$B,"平均")</f>
        <v>125</v>
      </c>
      <c r="E13" s="48">
        <f>SUMIFS('1019 4度C'!$K:$K,'1019 4度C'!$A:$A,"新豐2線",'1019 4度C'!$B:$B,"平均")</f>
        <v>83.333333333333329</v>
      </c>
      <c r="F13" s="49">
        <f>SUMIFS('1019 4度C'!$K:$K,'1019 4度C'!$A:$A,"新豐5線",'1019 4度C'!$B:$B,"平均")</f>
        <v>91.397849462365585</v>
      </c>
      <c r="G13" s="49">
        <f>SUMIFS('1019 4度C'!$K:$K,'1019 4度C'!$A:$A,"新豐7線",'1019 4度C'!$B:$B,"平均")</f>
        <v>119.40298507462687</v>
      </c>
      <c r="H13" s="49">
        <f>SUMIFS('1019 4度C'!$K:$K,'1019 4度C'!$A:$A,"新豐3線",'1019 4度C'!$B:$B,"平均")</f>
        <v>310.34482758620692</v>
      </c>
      <c r="I13" s="49">
        <f>SUMIFS('1019 4度C'!$K:$K,'1019 4度C'!$A:$A,"新豐1線",'1019 4度C'!$B:$B,"平均")</f>
        <v>117.34693877551021</v>
      </c>
      <c r="J13" s="50">
        <f>SUMIFS('1019 4度C'!$K:$K,'1019 4度C'!$A:$A,"新豐10線",'1019 4度C'!$B:$B,"平均")</f>
        <v>269.23076923076923</v>
      </c>
      <c r="K13" s="51">
        <f>SUMIFS('1019 4度C'!$K:$K,'1019 4度C'!$A:$A,"新豐8線",'1019 4度C'!$B:$B,"平均")</f>
        <v>129.72972972972974</v>
      </c>
      <c r="L13" s="52">
        <f>SUMIFS('1019 4度C'!$K:$K,'1019 4度C'!$A:$A,"新豐9線",'1019 4度C'!$B:$B,"平均")</f>
        <v>139.13043478260869</v>
      </c>
      <c r="M13" s="50">
        <f>SUMIFS('1019 4度C'!$K:$K,'1019 4度C'!$A:$A,"新豐4線",'1019 4度C'!$B:$B,"平均")</f>
        <v>144.57831325301203</v>
      </c>
    </row>
    <row r="14" spans="2:17" ht="39.6" customHeight="1">
      <c r="B14" s="528"/>
      <c r="C14" s="53" t="s">
        <v>1461</v>
      </c>
      <c r="D14" s="54">
        <f>SUMIFS('1019 4度C'!$N:$N,'1019 4度C'!$A:$A,"新豐6線",'1019 4度C'!$B:$B,"平均")</f>
        <v>119.89235764235752</v>
      </c>
      <c r="E14" s="55">
        <f>SUMIFS('1019 4度C'!$N:$N,'1019 4度C'!$A:$A,"新豐2線",'1019 4度C'!$B:$B,"平均")</f>
        <v>79.735674066382728</v>
      </c>
      <c r="F14" s="55">
        <f>SUMIFS('1019 4度C'!$N:$N,'1019 4度C'!$A:$A,"新豐5線",'1019 4度C'!$B:$B,"平均")</f>
        <v>87.26916223473097</v>
      </c>
      <c r="G14" s="55">
        <f>SUMIFS('1019 4度C'!$N:$N,'1019 4度C'!$A:$A,"新豐7線",'1019 4度C'!$B:$B,"平均")</f>
        <v>114.30431668052074</v>
      </c>
      <c r="H14" s="55">
        <f>SUMIFS('1019 4度C'!$N:$N,'1019 4度C'!$A:$A,"新豐3線",'1019 4度C'!$B:$B,"平均")</f>
        <v>297.46143026258244</v>
      </c>
      <c r="I14" s="55">
        <f>SUMIFS('1019 4度C'!$N:$N,'1019 4度C'!$A:$A,"新豐1線",'1019 4度C'!$B:$B,"平均")</f>
        <v>112.75569641634777</v>
      </c>
      <c r="J14" s="56">
        <f>SUMIFS('1019 4度C'!$N:$N,'1019 4度C'!$A:$A,"新豐10線",'1019 4度C'!$B:$B,"平均")</f>
        <v>257.22338457848429</v>
      </c>
      <c r="K14" s="57">
        <f>SUMIFS('1019 4度C'!$N:$N,'1019 4度C'!$A:$A,"新豐8線",'1019 4度C'!$B:$B,"平均")</f>
        <v>124.15091254622934</v>
      </c>
      <c r="L14" s="58">
        <f>SUMIFS('1019 4度C'!$N:$N,'1019 4度C'!$A:$A,"新豐9線",'1019 4度C'!$B:$B,"平均")</f>
        <v>132.83156771279215</v>
      </c>
      <c r="M14" s="56">
        <f>SUMIFS('1019 4度C'!$N:$N,'1019 4度C'!$A:$A,"新豐4線",'1019 4度C'!$B:$B,"平均")</f>
        <v>138.50657881302516</v>
      </c>
    </row>
    <row r="15" spans="2:17" ht="40.15" customHeight="1">
      <c r="B15" s="529"/>
      <c r="C15" s="59" t="s">
        <v>129</v>
      </c>
      <c r="D15" s="60">
        <f t="shared" ref="D15:M15" si="0">D14/D13</f>
        <v>0.95913886113886015</v>
      </c>
      <c r="E15" s="61">
        <f t="shared" si="0"/>
        <v>0.95682808879659276</v>
      </c>
      <c r="F15" s="61">
        <f t="shared" si="0"/>
        <v>0.95482730445058595</v>
      </c>
      <c r="G15" s="61">
        <f t="shared" si="0"/>
        <v>0.95729865219936117</v>
      </c>
      <c r="H15" s="61">
        <f t="shared" si="0"/>
        <v>0.95848683084609887</v>
      </c>
      <c r="I15" s="61">
        <f t="shared" si="0"/>
        <v>0.96087463033061582</v>
      </c>
      <c r="J15" s="62">
        <f t="shared" si="0"/>
        <v>0.95540114272008447</v>
      </c>
      <c r="K15" s="60">
        <f t="shared" si="0"/>
        <v>0.95699661754385101</v>
      </c>
      <c r="L15" s="61">
        <f t="shared" si="0"/>
        <v>0.95472689293569368</v>
      </c>
      <c r="M15" s="62">
        <f t="shared" si="0"/>
        <v>0.95800383679009082</v>
      </c>
    </row>
    <row r="16" spans="2:17" ht="17.25" customHeight="1">
      <c r="B16" s="530" t="s">
        <v>1462</v>
      </c>
      <c r="C16" s="63" t="s">
        <v>1463</v>
      </c>
      <c r="D16" s="284">
        <f>VLOOKUP("新豐6線",'1019 4度C'!$A:$T,19,0)</f>
        <v>0.70833333333333337</v>
      </c>
      <c r="E16" s="285">
        <f>VLOOKUP("新豐2線",'1019 4度C'!$A:$T,19,0)</f>
        <v>0.20833333333333334</v>
      </c>
      <c r="F16" s="285">
        <f>VLOOKUP("新豐5線",'1019 4度C'!$A:$T,19,0)</f>
        <v>8.3333333333333329E-2</v>
      </c>
      <c r="G16" s="285">
        <f>VLOOKUP("新豐7線",'1019 4度C'!$A:$T,19,0)</f>
        <v>0.20833333333333334</v>
      </c>
      <c r="H16" s="285">
        <f>VLOOKUP("新豐3線",'1019 4度C'!$A:$T,19,0)</f>
        <v>8.3333333333333329E-2</v>
      </c>
      <c r="I16" s="285">
        <f>VLOOKUP("新豐1線",'1019 4度C'!$A:$T,19,0)</f>
        <v>0.29166666666666669</v>
      </c>
      <c r="J16" s="286">
        <f>VLOOKUP("新豐10線",'1019 4度C'!$A:$T,19,0)</f>
        <v>0.20833333333333334</v>
      </c>
      <c r="K16" s="66">
        <f>VLOOKUP("新豐8線",'1019 4度C'!$A:$T,19,0)</f>
        <v>8.3333333333333329E-2</v>
      </c>
      <c r="L16" s="67">
        <f>VLOOKUP("新豐9線",'1019 4度C'!$A:$T,19,0)</f>
        <v>8.3333333333333329E-2</v>
      </c>
      <c r="M16" s="68">
        <f>VLOOKUP("新豐4線",'1019 4度C'!$A:$T,19,0)</f>
        <v>8.3333333333333329E-2</v>
      </c>
    </row>
    <row r="17" spans="2:13" ht="17.25" customHeight="1">
      <c r="B17" s="531"/>
      <c r="C17" s="63" t="s">
        <v>1464</v>
      </c>
      <c r="D17" s="66">
        <f>LOOKUP(2,1/(('1019 4度C'!$A:$A="新豐6線")*('1019 4度C'!$T:$T&lt;&gt;"")),'1019 4度C'!$T:$T)</f>
        <v>0.84166666666666679</v>
      </c>
      <c r="E17" s="285">
        <f>LOOKUP(2,1/(('1019 4度C'!$A:$A="新豐2線")*('1019 4度C'!$T:$T&lt;&gt;"")),'1019 4度C'!$T:$T)</f>
        <v>0.62083333333333324</v>
      </c>
      <c r="F17" s="285">
        <f>LOOKUP(2,1/(('1019 4度C'!$A:$A="新豐5線")*('1019 4度C'!$T:$T&lt;&gt;"")),'1019 4度C'!$T:$T)</f>
        <v>0.85624999999999996</v>
      </c>
      <c r="G17" s="285">
        <f>LOOKUP(2,1/(('1019 4度C'!$A:$A="新豐7線")*('1019 4度C'!$T:$T&lt;&gt;"")),'1019 4度C'!$T:$T)</f>
        <v>0.77222222222222225</v>
      </c>
      <c r="H17" s="285">
        <f>LOOKUP(2,1/(('1019 4度C'!$A:$A="新豐3線")*('1019 4度C'!$T:$T&lt;&gt;"")),'1019 4度C'!$T:$T)</f>
        <v>0.52777777777777768</v>
      </c>
      <c r="I17" s="285">
        <f>LOOKUP(2,1/(('1019 4度C'!$A:$A="新豐1線")*('1019 4度C'!$T:$T&lt;&gt;"")),'1019 4度C'!$T:$T)</f>
        <v>0.86388888888888893</v>
      </c>
      <c r="J17" s="286">
        <f>LOOKUP(2,1/(('1019 4度C'!$A:$A="新豐10線")*('1019 4度C'!$T:$T&lt;&gt;"")),'1019 4度C'!$T:$T)</f>
        <v>0.47361111111111109</v>
      </c>
      <c r="K17" s="284">
        <f>LOOKUP(2,1/(('1019 4度C'!$A:$A="新豐8線")*('1019 4度C'!$T:$T&lt;&gt;"")),'1019 4度C'!$T:$T)</f>
        <v>0.76458333333333328</v>
      </c>
      <c r="L17" s="285">
        <f>LOOKUP(2,1/(('1019 4度C'!$A:$A="新豐9線")*('1019 4度C'!$T:$T&lt;&gt;"")),'1019 4度C'!$T:$T)</f>
        <v>0.78194444444444444</v>
      </c>
      <c r="M17" s="286">
        <f>LOOKUP(2,1/(('1019 4度C'!$A:$A="新豐4線")*('1019 4度C'!$T:$T&lt;&gt;"")),'1019 4度C'!$T:$T)</f>
        <v>0.76736111111111094</v>
      </c>
    </row>
    <row r="18" spans="2:13" ht="17.25" customHeight="1">
      <c r="B18" s="509" t="s">
        <v>1465</v>
      </c>
      <c r="C18" s="510"/>
      <c r="D18" s="69">
        <f>SUMIFS('1019 4度C'!$I:$I,'1019 4度C'!$A:$A,"新豐6線",'1019 4度C'!$B:$B,"平均")</f>
        <v>16</v>
      </c>
      <c r="E18" s="70">
        <f>SUMIFS('1019 4度C'!$I:$I,'1019 4度C'!$A:$A,"新豐2線",'1019 4度C'!$B:$B,"平均")</f>
        <v>18</v>
      </c>
      <c r="F18" s="70">
        <f>SUMIFS('1019 4度C'!$I:$I,'1019 4度C'!$A:$A,"新豐5線",'1019 4度C'!$B:$B,"平均")</f>
        <v>18.600000000000001</v>
      </c>
      <c r="G18" s="70">
        <f>SUMIFS('1019 4度C'!$I:$I,'1019 4度C'!$A:$A,"新豐7線",'1019 4度C'!$B:$B,"平均")</f>
        <v>16.75</v>
      </c>
      <c r="H18" s="70">
        <f>SUMIFS('1019 4度C'!$I:$I,'1019 4度C'!$A:$A,"新豐3線",'1019 4度C'!$B:$B,"平均")</f>
        <v>9.6666666666666661</v>
      </c>
      <c r="I18" s="70">
        <f>SUMIFS('1019 4度C'!$I:$I,'1019 4度C'!$A:$A,"新豐1線",'1019 4度C'!$B:$B,"平均")</f>
        <v>16.333333333333332</v>
      </c>
      <c r="J18" s="71">
        <f>SUMIFS('1019 4度C'!$I:$I,'1019 4度C'!$A:$A,"新豐10線",'1019 4度C'!$B:$B,"平均")</f>
        <v>9.75</v>
      </c>
      <c r="K18" s="69">
        <f>SUMIFS('1019 4度C'!$I:$I,'1019 4度C'!$A:$A,"新豐8線",'1019 4度C'!$B:$B,"平均")</f>
        <v>18.5</v>
      </c>
      <c r="L18" s="70">
        <f>SUMIFS('1019 4度C'!$I:$I,'1019 4度C'!$A:$A,"新豐9線",'1019 4度C'!$B:$B,"平均")</f>
        <v>17.25</v>
      </c>
      <c r="M18" s="71">
        <f>SUMIFS('1019 4度C'!$I:$I,'1019 4度C'!$A:$A,"新豐4線",'1019 4度C'!$B:$B,"平均")</f>
        <v>16.600000000000001</v>
      </c>
    </row>
    <row r="19" spans="2:13" ht="17.25" customHeight="1">
      <c r="B19" s="509" t="s">
        <v>1466</v>
      </c>
      <c r="C19" s="510"/>
      <c r="D19" s="72" t="s">
        <v>109</v>
      </c>
      <c r="E19" s="73" t="s">
        <v>110</v>
      </c>
      <c r="F19" s="73" t="s">
        <v>1467</v>
      </c>
      <c r="G19" s="73" t="s">
        <v>1467</v>
      </c>
      <c r="H19" s="73" t="s">
        <v>111</v>
      </c>
      <c r="I19" s="73" t="s">
        <v>109</v>
      </c>
      <c r="J19" s="74" t="s">
        <v>111</v>
      </c>
      <c r="K19" s="72" t="s">
        <v>1468</v>
      </c>
      <c r="L19" s="73" t="s">
        <v>136</v>
      </c>
      <c r="M19" s="74" t="s">
        <v>1469</v>
      </c>
    </row>
    <row r="20" spans="2:13" ht="17.25" customHeight="1">
      <c r="B20" s="509" t="s">
        <v>139</v>
      </c>
      <c r="C20" s="510"/>
      <c r="D20" s="72"/>
      <c r="E20" s="73"/>
      <c r="F20" s="73" t="s">
        <v>1470</v>
      </c>
      <c r="G20" s="73" t="s">
        <v>109</v>
      </c>
      <c r="H20" s="73"/>
      <c r="I20" s="73"/>
      <c r="J20" s="74"/>
      <c r="K20" s="72"/>
      <c r="L20" s="73"/>
      <c r="M20" s="74"/>
    </row>
    <row r="21" spans="2:13" ht="17.25" customHeight="1" thickBot="1">
      <c r="B21" s="511" t="s">
        <v>141</v>
      </c>
      <c r="C21" s="512"/>
      <c r="D21" s="75"/>
      <c r="E21" s="76" t="s">
        <v>1471</v>
      </c>
      <c r="F21" s="513" t="s">
        <v>1472</v>
      </c>
      <c r="G21" s="514"/>
      <c r="H21" s="76" t="s">
        <v>1473</v>
      </c>
      <c r="I21" s="76" t="s">
        <v>1474</v>
      </c>
      <c r="J21" s="77" t="s">
        <v>1473</v>
      </c>
      <c r="K21" s="78"/>
      <c r="L21" s="76"/>
      <c r="M21" s="77"/>
    </row>
    <row r="22" spans="2:13" ht="17.25" customHeight="1"/>
    <row r="23" spans="2:13" ht="17.25" customHeight="1"/>
    <row r="24" spans="2:13" ht="17.25" customHeight="1"/>
    <row r="25" spans="2:13" ht="37.5" customHeight="1"/>
    <row r="26" spans="2:13" ht="35.25" customHeight="1"/>
    <row r="27" spans="2:13" ht="35.25" customHeight="1"/>
    <row r="28" spans="2:13" ht="39.75" customHeight="1"/>
  </sheetData>
  <mergeCells count="36">
    <mergeCell ref="B1:J2"/>
    <mergeCell ref="C3:D3"/>
    <mergeCell ref="F3:G3"/>
    <mergeCell ref="I3:J3"/>
    <mergeCell ref="B4:B8"/>
    <mergeCell ref="C4:D4"/>
    <mergeCell ref="E4:F4"/>
    <mergeCell ref="G4:H4"/>
    <mergeCell ref="I4:J4"/>
    <mergeCell ref="C5:D5"/>
    <mergeCell ref="E5:F5"/>
    <mergeCell ref="G5:H5"/>
    <mergeCell ref="I5:J5"/>
    <mergeCell ref="C6:D6"/>
    <mergeCell ref="E6:F6"/>
    <mergeCell ref="G6:H6"/>
    <mergeCell ref="I6:J6"/>
    <mergeCell ref="B16:B17"/>
    <mergeCell ref="C7:D7"/>
    <mergeCell ref="E7:F7"/>
    <mergeCell ref="G7:H7"/>
    <mergeCell ref="I7:J7"/>
    <mergeCell ref="C8:D8"/>
    <mergeCell ref="E8:F8"/>
    <mergeCell ref="G8:H8"/>
    <mergeCell ref="I8:J8"/>
    <mergeCell ref="B10:C10"/>
    <mergeCell ref="D10:J10"/>
    <mergeCell ref="B20:C20"/>
    <mergeCell ref="B21:C21"/>
    <mergeCell ref="F21:G21"/>
    <mergeCell ref="K10:M10"/>
    <mergeCell ref="B11:C12"/>
    <mergeCell ref="B13:B15"/>
    <mergeCell ref="B18:C18"/>
    <mergeCell ref="B19:C19"/>
  </mergeCells>
  <phoneticPr fontId="3" type="noConversion"/>
  <conditionalFormatting sqref="D15:M15">
    <cfRule type="cellIs" dxfId="1157" priority="1" operator="lessThan">
      <formula>0.8</formula>
    </cfRule>
  </conditionalFormatting>
  <pageMargins left="0.7" right="0.7" top="0.75" bottom="0.75" header="0.3" footer="0.3"/>
  <pageSetup paperSize="9" orientation="portrait" horizontalDpi="300" verticalDpi="300" r:id="rId1"/>
</worksheet>
</file>

<file path=xl/worksheets/sheet2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工作表22">
    <pageSetUpPr fitToPage="1"/>
  </sheetPr>
  <dimension ref="A1:AC72"/>
  <sheetViews>
    <sheetView zoomScale="80" zoomScaleNormal="80" workbookViewId="0">
      <pane ySplit="4" topLeftCell="A5" activePane="bottomLeft" state="frozen"/>
      <selection activeCell="E23" sqref="E23"/>
      <selection pane="bottomLeft" activeCell="R78" sqref="R78"/>
    </sheetView>
  </sheetViews>
  <sheetFormatPr defaultColWidth="8" defaultRowHeight="15.75"/>
  <cols>
    <col min="1" max="1" width="15.125" style="291" customWidth="1"/>
    <col min="2" max="2" width="19.375" style="291" customWidth="1"/>
    <col min="3" max="3" width="15.25" style="291" customWidth="1"/>
    <col min="4" max="4" width="17.5" style="291" customWidth="1"/>
    <col min="5" max="5" width="7.5" style="291" bestFit="1" customWidth="1"/>
    <col min="6" max="6" width="14.375" style="291" bestFit="1" customWidth="1"/>
    <col min="7" max="7" width="14.375" style="291" customWidth="1"/>
    <col min="8" max="8" width="8" style="291" customWidth="1"/>
    <col min="9" max="9" width="5.875" style="291" customWidth="1"/>
    <col min="10" max="10" width="10.625" style="291" customWidth="1"/>
    <col min="11" max="11" width="14.625" style="291" customWidth="1"/>
    <col min="12" max="12" width="7.25" style="291" bestFit="1" customWidth="1"/>
    <col min="13" max="13" width="8" style="291" customWidth="1"/>
    <col min="14" max="14" width="12" style="291" customWidth="1"/>
    <col min="15" max="15" width="6" style="291" customWidth="1"/>
    <col min="16" max="16" width="9.25" style="291" customWidth="1"/>
    <col min="17" max="17" width="11.5" style="291" customWidth="1"/>
    <col min="18" max="18" width="8.5" style="291" customWidth="1"/>
    <col min="19" max="19" width="10.125" style="324" bestFit="1" customWidth="1"/>
    <col min="20" max="20" width="7.625" style="324" bestFit="1" customWidth="1"/>
    <col min="21" max="21" width="10.25" style="291" bestFit="1" customWidth="1"/>
    <col min="22" max="22" width="8.75" style="325" customWidth="1"/>
    <col min="23" max="23" width="7.375" style="291" customWidth="1"/>
    <col min="24" max="24" width="6.875" style="291" bestFit="1" customWidth="1"/>
    <col min="25" max="25" width="12.75" style="291" customWidth="1"/>
    <col min="26" max="26" width="18.875" style="291" customWidth="1"/>
    <col min="27" max="27" width="13.125" style="291" bestFit="1" customWidth="1"/>
    <col min="28" max="28" width="10.375" style="291" customWidth="1"/>
    <col min="29" max="29" width="9.375" style="291" customWidth="1"/>
    <col min="30" max="30" width="8" style="291"/>
    <col min="31" max="31" width="24.625" style="291" bestFit="1" customWidth="1"/>
    <col min="32" max="16384" width="8" style="291"/>
  </cols>
  <sheetData>
    <row r="1" spans="1:29" ht="26.25" customHeight="1">
      <c r="A1" s="287" t="s">
        <v>1475</v>
      </c>
      <c r="B1" s="287"/>
      <c r="C1" s="288" t="s">
        <v>1476</v>
      </c>
      <c r="D1" s="289">
        <f>SUM(F5:F71)</f>
        <v>201305</v>
      </c>
      <c r="E1" s="339" t="s">
        <v>1477</v>
      </c>
      <c r="F1" s="287">
        <f>SUM(G5:G71)</f>
        <v>6561088.4399999985</v>
      </c>
      <c r="G1" s="287" t="s">
        <v>237</v>
      </c>
      <c r="H1" s="290">
        <f>L8+L12+L48+L55+L18+L60+L32+L41+L23+L71</f>
        <v>157.44999999999999</v>
      </c>
      <c r="I1" s="611" t="s">
        <v>150</v>
      </c>
      <c r="J1" s="611"/>
      <c r="K1" s="611"/>
      <c r="L1" s="611" t="s">
        <v>151</v>
      </c>
      <c r="M1" s="611"/>
      <c r="N1" s="611"/>
      <c r="O1" s="611" t="s">
        <v>1478</v>
      </c>
      <c r="P1" s="611"/>
      <c r="Q1" s="611"/>
      <c r="R1" s="611"/>
      <c r="S1" s="611" t="s">
        <v>153</v>
      </c>
      <c r="T1" s="611"/>
      <c r="U1" s="611"/>
      <c r="V1" s="611"/>
      <c r="W1" s="611"/>
      <c r="X1" s="611"/>
      <c r="Y1" s="611" t="s">
        <v>1479</v>
      </c>
      <c r="Z1" s="611"/>
      <c r="AA1" s="611" t="s">
        <v>154</v>
      </c>
      <c r="AB1" s="612"/>
      <c r="AC1" s="612"/>
    </row>
    <row r="2" spans="1:29" ht="26.25" customHeight="1">
      <c r="A2" s="292">
        <v>45949</v>
      </c>
      <c r="B2" s="293" t="s">
        <v>486</v>
      </c>
      <c r="C2" s="288" t="s">
        <v>1480</v>
      </c>
      <c r="D2" s="294">
        <f>AVERAGE(N8,N12,N48,N55,N18,N60,N23,N32,N41,N71)</f>
        <v>146.41310809534531</v>
      </c>
      <c r="E2" s="295" t="s">
        <v>2</v>
      </c>
      <c r="F2" s="296">
        <f>F1/D1</f>
        <v>32.592774347383319</v>
      </c>
      <c r="G2" s="287" t="s">
        <v>1481</v>
      </c>
      <c r="H2" s="338">
        <f>COUNT(H5:H71)</f>
        <v>10</v>
      </c>
      <c r="I2" s="611"/>
      <c r="J2" s="611"/>
      <c r="K2" s="611"/>
      <c r="L2" s="611"/>
      <c r="M2" s="611"/>
      <c r="N2" s="611"/>
      <c r="O2" s="611"/>
      <c r="P2" s="611"/>
      <c r="Q2" s="611"/>
      <c r="R2" s="611"/>
      <c r="S2" s="611"/>
      <c r="T2" s="611"/>
      <c r="U2" s="611"/>
      <c r="V2" s="611"/>
      <c r="W2" s="611"/>
      <c r="X2" s="611"/>
      <c r="Y2" s="611"/>
      <c r="Z2" s="611"/>
      <c r="AA2" s="612"/>
      <c r="AB2" s="612"/>
      <c r="AC2" s="612"/>
    </row>
    <row r="3" spans="1:29" ht="23.25" customHeight="1">
      <c r="A3" s="570" t="s">
        <v>3</v>
      </c>
      <c r="B3" s="570" t="s">
        <v>4</v>
      </c>
      <c r="C3" s="570" t="s">
        <v>1482</v>
      </c>
      <c r="D3" s="570"/>
      <c r="E3" s="609" t="s">
        <v>1483</v>
      </c>
      <c r="F3" s="570" t="s">
        <v>1484</v>
      </c>
      <c r="G3" s="609" t="s">
        <v>1485</v>
      </c>
      <c r="H3" s="602" t="s">
        <v>1486</v>
      </c>
      <c r="I3" s="600" t="s">
        <v>1487</v>
      </c>
      <c r="J3" s="605" t="s">
        <v>1488</v>
      </c>
      <c r="K3" s="607" t="s">
        <v>1489</v>
      </c>
      <c r="L3" s="600" t="s">
        <v>10</v>
      </c>
      <c r="M3" s="605" t="s">
        <v>1488</v>
      </c>
      <c r="N3" s="607" t="s">
        <v>1489</v>
      </c>
      <c r="O3" s="600" t="s">
        <v>1487</v>
      </c>
      <c r="P3" s="607" t="s">
        <v>1480</v>
      </c>
      <c r="Q3" s="606" t="s">
        <v>1490</v>
      </c>
      <c r="R3" s="578" t="s">
        <v>1491</v>
      </c>
      <c r="S3" s="608" t="s">
        <v>14</v>
      </c>
      <c r="T3" s="608"/>
      <c r="U3" s="602" t="s">
        <v>15</v>
      </c>
      <c r="V3" s="602" t="s">
        <v>164</v>
      </c>
      <c r="W3" s="570" t="s">
        <v>1492</v>
      </c>
      <c r="X3" s="570"/>
      <c r="Y3" s="603" t="s">
        <v>252</v>
      </c>
      <c r="Z3" s="604"/>
      <c r="AA3" s="605" t="s">
        <v>1488</v>
      </c>
      <c r="AB3" s="606" t="s">
        <v>1490</v>
      </c>
      <c r="AC3" s="578" t="s">
        <v>1493</v>
      </c>
    </row>
    <row r="4" spans="1:29">
      <c r="A4" s="570"/>
      <c r="B4" s="570"/>
      <c r="C4" s="570"/>
      <c r="D4" s="570"/>
      <c r="E4" s="610"/>
      <c r="F4" s="570"/>
      <c r="G4" s="610"/>
      <c r="H4" s="602"/>
      <c r="I4" s="600"/>
      <c r="J4" s="605"/>
      <c r="K4" s="607"/>
      <c r="L4" s="600"/>
      <c r="M4" s="605"/>
      <c r="N4" s="607"/>
      <c r="O4" s="600"/>
      <c r="P4" s="607"/>
      <c r="Q4" s="606"/>
      <c r="R4" s="578"/>
      <c r="S4" s="340" t="s">
        <v>18</v>
      </c>
      <c r="T4" s="340" t="s">
        <v>19</v>
      </c>
      <c r="U4" s="602"/>
      <c r="V4" s="602"/>
      <c r="W4" s="339" t="s">
        <v>1494</v>
      </c>
      <c r="X4" s="339" t="s">
        <v>1495</v>
      </c>
      <c r="Y4" s="604"/>
      <c r="Z4" s="604"/>
      <c r="AA4" s="605"/>
      <c r="AB4" s="606"/>
      <c r="AC4" s="578"/>
    </row>
    <row r="5" spans="1:29">
      <c r="A5" s="599" t="s">
        <v>21</v>
      </c>
      <c r="B5" s="300" t="s">
        <v>36</v>
      </c>
      <c r="C5" s="601" t="s">
        <v>37</v>
      </c>
      <c r="D5" s="601"/>
      <c r="E5" s="300">
        <v>46.93</v>
      </c>
      <c r="F5" s="340">
        <v>1128</v>
      </c>
      <c r="G5" s="339">
        <f t="shared" ref="G5:G7" si="0">E5*F5</f>
        <v>52937.04</v>
      </c>
      <c r="H5" s="301" t="s">
        <v>35</v>
      </c>
      <c r="I5" s="342">
        <v>16</v>
      </c>
      <c r="J5" s="303">
        <v>2000</v>
      </c>
      <c r="K5" s="304">
        <f t="shared" ref="K5:K68" si="1">J5/I5</f>
        <v>125</v>
      </c>
      <c r="L5" s="342">
        <v>16</v>
      </c>
      <c r="M5" s="305">
        <f t="shared" ref="M5:M7" si="2">F5/V5*60</f>
        <v>1933.714285714284</v>
      </c>
      <c r="N5" s="304">
        <f t="shared" ref="N5:N68" si="3">M5/L5</f>
        <v>120.85714285714275</v>
      </c>
      <c r="O5" s="306">
        <f t="shared" ref="O5:O68" si="4">L5-I5</f>
        <v>0</v>
      </c>
      <c r="P5" s="307">
        <f t="shared" ref="P5:P68" si="5">N5-K5</f>
        <v>-4.1428571428572525</v>
      </c>
      <c r="Q5" s="344">
        <f t="shared" ref="Q5:Q68" si="6">N5/K5</f>
        <v>0.96685714285714197</v>
      </c>
      <c r="R5" s="571">
        <f>Q8</f>
        <v>0.95913886113886015</v>
      </c>
      <c r="S5" s="308">
        <v>0.70833333333333337</v>
      </c>
      <c r="T5" s="308">
        <v>0.73263888888888895</v>
      </c>
      <c r="U5" s="339"/>
      <c r="V5" s="341">
        <f t="shared" ref="V5:V7" si="7">(T5-S5)*24*60</f>
        <v>35.000000000000036</v>
      </c>
      <c r="W5" s="310"/>
      <c r="X5" s="311"/>
      <c r="Y5" s="570"/>
      <c r="Z5" s="570"/>
      <c r="AA5" s="306">
        <f t="shared" ref="AA5:AA68" si="8">M5-J5</f>
        <v>-66.28571428571604</v>
      </c>
      <c r="AB5" s="344">
        <f t="shared" ref="AB5:AB68" si="9">M5/J5</f>
        <v>0.96685714285714197</v>
      </c>
      <c r="AC5" s="571">
        <f>AB8</f>
        <v>0.95913886113886015</v>
      </c>
    </row>
    <row r="6" spans="1:29">
      <c r="A6" s="600" t="s">
        <v>1496</v>
      </c>
      <c r="B6" s="300" t="s">
        <v>36</v>
      </c>
      <c r="C6" s="601" t="s">
        <v>38</v>
      </c>
      <c r="D6" s="601"/>
      <c r="E6" s="300">
        <v>50.49</v>
      </c>
      <c r="F6" s="340">
        <v>2475</v>
      </c>
      <c r="G6" s="339">
        <f t="shared" si="0"/>
        <v>124962.75</v>
      </c>
      <c r="H6" s="301" t="s">
        <v>35</v>
      </c>
      <c r="I6" s="342">
        <v>15</v>
      </c>
      <c r="J6" s="303">
        <v>2000</v>
      </c>
      <c r="K6" s="304">
        <f t="shared" si="1"/>
        <v>133.33333333333334</v>
      </c>
      <c r="L6" s="342">
        <v>15</v>
      </c>
      <c r="M6" s="305">
        <f t="shared" si="2"/>
        <v>1903.8461538461527</v>
      </c>
      <c r="N6" s="304">
        <f t="shared" si="3"/>
        <v>126.92307692307685</v>
      </c>
      <c r="O6" s="306">
        <f t="shared" si="4"/>
        <v>0</v>
      </c>
      <c r="P6" s="307">
        <f t="shared" si="5"/>
        <v>-6.4102564102564941</v>
      </c>
      <c r="Q6" s="344">
        <f t="shared" si="6"/>
        <v>0.95192307692307632</v>
      </c>
      <c r="R6" s="571"/>
      <c r="S6" s="308">
        <v>0.73819444444444449</v>
      </c>
      <c r="T6" s="308">
        <v>0.79236111111111118</v>
      </c>
      <c r="U6" s="339">
        <f t="shared" ref="U6:U7" si="10">IF(S6=TIME(17,0,0),"",(S6-T5)*24*60)</f>
        <v>7.9999999999999716</v>
      </c>
      <c r="V6" s="341">
        <f t="shared" si="7"/>
        <v>78.000000000000043</v>
      </c>
      <c r="W6" s="310"/>
      <c r="X6" s="310"/>
      <c r="Y6" s="570"/>
      <c r="Z6" s="570"/>
      <c r="AA6" s="306">
        <f t="shared" si="8"/>
        <v>-96.153846153847326</v>
      </c>
      <c r="AB6" s="344">
        <f t="shared" si="9"/>
        <v>0.95192307692307632</v>
      </c>
      <c r="AC6" s="571"/>
    </row>
    <row r="7" spans="1:29">
      <c r="A7" s="600" t="s">
        <v>1497</v>
      </c>
      <c r="B7" s="300" t="s">
        <v>36</v>
      </c>
      <c r="C7" s="594" t="s">
        <v>39</v>
      </c>
      <c r="D7" s="595"/>
      <c r="E7" s="300">
        <v>50.67</v>
      </c>
      <c r="F7" s="340">
        <v>2109</v>
      </c>
      <c r="G7" s="339">
        <f t="shared" si="0"/>
        <v>106863.03</v>
      </c>
      <c r="H7" s="301" t="s">
        <v>35</v>
      </c>
      <c r="I7" s="342">
        <v>17</v>
      </c>
      <c r="J7" s="303">
        <v>2000</v>
      </c>
      <c r="K7" s="304">
        <f t="shared" si="1"/>
        <v>117.64705882352941</v>
      </c>
      <c r="L7" s="342">
        <v>17</v>
      </c>
      <c r="M7" s="305">
        <f t="shared" si="2"/>
        <v>1917.2727272727248</v>
      </c>
      <c r="N7" s="304">
        <f t="shared" si="3"/>
        <v>112.78074866310146</v>
      </c>
      <c r="O7" s="306">
        <f t="shared" si="4"/>
        <v>0</v>
      </c>
      <c r="P7" s="307">
        <f t="shared" si="5"/>
        <v>-4.8663101604279433</v>
      </c>
      <c r="Q7" s="344">
        <f t="shared" si="6"/>
        <v>0.95863636363636251</v>
      </c>
      <c r="R7" s="571"/>
      <c r="S7" s="308">
        <v>0.79583333333333339</v>
      </c>
      <c r="T7" s="308">
        <v>0.84166666666666679</v>
      </c>
      <c r="U7" s="339">
        <f t="shared" si="10"/>
        <v>4.9999999999999822</v>
      </c>
      <c r="V7" s="341">
        <f t="shared" si="7"/>
        <v>66.000000000000085</v>
      </c>
      <c r="W7" s="310"/>
      <c r="X7" s="310"/>
      <c r="Y7" s="566"/>
      <c r="Z7" s="567"/>
      <c r="AA7" s="306">
        <f t="shared" si="8"/>
        <v>-82.727272727275249</v>
      </c>
      <c r="AB7" s="344">
        <f t="shared" si="9"/>
        <v>0.9586363636363624</v>
      </c>
      <c r="AC7" s="571"/>
    </row>
    <row r="8" spans="1:29">
      <c r="A8" s="600" t="s">
        <v>1497</v>
      </c>
      <c r="B8" s="300" t="s">
        <v>1498</v>
      </c>
      <c r="C8" s="572"/>
      <c r="D8" s="572"/>
      <c r="E8" s="343"/>
      <c r="F8" s="313"/>
      <c r="G8" s="304"/>
      <c r="H8" s="340"/>
      <c r="I8" s="314">
        <v>16</v>
      </c>
      <c r="J8" s="303">
        <v>2000</v>
      </c>
      <c r="K8" s="304">
        <f t="shared" si="1"/>
        <v>125</v>
      </c>
      <c r="L8" s="314">
        <v>16</v>
      </c>
      <c r="M8" s="305">
        <f>AVERAGE(M5:M7)</f>
        <v>1918.2777222777204</v>
      </c>
      <c r="N8" s="304">
        <f t="shared" si="3"/>
        <v>119.89235764235752</v>
      </c>
      <c r="O8" s="306">
        <f t="shared" si="4"/>
        <v>0</v>
      </c>
      <c r="P8" s="307">
        <f t="shared" si="5"/>
        <v>-5.1076423576424759</v>
      </c>
      <c r="Q8" s="344">
        <f t="shared" si="6"/>
        <v>0.95913886113886015</v>
      </c>
      <c r="R8" s="571"/>
      <c r="S8" s="308"/>
      <c r="T8" s="308"/>
      <c r="U8" s="339"/>
      <c r="V8" s="341"/>
      <c r="W8" s="304"/>
      <c r="X8" s="304"/>
      <c r="Y8" s="570"/>
      <c r="Z8" s="570"/>
      <c r="AA8" s="306">
        <f t="shared" si="8"/>
        <v>-81.722277722279614</v>
      </c>
      <c r="AB8" s="344">
        <f t="shared" si="9"/>
        <v>0.95913886113886015</v>
      </c>
      <c r="AC8" s="571"/>
    </row>
    <row r="9" spans="1:29" ht="15.75" customHeight="1">
      <c r="A9" s="598" t="s">
        <v>1499</v>
      </c>
      <c r="B9" s="300" t="s">
        <v>40</v>
      </c>
      <c r="C9" s="594" t="s">
        <v>42</v>
      </c>
      <c r="D9" s="595"/>
      <c r="E9" s="300">
        <v>39.36</v>
      </c>
      <c r="F9" s="340">
        <v>3035</v>
      </c>
      <c r="G9" s="339">
        <f t="shared" ref="G9:G11" si="11">E9*F9</f>
        <v>119457.59999999999</v>
      </c>
      <c r="H9" s="301" t="s">
        <v>35</v>
      </c>
      <c r="I9" s="342">
        <v>20</v>
      </c>
      <c r="J9" s="303">
        <v>1500</v>
      </c>
      <c r="K9" s="304">
        <f t="shared" si="1"/>
        <v>75</v>
      </c>
      <c r="L9" s="342">
        <v>20</v>
      </c>
      <c r="M9" s="305">
        <f t="shared" ref="M9:M11" si="12">F9/V9*60</f>
        <v>1433.8582677165357</v>
      </c>
      <c r="N9" s="304">
        <f t="shared" si="3"/>
        <v>71.692913385826785</v>
      </c>
      <c r="O9" s="306">
        <f t="shared" si="4"/>
        <v>0</v>
      </c>
      <c r="P9" s="307">
        <f t="shared" si="5"/>
        <v>-3.3070866141732154</v>
      </c>
      <c r="Q9" s="344">
        <f t="shared" si="6"/>
        <v>0.95590551181102379</v>
      </c>
      <c r="R9" s="571">
        <f>Q12</f>
        <v>0.95682808879659276</v>
      </c>
      <c r="S9" s="308">
        <v>0.20833333333333334</v>
      </c>
      <c r="T9" s="308">
        <v>0.29652777777777778</v>
      </c>
      <c r="U9" s="339"/>
      <c r="V9" s="341">
        <f t="shared" ref="V9:V11" si="13">(T9-S9)*24*60</f>
        <v>126.99999999999997</v>
      </c>
      <c r="W9" s="310"/>
      <c r="X9" s="310"/>
      <c r="Y9" s="570"/>
      <c r="Z9" s="570"/>
      <c r="AA9" s="306">
        <f t="shared" si="8"/>
        <v>-66.141732283464307</v>
      </c>
      <c r="AB9" s="344">
        <f t="shared" si="9"/>
        <v>0.95590551181102379</v>
      </c>
      <c r="AC9" s="571">
        <f>AB12</f>
        <v>0.95682808879659287</v>
      </c>
    </row>
    <row r="10" spans="1:29" ht="15.75" customHeight="1">
      <c r="A10" s="598" t="s">
        <v>1500</v>
      </c>
      <c r="B10" s="300" t="s">
        <v>40</v>
      </c>
      <c r="C10" s="594" t="s">
        <v>41</v>
      </c>
      <c r="D10" s="595"/>
      <c r="E10" s="300">
        <v>39.799999999999997</v>
      </c>
      <c r="F10" s="340">
        <v>6000</v>
      </c>
      <c r="G10" s="339">
        <f t="shared" si="11"/>
        <v>238799.99999999997</v>
      </c>
      <c r="H10" s="301">
        <v>2</v>
      </c>
      <c r="I10" s="342">
        <v>17</v>
      </c>
      <c r="J10" s="303">
        <v>1500</v>
      </c>
      <c r="K10" s="304">
        <f t="shared" si="1"/>
        <v>88.235294117647058</v>
      </c>
      <c r="L10" s="342">
        <v>17</v>
      </c>
      <c r="M10" s="305">
        <f t="shared" si="12"/>
        <v>1428.5714285714289</v>
      </c>
      <c r="N10" s="304">
        <f t="shared" si="3"/>
        <v>84.033613445378165</v>
      </c>
      <c r="O10" s="306">
        <f t="shared" si="4"/>
        <v>0</v>
      </c>
      <c r="P10" s="307">
        <f t="shared" si="5"/>
        <v>-4.2016806722688926</v>
      </c>
      <c r="Q10" s="344">
        <f t="shared" si="6"/>
        <v>0.95238095238095255</v>
      </c>
      <c r="R10" s="571"/>
      <c r="S10" s="308">
        <v>0.30069444444444443</v>
      </c>
      <c r="T10" s="308">
        <v>0.47569444444444442</v>
      </c>
      <c r="U10" s="339">
        <f t="shared" ref="U10:U11" si="14">IF(S10=TIME(17,0,0),"",(S10-T9)*24*60)</f>
        <v>5.9999999999999787</v>
      </c>
      <c r="V10" s="341">
        <f t="shared" si="13"/>
        <v>251.99999999999994</v>
      </c>
      <c r="W10" s="310">
        <f>T10</f>
        <v>0.47569444444444442</v>
      </c>
      <c r="X10" s="310">
        <f>S11</f>
        <v>0.5576388888888888</v>
      </c>
      <c r="Y10" s="570"/>
      <c r="Z10" s="570"/>
      <c r="AA10" s="306">
        <f t="shared" si="8"/>
        <v>-71.428571428571104</v>
      </c>
      <c r="AB10" s="344">
        <f t="shared" si="9"/>
        <v>0.95238095238095255</v>
      </c>
      <c r="AC10" s="571"/>
    </row>
    <row r="11" spans="1:29" ht="15.75" customHeight="1">
      <c r="A11" s="598" t="s">
        <v>169</v>
      </c>
      <c r="B11" s="300" t="s">
        <v>40</v>
      </c>
      <c r="C11" s="594" t="s">
        <v>41</v>
      </c>
      <c r="D11" s="595"/>
      <c r="E11" s="300">
        <v>39.799999999999997</v>
      </c>
      <c r="F11" s="340">
        <v>2189</v>
      </c>
      <c r="G11" s="339">
        <f t="shared" si="11"/>
        <v>87122.2</v>
      </c>
      <c r="H11" s="301" t="s">
        <v>35</v>
      </c>
      <c r="I11" s="342">
        <v>17</v>
      </c>
      <c r="J11" s="303">
        <v>1500</v>
      </c>
      <c r="K11" s="304">
        <f t="shared" si="1"/>
        <v>88.235294117647058</v>
      </c>
      <c r="L11" s="342">
        <v>17</v>
      </c>
      <c r="M11" s="305">
        <f t="shared" si="12"/>
        <v>1443.2967032967033</v>
      </c>
      <c r="N11" s="304">
        <f t="shared" si="3"/>
        <v>84.899806076276661</v>
      </c>
      <c r="O11" s="306">
        <f t="shared" si="4"/>
        <v>0</v>
      </c>
      <c r="P11" s="307">
        <f t="shared" si="5"/>
        <v>-3.3354880413703967</v>
      </c>
      <c r="Q11" s="344">
        <f t="shared" si="6"/>
        <v>0.96219780219780215</v>
      </c>
      <c r="R11" s="571"/>
      <c r="S11" s="308">
        <v>0.5576388888888888</v>
      </c>
      <c r="T11" s="308">
        <v>0.62083333333333324</v>
      </c>
      <c r="U11" s="339">
        <f t="shared" si="14"/>
        <v>117.9999999999999</v>
      </c>
      <c r="V11" s="341">
        <f t="shared" si="13"/>
        <v>91</v>
      </c>
      <c r="W11" s="310"/>
      <c r="X11" s="310"/>
      <c r="Y11" s="570"/>
      <c r="Z11" s="570"/>
      <c r="AA11" s="306">
        <f t="shared" si="8"/>
        <v>-56.703296703296701</v>
      </c>
      <c r="AB11" s="344">
        <f t="shared" si="9"/>
        <v>0.96219780219780215</v>
      </c>
      <c r="AC11" s="571"/>
    </row>
    <row r="12" spans="1:29" ht="16.5" customHeight="1">
      <c r="A12" s="598" t="s">
        <v>169</v>
      </c>
      <c r="B12" s="300" t="s">
        <v>22</v>
      </c>
      <c r="C12" s="572"/>
      <c r="D12" s="572"/>
      <c r="E12" s="343"/>
      <c r="F12" s="303"/>
      <c r="G12" s="305"/>
      <c r="H12" s="340"/>
      <c r="I12" s="314">
        <v>18</v>
      </c>
      <c r="J12" s="303">
        <v>1500</v>
      </c>
      <c r="K12" s="304">
        <f t="shared" si="1"/>
        <v>83.333333333333329</v>
      </c>
      <c r="L12" s="314">
        <v>18</v>
      </c>
      <c r="M12" s="305">
        <f>AVERAGE(M9:M11)</f>
        <v>1435.2421331948892</v>
      </c>
      <c r="N12" s="304">
        <f t="shared" si="3"/>
        <v>79.735674066382728</v>
      </c>
      <c r="O12" s="306">
        <f t="shared" si="4"/>
        <v>0</v>
      </c>
      <c r="P12" s="307">
        <f t="shared" si="5"/>
        <v>-3.5976592669506005</v>
      </c>
      <c r="Q12" s="344">
        <f t="shared" si="6"/>
        <v>0.95682808879659276</v>
      </c>
      <c r="R12" s="571"/>
      <c r="S12" s="308"/>
      <c r="T12" s="308"/>
      <c r="U12" s="304"/>
      <c r="V12" s="341"/>
      <c r="W12" s="304"/>
      <c r="X12" s="304"/>
      <c r="Y12" s="570"/>
      <c r="Z12" s="570"/>
      <c r="AA12" s="306">
        <f t="shared" si="8"/>
        <v>-64.75786680511078</v>
      </c>
      <c r="AB12" s="344">
        <f t="shared" si="9"/>
        <v>0.95682808879659287</v>
      </c>
      <c r="AC12" s="571"/>
    </row>
    <row r="13" spans="1:29" ht="16.5" customHeight="1">
      <c r="A13" s="596" t="s">
        <v>1501</v>
      </c>
      <c r="B13" s="340" t="s">
        <v>43</v>
      </c>
      <c r="C13" s="590" t="s">
        <v>44</v>
      </c>
      <c r="D13" s="590"/>
      <c r="E13" s="300">
        <v>41</v>
      </c>
      <c r="F13" s="340">
        <v>2246</v>
      </c>
      <c r="G13" s="339">
        <f t="shared" ref="G13:G17" si="15">E13*F13</f>
        <v>92086</v>
      </c>
      <c r="H13" s="301" t="s">
        <v>35</v>
      </c>
      <c r="I13" s="342">
        <v>26</v>
      </c>
      <c r="J13" s="303">
        <v>1500</v>
      </c>
      <c r="K13" s="304">
        <f t="shared" si="1"/>
        <v>57.692307692307693</v>
      </c>
      <c r="L13" s="342">
        <v>26</v>
      </c>
      <c r="M13" s="305">
        <f t="shared" ref="M13:M17" si="16">F13/V13*60</f>
        <v>1433.6170212765956</v>
      </c>
      <c r="N13" s="304">
        <f t="shared" si="3"/>
        <v>55.139116202945985</v>
      </c>
      <c r="O13" s="306">
        <f t="shared" si="4"/>
        <v>0</v>
      </c>
      <c r="P13" s="307">
        <f t="shared" si="5"/>
        <v>-2.5531914893617085</v>
      </c>
      <c r="Q13" s="344">
        <f t="shared" si="6"/>
        <v>0.95574468085106368</v>
      </c>
      <c r="R13" s="571">
        <f>Q18</f>
        <v>0.95482730445058595</v>
      </c>
      <c r="S13" s="308">
        <v>8.3333333333333329E-2</v>
      </c>
      <c r="T13" s="308">
        <v>0.14861111111111111</v>
      </c>
      <c r="U13" s="339"/>
      <c r="V13" s="341">
        <f t="shared" ref="V13:V17" si="17">(T13-S13)*24*60</f>
        <v>94.000000000000014</v>
      </c>
      <c r="W13" s="310">
        <f>T13</f>
        <v>0.14861111111111111</v>
      </c>
      <c r="X13" s="310">
        <f>S14</f>
        <v>0.16736111111111113</v>
      </c>
      <c r="Y13" s="570"/>
      <c r="Z13" s="570"/>
      <c r="AA13" s="306">
        <f t="shared" si="8"/>
        <v>-66.382978723404449</v>
      </c>
      <c r="AB13" s="344">
        <f t="shared" si="9"/>
        <v>0.95574468085106368</v>
      </c>
      <c r="AC13" s="571">
        <f>AB18</f>
        <v>0.95482730445058595</v>
      </c>
    </row>
    <row r="14" spans="1:29" ht="16.5" customHeight="1">
      <c r="A14" s="597" t="s">
        <v>1502</v>
      </c>
      <c r="B14" s="340" t="s">
        <v>40</v>
      </c>
      <c r="C14" s="590" t="s">
        <v>45</v>
      </c>
      <c r="D14" s="590"/>
      <c r="E14" s="300">
        <v>39.619999999999997</v>
      </c>
      <c r="F14" s="340">
        <v>5372</v>
      </c>
      <c r="G14" s="339">
        <f t="shared" si="15"/>
        <v>212838.63999999998</v>
      </c>
      <c r="H14" s="301" t="s">
        <v>35</v>
      </c>
      <c r="I14" s="342">
        <v>19</v>
      </c>
      <c r="J14" s="303">
        <v>1500</v>
      </c>
      <c r="K14" s="304">
        <f t="shared" si="1"/>
        <v>78.94736842105263</v>
      </c>
      <c r="L14" s="342">
        <v>19</v>
      </c>
      <c r="M14" s="305">
        <f t="shared" si="16"/>
        <v>1432.5333333333333</v>
      </c>
      <c r="N14" s="304">
        <f t="shared" si="3"/>
        <v>75.396491228070175</v>
      </c>
      <c r="O14" s="306">
        <f t="shared" si="4"/>
        <v>0</v>
      </c>
      <c r="P14" s="307">
        <f t="shared" si="5"/>
        <v>-3.5508771929824547</v>
      </c>
      <c r="Q14" s="344">
        <f t="shared" si="6"/>
        <v>0.95502222222222222</v>
      </c>
      <c r="R14" s="571"/>
      <c r="S14" s="308">
        <v>0.16736111111111113</v>
      </c>
      <c r="T14" s="308">
        <v>0.32361111111111113</v>
      </c>
      <c r="U14" s="339">
        <f t="shared" ref="U14:U17" si="18">IF(S14=TIME(17,0,0),"",(S14-T13)*24*60)</f>
        <v>27.000000000000025</v>
      </c>
      <c r="V14" s="341">
        <f t="shared" si="17"/>
        <v>225</v>
      </c>
      <c r="W14" s="310"/>
      <c r="X14" s="310"/>
      <c r="Y14" s="570"/>
      <c r="Z14" s="570"/>
      <c r="AA14" s="306">
        <f t="shared" si="8"/>
        <v>-67.466666666666697</v>
      </c>
      <c r="AB14" s="344">
        <f t="shared" si="9"/>
        <v>0.95502222222222222</v>
      </c>
      <c r="AC14" s="571"/>
    </row>
    <row r="15" spans="1:29" ht="16.5" customHeight="1">
      <c r="A15" s="597" t="s">
        <v>1503</v>
      </c>
      <c r="B15" s="340" t="s">
        <v>1182</v>
      </c>
      <c r="C15" s="590" t="s">
        <v>1041</v>
      </c>
      <c r="D15" s="590"/>
      <c r="E15" s="300">
        <v>57.3</v>
      </c>
      <c r="F15" s="340">
        <v>2636</v>
      </c>
      <c r="G15" s="339">
        <f t="shared" si="15"/>
        <v>151042.79999999999</v>
      </c>
      <c r="H15" s="301" t="s">
        <v>35</v>
      </c>
      <c r="I15" s="342">
        <v>17</v>
      </c>
      <c r="J15" s="303">
        <v>1500</v>
      </c>
      <c r="K15" s="304">
        <f t="shared" si="1"/>
        <v>88.235294117647058</v>
      </c>
      <c r="L15" s="342">
        <v>17</v>
      </c>
      <c r="M15" s="305">
        <f t="shared" si="16"/>
        <v>1437.8181818181818</v>
      </c>
      <c r="N15" s="304">
        <f t="shared" si="3"/>
        <v>84.577540106951872</v>
      </c>
      <c r="O15" s="306">
        <f t="shared" si="4"/>
        <v>0</v>
      </c>
      <c r="P15" s="307">
        <f t="shared" si="5"/>
        <v>-3.6577540106951858</v>
      </c>
      <c r="Q15" s="344">
        <f t="shared" si="6"/>
        <v>0.95854545454545459</v>
      </c>
      <c r="R15" s="571"/>
      <c r="S15" s="308">
        <v>0.32777777777777778</v>
      </c>
      <c r="T15" s="308">
        <v>0.40416666666666667</v>
      </c>
      <c r="U15" s="339">
        <f t="shared" si="18"/>
        <v>5.9999999999999787</v>
      </c>
      <c r="V15" s="341">
        <f t="shared" si="17"/>
        <v>110.00000000000001</v>
      </c>
      <c r="W15" s="310"/>
      <c r="X15" s="310"/>
      <c r="Y15" s="570"/>
      <c r="Z15" s="570"/>
      <c r="AA15" s="306">
        <f t="shared" si="8"/>
        <v>-62.181818181818244</v>
      </c>
      <c r="AB15" s="344">
        <f t="shared" si="9"/>
        <v>0.95854545454545448</v>
      </c>
      <c r="AC15" s="571"/>
    </row>
    <row r="16" spans="1:29" ht="16.5" customHeight="1">
      <c r="A16" s="597" t="s">
        <v>1501</v>
      </c>
      <c r="B16" s="340" t="s">
        <v>36</v>
      </c>
      <c r="C16" s="590" t="s">
        <v>49</v>
      </c>
      <c r="D16" s="590"/>
      <c r="E16" s="300">
        <v>50.98</v>
      </c>
      <c r="F16" s="340">
        <v>3174</v>
      </c>
      <c r="G16" s="339">
        <f t="shared" si="15"/>
        <v>161810.51999999999</v>
      </c>
      <c r="H16" s="301" t="s">
        <v>35</v>
      </c>
      <c r="I16" s="342">
        <v>16</v>
      </c>
      <c r="J16" s="303">
        <v>2000</v>
      </c>
      <c r="K16" s="304">
        <f t="shared" si="1"/>
        <v>125</v>
      </c>
      <c r="L16" s="342">
        <v>16</v>
      </c>
      <c r="M16" s="305">
        <f t="shared" si="16"/>
        <v>1904.4000000000005</v>
      </c>
      <c r="N16" s="304">
        <f t="shared" si="3"/>
        <v>119.02500000000003</v>
      </c>
      <c r="O16" s="306">
        <f t="shared" si="4"/>
        <v>0</v>
      </c>
      <c r="P16" s="307">
        <f t="shared" si="5"/>
        <v>-5.9749999999999659</v>
      </c>
      <c r="Q16" s="344">
        <f t="shared" si="6"/>
        <v>0.95220000000000027</v>
      </c>
      <c r="R16" s="571"/>
      <c r="S16" s="308">
        <v>0.70833333333333337</v>
      </c>
      <c r="T16" s="308">
        <v>0.77777777777777779</v>
      </c>
      <c r="U16" s="339" t="str">
        <f t="shared" si="18"/>
        <v/>
      </c>
      <c r="V16" s="341">
        <f t="shared" si="17"/>
        <v>99.999999999999972</v>
      </c>
      <c r="W16" s="310"/>
      <c r="X16" s="310"/>
      <c r="Y16" s="570"/>
      <c r="Z16" s="570"/>
      <c r="AA16" s="306">
        <f t="shared" si="8"/>
        <v>-95.599999999999454</v>
      </c>
      <c r="AB16" s="344">
        <f t="shared" si="9"/>
        <v>0.95220000000000027</v>
      </c>
      <c r="AC16" s="571"/>
    </row>
    <row r="17" spans="1:29" ht="16.5" customHeight="1">
      <c r="A17" s="597" t="s">
        <v>1501</v>
      </c>
      <c r="B17" s="340" t="s">
        <v>36</v>
      </c>
      <c r="C17" s="590" t="s">
        <v>50</v>
      </c>
      <c r="D17" s="590"/>
      <c r="E17" s="300">
        <v>50.92</v>
      </c>
      <c r="F17" s="340">
        <v>3402</v>
      </c>
      <c r="G17" s="339">
        <f t="shared" si="15"/>
        <v>173229.84</v>
      </c>
      <c r="H17" s="301" t="s">
        <v>35</v>
      </c>
      <c r="I17" s="342">
        <v>15</v>
      </c>
      <c r="J17" s="303">
        <v>2000</v>
      </c>
      <c r="K17" s="304">
        <f t="shared" si="1"/>
        <v>133.33333333333334</v>
      </c>
      <c r="L17" s="342">
        <v>15</v>
      </c>
      <c r="M17" s="305">
        <f t="shared" si="16"/>
        <v>1907.6635514018703</v>
      </c>
      <c r="N17" s="304">
        <f t="shared" si="3"/>
        <v>127.17757009345802</v>
      </c>
      <c r="O17" s="306">
        <f t="shared" si="4"/>
        <v>0</v>
      </c>
      <c r="P17" s="307">
        <f t="shared" si="5"/>
        <v>-6.155763239875327</v>
      </c>
      <c r="Q17" s="344">
        <f t="shared" si="6"/>
        <v>0.95383177570093503</v>
      </c>
      <c r="R17" s="571"/>
      <c r="S17" s="308">
        <v>0.78194444444444444</v>
      </c>
      <c r="T17" s="308">
        <v>0.85624999999999996</v>
      </c>
      <c r="U17" s="339">
        <f t="shared" si="18"/>
        <v>5.9999999999999787</v>
      </c>
      <c r="V17" s="341">
        <f t="shared" si="17"/>
        <v>106.99999999999994</v>
      </c>
      <c r="W17" s="310"/>
      <c r="X17" s="310"/>
      <c r="Y17" s="570"/>
      <c r="Z17" s="570"/>
      <c r="AA17" s="306">
        <f t="shared" si="8"/>
        <v>-92.336448598129664</v>
      </c>
      <c r="AB17" s="344">
        <f t="shared" si="9"/>
        <v>0.95383177570093514</v>
      </c>
      <c r="AC17" s="571"/>
    </row>
    <row r="18" spans="1:29" ht="16.5" customHeight="1">
      <c r="A18" s="597" t="s">
        <v>1502</v>
      </c>
      <c r="B18" s="300" t="s">
        <v>1504</v>
      </c>
      <c r="C18" s="572"/>
      <c r="D18" s="572"/>
      <c r="E18" s="343"/>
      <c r="F18" s="313"/>
      <c r="G18" s="304"/>
      <c r="H18" s="340"/>
      <c r="I18" s="314">
        <v>18.600000000000001</v>
      </c>
      <c r="J18" s="303">
        <v>1700</v>
      </c>
      <c r="K18" s="304">
        <f t="shared" si="1"/>
        <v>91.397849462365585</v>
      </c>
      <c r="L18" s="314">
        <v>18.600000000000001</v>
      </c>
      <c r="M18" s="305">
        <f>AVERAGE(M13:M17)</f>
        <v>1623.2064175659962</v>
      </c>
      <c r="N18" s="304">
        <f t="shared" si="3"/>
        <v>87.26916223473097</v>
      </c>
      <c r="O18" s="306">
        <f t="shared" si="4"/>
        <v>0</v>
      </c>
      <c r="P18" s="307">
        <f t="shared" si="5"/>
        <v>-4.1286872276346145</v>
      </c>
      <c r="Q18" s="344">
        <f t="shared" si="6"/>
        <v>0.95482730445058595</v>
      </c>
      <c r="R18" s="571"/>
      <c r="S18" s="308"/>
      <c r="T18" s="308"/>
      <c r="U18" s="339"/>
      <c r="V18" s="341"/>
      <c r="W18" s="304"/>
      <c r="X18" s="304"/>
      <c r="Y18" s="570"/>
      <c r="Z18" s="570"/>
      <c r="AA18" s="306">
        <f t="shared" si="8"/>
        <v>-76.793582434003838</v>
      </c>
      <c r="AB18" s="344">
        <f t="shared" si="9"/>
        <v>0.95482730445058595</v>
      </c>
      <c r="AC18" s="571"/>
    </row>
    <row r="19" spans="1:29" ht="15.75" customHeight="1">
      <c r="A19" s="592" t="s">
        <v>1505</v>
      </c>
      <c r="B19" s="300" t="s">
        <v>43</v>
      </c>
      <c r="C19" s="590" t="s">
        <v>51</v>
      </c>
      <c r="D19" s="590"/>
      <c r="E19" s="300">
        <v>43.14</v>
      </c>
      <c r="F19" s="340">
        <v>1444</v>
      </c>
      <c r="G19" s="339">
        <f t="shared" ref="G19:G22" si="19">E19*F19</f>
        <v>62294.16</v>
      </c>
      <c r="H19" s="301" t="s">
        <v>35</v>
      </c>
      <c r="I19" s="342">
        <v>17</v>
      </c>
      <c r="J19" s="303">
        <v>2000</v>
      </c>
      <c r="K19" s="304">
        <f t="shared" si="1"/>
        <v>117.64705882352941</v>
      </c>
      <c r="L19" s="342">
        <v>17</v>
      </c>
      <c r="M19" s="305">
        <f t="shared" ref="M19:M22" si="20">F19/V19*60</f>
        <v>1925.3333333333333</v>
      </c>
      <c r="N19" s="304">
        <f t="shared" si="3"/>
        <v>113.25490196078431</v>
      </c>
      <c r="O19" s="306">
        <f t="shared" si="4"/>
        <v>0</v>
      </c>
      <c r="P19" s="307">
        <f t="shared" si="5"/>
        <v>-4.3921568627450966</v>
      </c>
      <c r="Q19" s="344">
        <f t="shared" si="6"/>
        <v>0.96266666666666667</v>
      </c>
      <c r="R19" s="571">
        <f>Q23</f>
        <v>0.95729865219936117</v>
      </c>
      <c r="S19" s="308">
        <v>0.20833333333333334</v>
      </c>
      <c r="T19" s="308">
        <v>0.23958333333333334</v>
      </c>
      <c r="U19" s="339"/>
      <c r="V19" s="341">
        <f t="shared" ref="V19:V22" si="21">(T19-S19)*24*60</f>
        <v>45</v>
      </c>
      <c r="W19" s="315"/>
      <c r="X19" s="315"/>
      <c r="Y19" s="570"/>
      <c r="Z19" s="570"/>
      <c r="AA19" s="306">
        <f t="shared" si="8"/>
        <v>-74.666666666666742</v>
      </c>
      <c r="AB19" s="344">
        <f t="shared" si="9"/>
        <v>0.96266666666666667</v>
      </c>
      <c r="AC19" s="571">
        <f>AB23</f>
        <v>0.95729865219936117</v>
      </c>
    </row>
    <row r="20" spans="1:29" ht="15.75" customHeight="1">
      <c r="A20" s="593" t="s">
        <v>1506</v>
      </c>
      <c r="B20" s="300" t="s">
        <v>36</v>
      </c>
      <c r="C20" s="590" t="s">
        <v>53</v>
      </c>
      <c r="D20" s="590"/>
      <c r="E20" s="300">
        <v>53.68</v>
      </c>
      <c r="F20" s="340">
        <v>2143</v>
      </c>
      <c r="G20" s="339">
        <f t="shared" si="19"/>
        <v>115036.24</v>
      </c>
      <c r="H20" s="301" t="s">
        <v>35</v>
      </c>
      <c r="I20" s="342">
        <v>16</v>
      </c>
      <c r="J20" s="303">
        <v>2000</v>
      </c>
      <c r="K20" s="304">
        <f t="shared" si="1"/>
        <v>125</v>
      </c>
      <c r="L20" s="342">
        <v>16</v>
      </c>
      <c r="M20" s="305">
        <f t="shared" si="20"/>
        <v>1919.1044776119402</v>
      </c>
      <c r="N20" s="304">
        <f t="shared" si="3"/>
        <v>119.94402985074626</v>
      </c>
      <c r="O20" s="306">
        <f t="shared" si="4"/>
        <v>0</v>
      </c>
      <c r="P20" s="307">
        <f t="shared" si="5"/>
        <v>-5.0559701492537386</v>
      </c>
      <c r="Q20" s="344">
        <f t="shared" si="6"/>
        <v>0.95955223880597007</v>
      </c>
      <c r="R20" s="571"/>
      <c r="S20" s="308">
        <v>0.24375000000000002</v>
      </c>
      <c r="T20" s="308">
        <v>0.2902777777777778</v>
      </c>
      <c r="U20" s="339">
        <f t="shared" ref="U20:U22" si="22">IF(S20=TIME(17,0,0),"",(S20-T19)*24*60)</f>
        <v>6.0000000000000187</v>
      </c>
      <c r="V20" s="341">
        <f t="shared" si="21"/>
        <v>67</v>
      </c>
      <c r="W20" s="310"/>
      <c r="X20" s="339"/>
      <c r="Y20" s="570"/>
      <c r="Z20" s="570"/>
      <c r="AA20" s="306">
        <f t="shared" si="8"/>
        <v>-80.895522388059817</v>
      </c>
      <c r="AB20" s="344">
        <f t="shared" si="9"/>
        <v>0.95955223880597007</v>
      </c>
      <c r="AC20" s="571"/>
    </row>
    <row r="21" spans="1:29" ht="15.75" customHeight="1">
      <c r="A21" s="593" t="s">
        <v>1506</v>
      </c>
      <c r="B21" s="300" t="s">
        <v>36</v>
      </c>
      <c r="C21" s="590" t="s">
        <v>52</v>
      </c>
      <c r="D21" s="590"/>
      <c r="E21" s="300">
        <v>57.73</v>
      </c>
      <c r="F21" s="340">
        <v>3243</v>
      </c>
      <c r="G21" s="339">
        <f t="shared" si="19"/>
        <v>187218.38999999998</v>
      </c>
      <c r="H21" s="301" t="s">
        <v>35</v>
      </c>
      <c r="I21" s="342">
        <v>15</v>
      </c>
      <c r="J21" s="303">
        <v>2000</v>
      </c>
      <c r="K21" s="304">
        <f t="shared" si="1"/>
        <v>133.33333333333334</v>
      </c>
      <c r="L21" s="342">
        <v>15</v>
      </c>
      <c r="M21" s="305">
        <f t="shared" si="20"/>
        <v>1907.6470588235288</v>
      </c>
      <c r="N21" s="304">
        <f t="shared" si="3"/>
        <v>127.17647058823526</v>
      </c>
      <c r="O21" s="306">
        <f t="shared" si="4"/>
        <v>0</v>
      </c>
      <c r="P21" s="307">
        <f t="shared" si="5"/>
        <v>-6.1568627450980813</v>
      </c>
      <c r="Q21" s="344">
        <f t="shared" si="6"/>
        <v>0.9538235294117644</v>
      </c>
      <c r="R21" s="571"/>
      <c r="S21" s="308">
        <v>0.2951388888888889</v>
      </c>
      <c r="T21" s="308">
        <v>0.36597222222222225</v>
      </c>
      <c r="U21" s="339">
        <f t="shared" si="22"/>
        <v>6.9999999999999751</v>
      </c>
      <c r="V21" s="341">
        <f t="shared" si="21"/>
        <v>102.00000000000004</v>
      </c>
      <c r="W21" s="310"/>
      <c r="X21" s="339"/>
      <c r="Y21" s="570"/>
      <c r="Z21" s="570"/>
      <c r="AA21" s="306">
        <f t="shared" si="8"/>
        <v>-92.352941176471177</v>
      </c>
      <c r="AB21" s="344">
        <f t="shared" si="9"/>
        <v>0.9538235294117644</v>
      </c>
      <c r="AC21" s="571"/>
    </row>
    <row r="22" spans="1:29" ht="15.75" customHeight="1">
      <c r="A22" s="593" t="s">
        <v>1506</v>
      </c>
      <c r="B22" s="300" t="s">
        <v>36</v>
      </c>
      <c r="C22" s="590" t="s">
        <v>55</v>
      </c>
      <c r="D22" s="590"/>
      <c r="E22" s="300">
        <v>54.09</v>
      </c>
      <c r="F22" s="340">
        <v>2923</v>
      </c>
      <c r="G22" s="339">
        <f t="shared" si="19"/>
        <v>158105.07</v>
      </c>
      <c r="H22" s="301" t="s">
        <v>35</v>
      </c>
      <c r="I22" s="342">
        <v>19</v>
      </c>
      <c r="J22" s="303">
        <v>2000</v>
      </c>
      <c r="K22" s="304">
        <f t="shared" si="1"/>
        <v>105.26315789473684</v>
      </c>
      <c r="L22" s="342">
        <v>19</v>
      </c>
      <c r="M22" s="305">
        <f t="shared" si="20"/>
        <v>1906.304347826087</v>
      </c>
      <c r="N22" s="304">
        <f t="shared" si="3"/>
        <v>100.33180778032037</v>
      </c>
      <c r="O22" s="306">
        <f t="shared" si="4"/>
        <v>0</v>
      </c>
      <c r="P22" s="307">
        <f t="shared" si="5"/>
        <v>-4.9313501144164604</v>
      </c>
      <c r="Q22" s="344">
        <f t="shared" si="6"/>
        <v>0.95315217391304363</v>
      </c>
      <c r="R22" s="571"/>
      <c r="S22" s="308">
        <v>0.70833333333333337</v>
      </c>
      <c r="T22" s="308">
        <v>0.77222222222222225</v>
      </c>
      <c r="U22" s="339" t="str">
        <f t="shared" si="22"/>
        <v/>
      </c>
      <c r="V22" s="341">
        <f t="shared" si="21"/>
        <v>92</v>
      </c>
      <c r="W22" s="310"/>
      <c r="X22" s="339"/>
      <c r="Y22" s="570"/>
      <c r="Z22" s="570"/>
      <c r="AA22" s="306">
        <f t="shared" si="8"/>
        <v>-93.695652173913004</v>
      </c>
      <c r="AB22" s="344">
        <f t="shared" si="9"/>
        <v>0.95315217391304352</v>
      </c>
      <c r="AC22" s="571"/>
    </row>
    <row r="23" spans="1:29" ht="15.75" customHeight="1">
      <c r="A23" s="593" t="s">
        <v>1506</v>
      </c>
      <c r="B23" s="300" t="s">
        <v>1507</v>
      </c>
      <c r="C23" s="572"/>
      <c r="D23" s="572"/>
      <c r="E23" s="343"/>
      <c r="F23" s="340"/>
      <c r="G23" s="339"/>
      <c r="H23" s="340"/>
      <c r="I23" s="314">
        <v>16.75</v>
      </c>
      <c r="J23" s="303">
        <v>2000</v>
      </c>
      <c r="K23" s="304">
        <f t="shared" si="1"/>
        <v>119.40298507462687</v>
      </c>
      <c r="L23" s="314">
        <v>16.75</v>
      </c>
      <c r="M23" s="305">
        <f>AVERAGE(M19:M22)</f>
        <v>1914.5973043987224</v>
      </c>
      <c r="N23" s="304">
        <f t="shared" si="3"/>
        <v>114.30431668052074</v>
      </c>
      <c r="O23" s="306">
        <f t="shared" si="4"/>
        <v>0</v>
      </c>
      <c r="P23" s="307">
        <f t="shared" si="5"/>
        <v>-5.0986683941061273</v>
      </c>
      <c r="Q23" s="344">
        <f t="shared" si="6"/>
        <v>0.95729865219936117</v>
      </c>
      <c r="R23" s="571"/>
      <c r="S23" s="308"/>
      <c r="T23" s="308"/>
      <c r="U23" s="304"/>
      <c r="V23" s="341"/>
      <c r="W23" s="304"/>
      <c r="X23" s="304"/>
      <c r="Y23" s="570"/>
      <c r="Z23" s="570"/>
      <c r="AA23" s="306">
        <f t="shared" si="8"/>
        <v>-85.402695601277628</v>
      </c>
      <c r="AB23" s="344">
        <f t="shared" si="9"/>
        <v>0.95729865219936117</v>
      </c>
      <c r="AC23" s="571"/>
    </row>
    <row r="24" spans="1:29" ht="15.75" customHeight="1">
      <c r="A24" s="591" t="s">
        <v>1508</v>
      </c>
      <c r="B24" s="300" t="s">
        <v>46</v>
      </c>
      <c r="C24" s="590" t="s">
        <v>61</v>
      </c>
      <c r="D24" s="590"/>
      <c r="E24" s="300">
        <v>31.29</v>
      </c>
      <c r="F24" s="340">
        <v>4600</v>
      </c>
      <c r="G24" s="339">
        <f t="shared" ref="G24:G31" si="23">E24*F24</f>
        <v>143934</v>
      </c>
      <c r="H24" s="301">
        <v>2</v>
      </c>
      <c r="I24" s="342">
        <v>18</v>
      </c>
      <c r="J24" s="303">
        <v>2400</v>
      </c>
      <c r="K24" s="304">
        <f t="shared" si="1"/>
        <v>133.33333333333334</v>
      </c>
      <c r="L24" s="342">
        <v>18</v>
      </c>
      <c r="M24" s="305">
        <f t="shared" ref="M24:M31" si="24">F24/V24*60</f>
        <v>2300</v>
      </c>
      <c r="N24" s="304">
        <f t="shared" si="3"/>
        <v>127.77777777777777</v>
      </c>
      <c r="O24" s="306">
        <f t="shared" si="4"/>
        <v>0</v>
      </c>
      <c r="P24" s="307">
        <f t="shared" si="5"/>
        <v>-5.5555555555555713</v>
      </c>
      <c r="Q24" s="344">
        <f t="shared" si="6"/>
        <v>0.95833333333333326</v>
      </c>
      <c r="R24" s="571">
        <f>Q32</f>
        <v>0.95699661754385101</v>
      </c>
      <c r="S24" s="308">
        <v>8.3333333333333329E-2</v>
      </c>
      <c r="T24" s="308">
        <v>0.16666666666666666</v>
      </c>
      <c r="U24" s="339"/>
      <c r="V24" s="341">
        <f t="shared" ref="V24:V31" si="25">(T24-S24)*24*60</f>
        <v>120</v>
      </c>
      <c r="W24" s="310"/>
      <c r="X24" s="310"/>
      <c r="Y24" s="570"/>
      <c r="Z24" s="570"/>
      <c r="AA24" s="306">
        <f t="shared" si="8"/>
        <v>-100</v>
      </c>
      <c r="AB24" s="344">
        <f t="shared" si="9"/>
        <v>0.95833333333333337</v>
      </c>
      <c r="AC24" s="571">
        <f>AB32</f>
        <v>0.95699661754385112</v>
      </c>
    </row>
    <row r="25" spans="1:29" ht="15.75" customHeight="1">
      <c r="A25" s="591" t="s">
        <v>1509</v>
      </c>
      <c r="B25" s="300" t="s">
        <v>46</v>
      </c>
      <c r="C25" s="590" t="s">
        <v>59</v>
      </c>
      <c r="D25" s="590"/>
      <c r="E25" s="300">
        <v>26.18</v>
      </c>
      <c r="F25" s="340">
        <v>4397</v>
      </c>
      <c r="G25" s="339">
        <f t="shared" si="23"/>
        <v>115113.45999999999</v>
      </c>
      <c r="H25" s="301" t="s">
        <v>35</v>
      </c>
      <c r="I25" s="342">
        <v>19</v>
      </c>
      <c r="J25" s="303">
        <v>2400</v>
      </c>
      <c r="K25" s="304">
        <f t="shared" si="1"/>
        <v>126.31578947368421</v>
      </c>
      <c r="L25" s="342">
        <v>19</v>
      </c>
      <c r="M25" s="305">
        <f t="shared" si="24"/>
        <v>2294.0869565217395</v>
      </c>
      <c r="N25" s="304">
        <f t="shared" si="3"/>
        <v>120.74141876430208</v>
      </c>
      <c r="O25" s="306">
        <f t="shared" si="4"/>
        <v>0</v>
      </c>
      <c r="P25" s="307">
        <f t="shared" si="5"/>
        <v>-5.5743707093821229</v>
      </c>
      <c r="Q25" s="344">
        <f t="shared" si="6"/>
        <v>0.95586956521739153</v>
      </c>
      <c r="R25" s="571"/>
      <c r="S25" s="308">
        <v>0.17152777777777778</v>
      </c>
      <c r="T25" s="308">
        <v>0.25138888888888888</v>
      </c>
      <c r="U25" s="339">
        <f t="shared" ref="U25:U31" si="26">(S25-T24)*24*60</f>
        <v>7.0000000000000151</v>
      </c>
      <c r="V25" s="341">
        <f t="shared" si="25"/>
        <v>114.99999999999999</v>
      </c>
      <c r="W25" s="310">
        <f>T25</f>
        <v>0.25138888888888888</v>
      </c>
      <c r="X25" s="310">
        <f>S26</f>
        <v>0.26874999999999999</v>
      </c>
      <c r="Y25" s="570"/>
      <c r="Z25" s="570"/>
      <c r="AA25" s="306">
        <f t="shared" si="8"/>
        <v>-105.91304347826053</v>
      </c>
      <c r="AB25" s="344">
        <f t="shared" si="9"/>
        <v>0.95586956521739141</v>
      </c>
      <c r="AC25" s="571"/>
    </row>
    <row r="26" spans="1:29" ht="15.75" customHeight="1">
      <c r="A26" s="591" t="s">
        <v>1509</v>
      </c>
      <c r="B26" s="300" t="s">
        <v>46</v>
      </c>
      <c r="C26" s="590" t="s">
        <v>60</v>
      </c>
      <c r="D26" s="590"/>
      <c r="E26" s="300">
        <v>26.2</v>
      </c>
      <c r="F26" s="340">
        <v>3500</v>
      </c>
      <c r="G26" s="339">
        <f t="shared" si="23"/>
        <v>91700</v>
      </c>
      <c r="H26" s="301">
        <v>2</v>
      </c>
      <c r="I26" s="342">
        <v>19</v>
      </c>
      <c r="J26" s="303">
        <v>2400</v>
      </c>
      <c r="K26" s="304">
        <f t="shared" si="1"/>
        <v>126.31578947368421</v>
      </c>
      <c r="L26" s="342">
        <v>19</v>
      </c>
      <c r="M26" s="305">
        <f t="shared" si="24"/>
        <v>2307.6923076923076</v>
      </c>
      <c r="N26" s="304">
        <f t="shared" si="3"/>
        <v>121.4574898785425</v>
      </c>
      <c r="O26" s="306">
        <f t="shared" si="4"/>
        <v>0</v>
      </c>
      <c r="P26" s="307">
        <f t="shared" si="5"/>
        <v>-4.8582995951417018</v>
      </c>
      <c r="Q26" s="344">
        <f t="shared" si="6"/>
        <v>0.96153846153846156</v>
      </c>
      <c r="R26" s="571"/>
      <c r="S26" s="308">
        <v>0.26874999999999999</v>
      </c>
      <c r="T26" s="308">
        <v>0.33194444444444443</v>
      </c>
      <c r="U26" s="339">
        <f t="shared" si="26"/>
        <v>24.999999999999993</v>
      </c>
      <c r="V26" s="341">
        <f t="shared" si="25"/>
        <v>91</v>
      </c>
      <c r="W26" s="310"/>
      <c r="X26" s="310"/>
      <c r="Y26" s="570"/>
      <c r="Z26" s="570"/>
      <c r="AA26" s="306">
        <f t="shared" si="8"/>
        <v>-92.307692307692378</v>
      </c>
      <c r="AB26" s="344">
        <f t="shared" si="9"/>
        <v>0.96153846153846156</v>
      </c>
      <c r="AC26" s="571"/>
    </row>
    <row r="27" spans="1:29" ht="15.75" customHeight="1">
      <c r="A27" s="591" t="s">
        <v>1509</v>
      </c>
      <c r="B27" s="300" t="s">
        <v>46</v>
      </c>
      <c r="C27" s="590" t="s">
        <v>56</v>
      </c>
      <c r="D27" s="590"/>
      <c r="E27" s="300">
        <v>26.2</v>
      </c>
      <c r="F27" s="340">
        <v>3600</v>
      </c>
      <c r="G27" s="339">
        <f t="shared" si="23"/>
        <v>94320</v>
      </c>
      <c r="H27" s="301">
        <v>2</v>
      </c>
      <c r="I27" s="342">
        <v>20</v>
      </c>
      <c r="J27" s="303">
        <v>2400</v>
      </c>
      <c r="K27" s="304">
        <f t="shared" si="1"/>
        <v>120</v>
      </c>
      <c r="L27" s="342">
        <v>20</v>
      </c>
      <c r="M27" s="305">
        <f t="shared" si="24"/>
        <v>2297.872340425532</v>
      </c>
      <c r="N27" s="304">
        <f t="shared" si="3"/>
        <v>114.8936170212766</v>
      </c>
      <c r="O27" s="306">
        <f t="shared" si="4"/>
        <v>0</v>
      </c>
      <c r="P27" s="307">
        <f t="shared" si="5"/>
        <v>-5.1063829787234027</v>
      </c>
      <c r="Q27" s="344">
        <f t="shared" si="6"/>
        <v>0.95744680851063835</v>
      </c>
      <c r="R27" s="571"/>
      <c r="S27" s="308">
        <v>0.33680555555555552</v>
      </c>
      <c r="T27" s="308">
        <v>0.40208333333333329</v>
      </c>
      <c r="U27" s="339">
        <f t="shared" si="26"/>
        <v>6.9999999999999751</v>
      </c>
      <c r="V27" s="341">
        <f t="shared" si="25"/>
        <v>93.999999999999986</v>
      </c>
      <c r="W27" s="310"/>
      <c r="X27" s="310"/>
      <c r="Y27" s="570"/>
      <c r="Z27" s="570"/>
      <c r="AA27" s="306">
        <f t="shared" si="8"/>
        <v>-102.127659574468</v>
      </c>
      <c r="AB27" s="344">
        <f t="shared" si="9"/>
        <v>0.95744680851063835</v>
      </c>
      <c r="AC27" s="571"/>
    </row>
    <row r="28" spans="1:29" ht="15.75" customHeight="1">
      <c r="A28" s="591" t="s">
        <v>1508</v>
      </c>
      <c r="B28" s="300" t="s">
        <v>46</v>
      </c>
      <c r="C28" s="590" t="s">
        <v>62</v>
      </c>
      <c r="D28" s="590"/>
      <c r="E28" s="300">
        <v>25</v>
      </c>
      <c r="F28" s="340">
        <v>5325</v>
      </c>
      <c r="G28" s="339">
        <f t="shared" si="23"/>
        <v>133125</v>
      </c>
      <c r="H28" s="301" t="s">
        <v>35</v>
      </c>
      <c r="I28" s="342">
        <v>15</v>
      </c>
      <c r="J28" s="303">
        <v>2400</v>
      </c>
      <c r="K28" s="304">
        <f t="shared" si="1"/>
        <v>160</v>
      </c>
      <c r="L28" s="342">
        <v>15</v>
      </c>
      <c r="M28" s="305">
        <f t="shared" si="24"/>
        <v>2298.5611510791355</v>
      </c>
      <c r="N28" s="304">
        <f t="shared" si="3"/>
        <v>153.23741007194238</v>
      </c>
      <c r="O28" s="306">
        <f t="shared" si="4"/>
        <v>0</v>
      </c>
      <c r="P28" s="307">
        <f t="shared" si="5"/>
        <v>-6.762589928057622</v>
      </c>
      <c r="Q28" s="344">
        <f t="shared" si="6"/>
        <v>0.95773381294963988</v>
      </c>
      <c r="R28" s="571"/>
      <c r="S28" s="308">
        <v>0.40624999999999994</v>
      </c>
      <c r="T28" s="308">
        <v>0.50277777777777777</v>
      </c>
      <c r="U28" s="339">
        <f t="shared" si="26"/>
        <v>5.9999999999999787</v>
      </c>
      <c r="V28" s="341">
        <f t="shared" si="25"/>
        <v>139.00000000000006</v>
      </c>
      <c r="W28" s="310">
        <f>T28</f>
        <v>0.50277777777777777</v>
      </c>
      <c r="X28" s="310">
        <f>S29</f>
        <v>0.5444444444444444</v>
      </c>
      <c r="Y28" s="570"/>
      <c r="Z28" s="570"/>
      <c r="AA28" s="306">
        <f t="shared" si="8"/>
        <v>-101.43884892086453</v>
      </c>
      <c r="AB28" s="344">
        <f t="shared" si="9"/>
        <v>0.95773381294963977</v>
      </c>
      <c r="AC28" s="571"/>
    </row>
    <row r="29" spans="1:29" ht="15.75" customHeight="1">
      <c r="A29" s="591" t="s">
        <v>28</v>
      </c>
      <c r="B29" s="300" t="s">
        <v>46</v>
      </c>
      <c r="C29" s="590" t="s">
        <v>61</v>
      </c>
      <c r="D29" s="590"/>
      <c r="E29" s="300">
        <v>31.29</v>
      </c>
      <c r="F29" s="340">
        <v>6545</v>
      </c>
      <c r="G29" s="339">
        <f t="shared" si="23"/>
        <v>204793.05</v>
      </c>
      <c r="H29" s="301" t="s">
        <v>35</v>
      </c>
      <c r="I29" s="342">
        <v>18</v>
      </c>
      <c r="J29" s="303">
        <v>2400</v>
      </c>
      <c r="K29" s="304">
        <f t="shared" si="1"/>
        <v>133.33333333333334</v>
      </c>
      <c r="L29" s="342">
        <v>18</v>
      </c>
      <c r="M29" s="305">
        <f t="shared" si="24"/>
        <v>2283.1395348837204</v>
      </c>
      <c r="N29" s="304">
        <f t="shared" si="3"/>
        <v>126.84108527131781</v>
      </c>
      <c r="O29" s="306">
        <f t="shared" si="4"/>
        <v>0</v>
      </c>
      <c r="P29" s="307">
        <f t="shared" si="5"/>
        <v>-6.4922480620155341</v>
      </c>
      <c r="Q29" s="344">
        <f t="shared" si="6"/>
        <v>0.95130813953488347</v>
      </c>
      <c r="R29" s="571"/>
      <c r="S29" s="308">
        <v>0.5444444444444444</v>
      </c>
      <c r="T29" s="308">
        <v>0.66388888888888886</v>
      </c>
      <c r="U29" s="339">
        <f t="shared" si="26"/>
        <v>59.999999999999943</v>
      </c>
      <c r="V29" s="341">
        <f t="shared" si="25"/>
        <v>172.00000000000003</v>
      </c>
      <c r="W29" s="310"/>
      <c r="X29" s="310"/>
      <c r="Y29" s="570"/>
      <c r="Z29" s="570"/>
      <c r="AA29" s="306">
        <f t="shared" si="8"/>
        <v>-116.86046511627956</v>
      </c>
      <c r="AB29" s="344">
        <f t="shared" si="9"/>
        <v>0.95130813953488347</v>
      </c>
      <c r="AC29" s="571"/>
    </row>
    <row r="30" spans="1:29" ht="15.75" customHeight="1">
      <c r="A30" s="591" t="s">
        <v>1508</v>
      </c>
      <c r="B30" s="300" t="s">
        <v>46</v>
      </c>
      <c r="C30" s="590" t="s">
        <v>60</v>
      </c>
      <c r="D30" s="590"/>
      <c r="E30" s="300">
        <v>26.2</v>
      </c>
      <c r="F30" s="340">
        <v>2368</v>
      </c>
      <c r="G30" s="339">
        <f t="shared" si="23"/>
        <v>62041.599999999999</v>
      </c>
      <c r="H30" s="301" t="s">
        <v>35</v>
      </c>
      <c r="I30" s="342">
        <v>19</v>
      </c>
      <c r="J30" s="303">
        <v>2400</v>
      </c>
      <c r="K30" s="304">
        <f t="shared" si="1"/>
        <v>126.31578947368421</v>
      </c>
      <c r="L30" s="342">
        <v>19</v>
      </c>
      <c r="M30" s="305">
        <f t="shared" si="24"/>
        <v>2291.6129032258086</v>
      </c>
      <c r="N30" s="304">
        <f t="shared" si="3"/>
        <v>120.6112054329373</v>
      </c>
      <c r="O30" s="306">
        <f t="shared" si="4"/>
        <v>0</v>
      </c>
      <c r="P30" s="307">
        <f t="shared" si="5"/>
        <v>-5.7045840407469086</v>
      </c>
      <c r="Q30" s="344">
        <f t="shared" si="6"/>
        <v>0.95483870967742035</v>
      </c>
      <c r="R30" s="571"/>
      <c r="S30" s="308">
        <v>0.66736111111111107</v>
      </c>
      <c r="T30" s="308">
        <v>0.71041666666666659</v>
      </c>
      <c r="U30" s="339">
        <f t="shared" si="26"/>
        <v>4.9999999999999822</v>
      </c>
      <c r="V30" s="341">
        <f t="shared" si="25"/>
        <v>61.999999999999943</v>
      </c>
      <c r="W30" s="310"/>
      <c r="X30" s="310"/>
      <c r="Y30" s="570"/>
      <c r="Z30" s="570"/>
      <c r="AA30" s="306">
        <f t="shared" si="8"/>
        <v>-108.38709677419138</v>
      </c>
      <c r="AB30" s="344">
        <f t="shared" si="9"/>
        <v>0.95483870967742024</v>
      </c>
      <c r="AC30" s="571"/>
    </row>
    <row r="31" spans="1:29" ht="15.75" customHeight="1">
      <c r="A31" s="591" t="s">
        <v>28</v>
      </c>
      <c r="B31" s="300" t="s">
        <v>46</v>
      </c>
      <c r="C31" s="590" t="s">
        <v>56</v>
      </c>
      <c r="D31" s="590"/>
      <c r="E31" s="300">
        <v>26.2</v>
      </c>
      <c r="F31" s="340">
        <v>2800</v>
      </c>
      <c r="G31" s="339">
        <f t="shared" si="23"/>
        <v>73360</v>
      </c>
      <c r="H31" s="301" t="s">
        <v>35</v>
      </c>
      <c r="I31" s="342">
        <v>20</v>
      </c>
      <c r="J31" s="303">
        <v>2400</v>
      </c>
      <c r="K31" s="304">
        <f t="shared" si="1"/>
        <v>120</v>
      </c>
      <c r="L31" s="342">
        <v>20</v>
      </c>
      <c r="M31" s="305">
        <f t="shared" si="24"/>
        <v>2301.3698630136969</v>
      </c>
      <c r="N31" s="304">
        <f t="shared" si="3"/>
        <v>115.06849315068484</v>
      </c>
      <c r="O31" s="306">
        <f t="shared" si="4"/>
        <v>0</v>
      </c>
      <c r="P31" s="307">
        <f t="shared" si="5"/>
        <v>-4.9315068493151557</v>
      </c>
      <c r="Q31" s="344">
        <f t="shared" si="6"/>
        <v>0.95890410958904038</v>
      </c>
      <c r="R31" s="571"/>
      <c r="S31" s="308">
        <v>0.7138888888888888</v>
      </c>
      <c r="T31" s="308">
        <v>0.76458333333333328</v>
      </c>
      <c r="U31" s="339">
        <f t="shared" si="26"/>
        <v>4.9999999999999822</v>
      </c>
      <c r="V31" s="341">
        <f t="shared" si="25"/>
        <v>73.000000000000057</v>
      </c>
      <c r="W31" s="310"/>
      <c r="X31" s="310"/>
      <c r="Y31" s="570"/>
      <c r="Z31" s="570"/>
      <c r="AA31" s="306">
        <f t="shared" si="8"/>
        <v>-98.630136986303114</v>
      </c>
      <c r="AB31" s="344">
        <f t="shared" si="9"/>
        <v>0.95890410958904038</v>
      </c>
      <c r="AC31" s="571"/>
    </row>
    <row r="32" spans="1:29" ht="15.75" customHeight="1">
      <c r="A32" s="591" t="s">
        <v>28</v>
      </c>
      <c r="B32" s="300" t="s">
        <v>1498</v>
      </c>
      <c r="C32" s="572"/>
      <c r="D32" s="572"/>
      <c r="E32" s="343"/>
      <c r="F32" s="340"/>
      <c r="G32" s="339"/>
      <c r="H32" s="340"/>
      <c r="I32" s="314">
        <v>18.5</v>
      </c>
      <c r="J32" s="303">
        <v>2400</v>
      </c>
      <c r="K32" s="304">
        <f t="shared" si="1"/>
        <v>129.72972972972974</v>
      </c>
      <c r="L32" s="314">
        <v>18.5</v>
      </c>
      <c r="M32" s="305">
        <f>AVERAGE(M24:M31)</f>
        <v>2296.7918821052426</v>
      </c>
      <c r="N32" s="304">
        <f t="shared" si="3"/>
        <v>124.15091254622934</v>
      </c>
      <c r="O32" s="306">
        <f t="shared" si="4"/>
        <v>0</v>
      </c>
      <c r="P32" s="307">
        <f t="shared" si="5"/>
        <v>-5.578817183500405</v>
      </c>
      <c r="Q32" s="344">
        <f t="shared" si="6"/>
        <v>0.95699661754385101</v>
      </c>
      <c r="R32" s="571"/>
      <c r="S32" s="308"/>
      <c r="T32" s="308"/>
      <c r="U32" s="339"/>
      <c r="V32" s="341"/>
      <c r="W32" s="339"/>
      <c r="X32" s="339"/>
      <c r="Y32" s="570"/>
      <c r="Z32" s="570"/>
      <c r="AA32" s="306">
        <f t="shared" si="8"/>
        <v>-103.20811789475738</v>
      </c>
      <c r="AB32" s="344">
        <f t="shared" si="9"/>
        <v>0.95699661754385112</v>
      </c>
      <c r="AC32" s="571"/>
    </row>
    <row r="33" spans="1:29" ht="15.75" customHeight="1">
      <c r="A33" s="588" t="s">
        <v>1510</v>
      </c>
      <c r="B33" s="300" t="s">
        <v>46</v>
      </c>
      <c r="C33" s="565" t="s">
        <v>63</v>
      </c>
      <c r="D33" s="565"/>
      <c r="E33" s="300">
        <v>26.2</v>
      </c>
      <c r="F33" s="340">
        <v>3300</v>
      </c>
      <c r="G33" s="339">
        <f t="shared" ref="G33:G40" si="27">E33*F33</f>
        <v>86460</v>
      </c>
      <c r="H33" s="301">
        <v>2</v>
      </c>
      <c r="I33" s="342">
        <v>18</v>
      </c>
      <c r="J33" s="303">
        <v>2400</v>
      </c>
      <c r="K33" s="304">
        <f t="shared" si="1"/>
        <v>133.33333333333334</v>
      </c>
      <c r="L33" s="342">
        <v>18</v>
      </c>
      <c r="M33" s="305">
        <f t="shared" ref="M33:M40" si="28">F33/V33*60</f>
        <v>2302.3255813953492</v>
      </c>
      <c r="N33" s="304">
        <f t="shared" si="3"/>
        <v>127.90697674418607</v>
      </c>
      <c r="O33" s="306">
        <f t="shared" si="4"/>
        <v>0</v>
      </c>
      <c r="P33" s="307">
        <f t="shared" si="5"/>
        <v>-5.4263565891472751</v>
      </c>
      <c r="Q33" s="344">
        <f t="shared" si="6"/>
        <v>0.95930232558139539</v>
      </c>
      <c r="R33" s="571">
        <f>Q41</f>
        <v>0.95472689293569368</v>
      </c>
      <c r="S33" s="308">
        <v>8.3333333333333329E-2</v>
      </c>
      <c r="T33" s="308">
        <v>0.14305555555555555</v>
      </c>
      <c r="U33" s="339"/>
      <c r="V33" s="341">
        <f t="shared" ref="V33:V40" si="29">(T33-S33)*24*60</f>
        <v>85.999999999999986</v>
      </c>
      <c r="W33" s="315">
        <f>T33</f>
        <v>0.14305555555555555</v>
      </c>
      <c r="X33" s="315">
        <f>S34</f>
        <v>0.16041666666666662</v>
      </c>
      <c r="Y33" s="570"/>
      <c r="Z33" s="570"/>
      <c r="AA33" s="306">
        <f t="shared" si="8"/>
        <v>-97.674418604650782</v>
      </c>
      <c r="AB33" s="344">
        <f t="shared" si="9"/>
        <v>0.9593023255813955</v>
      </c>
      <c r="AC33" s="571">
        <f>AB41</f>
        <v>0.95472689293569357</v>
      </c>
    </row>
    <row r="34" spans="1:29" ht="15.75" customHeight="1">
      <c r="A34" s="588" t="s">
        <v>181</v>
      </c>
      <c r="B34" s="300" t="s">
        <v>46</v>
      </c>
      <c r="C34" s="565" t="s">
        <v>64</v>
      </c>
      <c r="D34" s="565"/>
      <c r="E34" s="300">
        <v>26.39</v>
      </c>
      <c r="F34" s="340">
        <v>4700</v>
      </c>
      <c r="G34" s="339">
        <f t="shared" si="27"/>
        <v>124033</v>
      </c>
      <c r="H34" s="301">
        <v>2</v>
      </c>
      <c r="I34" s="342">
        <v>19</v>
      </c>
      <c r="J34" s="303">
        <v>2400</v>
      </c>
      <c r="K34" s="304">
        <f t="shared" si="1"/>
        <v>126.31578947368421</v>
      </c>
      <c r="L34" s="342">
        <v>19</v>
      </c>
      <c r="M34" s="305">
        <f t="shared" si="28"/>
        <v>2292.6829268292686</v>
      </c>
      <c r="N34" s="304">
        <f t="shared" si="3"/>
        <v>120.66752246469835</v>
      </c>
      <c r="O34" s="306">
        <f t="shared" si="4"/>
        <v>0</v>
      </c>
      <c r="P34" s="307">
        <f t="shared" si="5"/>
        <v>-5.6482670089858544</v>
      </c>
      <c r="Q34" s="344">
        <f t="shared" si="6"/>
        <v>0.9552845528455286</v>
      </c>
      <c r="R34" s="571"/>
      <c r="S34" s="308">
        <v>0.16041666666666662</v>
      </c>
      <c r="T34" s="308">
        <v>0.24583333333333329</v>
      </c>
      <c r="U34" s="339">
        <f t="shared" ref="U34:U40" si="30">(S34-T33)*24*60</f>
        <v>24.99999999999995</v>
      </c>
      <c r="V34" s="341">
        <f t="shared" si="29"/>
        <v>122.99999999999999</v>
      </c>
      <c r="W34" s="339"/>
      <c r="X34" s="339"/>
      <c r="Y34" s="570"/>
      <c r="Z34" s="570"/>
      <c r="AA34" s="306">
        <f t="shared" si="8"/>
        <v>-107.31707317073142</v>
      </c>
      <c r="AB34" s="344">
        <f t="shared" si="9"/>
        <v>0.9552845528455286</v>
      </c>
      <c r="AC34" s="571"/>
    </row>
    <row r="35" spans="1:29">
      <c r="A35" s="589" t="s">
        <v>1511</v>
      </c>
      <c r="B35" s="300" t="s">
        <v>46</v>
      </c>
      <c r="C35" s="565" t="s">
        <v>87</v>
      </c>
      <c r="D35" s="565"/>
      <c r="E35" s="300">
        <v>20.52</v>
      </c>
      <c r="F35" s="340">
        <v>6621</v>
      </c>
      <c r="G35" s="339">
        <f t="shared" si="27"/>
        <v>135862.91999999998</v>
      </c>
      <c r="H35" s="301" t="s">
        <v>35</v>
      </c>
      <c r="I35" s="342">
        <v>18</v>
      </c>
      <c r="J35" s="303">
        <v>2400</v>
      </c>
      <c r="K35" s="304">
        <f t="shared" si="1"/>
        <v>133.33333333333334</v>
      </c>
      <c r="L35" s="342">
        <v>18</v>
      </c>
      <c r="M35" s="305">
        <f t="shared" si="28"/>
        <v>2283.1034482758614</v>
      </c>
      <c r="N35" s="304">
        <f t="shared" si="3"/>
        <v>126.83908045977007</v>
      </c>
      <c r="O35" s="306">
        <f t="shared" si="4"/>
        <v>0</v>
      </c>
      <c r="P35" s="307">
        <f t="shared" si="5"/>
        <v>-6.4942528735632692</v>
      </c>
      <c r="Q35" s="344">
        <f t="shared" si="6"/>
        <v>0.95129310344827545</v>
      </c>
      <c r="R35" s="571"/>
      <c r="S35" s="308">
        <v>0.25069444444444439</v>
      </c>
      <c r="T35" s="308">
        <v>0.37152777777777773</v>
      </c>
      <c r="U35" s="339">
        <f t="shared" si="30"/>
        <v>6.9999999999999751</v>
      </c>
      <c r="V35" s="341">
        <f t="shared" si="29"/>
        <v>174.00000000000003</v>
      </c>
      <c r="W35" s="339"/>
      <c r="X35" s="339"/>
      <c r="Y35" s="570"/>
      <c r="Z35" s="570"/>
      <c r="AA35" s="306">
        <f t="shared" si="8"/>
        <v>-116.89655172413859</v>
      </c>
      <c r="AB35" s="344">
        <f t="shared" si="9"/>
        <v>0.95129310344827556</v>
      </c>
      <c r="AC35" s="571"/>
    </row>
    <row r="36" spans="1:29">
      <c r="A36" s="589" t="s">
        <v>181</v>
      </c>
      <c r="B36" s="300" t="s">
        <v>46</v>
      </c>
      <c r="C36" s="565" t="s">
        <v>48</v>
      </c>
      <c r="D36" s="565"/>
      <c r="E36" s="300">
        <v>22.35</v>
      </c>
      <c r="F36" s="340">
        <v>2217</v>
      </c>
      <c r="G36" s="339">
        <f t="shared" si="27"/>
        <v>49549.950000000004</v>
      </c>
      <c r="H36" s="301" t="s">
        <v>35</v>
      </c>
      <c r="I36" s="342">
        <v>16</v>
      </c>
      <c r="J36" s="303">
        <v>2400</v>
      </c>
      <c r="K36" s="304">
        <f t="shared" si="1"/>
        <v>150</v>
      </c>
      <c r="L36" s="342">
        <v>16</v>
      </c>
      <c r="M36" s="305">
        <f t="shared" si="28"/>
        <v>2293.4482758620679</v>
      </c>
      <c r="N36" s="304">
        <f t="shared" si="3"/>
        <v>143.34051724137925</v>
      </c>
      <c r="O36" s="306">
        <f t="shared" si="4"/>
        <v>0</v>
      </c>
      <c r="P36" s="307">
        <f t="shared" si="5"/>
        <v>-6.6594827586207543</v>
      </c>
      <c r="Q36" s="344">
        <f t="shared" si="6"/>
        <v>0.95560344827586163</v>
      </c>
      <c r="R36" s="571"/>
      <c r="S36" s="308">
        <v>0.37708333333333327</v>
      </c>
      <c r="T36" s="308">
        <v>0.41736111111111107</v>
      </c>
      <c r="U36" s="339">
        <f t="shared" si="30"/>
        <v>7.9999999999999716</v>
      </c>
      <c r="V36" s="341">
        <f t="shared" si="29"/>
        <v>58.000000000000036</v>
      </c>
      <c r="W36" s="310"/>
      <c r="X36" s="310"/>
      <c r="Y36" s="570"/>
      <c r="Z36" s="570"/>
      <c r="AA36" s="306">
        <f t="shared" si="8"/>
        <v>-106.55172413793207</v>
      </c>
      <c r="AB36" s="344">
        <f t="shared" si="9"/>
        <v>0.95560344827586163</v>
      </c>
      <c r="AC36" s="571"/>
    </row>
    <row r="37" spans="1:29">
      <c r="A37" s="589" t="s">
        <v>1510</v>
      </c>
      <c r="B37" s="300" t="s">
        <v>46</v>
      </c>
      <c r="C37" s="565" t="s">
        <v>65</v>
      </c>
      <c r="D37" s="565"/>
      <c r="E37" s="300">
        <v>24.43</v>
      </c>
      <c r="F37" s="340">
        <v>6000</v>
      </c>
      <c r="G37" s="339">
        <f t="shared" si="27"/>
        <v>146580</v>
      </c>
      <c r="H37" s="301">
        <v>2</v>
      </c>
      <c r="I37" s="342">
        <v>15</v>
      </c>
      <c r="J37" s="303">
        <v>2400</v>
      </c>
      <c r="K37" s="304">
        <f t="shared" si="1"/>
        <v>160</v>
      </c>
      <c r="L37" s="342">
        <v>15</v>
      </c>
      <c r="M37" s="305">
        <f t="shared" si="28"/>
        <v>2292.9936305732472</v>
      </c>
      <c r="N37" s="304">
        <f t="shared" si="3"/>
        <v>152.86624203821648</v>
      </c>
      <c r="O37" s="306">
        <f t="shared" si="4"/>
        <v>0</v>
      </c>
      <c r="P37" s="307">
        <f t="shared" si="5"/>
        <v>-7.1337579617835161</v>
      </c>
      <c r="Q37" s="344">
        <f t="shared" si="6"/>
        <v>0.95541401273885307</v>
      </c>
      <c r="R37" s="571"/>
      <c r="S37" s="308">
        <v>0.42222222222222217</v>
      </c>
      <c r="T37" s="308">
        <v>0.53125</v>
      </c>
      <c r="U37" s="339">
        <f t="shared" si="30"/>
        <v>6.9999999999999751</v>
      </c>
      <c r="V37" s="341">
        <f t="shared" si="29"/>
        <v>157.00000000000009</v>
      </c>
      <c r="W37" s="310"/>
      <c r="X37" s="310"/>
      <c r="Y37" s="570"/>
      <c r="Z37" s="570"/>
      <c r="AA37" s="306">
        <f t="shared" si="8"/>
        <v>-107.00636942675283</v>
      </c>
      <c r="AB37" s="344">
        <f t="shared" si="9"/>
        <v>0.95541401273885296</v>
      </c>
      <c r="AC37" s="571"/>
    </row>
    <row r="38" spans="1:29">
      <c r="A38" s="589" t="s">
        <v>1510</v>
      </c>
      <c r="B38" s="300" t="s">
        <v>46</v>
      </c>
      <c r="C38" s="565" t="s">
        <v>63</v>
      </c>
      <c r="D38" s="565"/>
      <c r="E38" s="300">
        <v>26.2</v>
      </c>
      <c r="F38" s="340">
        <v>5122</v>
      </c>
      <c r="G38" s="339">
        <f t="shared" si="27"/>
        <v>134196.4</v>
      </c>
      <c r="H38" s="301" t="s">
        <v>35</v>
      </c>
      <c r="I38" s="342">
        <v>18</v>
      </c>
      <c r="J38" s="303">
        <v>2400</v>
      </c>
      <c r="K38" s="304">
        <f t="shared" si="1"/>
        <v>133.33333333333334</v>
      </c>
      <c r="L38" s="342">
        <v>18</v>
      </c>
      <c r="M38" s="305">
        <f t="shared" si="28"/>
        <v>2293.4328358208954</v>
      </c>
      <c r="N38" s="304">
        <f t="shared" si="3"/>
        <v>127.41293532338308</v>
      </c>
      <c r="O38" s="306">
        <f t="shared" si="4"/>
        <v>0</v>
      </c>
      <c r="P38" s="307">
        <f t="shared" si="5"/>
        <v>-5.9203980099502616</v>
      </c>
      <c r="Q38" s="344">
        <f t="shared" si="6"/>
        <v>0.95559701492537308</v>
      </c>
      <c r="R38" s="571"/>
      <c r="S38" s="308">
        <v>0.53541666666666665</v>
      </c>
      <c r="T38" s="308">
        <v>0.62847222222222221</v>
      </c>
      <c r="U38" s="339">
        <f t="shared" si="30"/>
        <v>5.9999999999999787</v>
      </c>
      <c r="V38" s="341">
        <f t="shared" si="29"/>
        <v>134</v>
      </c>
      <c r="W38" s="310"/>
      <c r="X38" s="310"/>
      <c r="Y38" s="570"/>
      <c r="Z38" s="570"/>
      <c r="AA38" s="306">
        <f t="shared" si="8"/>
        <v>-106.56716417910457</v>
      </c>
      <c r="AB38" s="344">
        <f t="shared" si="9"/>
        <v>0.95559701492537308</v>
      </c>
      <c r="AC38" s="571"/>
    </row>
    <row r="39" spans="1:29">
      <c r="A39" s="589" t="s">
        <v>181</v>
      </c>
      <c r="B39" s="300" t="s">
        <v>46</v>
      </c>
      <c r="C39" s="565" t="s">
        <v>64</v>
      </c>
      <c r="D39" s="565"/>
      <c r="E39" s="300">
        <v>26.39</v>
      </c>
      <c r="F39" s="340">
        <v>3359</v>
      </c>
      <c r="G39" s="339">
        <f t="shared" si="27"/>
        <v>88644.01</v>
      </c>
      <c r="H39" s="301" t="s">
        <v>35</v>
      </c>
      <c r="I39" s="342">
        <v>19</v>
      </c>
      <c r="J39" s="303">
        <v>2400</v>
      </c>
      <c r="K39" s="304">
        <f t="shared" si="1"/>
        <v>126.31578947368421</v>
      </c>
      <c r="L39" s="342">
        <v>19</v>
      </c>
      <c r="M39" s="305">
        <f t="shared" si="28"/>
        <v>2290.227272727273</v>
      </c>
      <c r="N39" s="304">
        <f t="shared" si="3"/>
        <v>120.53827751196174</v>
      </c>
      <c r="O39" s="306">
        <f t="shared" si="4"/>
        <v>0</v>
      </c>
      <c r="P39" s="307">
        <f t="shared" si="5"/>
        <v>-5.7775119617224675</v>
      </c>
      <c r="Q39" s="344">
        <f t="shared" si="6"/>
        <v>0.95426136363636382</v>
      </c>
      <c r="R39" s="571"/>
      <c r="S39" s="308">
        <v>0.63402777777777775</v>
      </c>
      <c r="T39" s="308">
        <v>0.69513888888888886</v>
      </c>
      <c r="U39" s="339">
        <f t="shared" si="30"/>
        <v>7.9999999999999716</v>
      </c>
      <c r="V39" s="341">
        <f t="shared" si="29"/>
        <v>88</v>
      </c>
      <c r="W39" s="310"/>
      <c r="X39" s="310"/>
      <c r="Y39" s="566"/>
      <c r="Z39" s="567"/>
      <c r="AA39" s="306">
        <f t="shared" si="8"/>
        <v>-109.77272727272702</v>
      </c>
      <c r="AB39" s="344">
        <f t="shared" si="9"/>
        <v>0.95426136363636371</v>
      </c>
      <c r="AC39" s="571"/>
    </row>
    <row r="40" spans="1:29">
      <c r="A40" s="589" t="s">
        <v>1510</v>
      </c>
      <c r="B40" s="300" t="s">
        <v>46</v>
      </c>
      <c r="C40" s="565" t="s">
        <v>65</v>
      </c>
      <c r="D40" s="565"/>
      <c r="E40" s="300">
        <v>24.43</v>
      </c>
      <c r="F40" s="340">
        <v>4489</v>
      </c>
      <c r="G40" s="339">
        <f t="shared" si="27"/>
        <v>109666.27</v>
      </c>
      <c r="H40" s="301" t="s">
        <v>35</v>
      </c>
      <c r="I40" s="342">
        <v>15</v>
      </c>
      <c r="J40" s="303">
        <v>2400</v>
      </c>
      <c r="K40" s="304">
        <f t="shared" si="1"/>
        <v>160</v>
      </c>
      <c r="L40" s="342">
        <v>15</v>
      </c>
      <c r="M40" s="305">
        <f t="shared" si="28"/>
        <v>2282.5423728813548</v>
      </c>
      <c r="N40" s="304">
        <f t="shared" si="3"/>
        <v>152.16949152542367</v>
      </c>
      <c r="O40" s="306">
        <f t="shared" si="4"/>
        <v>0</v>
      </c>
      <c r="P40" s="307">
        <f t="shared" si="5"/>
        <v>-7.8305084745763338</v>
      </c>
      <c r="Q40" s="344">
        <f t="shared" si="6"/>
        <v>0.95105932203389787</v>
      </c>
      <c r="R40" s="571"/>
      <c r="S40" s="308">
        <v>0.7</v>
      </c>
      <c r="T40" s="308">
        <v>0.78194444444444444</v>
      </c>
      <c r="U40" s="339">
        <f t="shared" si="30"/>
        <v>6.9999999999999751</v>
      </c>
      <c r="V40" s="341">
        <f t="shared" si="29"/>
        <v>118.00000000000006</v>
      </c>
      <c r="W40" s="310"/>
      <c r="X40" s="310"/>
      <c r="Y40" s="566"/>
      <c r="Z40" s="567"/>
      <c r="AA40" s="306">
        <f t="shared" si="8"/>
        <v>-117.45762711864518</v>
      </c>
      <c r="AB40" s="344">
        <f t="shared" si="9"/>
        <v>0.95105932203389787</v>
      </c>
      <c r="AC40" s="571"/>
    </row>
    <row r="41" spans="1:29">
      <c r="A41" s="589" t="s">
        <v>1510</v>
      </c>
      <c r="B41" s="313" t="s">
        <v>22</v>
      </c>
      <c r="C41" s="572"/>
      <c r="D41" s="572"/>
      <c r="E41" s="343"/>
      <c r="F41" s="313"/>
      <c r="G41" s="304"/>
      <c r="H41" s="340"/>
      <c r="I41" s="314">
        <v>17.25</v>
      </c>
      <c r="J41" s="303">
        <v>2400</v>
      </c>
      <c r="K41" s="304">
        <f t="shared" si="1"/>
        <v>139.13043478260869</v>
      </c>
      <c r="L41" s="314">
        <v>17.25</v>
      </c>
      <c r="M41" s="305">
        <f>AVERAGE(M33:M40)</f>
        <v>2291.3445430456645</v>
      </c>
      <c r="N41" s="304">
        <f t="shared" si="3"/>
        <v>132.83156771279215</v>
      </c>
      <c r="O41" s="306">
        <f t="shared" si="4"/>
        <v>0</v>
      </c>
      <c r="P41" s="307">
        <f t="shared" si="5"/>
        <v>-6.2988670698165379</v>
      </c>
      <c r="Q41" s="344">
        <f t="shared" si="6"/>
        <v>0.95472689293569368</v>
      </c>
      <c r="R41" s="571"/>
      <c r="S41" s="308"/>
      <c r="T41" s="308"/>
      <c r="U41" s="304"/>
      <c r="V41" s="341"/>
      <c r="W41" s="304"/>
      <c r="X41" s="304"/>
      <c r="Y41" s="570"/>
      <c r="Z41" s="570"/>
      <c r="AA41" s="306">
        <f t="shared" si="8"/>
        <v>-108.65545695433548</v>
      </c>
      <c r="AB41" s="344">
        <f t="shared" si="9"/>
        <v>0.95472689293569357</v>
      </c>
      <c r="AC41" s="571"/>
    </row>
    <row r="42" spans="1:29" ht="15.75" customHeight="1">
      <c r="A42" s="585" t="s">
        <v>1512</v>
      </c>
      <c r="B42" s="300" t="s">
        <v>67</v>
      </c>
      <c r="C42" s="580" t="s">
        <v>68</v>
      </c>
      <c r="D42" s="581"/>
      <c r="E42" s="300">
        <v>21.13</v>
      </c>
      <c r="F42" s="340">
        <v>5925</v>
      </c>
      <c r="G42" s="339">
        <f t="shared" ref="G42:G47" si="31">E42*F42</f>
        <v>125195.25</v>
      </c>
      <c r="H42" s="301" t="s">
        <v>35</v>
      </c>
      <c r="I42" s="342">
        <v>10</v>
      </c>
      <c r="J42" s="303">
        <v>3000</v>
      </c>
      <c r="K42" s="304">
        <f t="shared" si="1"/>
        <v>300</v>
      </c>
      <c r="L42" s="342">
        <v>10</v>
      </c>
      <c r="M42" s="305">
        <f t="shared" ref="M42:M47" si="32">F42/V42*60</f>
        <v>2866.9354838709673</v>
      </c>
      <c r="N42" s="305">
        <f t="shared" si="3"/>
        <v>286.69354838709671</v>
      </c>
      <c r="O42" s="306">
        <f t="shared" si="4"/>
        <v>0</v>
      </c>
      <c r="P42" s="307">
        <f t="shared" si="5"/>
        <v>-13.306451612903288</v>
      </c>
      <c r="Q42" s="344">
        <f t="shared" si="6"/>
        <v>0.9556451612903224</v>
      </c>
      <c r="R42" s="582">
        <f>Q48</f>
        <v>0.95848683084609887</v>
      </c>
      <c r="S42" s="308">
        <v>8.3333333333333329E-2</v>
      </c>
      <c r="T42" s="308">
        <v>0.16944444444444445</v>
      </c>
      <c r="U42" s="315"/>
      <c r="V42" s="341">
        <f t="shared" ref="V42:V47" si="33">(T42-S42)*24*60</f>
        <v>124.00000000000001</v>
      </c>
      <c r="W42" s="310"/>
      <c r="X42" s="310"/>
      <c r="Y42" s="566"/>
      <c r="Z42" s="567"/>
      <c r="AA42" s="306">
        <f t="shared" si="8"/>
        <v>-133.06451612903265</v>
      </c>
      <c r="AB42" s="344">
        <f t="shared" si="9"/>
        <v>0.9556451612903224</v>
      </c>
      <c r="AC42" s="582">
        <f>AB48</f>
        <v>0.95848683084609898</v>
      </c>
    </row>
    <row r="43" spans="1:29" ht="15.75" customHeight="1">
      <c r="A43" s="586" t="s">
        <v>1513</v>
      </c>
      <c r="B43" s="300" t="s">
        <v>67</v>
      </c>
      <c r="C43" s="580" t="s">
        <v>69</v>
      </c>
      <c r="D43" s="581"/>
      <c r="E43" s="300">
        <v>27.17</v>
      </c>
      <c r="F43" s="340">
        <v>7668</v>
      </c>
      <c r="G43" s="339">
        <f t="shared" si="31"/>
        <v>208339.56000000003</v>
      </c>
      <c r="H43" s="301" t="s">
        <v>35</v>
      </c>
      <c r="I43" s="342">
        <v>10</v>
      </c>
      <c r="J43" s="303">
        <v>3000</v>
      </c>
      <c r="K43" s="304">
        <f t="shared" si="1"/>
        <v>300</v>
      </c>
      <c r="L43" s="342">
        <v>10</v>
      </c>
      <c r="M43" s="305">
        <f t="shared" si="32"/>
        <v>2857.6397515527951</v>
      </c>
      <c r="N43" s="305">
        <f t="shared" si="3"/>
        <v>285.76397515527952</v>
      </c>
      <c r="O43" s="306">
        <f t="shared" si="4"/>
        <v>0</v>
      </c>
      <c r="P43" s="307">
        <f t="shared" si="5"/>
        <v>-14.236024844720475</v>
      </c>
      <c r="Q43" s="344">
        <f t="shared" si="6"/>
        <v>0.95254658385093172</v>
      </c>
      <c r="R43" s="583"/>
      <c r="S43" s="308">
        <v>0.17291666666666666</v>
      </c>
      <c r="T43" s="308">
        <v>0.28472222222222221</v>
      </c>
      <c r="U43" s="339">
        <f t="shared" ref="U43:U47" si="34">(S43-T42)*24*60</f>
        <v>4.9999999999999822</v>
      </c>
      <c r="V43" s="341">
        <f t="shared" si="33"/>
        <v>161</v>
      </c>
      <c r="W43" s="315">
        <f>T43</f>
        <v>0.28472222222222221</v>
      </c>
      <c r="X43" s="315">
        <f>S44</f>
        <v>0.30486111111111108</v>
      </c>
      <c r="Y43" s="566"/>
      <c r="Z43" s="567"/>
      <c r="AA43" s="306">
        <f t="shared" si="8"/>
        <v>-142.36024844720487</v>
      </c>
      <c r="AB43" s="344">
        <f t="shared" si="9"/>
        <v>0.95254658385093172</v>
      </c>
      <c r="AC43" s="583"/>
    </row>
    <row r="44" spans="1:29" ht="15.75" customHeight="1">
      <c r="A44" s="586" t="s">
        <v>1514</v>
      </c>
      <c r="B44" s="300" t="s">
        <v>67</v>
      </c>
      <c r="C44" s="580" t="s">
        <v>70</v>
      </c>
      <c r="D44" s="581"/>
      <c r="E44" s="300">
        <v>35.119999999999997</v>
      </c>
      <c r="F44" s="340">
        <v>5120</v>
      </c>
      <c r="G44" s="339">
        <f t="shared" si="31"/>
        <v>179814.39999999999</v>
      </c>
      <c r="H44" s="301" t="s">
        <v>35</v>
      </c>
      <c r="I44" s="342">
        <v>10</v>
      </c>
      <c r="J44" s="303">
        <v>3000</v>
      </c>
      <c r="K44" s="304">
        <f t="shared" si="1"/>
        <v>300</v>
      </c>
      <c r="L44" s="342">
        <v>10</v>
      </c>
      <c r="M44" s="305">
        <f t="shared" si="32"/>
        <v>2871.028037383177</v>
      </c>
      <c r="N44" s="305">
        <f t="shared" si="3"/>
        <v>287.10280373831768</v>
      </c>
      <c r="O44" s="306">
        <f t="shared" si="4"/>
        <v>0</v>
      </c>
      <c r="P44" s="307">
        <f t="shared" si="5"/>
        <v>-12.897196261682325</v>
      </c>
      <c r="Q44" s="344">
        <f t="shared" si="6"/>
        <v>0.95700934579439223</v>
      </c>
      <c r="R44" s="583"/>
      <c r="S44" s="308">
        <v>0.30486111111111108</v>
      </c>
      <c r="T44" s="308">
        <v>0.37916666666666665</v>
      </c>
      <c r="U44" s="339">
        <f t="shared" si="34"/>
        <v>28.999999999999979</v>
      </c>
      <c r="V44" s="341">
        <f t="shared" si="33"/>
        <v>107.00000000000001</v>
      </c>
      <c r="W44" s="310"/>
      <c r="X44" s="310"/>
      <c r="Y44" s="566"/>
      <c r="Z44" s="567"/>
      <c r="AA44" s="306">
        <f t="shared" si="8"/>
        <v>-128.97196261682302</v>
      </c>
      <c r="AB44" s="344">
        <f t="shared" si="9"/>
        <v>0.95700934579439234</v>
      </c>
      <c r="AC44" s="583"/>
    </row>
    <row r="45" spans="1:29" ht="15.75" customHeight="1">
      <c r="A45" s="586" t="s">
        <v>1512</v>
      </c>
      <c r="B45" s="300" t="s">
        <v>67</v>
      </c>
      <c r="C45" s="580" t="s">
        <v>71</v>
      </c>
      <c r="D45" s="581"/>
      <c r="E45" s="300">
        <v>35.869999999999997</v>
      </c>
      <c r="F45" s="340">
        <v>3173</v>
      </c>
      <c r="G45" s="339">
        <f t="shared" si="31"/>
        <v>113815.51</v>
      </c>
      <c r="H45" s="301" t="s">
        <v>35</v>
      </c>
      <c r="I45" s="342">
        <v>10</v>
      </c>
      <c r="J45" s="303">
        <v>3000</v>
      </c>
      <c r="K45" s="304">
        <f t="shared" si="1"/>
        <v>300</v>
      </c>
      <c r="L45" s="342">
        <v>10</v>
      </c>
      <c r="M45" s="305">
        <f t="shared" si="32"/>
        <v>2884.5454545454545</v>
      </c>
      <c r="N45" s="305">
        <f t="shared" si="3"/>
        <v>288.45454545454544</v>
      </c>
      <c r="O45" s="306">
        <f t="shared" si="4"/>
        <v>0</v>
      </c>
      <c r="P45" s="307">
        <f t="shared" si="5"/>
        <v>-11.545454545454561</v>
      </c>
      <c r="Q45" s="344">
        <f t="shared" si="6"/>
        <v>0.96151515151515143</v>
      </c>
      <c r="R45" s="583"/>
      <c r="S45" s="308">
        <v>0.38402777777777775</v>
      </c>
      <c r="T45" s="308">
        <v>0.42986111111111108</v>
      </c>
      <c r="U45" s="339">
        <f t="shared" si="34"/>
        <v>6.9999999999999751</v>
      </c>
      <c r="V45" s="341">
        <f t="shared" si="33"/>
        <v>66</v>
      </c>
      <c r="W45" s="310"/>
      <c r="X45" s="310"/>
      <c r="Y45" s="566"/>
      <c r="Z45" s="567"/>
      <c r="AA45" s="306">
        <f t="shared" si="8"/>
        <v>-115.4545454545455</v>
      </c>
      <c r="AB45" s="344">
        <f t="shared" si="9"/>
        <v>0.96151515151515154</v>
      </c>
      <c r="AC45" s="583"/>
    </row>
    <row r="46" spans="1:29" ht="15.75" customHeight="1">
      <c r="A46" s="586" t="s">
        <v>30</v>
      </c>
      <c r="B46" s="300" t="s">
        <v>67</v>
      </c>
      <c r="C46" s="580" t="s">
        <v>72</v>
      </c>
      <c r="D46" s="581"/>
      <c r="E46" s="300">
        <v>36.14</v>
      </c>
      <c r="F46" s="340">
        <v>1837</v>
      </c>
      <c r="G46" s="339">
        <f t="shared" si="31"/>
        <v>66389.180000000008</v>
      </c>
      <c r="H46" s="301" t="s">
        <v>35</v>
      </c>
      <c r="I46" s="342">
        <v>8</v>
      </c>
      <c r="J46" s="303">
        <v>3000</v>
      </c>
      <c r="K46" s="304">
        <f t="shared" si="1"/>
        <v>375</v>
      </c>
      <c r="L46" s="342">
        <v>8</v>
      </c>
      <c r="M46" s="305">
        <f t="shared" si="32"/>
        <v>2900.5263157894715</v>
      </c>
      <c r="N46" s="305">
        <f t="shared" si="3"/>
        <v>362.56578947368394</v>
      </c>
      <c r="O46" s="306">
        <f t="shared" si="4"/>
        <v>0</v>
      </c>
      <c r="P46" s="307">
        <f t="shared" si="5"/>
        <v>-12.434210526316065</v>
      </c>
      <c r="Q46" s="344">
        <f t="shared" si="6"/>
        <v>0.96684210526315717</v>
      </c>
      <c r="R46" s="583"/>
      <c r="S46" s="308">
        <v>0.43472222222222218</v>
      </c>
      <c r="T46" s="308">
        <v>0.46111111111111108</v>
      </c>
      <c r="U46" s="339">
        <f t="shared" si="34"/>
        <v>6.9999999999999751</v>
      </c>
      <c r="V46" s="341">
        <f t="shared" si="33"/>
        <v>38.000000000000028</v>
      </c>
      <c r="W46" s="310"/>
      <c r="X46" s="310"/>
      <c r="Y46" s="566"/>
      <c r="Z46" s="567"/>
      <c r="AA46" s="306">
        <f t="shared" si="8"/>
        <v>-99.473684210528518</v>
      </c>
      <c r="AB46" s="344">
        <f t="shared" si="9"/>
        <v>0.96684210526315717</v>
      </c>
      <c r="AC46" s="583"/>
    </row>
    <row r="47" spans="1:29" ht="15.75" customHeight="1">
      <c r="A47" s="586" t="s">
        <v>1514</v>
      </c>
      <c r="B47" s="300" t="s">
        <v>67</v>
      </c>
      <c r="C47" s="580" t="s">
        <v>664</v>
      </c>
      <c r="D47" s="581"/>
      <c r="E47" s="300">
        <v>34.36</v>
      </c>
      <c r="F47" s="340">
        <v>4356</v>
      </c>
      <c r="G47" s="339">
        <f t="shared" si="31"/>
        <v>149672.16</v>
      </c>
      <c r="H47" s="301" t="s">
        <v>35</v>
      </c>
      <c r="I47" s="342">
        <v>10</v>
      </c>
      <c r="J47" s="303">
        <v>3000</v>
      </c>
      <c r="K47" s="304">
        <f t="shared" si="1"/>
        <v>300</v>
      </c>
      <c r="L47" s="342">
        <v>10</v>
      </c>
      <c r="M47" s="305">
        <f t="shared" si="32"/>
        <v>2872.0879120879144</v>
      </c>
      <c r="N47" s="305">
        <f t="shared" si="3"/>
        <v>287.20879120879147</v>
      </c>
      <c r="O47" s="306">
        <f t="shared" si="4"/>
        <v>0</v>
      </c>
      <c r="P47" s="307">
        <f t="shared" si="5"/>
        <v>-12.791208791208533</v>
      </c>
      <c r="Q47" s="344">
        <f t="shared" si="6"/>
        <v>0.95736263736263827</v>
      </c>
      <c r="R47" s="583"/>
      <c r="S47" s="308">
        <v>0.46458333333333329</v>
      </c>
      <c r="T47" s="308">
        <v>0.52777777777777768</v>
      </c>
      <c r="U47" s="339">
        <f t="shared" si="34"/>
        <v>4.9999999999999822</v>
      </c>
      <c r="V47" s="341">
        <f t="shared" si="33"/>
        <v>90.999999999999915</v>
      </c>
      <c r="W47" s="310"/>
      <c r="X47" s="310"/>
      <c r="Y47" s="566"/>
      <c r="Z47" s="567"/>
      <c r="AA47" s="306">
        <f t="shared" si="8"/>
        <v>-127.91208791208555</v>
      </c>
      <c r="AB47" s="344">
        <f t="shared" si="9"/>
        <v>0.95736263736263816</v>
      </c>
      <c r="AC47" s="583"/>
    </row>
    <row r="48" spans="1:29" ht="15.75" customHeight="1">
      <c r="A48" s="587" t="s">
        <v>1512</v>
      </c>
      <c r="B48" s="300" t="s">
        <v>1507</v>
      </c>
      <c r="C48" s="568"/>
      <c r="D48" s="569"/>
      <c r="E48" s="349"/>
      <c r="F48" s="340"/>
      <c r="G48" s="339"/>
      <c r="H48" s="340"/>
      <c r="I48" s="314">
        <v>9.6666666666666661</v>
      </c>
      <c r="J48" s="303">
        <v>3000</v>
      </c>
      <c r="K48" s="304">
        <f t="shared" si="1"/>
        <v>310.34482758620692</v>
      </c>
      <c r="L48" s="314">
        <v>9.6666666666666661</v>
      </c>
      <c r="M48" s="305">
        <f>AVERAGE(M42:M47)</f>
        <v>2875.4604925382969</v>
      </c>
      <c r="N48" s="304">
        <f t="shared" si="3"/>
        <v>297.46143026258244</v>
      </c>
      <c r="O48" s="306">
        <f t="shared" si="4"/>
        <v>0</v>
      </c>
      <c r="P48" s="307">
        <f t="shared" si="5"/>
        <v>-12.883397323624479</v>
      </c>
      <c r="Q48" s="344">
        <f t="shared" si="6"/>
        <v>0.95848683084609887</v>
      </c>
      <c r="R48" s="584"/>
      <c r="S48" s="308"/>
      <c r="T48" s="308"/>
      <c r="U48" s="339"/>
      <c r="V48" s="341"/>
      <c r="W48" s="310"/>
      <c r="X48" s="310"/>
      <c r="Y48" s="566"/>
      <c r="Z48" s="567"/>
      <c r="AA48" s="306">
        <f t="shared" si="8"/>
        <v>-124.53950746170312</v>
      </c>
      <c r="AB48" s="344">
        <f t="shared" si="9"/>
        <v>0.95848683084609898</v>
      </c>
      <c r="AC48" s="584"/>
    </row>
    <row r="49" spans="1:29" ht="15.75" customHeight="1">
      <c r="A49" s="578" t="s">
        <v>1515</v>
      </c>
      <c r="B49" s="300" t="s">
        <v>40</v>
      </c>
      <c r="C49" s="565" t="s">
        <v>73</v>
      </c>
      <c r="D49" s="565"/>
      <c r="E49" s="300">
        <v>46</v>
      </c>
      <c r="F49" s="317">
        <v>3416</v>
      </c>
      <c r="G49" s="339">
        <f t="shared" ref="G49:G54" si="35">E49*F49</f>
        <v>157136</v>
      </c>
      <c r="H49" s="301" t="s">
        <v>35</v>
      </c>
      <c r="I49" s="342">
        <v>17</v>
      </c>
      <c r="J49" s="303">
        <v>2000</v>
      </c>
      <c r="K49" s="304">
        <f t="shared" si="1"/>
        <v>117.64705882352941</v>
      </c>
      <c r="L49" s="342">
        <v>17</v>
      </c>
      <c r="M49" s="305">
        <f t="shared" ref="M49:M54" si="36">F49/V49*60</f>
        <v>1915.5140186915885</v>
      </c>
      <c r="N49" s="305">
        <f t="shared" si="3"/>
        <v>112.67729521715226</v>
      </c>
      <c r="O49" s="306">
        <f t="shared" si="4"/>
        <v>0</v>
      </c>
      <c r="P49" s="307">
        <f t="shared" si="5"/>
        <v>-4.9697636063771427</v>
      </c>
      <c r="Q49" s="344">
        <f t="shared" si="6"/>
        <v>0.95775700934579433</v>
      </c>
      <c r="R49" s="571">
        <f>Q55</f>
        <v>0.96087463033061582</v>
      </c>
      <c r="S49" s="308">
        <v>0.29166666666666669</v>
      </c>
      <c r="T49" s="308">
        <v>0.36597222222222225</v>
      </c>
      <c r="U49" s="315"/>
      <c r="V49" s="341">
        <f t="shared" ref="V49:V54" si="37">(T49-S49)*24*60</f>
        <v>107.00000000000001</v>
      </c>
      <c r="W49" s="315"/>
      <c r="X49" s="315"/>
      <c r="Y49" s="570"/>
      <c r="Z49" s="570"/>
      <c r="AA49" s="306">
        <f t="shared" si="8"/>
        <v>-84.48598130841151</v>
      </c>
      <c r="AB49" s="344">
        <f t="shared" si="9"/>
        <v>0.95775700934579422</v>
      </c>
      <c r="AC49" s="571">
        <f>AB55</f>
        <v>0.96087463033061571</v>
      </c>
    </row>
    <row r="50" spans="1:29" ht="15.75" customHeight="1">
      <c r="A50" s="578" t="s">
        <v>1516</v>
      </c>
      <c r="B50" s="300" t="s">
        <v>36</v>
      </c>
      <c r="C50" s="565" t="s">
        <v>75</v>
      </c>
      <c r="D50" s="565"/>
      <c r="E50" s="300">
        <v>54.09</v>
      </c>
      <c r="F50" s="317">
        <v>1140</v>
      </c>
      <c r="G50" s="339">
        <f t="shared" si="35"/>
        <v>61662.600000000006</v>
      </c>
      <c r="H50" s="301" t="s">
        <v>35</v>
      </c>
      <c r="I50" s="342">
        <v>16</v>
      </c>
      <c r="J50" s="303">
        <v>2000</v>
      </c>
      <c r="K50" s="304">
        <f t="shared" si="1"/>
        <v>125</v>
      </c>
      <c r="L50" s="342">
        <v>16</v>
      </c>
      <c r="M50" s="305">
        <f t="shared" si="36"/>
        <v>1954.2857142857124</v>
      </c>
      <c r="N50" s="305">
        <f t="shared" si="3"/>
        <v>122.14285714285703</v>
      </c>
      <c r="O50" s="306">
        <f t="shared" si="4"/>
        <v>0</v>
      </c>
      <c r="P50" s="307">
        <f t="shared" si="5"/>
        <v>-2.8571428571429749</v>
      </c>
      <c r="Q50" s="344">
        <f t="shared" si="6"/>
        <v>0.9771428571428562</v>
      </c>
      <c r="R50" s="571"/>
      <c r="S50" s="308">
        <v>0.37083333333333335</v>
      </c>
      <c r="T50" s="308">
        <v>0.39513888888888893</v>
      </c>
      <c r="U50" s="339">
        <f t="shared" ref="U50:U54" si="38">IF(S50=TIME(17,0,0),"",(S50-T49)*24*60)</f>
        <v>6.9999999999999751</v>
      </c>
      <c r="V50" s="341">
        <f t="shared" si="37"/>
        <v>35.000000000000036</v>
      </c>
      <c r="W50" s="310"/>
      <c r="X50" s="310"/>
      <c r="Y50" s="570"/>
      <c r="Z50" s="570"/>
      <c r="AA50" s="306">
        <f t="shared" si="8"/>
        <v>-45.714285714287598</v>
      </c>
      <c r="AB50" s="344">
        <f t="shared" si="9"/>
        <v>0.9771428571428562</v>
      </c>
      <c r="AC50" s="571"/>
    </row>
    <row r="51" spans="1:29" ht="15.75" customHeight="1">
      <c r="A51" s="578" t="s">
        <v>1516</v>
      </c>
      <c r="B51" s="300" t="s">
        <v>40</v>
      </c>
      <c r="C51" s="580" t="s">
        <v>74</v>
      </c>
      <c r="D51" s="581"/>
      <c r="E51" s="300">
        <v>46</v>
      </c>
      <c r="F51" s="317">
        <v>3551</v>
      </c>
      <c r="G51" s="339">
        <f t="shared" si="35"/>
        <v>163346</v>
      </c>
      <c r="H51" s="301" t="s">
        <v>35</v>
      </c>
      <c r="I51" s="342">
        <v>17</v>
      </c>
      <c r="J51" s="303">
        <v>2000</v>
      </c>
      <c r="K51" s="304">
        <f t="shared" si="1"/>
        <v>117.64705882352941</v>
      </c>
      <c r="L51" s="342">
        <v>17</v>
      </c>
      <c r="M51" s="305">
        <f t="shared" si="36"/>
        <v>1919.4594594594594</v>
      </c>
      <c r="N51" s="305">
        <f t="shared" si="3"/>
        <v>112.9093799682035</v>
      </c>
      <c r="O51" s="306">
        <f t="shared" si="4"/>
        <v>0</v>
      </c>
      <c r="P51" s="307">
        <f t="shared" si="5"/>
        <v>-4.7376788553259104</v>
      </c>
      <c r="Q51" s="344">
        <f t="shared" si="6"/>
        <v>0.95972972972972981</v>
      </c>
      <c r="R51" s="571"/>
      <c r="S51" s="308">
        <v>0.39930555555555558</v>
      </c>
      <c r="T51" s="308">
        <v>0.47638888888888892</v>
      </c>
      <c r="U51" s="339">
        <f t="shared" si="38"/>
        <v>5.9999999999999787</v>
      </c>
      <c r="V51" s="341">
        <f t="shared" si="37"/>
        <v>111</v>
      </c>
      <c r="W51" s="310"/>
      <c r="X51" s="310"/>
      <c r="Y51" s="345"/>
      <c r="Z51" s="346"/>
      <c r="AA51" s="306">
        <f t="shared" si="8"/>
        <v>-80.540540540540633</v>
      </c>
      <c r="AB51" s="344">
        <f t="shared" si="9"/>
        <v>0.9597297297297297</v>
      </c>
      <c r="AC51" s="571"/>
    </row>
    <row r="52" spans="1:29" ht="15.75" customHeight="1">
      <c r="A52" s="578" t="s">
        <v>1516</v>
      </c>
      <c r="B52" s="300" t="s">
        <v>36</v>
      </c>
      <c r="C52" s="347" t="s">
        <v>76</v>
      </c>
      <c r="D52" s="348"/>
      <c r="E52" s="300">
        <v>55.56</v>
      </c>
      <c r="F52" s="317">
        <v>2646</v>
      </c>
      <c r="G52" s="339">
        <f t="shared" si="35"/>
        <v>147011.76</v>
      </c>
      <c r="H52" s="301" t="s">
        <v>35</v>
      </c>
      <c r="I52" s="342">
        <v>17</v>
      </c>
      <c r="J52" s="303">
        <v>2000</v>
      </c>
      <c r="K52" s="304">
        <f t="shared" si="1"/>
        <v>117.64705882352941</v>
      </c>
      <c r="L52" s="342">
        <v>17</v>
      </c>
      <c r="M52" s="305">
        <f t="shared" si="36"/>
        <v>1912.7710843373486</v>
      </c>
      <c r="N52" s="305">
        <f t="shared" si="3"/>
        <v>112.5159461374911</v>
      </c>
      <c r="O52" s="306">
        <f t="shared" si="4"/>
        <v>0</v>
      </c>
      <c r="P52" s="307">
        <f t="shared" si="5"/>
        <v>-5.1311126860383069</v>
      </c>
      <c r="Q52" s="344">
        <f t="shared" si="6"/>
        <v>0.95638554216867444</v>
      </c>
      <c r="R52" s="571"/>
      <c r="S52" s="308">
        <v>0.70833333333333337</v>
      </c>
      <c r="T52" s="308">
        <v>0.76597222222222228</v>
      </c>
      <c r="U52" s="339" t="str">
        <f t="shared" si="38"/>
        <v/>
      </c>
      <c r="V52" s="341">
        <f t="shared" si="37"/>
        <v>83.000000000000028</v>
      </c>
      <c r="W52" s="310"/>
      <c r="X52" s="310"/>
      <c r="Y52" s="345"/>
      <c r="Z52" s="346"/>
      <c r="AA52" s="306">
        <f t="shared" si="8"/>
        <v>-87.228915662651389</v>
      </c>
      <c r="AB52" s="344">
        <f t="shared" si="9"/>
        <v>0.95638554216867433</v>
      </c>
      <c r="AC52" s="571"/>
    </row>
    <row r="53" spans="1:29" ht="15.75" customHeight="1">
      <c r="A53" s="578" t="s">
        <v>1516</v>
      </c>
      <c r="B53" s="300" t="s">
        <v>36</v>
      </c>
      <c r="C53" s="347" t="s">
        <v>77</v>
      </c>
      <c r="D53" s="348"/>
      <c r="E53" s="300">
        <v>55.32</v>
      </c>
      <c r="F53" s="317">
        <v>2069</v>
      </c>
      <c r="G53" s="339">
        <f t="shared" si="35"/>
        <v>114457.08</v>
      </c>
      <c r="H53" s="301" t="s">
        <v>35</v>
      </c>
      <c r="I53" s="342">
        <v>15</v>
      </c>
      <c r="J53" s="303">
        <v>2000</v>
      </c>
      <c r="K53" s="304">
        <f t="shared" si="1"/>
        <v>133.33333333333334</v>
      </c>
      <c r="L53" s="342">
        <v>15</v>
      </c>
      <c r="M53" s="305">
        <f t="shared" si="36"/>
        <v>1909.8461538461561</v>
      </c>
      <c r="N53" s="305">
        <f t="shared" si="3"/>
        <v>127.32307692307707</v>
      </c>
      <c r="O53" s="306">
        <f t="shared" si="4"/>
        <v>0</v>
      </c>
      <c r="P53" s="307">
        <f t="shared" si="5"/>
        <v>-6.0102564102562752</v>
      </c>
      <c r="Q53" s="344">
        <f t="shared" si="6"/>
        <v>0.95492307692307798</v>
      </c>
      <c r="R53" s="571"/>
      <c r="S53" s="308">
        <v>0.76944444444444449</v>
      </c>
      <c r="T53" s="308">
        <v>0.81458333333333333</v>
      </c>
      <c r="U53" s="339">
        <f t="shared" si="38"/>
        <v>4.9999999999999822</v>
      </c>
      <c r="V53" s="341">
        <f t="shared" si="37"/>
        <v>64.999999999999929</v>
      </c>
      <c r="W53" s="310"/>
      <c r="X53" s="310"/>
      <c r="Y53" s="345"/>
      <c r="Z53" s="346"/>
      <c r="AA53" s="306">
        <f t="shared" si="8"/>
        <v>-90.153846153843915</v>
      </c>
      <c r="AB53" s="344">
        <f t="shared" si="9"/>
        <v>0.9549230769230781</v>
      </c>
      <c r="AC53" s="571"/>
    </row>
    <row r="54" spans="1:29" ht="15.75" customHeight="1">
      <c r="A54" s="578" t="s">
        <v>1516</v>
      </c>
      <c r="B54" s="300" t="s">
        <v>36</v>
      </c>
      <c r="C54" s="580" t="s">
        <v>78</v>
      </c>
      <c r="D54" s="581"/>
      <c r="E54" s="300">
        <v>57.73</v>
      </c>
      <c r="F54" s="317">
        <v>1582</v>
      </c>
      <c r="G54" s="339">
        <f t="shared" si="35"/>
        <v>91328.86</v>
      </c>
      <c r="H54" s="301" t="s">
        <v>35</v>
      </c>
      <c r="I54" s="342">
        <v>16</v>
      </c>
      <c r="J54" s="303">
        <v>1500</v>
      </c>
      <c r="K54" s="304">
        <f t="shared" si="1"/>
        <v>93.75</v>
      </c>
      <c r="L54" s="342">
        <v>16</v>
      </c>
      <c r="M54" s="305">
        <f t="shared" si="36"/>
        <v>1438.1818181818164</v>
      </c>
      <c r="N54" s="305">
        <f t="shared" si="3"/>
        <v>89.886363636363527</v>
      </c>
      <c r="O54" s="306">
        <f t="shared" si="4"/>
        <v>0</v>
      </c>
      <c r="P54" s="307">
        <f t="shared" si="5"/>
        <v>-3.8636363636364734</v>
      </c>
      <c r="Q54" s="344">
        <f t="shared" si="6"/>
        <v>0.95878787878787763</v>
      </c>
      <c r="R54" s="571"/>
      <c r="S54" s="308">
        <v>0.81805555555555554</v>
      </c>
      <c r="T54" s="308">
        <v>0.86388888888888893</v>
      </c>
      <c r="U54" s="339">
        <f t="shared" si="38"/>
        <v>4.9999999999999822</v>
      </c>
      <c r="V54" s="341">
        <f t="shared" si="37"/>
        <v>66.000000000000085</v>
      </c>
      <c r="W54" s="310"/>
      <c r="X54" s="310"/>
      <c r="Y54" s="566"/>
      <c r="Z54" s="567"/>
      <c r="AA54" s="306">
        <f t="shared" si="8"/>
        <v>-61.818181818183575</v>
      </c>
      <c r="AB54" s="344">
        <f t="shared" si="9"/>
        <v>0.95878787878787763</v>
      </c>
      <c r="AC54" s="571"/>
    </row>
    <row r="55" spans="1:29">
      <c r="A55" s="579" t="s">
        <v>1516</v>
      </c>
      <c r="B55" s="300" t="s">
        <v>1498</v>
      </c>
      <c r="C55" s="572"/>
      <c r="D55" s="572"/>
      <c r="E55" s="343"/>
      <c r="F55" s="313"/>
      <c r="G55" s="304"/>
      <c r="H55" s="340"/>
      <c r="I55" s="314">
        <v>16.333333333333332</v>
      </c>
      <c r="J55" s="303">
        <v>1916.6666666666667</v>
      </c>
      <c r="K55" s="304">
        <f t="shared" si="1"/>
        <v>117.34693877551021</v>
      </c>
      <c r="L55" s="314">
        <v>16.333333333333332</v>
      </c>
      <c r="M55" s="305">
        <f>AVERAGE(M49:M54)</f>
        <v>1841.6763748003468</v>
      </c>
      <c r="N55" s="304">
        <f t="shared" si="3"/>
        <v>112.75569641634777</v>
      </c>
      <c r="O55" s="306">
        <f t="shared" si="4"/>
        <v>0</v>
      </c>
      <c r="P55" s="307">
        <f t="shared" si="5"/>
        <v>-4.5912423591624361</v>
      </c>
      <c r="Q55" s="344">
        <f t="shared" si="6"/>
        <v>0.96087463033061582</v>
      </c>
      <c r="R55" s="571"/>
      <c r="S55" s="322"/>
      <c r="T55" s="308"/>
      <c r="U55" s="304"/>
      <c r="V55" s="341"/>
      <c r="W55" s="304"/>
      <c r="X55" s="304"/>
      <c r="Y55" s="570"/>
      <c r="Z55" s="570"/>
      <c r="AA55" s="306">
        <f t="shared" si="8"/>
        <v>-74.990291866319922</v>
      </c>
      <c r="AB55" s="344">
        <f t="shared" si="9"/>
        <v>0.96087463033061571</v>
      </c>
      <c r="AC55" s="571"/>
    </row>
    <row r="56" spans="1:29" ht="15.75" customHeight="1">
      <c r="A56" s="576" t="s">
        <v>1517</v>
      </c>
      <c r="B56" s="340" t="s">
        <v>40</v>
      </c>
      <c r="C56" s="565" t="s">
        <v>82</v>
      </c>
      <c r="D56" s="565"/>
      <c r="E56" s="300">
        <v>26.97</v>
      </c>
      <c r="F56" s="317">
        <v>3650</v>
      </c>
      <c r="G56" s="339">
        <f t="shared" ref="G56:G59" si="39">E56*F56</f>
        <v>98440.5</v>
      </c>
      <c r="H56" s="301" t="s">
        <v>35</v>
      </c>
      <c r="I56" s="342">
        <v>8</v>
      </c>
      <c r="J56" s="303">
        <v>1500</v>
      </c>
      <c r="K56" s="304">
        <f t="shared" si="1"/>
        <v>187.5</v>
      </c>
      <c r="L56" s="342">
        <v>8</v>
      </c>
      <c r="M56" s="305">
        <f t="shared" ref="M56:M59" si="40">F56/V56*60</f>
        <v>1431.372549019608</v>
      </c>
      <c r="N56" s="304">
        <f t="shared" si="3"/>
        <v>178.92156862745099</v>
      </c>
      <c r="O56" s="306">
        <f t="shared" si="4"/>
        <v>0</v>
      </c>
      <c r="P56" s="307">
        <f t="shared" si="5"/>
        <v>-8.5784313725490051</v>
      </c>
      <c r="Q56" s="344">
        <f t="shared" si="6"/>
        <v>0.95424836601307195</v>
      </c>
      <c r="R56" s="571">
        <f>Q60</f>
        <v>0.95540114272008447</v>
      </c>
      <c r="S56" s="308">
        <v>0.20833333333333334</v>
      </c>
      <c r="T56" s="308">
        <v>0.31458333333333333</v>
      </c>
      <c r="U56" s="339"/>
      <c r="V56" s="341">
        <f t="shared" ref="V56:V59" si="41">(T56-S56)*24*60</f>
        <v>153</v>
      </c>
      <c r="W56" s="315"/>
      <c r="X56" s="315"/>
      <c r="Y56" s="570"/>
      <c r="Z56" s="570"/>
      <c r="AA56" s="306">
        <f t="shared" si="8"/>
        <v>-68.627450980392041</v>
      </c>
      <c r="AB56" s="344">
        <f t="shared" si="9"/>
        <v>0.95424836601307195</v>
      </c>
      <c r="AC56" s="571">
        <f>AB60</f>
        <v>0.95540114272008458</v>
      </c>
    </row>
    <row r="57" spans="1:29" ht="15.75" customHeight="1">
      <c r="A57" s="576" t="s">
        <v>1518</v>
      </c>
      <c r="B57" s="340" t="s">
        <v>67</v>
      </c>
      <c r="C57" s="565" t="s">
        <v>79</v>
      </c>
      <c r="D57" s="565"/>
      <c r="E57" s="300">
        <v>26.78</v>
      </c>
      <c r="F57" s="317">
        <v>3056</v>
      </c>
      <c r="G57" s="339">
        <f t="shared" si="39"/>
        <v>81839.680000000008</v>
      </c>
      <c r="H57" s="301" t="s">
        <v>35</v>
      </c>
      <c r="I57" s="342">
        <v>10</v>
      </c>
      <c r="J57" s="303">
        <v>3000</v>
      </c>
      <c r="K57" s="304">
        <f t="shared" si="1"/>
        <v>300</v>
      </c>
      <c r="L57" s="342">
        <v>10</v>
      </c>
      <c r="M57" s="305">
        <f t="shared" si="40"/>
        <v>2864.9999999999995</v>
      </c>
      <c r="N57" s="304">
        <f t="shared" si="3"/>
        <v>286.49999999999994</v>
      </c>
      <c r="O57" s="306">
        <f t="shared" si="4"/>
        <v>0</v>
      </c>
      <c r="P57" s="307">
        <f t="shared" si="5"/>
        <v>-13.500000000000057</v>
      </c>
      <c r="Q57" s="344">
        <f t="shared" si="6"/>
        <v>0.95499999999999985</v>
      </c>
      <c r="R57" s="571"/>
      <c r="S57" s="308">
        <v>0.31805555555555554</v>
      </c>
      <c r="T57" s="308">
        <v>0.36249999999999999</v>
      </c>
      <c r="U57" s="339">
        <f t="shared" ref="U57:U59" si="42">(S57-T56)*24*60</f>
        <v>4.9999999999999822</v>
      </c>
      <c r="V57" s="341">
        <f t="shared" si="41"/>
        <v>64.000000000000014</v>
      </c>
      <c r="W57" s="339"/>
      <c r="X57" s="339"/>
      <c r="Y57" s="570"/>
      <c r="Z57" s="570"/>
      <c r="AA57" s="306">
        <f t="shared" si="8"/>
        <v>-135.00000000000045</v>
      </c>
      <c r="AB57" s="344">
        <f t="shared" si="9"/>
        <v>0.95499999999999985</v>
      </c>
      <c r="AC57" s="571"/>
    </row>
    <row r="58" spans="1:29" ht="15.75" customHeight="1">
      <c r="A58" s="576" t="s">
        <v>1518</v>
      </c>
      <c r="B58" s="340" t="s">
        <v>67</v>
      </c>
      <c r="C58" s="565" t="s">
        <v>83</v>
      </c>
      <c r="D58" s="565"/>
      <c r="E58" s="300">
        <v>35.369999999999997</v>
      </c>
      <c r="F58" s="317">
        <v>1673</v>
      </c>
      <c r="G58" s="339">
        <f t="shared" si="39"/>
        <v>59174.009999999995</v>
      </c>
      <c r="H58" s="301" t="s">
        <v>35</v>
      </c>
      <c r="I58" s="342">
        <v>10</v>
      </c>
      <c r="J58" s="303">
        <v>3000</v>
      </c>
      <c r="K58" s="304">
        <f t="shared" si="1"/>
        <v>300</v>
      </c>
      <c r="L58" s="342">
        <v>10</v>
      </c>
      <c r="M58" s="305">
        <f t="shared" si="40"/>
        <v>2867.9999999999973</v>
      </c>
      <c r="N58" s="304">
        <f t="shared" si="3"/>
        <v>286.79999999999973</v>
      </c>
      <c r="O58" s="306">
        <f t="shared" si="4"/>
        <v>0</v>
      </c>
      <c r="P58" s="307">
        <f t="shared" si="5"/>
        <v>-13.200000000000273</v>
      </c>
      <c r="Q58" s="344">
        <f t="shared" si="6"/>
        <v>0.95599999999999907</v>
      </c>
      <c r="R58" s="571"/>
      <c r="S58" s="308">
        <v>0.36805555555555552</v>
      </c>
      <c r="T58" s="308">
        <v>0.3923611111111111</v>
      </c>
      <c r="U58" s="339">
        <f t="shared" si="42"/>
        <v>7.9999999999999716</v>
      </c>
      <c r="V58" s="341">
        <f t="shared" si="41"/>
        <v>35.000000000000036</v>
      </c>
      <c r="W58" s="339"/>
      <c r="X58" s="339"/>
      <c r="Y58" s="570"/>
      <c r="Z58" s="570"/>
      <c r="AA58" s="306">
        <f t="shared" si="8"/>
        <v>-132.00000000000273</v>
      </c>
      <c r="AB58" s="344">
        <f t="shared" si="9"/>
        <v>0.95599999999999907</v>
      </c>
      <c r="AC58" s="571"/>
    </row>
    <row r="59" spans="1:29" ht="15.75" customHeight="1">
      <c r="A59" s="576" t="s">
        <v>1518</v>
      </c>
      <c r="B59" s="340" t="s">
        <v>67</v>
      </c>
      <c r="C59" s="565" t="s">
        <v>666</v>
      </c>
      <c r="D59" s="565"/>
      <c r="E59" s="300">
        <v>37.880000000000003</v>
      </c>
      <c r="F59" s="317">
        <v>5209</v>
      </c>
      <c r="G59" s="339">
        <f t="shared" si="39"/>
        <v>197316.92</v>
      </c>
      <c r="H59" s="301" t="s">
        <v>35</v>
      </c>
      <c r="I59" s="342">
        <v>11</v>
      </c>
      <c r="J59" s="303">
        <v>3000</v>
      </c>
      <c r="K59" s="304">
        <f t="shared" si="1"/>
        <v>272.72727272727275</v>
      </c>
      <c r="L59" s="342">
        <v>11</v>
      </c>
      <c r="M59" s="305">
        <f t="shared" si="40"/>
        <v>2867.339449541284</v>
      </c>
      <c r="N59" s="304">
        <f t="shared" si="3"/>
        <v>260.66722268557129</v>
      </c>
      <c r="O59" s="306">
        <f t="shared" si="4"/>
        <v>0</v>
      </c>
      <c r="P59" s="307">
        <f t="shared" si="5"/>
        <v>-12.060050041701459</v>
      </c>
      <c r="Q59" s="344">
        <f t="shared" si="6"/>
        <v>0.95577981651376132</v>
      </c>
      <c r="R59" s="571"/>
      <c r="S59" s="308">
        <v>0.39791666666666664</v>
      </c>
      <c r="T59" s="308">
        <v>0.47361111111111109</v>
      </c>
      <c r="U59" s="339">
        <f t="shared" si="42"/>
        <v>7.9999999999999716</v>
      </c>
      <c r="V59" s="341">
        <f t="shared" si="41"/>
        <v>109.00000000000001</v>
      </c>
      <c r="W59" s="339"/>
      <c r="X59" s="339"/>
      <c r="Y59" s="570"/>
      <c r="Z59" s="570"/>
      <c r="AA59" s="306">
        <f t="shared" si="8"/>
        <v>-132.66055045871599</v>
      </c>
      <c r="AB59" s="344">
        <f t="shared" si="9"/>
        <v>0.95577981651376132</v>
      </c>
      <c r="AC59" s="571"/>
    </row>
    <row r="60" spans="1:29">
      <c r="A60" s="577" t="s">
        <v>1518</v>
      </c>
      <c r="B60" s="300" t="s">
        <v>1498</v>
      </c>
      <c r="C60" s="572"/>
      <c r="D60" s="572"/>
      <c r="E60" s="343"/>
      <c r="F60" s="313"/>
      <c r="G60" s="304"/>
      <c r="H60" s="340"/>
      <c r="I60" s="314">
        <v>9.75</v>
      </c>
      <c r="J60" s="303">
        <v>2625</v>
      </c>
      <c r="K60" s="304">
        <f t="shared" si="1"/>
        <v>269.23076923076923</v>
      </c>
      <c r="L60" s="314">
        <v>9.75</v>
      </c>
      <c r="M60" s="305">
        <f>AVERAGE(M56:M59)</f>
        <v>2507.927999640222</v>
      </c>
      <c r="N60" s="304">
        <f t="shared" si="3"/>
        <v>257.22338457848429</v>
      </c>
      <c r="O60" s="306">
        <f t="shared" si="4"/>
        <v>0</v>
      </c>
      <c r="P60" s="307">
        <f t="shared" si="5"/>
        <v>-12.007384652284941</v>
      </c>
      <c r="Q60" s="344">
        <f t="shared" si="6"/>
        <v>0.95540114272008447</v>
      </c>
      <c r="R60" s="571"/>
      <c r="S60" s="308"/>
      <c r="T60" s="308"/>
      <c r="U60" s="304"/>
      <c r="V60" s="341"/>
      <c r="W60" s="304"/>
      <c r="X60" s="304"/>
      <c r="Y60" s="570"/>
      <c r="Z60" s="570"/>
      <c r="AA60" s="306">
        <f t="shared" si="8"/>
        <v>-117.07200035977803</v>
      </c>
      <c r="AB60" s="344">
        <f t="shared" si="9"/>
        <v>0.95540114272008458</v>
      </c>
      <c r="AC60" s="571"/>
    </row>
    <row r="61" spans="1:29" ht="15.75" customHeight="1">
      <c r="A61" s="573" t="s">
        <v>1519</v>
      </c>
      <c r="B61" s="340" t="s">
        <v>46</v>
      </c>
      <c r="C61" s="565" t="s">
        <v>84</v>
      </c>
      <c r="D61" s="565"/>
      <c r="E61" s="300">
        <v>20.2</v>
      </c>
      <c r="F61" s="340">
        <v>2936</v>
      </c>
      <c r="G61" s="339">
        <f t="shared" ref="G61:G70" si="43">E61*F61</f>
        <v>59307.199999999997</v>
      </c>
      <c r="H61" s="301" t="s">
        <v>35</v>
      </c>
      <c r="I61" s="342">
        <v>19</v>
      </c>
      <c r="J61" s="303">
        <v>2400</v>
      </c>
      <c r="K61" s="304">
        <f t="shared" si="1"/>
        <v>126.31578947368421</v>
      </c>
      <c r="L61" s="342">
        <v>19</v>
      </c>
      <c r="M61" s="305">
        <f t="shared" ref="M61:M70" si="44">F61/V61*60</f>
        <v>2287.7922077922071</v>
      </c>
      <c r="N61" s="304">
        <f t="shared" si="3"/>
        <v>120.41011619958985</v>
      </c>
      <c r="O61" s="306">
        <f t="shared" si="4"/>
        <v>0</v>
      </c>
      <c r="P61" s="307">
        <f t="shared" si="5"/>
        <v>-5.9056732740943545</v>
      </c>
      <c r="Q61" s="344">
        <f t="shared" si="6"/>
        <v>0.95324675324675301</v>
      </c>
      <c r="R61" s="571">
        <f>Q71</f>
        <v>0.95800383679009082</v>
      </c>
      <c r="S61" s="308">
        <v>8.3333333333333329E-2</v>
      </c>
      <c r="T61" s="308">
        <v>0.13680555555555557</v>
      </c>
      <c r="U61" s="315"/>
      <c r="V61" s="341">
        <f t="shared" ref="V61:V70" si="45">(T61-S61)*24*60</f>
        <v>77.000000000000014</v>
      </c>
      <c r="W61" s="310"/>
      <c r="X61" s="310"/>
      <c r="Y61" s="570"/>
      <c r="Z61" s="570"/>
      <c r="AA61" s="306">
        <f t="shared" si="8"/>
        <v>-112.20779220779286</v>
      </c>
      <c r="AB61" s="344">
        <f t="shared" si="9"/>
        <v>0.95324675324675301</v>
      </c>
      <c r="AC61" s="571">
        <f>AB71</f>
        <v>0.95800383679009071</v>
      </c>
    </row>
    <row r="62" spans="1:29" ht="15.75" customHeight="1">
      <c r="A62" s="574" t="s">
        <v>1519</v>
      </c>
      <c r="B62" s="340" t="s">
        <v>46</v>
      </c>
      <c r="C62" s="565" t="s">
        <v>85</v>
      </c>
      <c r="D62" s="565"/>
      <c r="E62" s="300">
        <v>19.02</v>
      </c>
      <c r="F62" s="340">
        <v>4700</v>
      </c>
      <c r="G62" s="339">
        <f t="shared" si="43"/>
        <v>89394</v>
      </c>
      <c r="H62" s="301">
        <v>2</v>
      </c>
      <c r="I62" s="342">
        <v>15</v>
      </c>
      <c r="J62" s="303">
        <v>2400</v>
      </c>
      <c r="K62" s="304">
        <f t="shared" si="1"/>
        <v>160</v>
      </c>
      <c r="L62" s="342">
        <v>15</v>
      </c>
      <c r="M62" s="305">
        <f t="shared" si="44"/>
        <v>2292.682926829269</v>
      </c>
      <c r="N62" s="304">
        <f t="shared" si="3"/>
        <v>152.84552845528461</v>
      </c>
      <c r="O62" s="306">
        <f t="shared" si="4"/>
        <v>0</v>
      </c>
      <c r="P62" s="307">
        <f t="shared" si="5"/>
        <v>-7.1544715447153919</v>
      </c>
      <c r="Q62" s="344">
        <f t="shared" si="6"/>
        <v>0.95528455284552882</v>
      </c>
      <c r="R62" s="571"/>
      <c r="S62" s="308">
        <v>0.14027777777777778</v>
      </c>
      <c r="T62" s="308">
        <v>0.22569444444444442</v>
      </c>
      <c r="U62" s="339">
        <f t="shared" ref="U62:U70" si="46">(S62-T61)*24*60</f>
        <v>4.9999999999999822</v>
      </c>
      <c r="V62" s="341">
        <f t="shared" si="45"/>
        <v>122.99999999999996</v>
      </c>
      <c r="W62" s="310">
        <f>T62</f>
        <v>0.22569444444444442</v>
      </c>
      <c r="X62" s="310">
        <f>S63</f>
        <v>0.2472222222222222</v>
      </c>
      <c r="Y62" s="570"/>
      <c r="Z62" s="570"/>
      <c r="AA62" s="306">
        <f t="shared" si="8"/>
        <v>-107.31707317073096</v>
      </c>
      <c r="AB62" s="344">
        <f t="shared" si="9"/>
        <v>0.95528455284552871</v>
      </c>
      <c r="AC62" s="571"/>
    </row>
    <row r="63" spans="1:29" ht="15.75" customHeight="1">
      <c r="A63" s="574" t="s">
        <v>1519</v>
      </c>
      <c r="B63" s="340" t="s">
        <v>46</v>
      </c>
      <c r="C63" s="565" t="s">
        <v>88</v>
      </c>
      <c r="D63" s="565"/>
      <c r="E63" s="300">
        <v>24.25</v>
      </c>
      <c r="F63" s="340">
        <v>2300</v>
      </c>
      <c r="G63" s="339">
        <f t="shared" si="43"/>
        <v>55775</v>
      </c>
      <c r="H63" s="301">
        <v>2</v>
      </c>
      <c r="I63" s="342">
        <v>17</v>
      </c>
      <c r="J63" s="303">
        <v>2400</v>
      </c>
      <c r="K63" s="304">
        <f t="shared" si="1"/>
        <v>141.1764705882353</v>
      </c>
      <c r="L63" s="342">
        <v>17</v>
      </c>
      <c r="M63" s="305">
        <f t="shared" si="44"/>
        <v>2300.0000000000005</v>
      </c>
      <c r="N63" s="304">
        <f t="shared" si="3"/>
        <v>135.29411764705884</v>
      </c>
      <c r="O63" s="306">
        <f t="shared" si="4"/>
        <v>0</v>
      </c>
      <c r="P63" s="307">
        <f t="shared" si="5"/>
        <v>-5.8823529411764639</v>
      </c>
      <c r="Q63" s="344">
        <f t="shared" si="6"/>
        <v>0.95833333333333337</v>
      </c>
      <c r="R63" s="571"/>
      <c r="S63" s="308">
        <v>0.2472222222222222</v>
      </c>
      <c r="T63" s="308">
        <v>0.28888888888888886</v>
      </c>
      <c r="U63" s="339">
        <f t="shared" si="46"/>
        <v>31.000000000000011</v>
      </c>
      <c r="V63" s="341">
        <f t="shared" si="45"/>
        <v>59.999999999999986</v>
      </c>
      <c r="W63" s="310"/>
      <c r="X63" s="310"/>
      <c r="Y63" s="570"/>
      <c r="Z63" s="570"/>
      <c r="AA63" s="306">
        <f t="shared" si="8"/>
        <v>-99.999999999999545</v>
      </c>
      <c r="AB63" s="344">
        <f t="shared" si="9"/>
        <v>0.95833333333333348</v>
      </c>
      <c r="AC63" s="571"/>
    </row>
    <row r="64" spans="1:29" ht="15.75" customHeight="1">
      <c r="A64" s="574" t="s">
        <v>1519</v>
      </c>
      <c r="B64" s="340" t="s">
        <v>46</v>
      </c>
      <c r="C64" s="565" t="s">
        <v>47</v>
      </c>
      <c r="D64" s="565"/>
      <c r="E64" s="300">
        <v>24.45</v>
      </c>
      <c r="F64" s="340">
        <v>2748</v>
      </c>
      <c r="G64" s="339">
        <f t="shared" si="43"/>
        <v>67188.599999999991</v>
      </c>
      <c r="H64" s="301" t="s">
        <v>35</v>
      </c>
      <c r="I64" s="342">
        <v>20</v>
      </c>
      <c r="J64" s="303">
        <v>2400</v>
      </c>
      <c r="K64" s="304">
        <f t="shared" si="1"/>
        <v>120</v>
      </c>
      <c r="L64" s="342">
        <v>20</v>
      </c>
      <c r="M64" s="305">
        <f t="shared" si="44"/>
        <v>2290.0000000000005</v>
      </c>
      <c r="N64" s="304">
        <f t="shared" si="3"/>
        <v>114.50000000000003</v>
      </c>
      <c r="O64" s="306">
        <f t="shared" si="4"/>
        <v>0</v>
      </c>
      <c r="P64" s="307">
        <f t="shared" si="5"/>
        <v>-5.4999999999999716</v>
      </c>
      <c r="Q64" s="344">
        <f t="shared" si="6"/>
        <v>0.95416666666666694</v>
      </c>
      <c r="R64" s="571"/>
      <c r="S64" s="308">
        <v>0.29374999999999996</v>
      </c>
      <c r="T64" s="308">
        <v>0.34374999999999994</v>
      </c>
      <c r="U64" s="339">
        <f t="shared" si="46"/>
        <v>6.9999999999999751</v>
      </c>
      <c r="V64" s="341">
        <f t="shared" si="45"/>
        <v>71.999999999999986</v>
      </c>
      <c r="W64" s="310"/>
      <c r="X64" s="310"/>
      <c r="Y64" s="570"/>
      <c r="Z64" s="570"/>
      <c r="AA64" s="306">
        <f t="shared" si="8"/>
        <v>-109.99999999999955</v>
      </c>
      <c r="AB64" s="344">
        <f t="shared" si="9"/>
        <v>0.95416666666666683</v>
      </c>
      <c r="AC64" s="571"/>
    </row>
    <row r="65" spans="1:29" ht="15.75" customHeight="1">
      <c r="A65" s="574" t="s">
        <v>1519</v>
      </c>
      <c r="B65" s="340" t="s">
        <v>46</v>
      </c>
      <c r="C65" s="565" t="s">
        <v>66</v>
      </c>
      <c r="D65" s="565"/>
      <c r="E65" s="300">
        <v>24.25</v>
      </c>
      <c r="F65" s="340">
        <v>3200</v>
      </c>
      <c r="G65" s="339">
        <f t="shared" si="43"/>
        <v>77600</v>
      </c>
      <c r="H65" s="301">
        <v>2</v>
      </c>
      <c r="I65" s="342">
        <v>14</v>
      </c>
      <c r="J65" s="303">
        <v>2400</v>
      </c>
      <c r="K65" s="304">
        <f t="shared" si="1"/>
        <v>171.42857142857142</v>
      </c>
      <c r="L65" s="342">
        <v>14</v>
      </c>
      <c r="M65" s="305">
        <f t="shared" si="44"/>
        <v>2285.7142857142849</v>
      </c>
      <c r="N65" s="304">
        <f t="shared" si="3"/>
        <v>163.26530612244892</v>
      </c>
      <c r="O65" s="306">
        <f t="shared" si="4"/>
        <v>0</v>
      </c>
      <c r="P65" s="307">
        <f t="shared" si="5"/>
        <v>-8.1632653061224971</v>
      </c>
      <c r="Q65" s="344">
        <f t="shared" si="6"/>
        <v>0.95238095238095211</v>
      </c>
      <c r="R65" s="571"/>
      <c r="S65" s="308">
        <v>0.3479166666666666</v>
      </c>
      <c r="T65" s="308">
        <v>0.40624999999999994</v>
      </c>
      <c r="U65" s="339">
        <f t="shared" si="46"/>
        <v>5.9999999999999787</v>
      </c>
      <c r="V65" s="341">
        <f t="shared" si="45"/>
        <v>84.000000000000028</v>
      </c>
      <c r="W65" s="310"/>
      <c r="X65" s="310"/>
      <c r="Y65" s="570"/>
      <c r="Z65" s="570"/>
      <c r="AA65" s="306">
        <f t="shared" si="8"/>
        <v>-114.28571428571513</v>
      </c>
      <c r="AB65" s="344">
        <f t="shared" si="9"/>
        <v>0.952380952380952</v>
      </c>
      <c r="AC65" s="571"/>
    </row>
    <row r="66" spans="1:29" ht="15.75" customHeight="1">
      <c r="A66" s="574" t="s">
        <v>1519</v>
      </c>
      <c r="B66" s="340" t="s">
        <v>46</v>
      </c>
      <c r="C66" s="565" t="s">
        <v>58</v>
      </c>
      <c r="D66" s="565"/>
      <c r="E66" s="300">
        <v>25.98</v>
      </c>
      <c r="F66" s="340">
        <v>1846</v>
      </c>
      <c r="G66" s="339">
        <f t="shared" si="43"/>
        <v>47959.08</v>
      </c>
      <c r="H66" s="301" t="s">
        <v>35</v>
      </c>
      <c r="I66" s="342">
        <v>17</v>
      </c>
      <c r="J66" s="303">
        <v>2400</v>
      </c>
      <c r="K66" s="304">
        <f t="shared" si="1"/>
        <v>141.1764705882353</v>
      </c>
      <c r="L66" s="342">
        <v>17</v>
      </c>
      <c r="M66" s="305">
        <f t="shared" si="44"/>
        <v>2307.5000000000005</v>
      </c>
      <c r="N66" s="304">
        <f t="shared" si="3"/>
        <v>135.73529411764707</v>
      </c>
      <c r="O66" s="306">
        <f t="shared" si="4"/>
        <v>0</v>
      </c>
      <c r="P66" s="307">
        <f t="shared" si="5"/>
        <v>-5.441176470588232</v>
      </c>
      <c r="Q66" s="344">
        <f t="shared" si="6"/>
        <v>0.96145833333333341</v>
      </c>
      <c r="R66" s="571"/>
      <c r="S66" s="308">
        <v>0.4104166666666666</v>
      </c>
      <c r="T66" s="308">
        <v>0.44374999999999992</v>
      </c>
      <c r="U66" s="339">
        <f t="shared" si="46"/>
        <v>5.9999999999999787</v>
      </c>
      <c r="V66" s="341">
        <f t="shared" si="45"/>
        <v>47.999999999999986</v>
      </c>
      <c r="W66" s="310"/>
      <c r="X66" s="310"/>
      <c r="Y66" s="570"/>
      <c r="Z66" s="570"/>
      <c r="AA66" s="306">
        <f t="shared" si="8"/>
        <v>-92.499999999999545</v>
      </c>
      <c r="AB66" s="344">
        <f t="shared" si="9"/>
        <v>0.96145833333333353</v>
      </c>
      <c r="AC66" s="571"/>
    </row>
    <row r="67" spans="1:29" ht="15.75" customHeight="1">
      <c r="A67" s="574" t="s">
        <v>1519</v>
      </c>
      <c r="B67" s="340" t="s">
        <v>46</v>
      </c>
      <c r="C67" s="565" t="s">
        <v>57</v>
      </c>
      <c r="D67" s="565"/>
      <c r="E67" s="300">
        <v>20.52</v>
      </c>
      <c r="F67" s="340">
        <v>3856</v>
      </c>
      <c r="G67" s="339">
        <f t="shared" si="43"/>
        <v>79125.119999999995</v>
      </c>
      <c r="H67" s="301" t="s">
        <v>35</v>
      </c>
      <c r="I67" s="342">
        <v>18</v>
      </c>
      <c r="J67" s="303">
        <v>2400</v>
      </c>
      <c r="K67" s="304">
        <f t="shared" si="1"/>
        <v>133.33333333333334</v>
      </c>
      <c r="L67" s="342">
        <v>18</v>
      </c>
      <c r="M67" s="305">
        <f t="shared" si="44"/>
        <v>2290.6930693069298</v>
      </c>
      <c r="N67" s="304">
        <f t="shared" si="3"/>
        <v>127.26072607260721</v>
      </c>
      <c r="O67" s="306">
        <f t="shared" si="4"/>
        <v>0</v>
      </c>
      <c r="P67" s="307">
        <f t="shared" si="5"/>
        <v>-6.0726072607261301</v>
      </c>
      <c r="Q67" s="344">
        <f t="shared" si="6"/>
        <v>0.95445544554455408</v>
      </c>
      <c r="R67" s="571"/>
      <c r="S67" s="308">
        <v>0.44722222222222213</v>
      </c>
      <c r="T67" s="308">
        <v>0.51736111111111105</v>
      </c>
      <c r="U67" s="339">
        <f t="shared" si="46"/>
        <v>4.9999999999999822</v>
      </c>
      <c r="V67" s="341">
        <f t="shared" si="45"/>
        <v>101.00000000000004</v>
      </c>
      <c r="W67" s="310">
        <f>T67</f>
        <v>0.51736111111111105</v>
      </c>
      <c r="X67" s="310">
        <f>S68</f>
        <v>0.55555555555555547</v>
      </c>
      <c r="Y67" s="566"/>
      <c r="Z67" s="567"/>
      <c r="AA67" s="306">
        <f t="shared" si="8"/>
        <v>-109.30693069307017</v>
      </c>
      <c r="AB67" s="344">
        <f t="shared" si="9"/>
        <v>0.95445544554455408</v>
      </c>
      <c r="AC67" s="571"/>
    </row>
    <row r="68" spans="1:29" ht="15.75" customHeight="1">
      <c r="A68" s="574" t="s">
        <v>1519</v>
      </c>
      <c r="B68" s="340" t="s">
        <v>46</v>
      </c>
      <c r="C68" s="565" t="s">
        <v>85</v>
      </c>
      <c r="D68" s="565"/>
      <c r="E68" s="300">
        <v>19.02</v>
      </c>
      <c r="F68" s="340">
        <v>7389</v>
      </c>
      <c r="G68" s="339">
        <f t="shared" si="43"/>
        <v>140538.78</v>
      </c>
      <c r="H68" s="301" t="s">
        <v>35</v>
      </c>
      <c r="I68" s="342">
        <v>15</v>
      </c>
      <c r="J68" s="303">
        <v>2400</v>
      </c>
      <c r="K68" s="304">
        <f t="shared" si="1"/>
        <v>160</v>
      </c>
      <c r="L68" s="342">
        <v>15</v>
      </c>
      <c r="M68" s="305">
        <f t="shared" si="44"/>
        <v>2285.2577319587635</v>
      </c>
      <c r="N68" s="304">
        <f t="shared" si="3"/>
        <v>152.35051546391756</v>
      </c>
      <c r="O68" s="306">
        <f t="shared" si="4"/>
        <v>0</v>
      </c>
      <c r="P68" s="307">
        <f t="shared" si="5"/>
        <v>-7.6494845360824399</v>
      </c>
      <c r="Q68" s="344">
        <f t="shared" si="6"/>
        <v>0.95219072164948471</v>
      </c>
      <c r="R68" s="571"/>
      <c r="S68" s="308">
        <v>0.55555555555555547</v>
      </c>
      <c r="T68" s="308">
        <v>0.69027777777777766</v>
      </c>
      <c r="U68" s="339">
        <f t="shared" si="46"/>
        <v>54.999999999999964</v>
      </c>
      <c r="V68" s="341">
        <f t="shared" si="45"/>
        <v>193.99999999999994</v>
      </c>
      <c r="W68" s="310"/>
      <c r="X68" s="310"/>
      <c r="Y68" s="566"/>
      <c r="Z68" s="567"/>
      <c r="AA68" s="306">
        <f t="shared" si="8"/>
        <v>-114.74226804123646</v>
      </c>
      <c r="AB68" s="344">
        <f t="shared" si="9"/>
        <v>0.95219072164948482</v>
      </c>
      <c r="AC68" s="571"/>
    </row>
    <row r="69" spans="1:29" ht="15.75" customHeight="1">
      <c r="A69" s="574" t="s">
        <v>1519</v>
      </c>
      <c r="B69" s="340" t="s">
        <v>46</v>
      </c>
      <c r="C69" s="565" t="s">
        <v>88</v>
      </c>
      <c r="D69" s="565"/>
      <c r="E69" s="300">
        <v>24.25</v>
      </c>
      <c r="F69" s="340">
        <v>1596</v>
      </c>
      <c r="G69" s="339">
        <f t="shared" si="43"/>
        <v>38703</v>
      </c>
      <c r="H69" s="301" t="s">
        <v>35</v>
      </c>
      <c r="I69" s="342">
        <v>17</v>
      </c>
      <c r="J69" s="303">
        <v>2400</v>
      </c>
      <c r="K69" s="304">
        <f t="shared" ref="K69:K71" si="47">J69/I69</f>
        <v>141.1764705882353</v>
      </c>
      <c r="L69" s="342">
        <v>17</v>
      </c>
      <c r="M69" s="305">
        <f t="shared" si="44"/>
        <v>2335.6097560975604</v>
      </c>
      <c r="N69" s="304">
        <f t="shared" ref="N69:N71" si="48">M69/L69</f>
        <v>137.38880918220943</v>
      </c>
      <c r="O69" s="306">
        <f t="shared" ref="O69:O71" si="49">L69-I69</f>
        <v>0</v>
      </c>
      <c r="P69" s="307">
        <f t="shared" ref="P69:P71" si="50">N69-K69</f>
        <v>-3.787661406025876</v>
      </c>
      <c r="Q69" s="344">
        <f t="shared" ref="Q69:Q71" si="51">N69/K69</f>
        <v>0.97317073170731672</v>
      </c>
      <c r="R69" s="571"/>
      <c r="S69" s="308">
        <v>0.69583333333333319</v>
      </c>
      <c r="T69" s="308">
        <v>0.72430555555555542</v>
      </c>
      <c r="U69" s="339">
        <f t="shared" si="46"/>
        <v>7.9999999999999716</v>
      </c>
      <c r="V69" s="341">
        <f t="shared" si="45"/>
        <v>41.000000000000014</v>
      </c>
      <c r="W69" s="310"/>
      <c r="X69" s="310"/>
      <c r="Y69" s="566"/>
      <c r="Z69" s="567"/>
      <c r="AA69" s="306">
        <f t="shared" ref="AA69:AA71" si="52">M69-J69</f>
        <v>-64.390243902439579</v>
      </c>
      <c r="AB69" s="344">
        <f t="shared" ref="AB69:AB71" si="53">M69/J69</f>
        <v>0.97317073170731683</v>
      </c>
      <c r="AC69" s="571"/>
    </row>
    <row r="70" spans="1:29" ht="15.75" customHeight="1">
      <c r="A70" s="574" t="s">
        <v>1519</v>
      </c>
      <c r="B70" s="340" t="s">
        <v>46</v>
      </c>
      <c r="C70" s="565" t="s">
        <v>66</v>
      </c>
      <c r="D70" s="565"/>
      <c r="E70" s="300">
        <v>24.25</v>
      </c>
      <c r="F70" s="340">
        <v>2201</v>
      </c>
      <c r="G70" s="339">
        <f t="shared" si="43"/>
        <v>53374.25</v>
      </c>
      <c r="H70" s="301" t="s">
        <v>35</v>
      </c>
      <c r="I70" s="342">
        <v>14</v>
      </c>
      <c r="J70" s="303">
        <v>2400</v>
      </c>
      <c r="K70" s="304">
        <f t="shared" si="47"/>
        <v>171.42857142857142</v>
      </c>
      <c r="L70" s="342">
        <v>14</v>
      </c>
      <c r="M70" s="305">
        <f t="shared" si="44"/>
        <v>2316.8421052631597</v>
      </c>
      <c r="N70" s="304">
        <f t="shared" si="48"/>
        <v>165.48872180451141</v>
      </c>
      <c r="O70" s="306">
        <f t="shared" si="49"/>
        <v>0</v>
      </c>
      <c r="P70" s="307">
        <f t="shared" si="50"/>
        <v>-5.9398496240600025</v>
      </c>
      <c r="Q70" s="344">
        <f t="shared" si="51"/>
        <v>0.96535087719298329</v>
      </c>
      <c r="R70" s="571"/>
      <c r="S70" s="308">
        <v>0.72777777777777763</v>
      </c>
      <c r="T70" s="308">
        <v>0.76736111111111094</v>
      </c>
      <c r="U70" s="339">
        <f t="shared" si="46"/>
        <v>4.9999999999999822</v>
      </c>
      <c r="V70" s="341">
        <f t="shared" si="45"/>
        <v>56.999999999999957</v>
      </c>
      <c r="W70" s="310"/>
      <c r="X70" s="310"/>
      <c r="Y70" s="566"/>
      <c r="Z70" s="567"/>
      <c r="AA70" s="306">
        <f t="shared" si="52"/>
        <v>-83.157894736840262</v>
      </c>
      <c r="AB70" s="344">
        <f t="shared" si="53"/>
        <v>0.96535087719298318</v>
      </c>
      <c r="AC70" s="571"/>
    </row>
    <row r="71" spans="1:29" ht="16.5" customHeight="1">
      <c r="A71" s="575" t="s">
        <v>1519</v>
      </c>
      <c r="B71" s="300" t="s">
        <v>1498</v>
      </c>
      <c r="C71" s="568"/>
      <c r="D71" s="569"/>
      <c r="E71" s="343"/>
      <c r="F71" s="313"/>
      <c r="G71" s="304"/>
      <c r="H71" s="340"/>
      <c r="I71" s="314">
        <v>16.600000000000001</v>
      </c>
      <c r="J71" s="303">
        <v>2400</v>
      </c>
      <c r="K71" s="304">
        <f t="shared" si="47"/>
        <v>144.57831325301203</v>
      </c>
      <c r="L71" s="314">
        <v>16.600000000000001</v>
      </c>
      <c r="M71" s="305">
        <f>AVERAGE(M61:M70)</f>
        <v>2299.2092082962176</v>
      </c>
      <c r="N71" s="304">
        <f t="shared" si="48"/>
        <v>138.50657881302516</v>
      </c>
      <c r="O71" s="306">
        <f t="shared" si="49"/>
        <v>0</v>
      </c>
      <c r="P71" s="307">
        <f t="shared" si="50"/>
        <v>-6.0717344399868693</v>
      </c>
      <c r="Q71" s="344">
        <f t="shared" si="51"/>
        <v>0.95800383679009082</v>
      </c>
      <c r="R71" s="571"/>
      <c r="S71" s="308"/>
      <c r="T71" s="308"/>
      <c r="U71" s="304"/>
      <c r="V71" s="341"/>
      <c r="W71" s="304"/>
      <c r="X71" s="304"/>
      <c r="Y71" s="570"/>
      <c r="Z71" s="570"/>
      <c r="AA71" s="306">
        <f t="shared" si="52"/>
        <v>-100.79079170378236</v>
      </c>
      <c r="AB71" s="344">
        <f t="shared" si="53"/>
        <v>0.95800383679009071</v>
      </c>
      <c r="AC71" s="571"/>
    </row>
    <row r="72" spans="1:29">
      <c r="D72" s="323"/>
      <c r="E72" s="323"/>
    </row>
  </sheetData>
  <mergeCells count="190">
    <mergeCell ref="S1:X2"/>
    <mergeCell ref="Y1:Z2"/>
    <mergeCell ref="AA1:AC2"/>
    <mergeCell ref="A3:A4"/>
    <mergeCell ref="B3:B4"/>
    <mergeCell ref="C3:D4"/>
    <mergeCell ref="E3:E4"/>
    <mergeCell ref="F3:F4"/>
    <mergeCell ref="G3:G4"/>
    <mergeCell ref="I1:K2"/>
    <mergeCell ref="L1:N2"/>
    <mergeCell ref="O1:R2"/>
    <mergeCell ref="P3:P4"/>
    <mergeCell ref="Q3:Q4"/>
    <mergeCell ref="R3:R4"/>
    <mergeCell ref="S3:T3"/>
    <mergeCell ref="H3:H4"/>
    <mergeCell ref="I3:I4"/>
    <mergeCell ref="J3:J4"/>
    <mergeCell ref="K3:K4"/>
    <mergeCell ref="L3:L4"/>
    <mergeCell ref="M3:M4"/>
    <mergeCell ref="C8:D8"/>
    <mergeCell ref="Y8:Z8"/>
    <mergeCell ref="A9:A12"/>
    <mergeCell ref="C9:D9"/>
    <mergeCell ref="R9:R12"/>
    <mergeCell ref="Y9:Z9"/>
    <mergeCell ref="AC3:AC4"/>
    <mergeCell ref="A5:A8"/>
    <mergeCell ref="C5:D5"/>
    <mergeCell ref="R5:R8"/>
    <mergeCell ref="Y5:Z5"/>
    <mergeCell ref="AC5:AC8"/>
    <mergeCell ref="C6:D6"/>
    <mergeCell ref="Y6:Z6"/>
    <mergeCell ref="C7:D7"/>
    <mergeCell ref="Y7:Z7"/>
    <mergeCell ref="U3:U4"/>
    <mergeCell ref="V3:V4"/>
    <mergeCell ref="W3:X3"/>
    <mergeCell ref="Y3:Z4"/>
    <mergeCell ref="AA3:AA4"/>
    <mergeCell ref="AB3:AB4"/>
    <mergeCell ref="N3:N4"/>
    <mergeCell ref="O3:O4"/>
    <mergeCell ref="AC13:AC18"/>
    <mergeCell ref="C14:D14"/>
    <mergeCell ref="Y14:Z14"/>
    <mergeCell ref="C15:D15"/>
    <mergeCell ref="Y15:Z15"/>
    <mergeCell ref="C16:D16"/>
    <mergeCell ref="AC9:AC12"/>
    <mergeCell ref="C10:D10"/>
    <mergeCell ref="Y10:Z10"/>
    <mergeCell ref="C11:D11"/>
    <mergeCell ref="Y11:Z11"/>
    <mergeCell ref="C12:D12"/>
    <mergeCell ref="Y12:Z12"/>
    <mergeCell ref="Y16:Z16"/>
    <mergeCell ref="C17:D17"/>
    <mergeCell ref="Y17:Z17"/>
    <mergeCell ref="C18:D18"/>
    <mergeCell ref="Y18:Z18"/>
    <mergeCell ref="A19:A23"/>
    <mergeCell ref="C19:D19"/>
    <mergeCell ref="R19:R23"/>
    <mergeCell ref="Y19:Z19"/>
    <mergeCell ref="A13:A18"/>
    <mergeCell ref="C13:D13"/>
    <mergeCell ref="R13:R18"/>
    <mergeCell ref="Y13:Z13"/>
    <mergeCell ref="AC24:AC32"/>
    <mergeCell ref="C25:D25"/>
    <mergeCell ref="Y25:Z25"/>
    <mergeCell ref="C26:D26"/>
    <mergeCell ref="Y26:Z26"/>
    <mergeCell ref="C27:D27"/>
    <mergeCell ref="AC19:AC23"/>
    <mergeCell ref="C20:D20"/>
    <mergeCell ref="Y20:Z20"/>
    <mergeCell ref="C21:D21"/>
    <mergeCell ref="Y21:Z21"/>
    <mergeCell ref="C22:D22"/>
    <mergeCell ref="Y22:Z22"/>
    <mergeCell ref="C23:D23"/>
    <mergeCell ref="Y23:Z23"/>
    <mergeCell ref="Y27:Z27"/>
    <mergeCell ref="C28:D28"/>
    <mergeCell ref="Y28:Z28"/>
    <mergeCell ref="C29:D29"/>
    <mergeCell ref="Y29:Z29"/>
    <mergeCell ref="C30:D30"/>
    <mergeCell ref="Y30:Z30"/>
    <mergeCell ref="A24:A32"/>
    <mergeCell ref="C24:D24"/>
    <mergeCell ref="R24:R32"/>
    <mergeCell ref="Y24:Z24"/>
    <mergeCell ref="C31:D31"/>
    <mergeCell ref="Y31:Z31"/>
    <mergeCell ref="C32:D32"/>
    <mergeCell ref="Y32:Z32"/>
    <mergeCell ref="A33:A41"/>
    <mergeCell ref="C33:D33"/>
    <mergeCell ref="R33:R41"/>
    <mergeCell ref="Y33:Z33"/>
    <mergeCell ref="Y38:Z38"/>
    <mergeCell ref="C39:D39"/>
    <mergeCell ref="AC33:AC41"/>
    <mergeCell ref="C34:D34"/>
    <mergeCell ref="Y34:Z34"/>
    <mergeCell ref="C35:D35"/>
    <mergeCell ref="Y35:Z35"/>
    <mergeCell ref="C36:D36"/>
    <mergeCell ref="Y36:Z36"/>
    <mergeCell ref="C37:D37"/>
    <mergeCell ref="Y37:Z37"/>
    <mergeCell ref="C38:D38"/>
    <mergeCell ref="Y39:Z39"/>
    <mergeCell ref="C40:D40"/>
    <mergeCell ref="Y40:Z40"/>
    <mergeCell ref="C41:D41"/>
    <mergeCell ref="Y41:Z41"/>
    <mergeCell ref="A42:A48"/>
    <mergeCell ref="C42:D42"/>
    <mergeCell ref="R42:R48"/>
    <mergeCell ref="Y42:Z42"/>
    <mergeCell ref="Y47:Z47"/>
    <mergeCell ref="C48:D48"/>
    <mergeCell ref="Y48:Z48"/>
    <mergeCell ref="A49:A55"/>
    <mergeCell ref="C49:D49"/>
    <mergeCell ref="R49:R55"/>
    <mergeCell ref="Y49:Z49"/>
    <mergeCell ref="AC42:AC48"/>
    <mergeCell ref="C43:D43"/>
    <mergeCell ref="Y43:Z43"/>
    <mergeCell ref="C44:D44"/>
    <mergeCell ref="Y44:Z44"/>
    <mergeCell ref="C45:D45"/>
    <mergeCell ref="Y45:Z45"/>
    <mergeCell ref="C46:D46"/>
    <mergeCell ref="Y46:Z46"/>
    <mergeCell ref="C47:D47"/>
    <mergeCell ref="AC56:AC60"/>
    <mergeCell ref="C57:D57"/>
    <mergeCell ref="Y57:Z57"/>
    <mergeCell ref="C58:D58"/>
    <mergeCell ref="Y58:Z58"/>
    <mergeCell ref="C59:D59"/>
    <mergeCell ref="AC49:AC55"/>
    <mergeCell ref="C50:D50"/>
    <mergeCell ref="Y50:Z50"/>
    <mergeCell ref="C51:D51"/>
    <mergeCell ref="C54:D54"/>
    <mergeCell ref="Y54:Z54"/>
    <mergeCell ref="C55:D55"/>
    <mergeCell ref="Y55:Z55"/>
    <mergeCell ref="Y59:Z59"/>
    <mergeCell ref="C60:D60"/>
    <mergeCell ref="Y60:Z60"/>
    <mergeCell ref="A61:A71"/>
    <mergeCell ref="C61:D61"/>
    <mergeCell ref="R61:R71"/>
    <mergeCell ref="Y61:Z61"/>
    <mergeCell ref="Y66:Z66"/>
    <mergeCell ref="C67:D67"/>
    <mergeCell ref="Y67:Z67"/>
    <mergeCell ref="A56:A60"/>
    <mergeCell ref="C56:D56"/>
    <mergeCell ref="R56:R60"/>
    <mergeCell ref="Y56:Z56"/>
    <mergeCell ref="C71:D71"/>
    <mergeCell ref="Y71:Z71"/>
    <mergeCell ref="C68:D68"/>
    <mergeCell ref="Y68:Z68"/>
    <mergeCell ref="C69:D69"/>
    <mergeCell ref="Y69:Z69"/>
    <mergeCell ref="C70:D70"/>
    <mergeCell ref="Y70:Z70"/>
    <mergeCell ref="AC61:AC71"/>
    <mergeCell ref="C62:D62"/>
    <mergeCell ref="Y62:Z62"/>
    <mergeCell ref="C63:D63"/>
    <mergeCell ref="Y63:Z63"/>
    <mergeCell ref="C64:D64"/>
    <mergeCell ref="Y64:Z64"/>
    <mergeCell ref="C65:D65"/>
    <mergeCell ref="Y65:Z65"/>
    <mergeCell ref="C66:D66"/>
  </mergeCells>
  <phoneticPr fontId="3" type="noConversion"/>
  <conditionalFormatting sqref="O59:O66 O71 O5:O9 O12:O14 O18:O56">
    <cfRule type="cellIs" dxfId="1156" priority="56" operator="greaterThan">
      <formula>0</formula>
    </cfRule>
  </conditionalFormatting>
  <conditionalFormatting sqref="P5:P7 P59 AA59 P61:P66 P24:P31 P56 P9 P12:P14 P19:P22 P49:P54 P33:P47 AA5:AA56 AA61:AA71">
    <cfRule type="cellIs" dxfId="1155" priority="60" operator="lessThan">
      <formula>0</formula>
    </cfRule>
  </conditionalFormatting>
  <conditionalFormatting sqref="AB59 Q59:Q66 Q71 Q5:Q9 Q12:Q14 Q18:Q56 AB5:AB56 AB61:AB71">
    <cfRule type="cellIs" dxfId="1154" priority="57" operator="greaterThan">
      <formula>1</formula>
    </cfRule>
    <cfRule type="cellIs" dxfId="1153" priority="58" operator="lessThan">
      <formula>0.8</formula>
    </cfRule>
  </conditionalFormatting>
  <conditionalFormatting sqref="AC13:AC14 R13:R14 AC59 R59:R66 R71 AC5:AC9 R5:R9 AC18:AC56 R18:R56">
    <cfRule type="cellIs" dxfId="1152" priority="62" operator="lessThan">
      <formula>0.8</formula>
    </cfRule>
  </conditionalFormatting>
  <conditionalFormatting sqref="AC42">
    <cfRule type="cellIs" dxfId="1151" priority="64" operator="lessThan">
      <formula>0.8</formula>
    </cfRule>
  </conditionalFormatting>
  <conditionalFormatting sqref="AC19:AC22">
    <cfRule type="cellIs" dxfId="1150" priority="61" operator="lessThan">
      <formula>0.8</formula>
    </cfRule>
  </conditionalFormatting>
  <conditionalFormatting sqref="AC24">
    <cfRule type="cellIs" dxfId="1149" priority="63" operator="lessThan">
      <formula>0.8</formula>
    </cfRule>
  </conditionalFormatting>
  <conditionalFormatting sqref="AC33:AC40">
    <cfRule type="cellIs" dxfId="1148" priority="59" operator="lessThan">
      <formula>0.8</formula>
    </cfRule>
  </conditionalFormatting>
  <conditionalFormatting sqref="AA60">
    <cfRule type="cellIs" dxfId="1147" priority="55" operator="lessThan">
      <formula>0</formula>
    </cfRule>
  </conditionalFormatting>
  <conditionalFormatting sqref="AB60">
    <cfRule type="cellIs" dxfId="1146" priority="53" operator="greaterThan">
      <formula>1</formula>
    </cfRule>
    <cfRule type="cellIs" dxfId="1145" priority="54" operator="lessThan">
      <formula>0.8</formula>
    </cfRule>
  </conditionalFormatting>
  <conditionalFormatting sqref="O15:O16">
    <cfRule type="cellIs" dxfId="1144" priority="48" operator="greaterThan">
      <formula>0</formula>
    </cfRule>
  </conditionalFormatting>
  <conditionalFormatting sqref="P15:P16">
    <cfRule type="cellIs" dxfId="1143" priority="51" operator="lessThan">
      <formula>0</formula>
    </cfRule>
  </conditionalFormatting>
  <conditionalFormatting sqref="Q15:Q16">
    <cfRule type="cellIs" dxfId="1142" priority="49" operator="greaterThan">
      <formula>1</formula>
    </cfRule>
    <cfRule type="cellIs" dxfId="1141" priority="50" operator="lessThan">
      <formula>0.8</formula>
    </cfRule>
  </conditionalFormatting>
  <conditionalFormatting sqref="R15:R16 AC15:AC16">
    <cfRule type="cellIs" dxfId="1140" priority="52" operator="lessThan">
      <formula>0.8</formula>
    </cfRule>
  </conditionalFormatting>
  <conditionalFormatting sqref="O10:O11">
    <cfRule type="cellIs" dxfId="1139" priority="44" operator="greaterThan">
      <formula>0</formula>
    </cfRule>
  </conditionalFormatting>
  <conditionalFormatting sqref="P10:P11">
    <cfRule type="cellIs" dxfId="1138" priority="47" operator="lessThan">
      <formula>0</formula>
    </cfRule>
  </conditionalFormatting>
  <conditionalFormatting sqref="Q10:Q11">
    <cfRule type="cellIs" dxfId="1137" priority="45" operator="greaterThan">
      <formula>1</formula>
    </cfRule>
    <cfRule type="cellIs" dxfId="1136" priority="46" operator="lessThan">
      <formula>0.8</formula>
    </cfRule>
  </conditionalFormatting>
  <conditionalFormatting sqref="O58">
    <cfRule type="cellIs" dxfId="1135" priority="39" operator="greaterThan">
      <formula>0</formula>
    </cfRule>
  </conditionalFormatting>
  <conditionalFormatting sqref="P58 AA58">
    <cfRule type="cellIs" dxfId="1134" priority="42" operator="lessThan">
      <formula>0</formula>
    </cfRule>
  </conditionalFormatting>
  <conditionalFormatting sqref="Q58 AB58">
    <cfRule type="cellIs" dxfId="1133" priority="40" operator="greaterThan">
      <formula>1</formula>
    </cfRule>
    <cfRule type="cellIs" dxfId="1132" priority="41" operator="lessThan">
      <formula>0.8</formula>
    </cfRule>
  </conditionalFormatting>
  <conditionalFormatting sqref="R58 AC58">
    <cfRule type="cellIs" dxfId="1131" priority="43" operator="lessThan">
      <formula>0.8</formula>
    </cfRule>
  </conditionalFormatting>
  <conditionalFormatting sqref="O67">
    <cfRule type="cellIs" dxfId="1130" priority="34" operator="greaterThan">
      <formula>0</formula>
    </cfRule>
  </conditionalFormatting>
  <conditionalFormatting sqref="P67">
    <cfRule type="cellIs" dxfId="1129" priority="37" operator="lessThan">
      <formula>0</formula>
    </cfRule>
  </conditionalFormatting>
  <conditionalFormatting sqref="Q67">
    <cfRule type="cellIs" dxfId="1128" priority="35" operator="greaterThan">
      <formula>1</formula>
    </cfRule>
    <cfRule type="cellIs" dxfId="1127" priority="36" operator="lessThan">
      <formula>0.8</formula>
    </cfRule>
  </conditionalFormatting>
  <conditionalFormatting sqref="R67">
    <cfRule type="cellIs" dxfId="1126" priority="38" operator="lessThan">
      <formula>0.8</formula>
    </cfRule>
  </conditionalFormatting>
  <conditionalFormatting sqref="O17">
    <cfRule type="cellIs" dxfId="1125" priority="29" operator="greaterThan">
      <formula>0</formula>
    </cfRule>
  </conditionalFormatting>
  <conditionalFormatting sqref="P17">
    <cfRule type="cellIs" dxfId="1124" priority="32" operator="lessThan">
      <formula>0</formula>
    </cfRule>
  </conditionalFormatting>
  <conditionalFormatting sqref="Q17">
    <cfRule type="cellIs" dxfId="1123" priority="30" operator="greaterThan">
      <formula>1</formula>
    </cfRule>
    <cfRule type="cellIs" dxfId="1122" priority="31" operator="lessThan">
      <formula>0.8</formula>
    </cfRule>
  </conditionalFormatting>
  <conditionalFormatting sqref="R17 AC17">
    <cfRule type="cellIs" dxfId="1121" priority="33" operator="lessThan">
      <formula>0.8</formula>
    </cfRule>
  </conditionalFormatting>
  <conditionalFormatting sqref="O57">
    <cfRule type="cellIs" dxfId="1120" priority="24" operator="greaterThan">
      <formula>0</formula>
    </cfRule>
  </conditionalFormatting>
  <conditionalFormatting sqref="P57 AA57">
    <cfRule type="cellIs" dxfId="1119" priority="27" operator="lessThan">
      <formula>0</formula>
    </cfRule>
  </conditionalFormatting>
  <conditionalFormatting sqref="Q57 AB57">
    <cfRule type="cellIs" dxfId="1118" priority="25" operator="greaterThan">
      <formula>1</formula>
    </cfRule>
    <cfRule type="cellIs" dxfId="1117" priority="26" operator="lessThan">
      <formula>0.8</formula>
    </cfRule>
  </conditionalFormatting>
  <conditionalFormatting sqref="R57 AC57">
    <cfRule type="cellIs" dxfId="1116" priority="28" operator="lessThan">
      <formula>0.8</formula>
    </cfRule>
  </conditionalFormatting>
  <conditionalFormatting sqref="P8">
    <cfRule type="cellIs" dxfId="1115" priority="23" operator="lessThan">
      <formula>0</formula>
    </cfRule>
  </conditionalFormatting>
  <conditionalFormatting sqref="P18">
    <cfRule type="cellIs" dxfId="1114" priority="22" operator="lessThan">
      <formula>0</formula>
    </cfRule>
  </conditionalFormatting>
  <conditionalFormatting sqref="P23">
    <cfRule type="cellIs" dxfId="1113" priority="21" operator="lessThan">
      <formula>0</formula>
    </cfRule>
  </conditionalFormatting>
  <conditionalFormatting sqref="P32">
    <cfRule type="cellIs" dxfId="1112" priority="20" operator="lessThan">
      <formula>0</formula>
    </cfRule>
  </conditionalFormatting>
  <conditionalFormatting sqref="P48">
    <cfRule type="cellIs" dxfId="1111" priority="19" operator="lessThan">
      <formula>0</formula>
    </cfRule>
  </conditionalFormatting>
  <conditionalFormatting sqref="P55">
    <cfRule type="cellIs" dxfId="1110" priority="18" operator="lessThan">
      <formula>0</formula>
    </cfRule>
  </conditionalFormatting>
  <conditionalFormatting sqref="P60">
    <cfRule type="cellIs" dxfId="1109" priority="17" operator="lessThan">
      <formula>0</formula>
    </cfRule>
  </conditionalFormatting>
  <conditionalFormatting sqref="P71">
    <cfRule type="cellIs" dxfId="1108" priority="16" operator="lessThan">
      <formula>0</formula>
    </cfRule>
  </conditionalFormatting>
  <conditionalFormatting sqref="O68">
    <cfRule type="cellIs" dxfId="1107" priority="11" operator="greaterThan">
      <formula>0</formula>
    </cfRule>
  </conditionalFormatting>
  <conditionalFormatting sqref="P68">
    <cfRule type="cellIs" dxfId="1106" priority="14" operator="lessThan">
      <formula>0</formula>
    </cfRule>
  </conditionalFormatting>
  <conditionalFormatting sqref="Q68">
    <cfRule type="cellIs" dxfId="1105" priority="12" operator="greaterThan">
      <formula>1</formula>
    </cfRule>
    <cfRule type="cellIs" dxfId="1104" priority="13" operator="lessThan">
      <formula>0.8</formula>
    </cfRule>
  </conditionalFormatting>
  <conditionalFormatting sqref="R68">
    <cfRule type="cellIs" dxfId="1103" priority="15" operator="lessThan">
      <formula>0.8</formula>
    </cfRule>
  </conditionalFormatting>
  <conditionalFormatting sqref="O69">
    <cfRule type="cellIs" dxfId="1102" priority="6" operator="greaterThan">
      <formula>0</formula>
    </cfRule>
  </conditionalFormatting>
  <conditionalFormatting sqref="P69">
    <cfRule type="cellIs" dxfId="1101" priority="9" operator="lessThan">
      <formula>0</formula>
    </cfRule>
  </conditionalFormatting>
  <conditionalFormatting sqref="Q69">
    <cfRule type="cellIs" dxfId="1100" priority="7" operator="greaterThan">
      <formula>1</formula>
    </cfRule>
    <cfRule type="cellIs" dxfId="1099" priority="8" operator="lessThan">
      <formula>0.8</formula>
    </cfRule>
  </conditionalFormatting>
  <conditionalFormatting sqref="R69">
    <cfRule type="cellIs" dxfId="1098" priority="10" operator="lessThan">
      <formula>0.8</formula>
    </cfRule>
  </conditionalFormatting>
  <conditionalFormatting sqref="O70">
    <cfRule type="cellIs" dxfId="1097" priority="1" operator="greaterThan">
      <formula>0</formula>
    </cfRule>
  </conditionalFormatting>
  <conditionalFormatting sqref="P70">
    <cfRule type="cellIs" dxfId="1096" priority="4" operator="lessThan">
      <formula>0</formula>
    </cfRule>
  </conditionalFormatting>
  <conditionalFormatting sqref="Q70">
    <cfRule type="cellIs" dxfId="1095" priority="2" operator="greaterThan">
      <formula>1</formula>
    </cfRule>
    <cfRule type="cellIs" dxfId="1094" priority="3" operator="lessThan">
      <formula>0.8</formula>
    </cfRule>
  </conditionalFormatting>
  <conditionalFormatting sqref="R70">
    <cfRule type="cellIs" dxfId="1093" priority="5" operator="lessThan">
      <formula>0.8</formula>
    </cfRule>
  </conditionalFormatting>
  <dataValidations count="1">
    <dataValidation type="list" allowBlank="1" showInputMessage="1" showErrorMessage="1" sqref="Z8 Y5:Z7 Y8:Y59 Z10:Z56 Y60:Z71">
      <formula1>#REF!</formula1>
    </dataValidation>
  </dataValidations>
  <pageMargins left="0" right="0" top="0" bottom="0" header="0" footer="0"/>
  <pageSetup paperSize="9" scale="11" orientation="landscape" horizontalDpi="300" verticalDpi="300" r:id="rId1"/>
</worksheet>
</file>

<file path=xl/worksheets/sheet2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工作表23"/>
  <dimension ref="B1:Q28"/>
  <sheetViews>
    <sheetView zoomScale="85" zoomScaleNormal="85" workbookViewId="0">
      <selection activeCell="D26" sqref="D26"/>
    </sheetView>
  </sheetViews>
  <sheetFormatPr defaultColWidth="8.75" defaultRowHeight="15.75"/>
  <cols>
    <col min="1" max="1" width="8.75" style="30"/>
    <col min="2" max="2" width="17.875" style="30" customWidth="1"/>
    <col min="3" max="3" width="9.25" style="37" customWidth="1"/>
    <col min="4" max="13" width="12.625" style="30" customWidth="1"/>
    <col min="14" max="14" width="11" style="30" bestFit="1" customWidth="1"/>
    <col min="15" max="15" width="17.75" style="30" bestFit="1" customWidth="1"/>
    <col min="16" max="16" width="12.25" style="30" bestFit="1" customWidth="1"/>
    <col min="17" max="22" width="9.25" style="30" customWidth="1"/>
    <col min="23" max="23" width="10.75" style="30" customWidth="1"/>
    <col min="24" max="24" width="11" style="30" customWidth="1"/>
    <col min="25" max="16384" width="8.75" style="30"/>
  </cols>
  <sheetData>
    <row r="1" spans="2:17" ht="27.75" customHeight="1">
      <c r="B1" s="552" t="s">
        <v>1343</v>
      </c>
      <c r="C1" s="552"/>
      <c r="D1" s="552"/>
      <c r="E1" s="552"/>
      <c r="F1" s="552"/>
      <c r="G1" s="552"/>
      <c r="H1" s="552"/>
      <c r="I1" s="552"/>
      <c r="J1" s="552"/>
      <c r="K1" s="29"/>
      <c r="L1" s="29"/>
      <c r="M1" s="29"/>
      <c r="N1" s="29"/>
      <c r="O1" s="29"/>
      <c r="P1" s="29"/>
    </row>
    <row r="2" spans="2:17" ht="27.75" customHeight="1">
      <c r="B2" s="553"/>
      <c r="C2" s="553"/>
      <c r="D2" s="553"/>
      <c r="E2" s="553"/>
      <c r="F2" s="553"/>
      <c r="G2" s="553"/>
      <c r="H2" s="553"/>
      <c r="I2" s="553"/>
      <c r="J2" s="553"/>
      <c r="K2" s="31"/>
      <c r="L2" s="31"/>
      <c r="M2" s="31"/>
      <c r="N2" s="29"/>
      <c r="O2" s="29"/>
      <c r="P2" s="29"/>
    </row>
    <row r="3" spans="2:17" ht="46.5" customHeight="1">
      <c r="B3" s="32" t="s">
        <v>1344</v>
      </c>
      <c r="C3" s="554" t="str">
        <f>TEXT('1018 4度C'!A2,"yyyy.mm.ddaaaa")</f>
        <v>2025.10.18星期六</v>
      </c>
      <c r="D3" s="555"/>
      <c r="E3" s="32" t="s">
        <v>1345</v>
      </c>
      <c r="F3" s="556">
        <f>'1018 4度C'!D1</f>
        <v>146730</v>
      </c>
      <c r="G3" s="557"/>
      <c r="H3" s="32" t="s">
        <v>1346</v>
      </c>
      <c r="I3" s="558">
        <f>'1018 4度C'!F1</f>
        <v>4884234.959999999</v>
      </c>
      <c r="J3" s="559"/>
      <c r="K3" s="33"/>
      <c r="L3" s="34"/>
      <c r="M3" s="35"/>
      <c r="N3" s="35"/>
    </row>
    <row r="4" spans="2:17" ht="28.5" customHeight="1">
      <c r="B4" s="560" t="s">
        <v>114</v>
      </c>
      <c r="C4" s="542" t="s">
        <v>1347</v>
      </c>
      <c r="D4" s="543"/>
      <c r="E4" s="563" t="s">
        <v>1348</v>
      </c>
      <c r="F4" s="564"/>
      <c r="G4" s="563" t="s">
        <v>1349</v>
      </c>
      <c r="H4" s="564"/>
      <c r="I4" s="563" t="s">
        <v>1350</v>
      </c>
      <c r="J4" s="564"/>
      <c r="L4" s="35"/>
      <c r="M4" s="35"/>
      <c r="N4" s="35"/>
    </row>
    <row r="5" spans="2:17" ht="28.5" customHeight="1">
      <c r="B5" s="561"/>
      <c r="C5" s="542" t="s">
        <v>1351</v>
      </c>
      <c r="D5" s="543"/>
      <c r="E5" s="542" t="s">
        <v>1352</v>
      </c>
      <c r="F5" s="543"/>
      <c r="G5" s="544" t="s">
        <v>1353</v>
      </c>
      <c r="H5" s="545"/>
      <c r="I5" s="546" t="s">
        <v>1354</v>
      </c>
      <c r="J5" s="547"/>
      <c r="K5" s="35"/>
      <c r="L5" s="35"/>
      <c r="M5" s="35"/>
      <c r="N5" s="35"/>
    </row>
    <row r="6" spans="2:17" ht="28.5" customHeight="1">
      <c r="B6" s="561"/>
      <c r="C6" s="542" t="s">
        <v>92</v>
      </c>
      <c r="D6" s="543"/>
      <c r="E6" s="548">
        <f>AVERAGE(D13:M13)</f>
        <v>152.82468405044344</v>
      </c>
      <c r="F6" s="549">
        <f>AVERAGE(D27:O27,D13:J13)</f>
        <v>159.11492160150854</v>
      </c>
      <c r="G6" s="550">
        <f>AVERAGE(D13:J13)</f>
        <v>159.11492160150854</v>
      </c>
      <c r="H6" s="551"/>
      <c r="I6" s="550">
        <f>AVERAGE(K13:M13)</f>
        <v>138.14746309795817</v>
      </c>
      <c r="J6" s="551"/>
      <c r="K6" s="35"/>
      <c r="L6" s="35"/>
      <c r="M6" s="35"/>
      <c r="N6" s="35"/>
    </row>
    <row r="7" spans="2:17" ht="28.5" customHeight="1">
      <c r="B7" s="561"/>
      <c r="C7" s="532" t="s">
        <v>93</v>
      </c>
      <c r="D7" s="533"/>
      <c r="E7" s="534">
        <f>AVERAGE(D14:M14)</f>
        <v>146.43607006052048</v>
      </c>
      <c r="F7" s="535">
        <f>AVERAGE(D28:O28,D14:J14)</f>
        <v>152.53252021106093</v>
      </c>
      <c r="G7" s="536">
        <f>AVERAGE(D14:J14)</f>
        <v>152.53252021106093</v>
      </c>
      <c r="H7" s="537"/>
      <c r="I7" s="536">
        <f>AVERAGE(K14:M14)</f>
        <v>132.21101970925949</v>
      </c>
      <c r="J7" s="537"/>
      <c r="K7" s="35"/>
      <c r="L7" s="35"/>
      <c r="M7" s="35"/>
      <c r="N7" s="35"/>
    </row>
    <row r="8" spans="2:17" ht="28.5" customHeight="1">
      <c r="B8" s="562"/>
      <c r="C8" s="532" t="s">
        <v>94</v>
      </c>
      <c r="D8" s="533"/>
      <c r="E8" s="538">
        <f>AVERAGE(D15:M15)</f>
        <v>0.95830802284038419</v>
      </c>
      <c r="F8" s="539">
        <f>AVERAGE(D15:J15,D29:O29)</f>
        <v>0.95886645687908201</v>
      </c>
      <c r="G8" s="540">
        <f>AVERAGE(D15:J15)</f>
        <v>0.95886645687908201</v>
      </c>
      <c r="H8" s="541"/>
      <c r="I8" s="540">
        <f>AVERAGE(K15:M15)</f>
        <v>0.95700501008342276</v>
      </c>
      <c r="J8" s="541"/>
      <c r="K8" s="36" t="s">
        <v>1355</v>
      </c>
      <c r="L8" s="35"/>
      <c r="M8" s="35"/>
      <c r="N8" s="35"/>
    </row>
    <row r="9" spans="2:17" ht="28.5" customHeight="1" thickBot="1">
      <c r="H9" s="38"/>
      <c r="N9" s="35"/>
      <c r="O9" s="35"/>
      <c r="P9" s="35"/>
      <c r="Q9" s="35"/>
    </row>
    <row r="10" spans="2:17" ht="30" customHeight="1">
      <c r="B10" s="515" t="s">
        <v>1356</v>
      </c>
      <c r="C10" s="516"/>
      <c r="D10" s="517" t="s">
        <v>1357</v>
      </c>
      <c r="E10" s="518"/>
      <c r="F10" s="518"/>
      <c r="G10" s="518"/>
      <c r="H10" s="518"/>
      <c r="I10" s="518"/>
      <c r="J10" s="519"/>
      <c r="K10" s="520" t="s">
        <v>1358</v>
      </c>
      <c r="L10" s="521"/>
      <c r="M10" s="522"/>
      <c r="P10" s="39"/>
      <c r="Q10" s="39"/>
    </row>
    <row r="11" spans="2:17" ht="17.25" customHeight="1">
      <c r="B11" s="523" t="s">
        <v>1359</v>
      </c>
      <c r="C11" s="524"/>
      <c r="D11" s="40">
        <v>1</v>
      </c>
      <c r="E11" s="41">
        <v>2</v>
      </c>
      <c r="F11" s="41">
        <v>3</v>
      </c>
      <c r="G11" s="41">
        <v>4</v>
      </c>
      <c r="H11" s="41">
        <v>5</v>
      </c>
      <c r="I11" s="41">
        <v>6</v>
      </c>
      <c r="J11" s="42">
        <v>7</v>
      </c>
      <c r="K11" s="40">
        <v>1</v>
      </c>
      <c r="L11" s="41">
        <v>2</v>
      </c>
      <c r="M11" s="42">
        <v>3</v>
      </c>
      <c r="P11" s="39"/>
      <c r="Q11" s="39"/>
    </row>
    <row r="12" spans="2:17" ht="34.15" customHeight="1">
      <c r="B12" s="525"/>
      <c r="C12" s="526"/>
      <c r="D12" s="43" t="s">
        <v>96</v>
      </c>
      <c r="E12" s="44" t="s">
        <v>97</v>
      </c>
      <c r="F12" s="44" t="s">
        <v>98</v>
      </c>
      <c r="G12" s="44" t="s">
        <v>99</v>
      </c>
      <c r="H12" s="44" t="s">
        <v>100</v>
      </c>
      <c r="I12" s="44" t="s">
        <v>101</v>
      </c>
      <c r="J12" s="45" t="s">
        <v>102</v>
      </c>
      <c r="K12" s="43" t="s">
        <v>103</v>
      </c>
      <c r="L12" s="44" t="s">
        <v>104</v>
      </c>
      <c r="M12" s="45" t="s">
        <v>105</v>
      </c>
    </row>
    <row r="13" spans="2:17" ht="40.15" customHeight="1">
      <c r="B13" s="527" t="s">
        <v>1360</v>
      </c>
      <c r="C13" s="46" t="s">
        <v>1361</v>
      </c>
      <c r="D13" s="47">
        <f>SUMIFS('1018 4度C'!$K:$K,'1018 4度C'!$A:$A,"新豐6線",'1018 4度C'!$B:$B,"平均")</f>
        <v>125</v>
      </c>
      <c r="E13" s="48">
        <f>SUMIFS('1018 4度C'!$K:$K,'1018 4度C'!$A:$A,"新豐2線",'1018 4度C'!$B:$B,"平均")</f>
        <v>81.081081081081081</v>
      </c>
      <c r="F13" s="49">
        <f>SUMIFS('1018 4度C'!$K:$K,'1018 4度C'!$A:$A,"新豐5線",'1018 4度C'!$B:$B,"平均")</f>
        <v>91.397849462365585</v>
      </c>
      <c r="G13" s="49">
        <f>SUMIFS('1018 4度C'!$K:$K,'1018 4度C'!$A:$A,"新豐7線",'1018 4度C'!$B:$B,"平均")</f>
        <v>119.40298507462687</v>
      </c>
      <c r="H13" s="49">
        <f>SUMIFS('1018 4度C'!$K:$K,'1018 4度C'!$A:$A,"新豐3線",'1018 4度C'!$B:$B,"平均")</f>
        <v>310.34482758620692</v>
      </c>
      <c r="I13" s="49">
        <f>SUMIFS('1018 4度C'!$K:$K,'1018 4度C'!$A:$A,"新豐1線",'1018 4度C'!$B:$B,"平均")</f>
        <v>117.34693877551021</v>
      </c>
      <c r="J13" s="50">
        <f>SUMIFS('1018 4度C'!$K:$K,'1018 4度C'!$A:$A,"新豐10線",'1018 4度C'!$B:$B,"平均")</f>
        <v>269.23076923076923</v>
      </c>
      <c r="K13" s="51">
        <f>SUMIFS('1018 4度C'!$K:$K,'1018 4度C'!$A:$A,"新豐8線",'1018 4度C'!$B:$B,"平均")</f>
        <v>131.86813186813188</v>
      </c>
      <c r="L13" s="52">
        <f>SUMIFS('1018 4度C'!$K:$K,'1018 4度C'!$A:$A,"新豐9線",'1018 4度C'!$B:$B,"平均")</f>
        <v>142.57425742574259</v>
      </c>
      <c r="M13" s="50">
        <f>SUMIFS('1018 4度C'!$K:$K,'1018 4度C'!$A:$A,"新豐4線",'1018 4度C'!$B:$B,"平均")</f>
        <v>140</v>
      </c>
    </row>
    <row r="14" spans="2:17" ht="39.6" customHeight="1">
      <c r="B14" s="528"/>
      <c r="C14" s="53" t="s">
        <v>1362</v>
      </c>
      <c r="D14" s="54">
        <f>SUMIFS('1018 4度C'!$N:$N,'1018 4度C'!$A:$A,"新豐6線",'1018 4度C'!$B:$B,"平均")</f>
        <v>120.23702418012874</v>
      </c>
      <c r="E14" s="55">
        <f>SUMIFS('1018 4度C'!$N:$N,'1018 4度C'!$A:$A,"新豐2線",'1018 4度C'!$B:$B,"平均")</f>
        <v>77.508623944806772</v>
      </c>
      <c r="F14" s="55">
        <f>SUMIFS('1018 4度C'!$N:$N,'1018 4度C'!$A:$A,"新豐5線",'1018 4度C'!$B:$B,"平均")</f>
        <v>87.434521604128065</v>
      </c>
      <c r="G14" s="55">
        <f>SUMIFS('1018 4度C'!$N:$N,'1018 4度C'!$A:$A,"新豐7線",'1018 4度C'!$B:$B,"平均")</f>
        <v>114.89347658694275</v>
      </c>
      <c r="H14" s="55">
        <f>SUMIFS('1018 4度C'!$N:$N,'1018 4度C'!$A:$A,"新豐3線",'1018 4度C'!$B:$B,"平均")</f>
        <v>297.32292890093566</v>
      </c>
      <c r="I14" s="55">
        <f>SUMIFS('1018 4度C'!$N:$N,'1018 4度C'!$A:$A,"新豐1線",'1018 4度C'!$B:$B,"平均")</f>
        <v>112.70082680719725</v>
      </c>
      <c r="J14" s="56">
        <f>SUMIFS('1018 4度C'!$N:$N,'1018 4度C'!$A:$A,"新豐10線",'1018 4度C'!$B:$B,"平均")</f>
        <v>257.63023945328717</v>
      </c>
      <c r="K14" s="57">
        <f>SUMIFS('1018 4度C'!$N:$N,'1018 4度C'!$A:$A,"新豐8線",'1018 4度C'!$B:$B,"平均")</f>
        <v>126.09603421112462</v>
      </c>
      <c r="L14" s="58">
        <f>SUMIFS('1018 4度C'!$N:$N,'1018 4度C'!$A:$A,"新豐9線",'1018 4度C'!$B:$B,"平均")</f>
        <v>136.62703398056306</v>
      </c>
      <c r="M14" s="56">
        <f>SUMIFS('1018 4度C'!$N:$N,'1018 4度C'!$A:$A,"新豐4線",'1018 4度C'!$B:$B,"平均")</f>
        <v>133.90999093609074</v>
      </c>
    </row>
    <row r="15" spans="2:17" ht="40.15" customHeight="1">
      <c r="B15" s="529"/>
      <c r="C15" s="59" t="s">
        <v>1363</v>
      </c>
      <c r="D15" s="60">
        <f t="shared" ref="D15:M15" si="0">D14/D13</f>
        <v>0.96189619344102995</v>
      </c>
      <c r="E15" s="61">
        <f t="shared" si="0"/>
        <v>0.95593969531928347</v>
      </c>
      <c r="F15" s="61">
        <f t="shared" si="0"/>
        <v>0.95663653049222475</v>
      </c>
      <c r="G15" s="61">
        <f t="shared" si="0"/>
        <v>0.96223286641564554</v>
      </c>
      <c r="H15" s="61">
        <f t="shared" si="0"/>
        <v>0.95804054868079258</v>
      </c>
      <c r="I15" s="61">
        <f t="shared" si="0"/>
        <v>0.96040704583524605</v>
      </c>
      <c r="J15" s="62">
        <f t="shared" si="0"/>
        <v>0.95691231796935239</v>
      </c>
      <c r="K15" s="60">
        <f t="shared" si="0"/>
        <v>0.95622825943436163</v>
      </c>
      <c r="L15" s="61">
        <f t="shared" si="0"/>
        <v>0.95828683555811578</v>
      </c>
      <c r="M15" s="62">
        <f t="shared" si="0"/>
        <v>0.95649993525779098</v>
      </c>
    </row>
    <row r="16" spans="2:17" ht="17.25" customHeight="1">
      <c r="B16" s="530" t="s">
        <v>1364</v>
      </c>
      <c r="C16" s="63" t="s">
        <v>131</v>
      </c>
      <c r="D16" s="284">
        <f>VLOOKUP("新豐6線",'1018 4度C'!$A:$T,19,0)</f>
        <v>0.70833333333333337</v>
      </c>
      <c r="E16" s="285">
        <f>VLOOKUP("新豐2線",'1018 4度C'!$A:$T,19,0)</f>
        <v>0.20833333333333334</v>
      </c>
      <c r="F16" s="285">
        <f>VLOOKUP("新豐5線",'1018 4度C'!$A:$T,19,0)</f>
        <v>8.3333333333333329E-2</v>
      </c>
      <c r="G16" s="285">
        <f>VLOOKUP("新豐7線",'1018 4度C'!$A:$T,19,0)</f>
        <v>0.20833333333333334</v>
      </c>
      <c r="H16" s="285">
        <f>VLOOKUP("新豐3線",'1018 4度C'!$A:$T,19,0)</f>
        <v>8.3333333333333329E-2</v>
      </c>
      <c r="I16" s="285">
        <f>VLOOKUP("新豐1線",'1018 4度C'!$A:$T,19,0)</f>
        <v>0.29166666666666669</v>
      </c>
      <c r="J16" s="286">
        <f>VLOOKUP("新豐10線",'1018 4度C'!$A:$T,19,0)</f>
        <v>0.20833333333333334</v>
      </c>
      <c r="K16" s="66">
        <f>VLOOKUP("新豐8線",'1018 4度C'!$A:$T,19,0)</f>
        <v>8.3333333333333329E-2</v>
      </c>
      <c r="L16" s="67">
        <f>VLOOKUP("新豐9線",'1018 4度C'!$A:$T,19,0)</f>
        <v>8.3333333333333329E-2</v>
      </c>
      <c r="M16" s="68">
        <f>VLOOKUP("新豐4線",'1018 4度C'!$A:$T,19,0)</f>
        <v>8.3333333333333329E-2</v>
      </c>
    </row>
    <row r="17" spans="2:13" ht="17.25" customHeight="1">
      <c r="B17" s="531"/>
      <c r="C17" s="63" t="s">
        <v>1365</v>
      </c>
      <c r="D17" s="66">
        <f>LOOKUP(2,1/(('1018 4度C'!$A:$A="新豐6線")*('1018 4度C'!$T:$T&lt;&gt;"")),'1018 4度C'!$T:$T)</f>
        <v>0.82847222222222228</v>
      </c>
      <c r="E17" s="285">
        <f>LOOKUP(2,1/(('1018 4度C'!$A:$A="新豐2線")*('1018 4度C'!$T:$T&lt;&gt;"")),'1018 4度C'!$T:$T)</f>
        <v>0.45555555555555549</v>
      </c>
      <c r="F17" s="285">
        <f>LOOKUP(2,1/(('1018 4度C'!$A:$A="新豐5線")*('1018 4度C'!$T:$T&lt;&gt;"")),'1018 4度C'!$T:$T)</f>
        <v>0.83888888888888891</v>
      </c>
      <c r="G17" s="285">
        <f>LOOKUP(2,1/(('1018 4度C'!$A:$A="新豐7線")*('1018 4度C'!$T:$T&lt;&gt;"")),'1018 4度C'!$T:$T)</f>
        <v>0.76527777777777783</v>
      </c>
      <c r="H17" s="285">
        <f>LOOKUP(2,1/(('1018 4度C'!$A:$A="新豐3線")*('1018 4度C'!$T:$T&lt;&gt;"")),'1018 4度C'!$T:$T)</f>
        <v>0.43541666666666662</v>
      </c>
      <c r="I17" s="285">
        <f>LOOKUP(2,1/(('1018 4度C'!$A:$A="新豐1線")*('1018 4度C'!$T:$T&lt;&gt;"")),'1018 4度C'!$T:$T)</f>
        <v>0.84513888888888888</v>
      </c>
      <c r="J17" s="286">
        <f>LOOKUP(2,1/(('1018 4度C'!$A:$A="新豐10線")*('1018 4度C'!$T:$T&lt;&gt;"")),'1018 4度C'!$T:$T)</f>
        <v>0.4194444444444444</v>
      </c>
      <c r="K17" s="284">
        <f>LOOKUP(2,1/(('1018 4度C'!$A:$A="新豐8線")*('1018 4度C'!$T:$T&lt;&gt;"")),'1018 4度C'!$T:$T)</f>
        <v>0.51736111111111105</v>
      </c>
      <c r="L17" s="285">
        <f>LOOKUP(2,1/(('1018 4度C'!$A:$A="新豐9線")*('1018 4度C'!$T:$T&lt;&gt;"")),'1018 4度C'!$T:$T)</f>
        <v>0.59305555555555556</v>
      </c>
      <c r="M17" s="286">
        <f>LOOKUP(2,1/(('1018 4度C'!$A:$A="新豐4線")*('1018 4度C'!$T:$T&lt;&gt;"")),'1018 4度C'!$T:$T)</f>
        <v>0.53194444444444444</v>
      </c>
    </row>
    <row r="18" spans="2:13" ht="17.25" customHeight="1">
      <c r="B18" s="509" t="s">
        <v>1366</v>
      </c>
      <c r="C18" s="510"/>
      <c r="D18" s="69">
        <f>SUMIFS('1018 4度C'!$I:$I,'1018 4度C'!$A:$A,"新豐6線",'1018 4度C'!$B:$B,"平均")</f>
        <v>16</v>
      </c>
      <c r="E18" s="70">
        <f>SUMIFS('1018 4度C'!$I:$I,'1018 4度C'!$A:$A,"新豐2線",'1018 4度C'!$B:$B,"平均")</f>
        <v>18.5</v>
      </c>
      <c r="F18" s="70">
        <f>SUMIFS('1018 4度C'!$I:$I,'1018 4度C'!$A:$A,"新豐5線",'1018 4度C'!$B:$B,"平均")</f>
        <v>18.600000000000001</v>
      </c>
      <c r="G18" s="70">
        <f>SUMIFS('1018 4度C'!$I:$I,'1018 4度C'!$A:$A,"新豐7線",'1018 4度C'!$B:$B,"平均")</f>
        <v>16.75</v>
      </c>
      <c r="H18" s="70">
        <f>SUMIFS('1018 4度C'!$I:$I,'1018 4度C'!$A:$A,"新豐3線",'1018 4度C'!$B:$B,"平均")</f>
        <v>9.6666666666666661</v>
      </c>
      <c r="I18" s="70">
        <f>SUMIFS('1018 4度C'!$I:$I,'1018 4度C'!$A:$A,"新豐1線",'1018 4度C'!$B:$B,"平均")</f>
        <v>16.333333333333332</v>
      </c>
      <c r="J18" s="71">
        <f>SUMIFS('1018 4度C'!$I:$I,'1018 4度C'!$A:$A,"新豐10線",'1018 4度C'!$B:$B,"平均")</f>
        <v>9.75</v>
      </c>
      <c r="K18" s="69">
        <f>SUMIFS('1018 4度C'!$I:$I,'1018 4度C'!$A:$A,"新豐8線",'1018 4度C'!$B:$B,"平均")</f>
        <v>18.2</v>
      </c>
      <c r="L18" s="70">
        <f>SUMIFS('1018 4度C'!$I:$I,'1018 4度C'!$A:$A,"新豐9線",'1018 4度C'!$B:$B,"平均")</f>
        <v>16.833333333333332</v>
      </c>
      <c r="M18" s="71">
        <f>SUMIFS('1018 4度C'!$I:$I,'1018 4度C'!$A:$A,"新豐4線",'1018 4度C'!$B:$B,"平均")</f>
        <v>17.142857142857142</v>
      </c>
    </row>
    <row r="19" spans="2:13" ht="17.25" customHeight="1">
      <c r="B19" s="509" t="s">
        <v>224</v>
      </c>
      <c r="C19" s="510"/>
      <c r="D19" s="72" t="s">
        <v>109</v>
      </c>
      <c r="E19" s="73" t="s">
        <v>110</v>
      </c>
      <c r="F19" s="73" t="s">
        <v>1367</v>
      </c>
      <c r="G19" s="73" t="s">
        <v>1367</v>
      </c>
      <c r="H19" s="73" t="s">
        <v>111</v>
      </c>
      <c r="I19" s="73" t="s">
        <v>109</v>
      </c>
      <c r="J19" s="74" t="s">
        <v>111</v>
      </c>
      <c r="K19" s="72" t="s">
        <v>1368</v>
      </c>
      <c r="L19" s="73" t="s">
        <v>1368</v>
      </c>
      <c r="M19" s="74" t="s">
        <v>1369</v>
      </c>
    </row>
    <row r="20" spans="2:13" ht="17.25" customHeight="1">
      <c r="B20" s="509" t="s">
        <v>227</v>
      </c>
      <c r="C20" s="510"/>
      <c r="D20" s="72"/>
      <c r="E20" s="73"/>
      <c r="F20" s="73" t="s">
        <v>140</v>
      </c>
      <c r="G20" s="73" t="s">
        <v>109</v>
      </c>
      <c r="H20" s="73"/>
      <c r="I20" s="73"/>
      <c r="J20" s="74"/>
      <c r="K20" s="72"/>
      <c r="L20" s="73"/>
      <c r="M20" s="74"/>
    </row>
    <row r="21" spans="2:13" ht="17.25" customHeight="1" thickBot="1">
      <c r="B21" s="511" t="s">
        <v>229</v>
      </c>
      <c r="C21" s="512"/>
      <c r="D21" s="75"/>
      <c r="E21" s="76" t="s">
        <v>1370</v>
      </c>
      <c r="F21" s="513" t="s">
        <v>231</v>
      </c>
      <c r="G21" s="514"/>
      <c r="H21" s="76" t="s">
        <v>1371</v>
      </c>
      <c r="I21" s="76" t="s">
        <v>1372</v>
      </c>
      <c r="J21" s="77" t="s">
        <v>144</v>
      </c>
      <c r="K21" s="78"/>
      <c r="L21" s="76"/>
      <c r="M21" s="77"/>
    </row>
    <row r="22" spans="2:13" ht="17.25" customHeight="1"/>
    <row r="23" spans="2:13" ht="17.25" customHeight="1"/>
    <row r="24" spans="2:13" ht="17.25" customHeight="1"/>
    <row r="25" spans="2:13" ht="37.5" customHeight="1"/>
    <row r="26" spans="2:13" ht="35.25" customHeight="1"/>
    <row r="27" spans="2:13" ht="35.25" customHeight="1"/>
    <row r="28" spans="2:13" ht="39.75" customHeight="1"/>
  </sheetData>
  <mergeCells count="36">
    <mergeCell ref="B20:C20"/>
    <mergeCell ref="B21:C21"/>
    <mergeCell ref="F21:G21"/>
    <mergeCell ref="K10:M10"/>
    <mergeCell ref="B11:C12"/>
    <mergeCell ref="B13:B15"/>
    <mergeCell ref="B18:C18"/>
    <mergeCell ref="B19:C19"/>
    <mergeCell ref="I6:J6"/>
    <mergeCell ref="B16:B17"/>
    <mergeCell ref="C7:D7"/>
    <mergeCell ref="E7:F7"/>
    <mergeCell ref="G7:H7"/>
    <mergeCell ref="I7:J7"/>
    <mergeCell ref="C8:D8"/>
    <mergeCell ref="E8:F8"/>
    <mergeCell ref="G8:H8"/>
    <mergeCell ref="I8:J8"/>
    <mergeCell ref="B10:C10"/>
    <mergeCell ref="D10:J10"/>
    <mergeCell ref="B1:J2"/>
    <mergeCell ref="C3:D3"/>
    <mergeCell ref="F3:G3"/>
    <mergeCell ref="I3:J3"/>
    <mergeCell ref="B4:B8"/>
    <mergeCell ref="C4:D4"/>
    <mergeCell ref="E4:F4"/>
    <mergeCell ref="G4:H4"/>
    <mergeCell ref="I4:J4"/>
    <mergeCell ref="C5:D5"/>
    <mergeCell ref="E5:F5"/>
    <mergeCell ref="G5:H5"/>
    <mergeCell ref="I5:J5"/>
    <mergeCell ref="C6:D6"/>
    <mergeCell ref="E6:F6"/>
    <mergeCell ref="G6:H6"/>
  </mergeCells>
  <phoneticPr fontId="3" type="noConversion"/>
  <conditionalFormatting sqref="D15:M15">
    <cfRule type="cellIs" dxfId="1092" priority="1" operator="lessThan">
      <formula>0.8</formula>
    </cfRule>
  </conditionalFormatting>
  <pageMargins left="0.7" right="0.7" top="0.75" bottom="0.75" header="0.3" footer="0.3"/>
  <pageSetup paperSize="9" orientation="portrait" horizontalDpi="300" verticalDpi="300" r:id="rId1"/>
</worksheet>
</file>

<file path=xl/worksheets/sheet2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工作表24">
    <pageSetUpPr fitToPage="1"/>
  </sheetPr>
  <dimension ref="A1:AC63"/>
  <sheetViews>
    <sheetView zoomScale="80" zoomScaleNormal="80" workbookViewId="0">
      <pane ySplit="4" topLeftCell="A29" activePane="bottomLeft" state="frozen"/>
      <selection activeCell="Q7" sqref="Q7"/>
      <selection pane="bottomLeft" activeCell="Q7" sqref="Q7"/>
    </sheetView>
  </sheetViews>
  <sheetFormatPr defaultColWidth="8" defaultRowHeight="15.75"/>
  <cols>
    <col min="1" max="1" width="15.125" style="291" customWidth="1"/>
    <col min="2" max="2" width="19.375" style="291" customWidth="1"/>
    <col min="3" max="3" width="15.25" style="291" customWidth="1"/>
    <col min="4" max="4" width="17.5" style="291" customWidth="1"/>
    <col min="5" max="5" width="7.5" style="291" bestFit="1" customWidth="1"/>
    <col min="6" max="6" width="14.375" style="291" bestFit="1" customWidth="1"/>
    <col min="7" max="7" width="14.375" style="291" customWidth="1"/>
    <col min="8" max="8" width="8" style="291" customWidth="1"/>
    <col min="9" max="9" width="5.875" style="291" customWidth="1"/>
    <col min="10" max="10" width="10.625" style="291" customWidth="1"/>
    <col min="11" max="11" width="14.625" style="291" customWidth="1"/>
    <col min="12" max="12" width="7.25" style="291" bestFit="1" customWidth="1"/>
    <col min="13" max="13" width="8" style="291" customWidth="1"/>
    <col min="14" max="14" width="12" style="291" customWidth="1"/>
    <col min="15" max="15" width="6" style="291" customWidth="1"/>
    <col min="16" max="16" width="9.25" style="291" customWidth="1"/>
    <col min="17" max="17" width="11.5" style="291" customWidth="1"/>
    <col min="18" max="18" width="8.5" style="291" customWidth="1"/>
    <col min="19" max="19" width="10.125" style="324" bestFit="1" customWidth="1"/>
    <col min="20" max="20" width="7.625" style="324" bestFit="1" customWidth="1"/>
    <col min="21" max="21" width="10.25" style="291" bestFit="1" customWidth="1"/>
    <col min="22" max="22" width="8.75" style="325" customWidth="1"/>
    <col min="23" max="23" width="7.375" style="291" customWidth="1"/>
    <col min="24" max="24" width="6.875" style="291" bestFit="1" customWidth="1"/>
    <col min="25" max="25" width="12.75" style="291" customWidth="1"/>
    <col min="26" max="26" width="18.875" style="291" customWidth="1"/>
    <col min="27" max="27" width="13.125" style="291" bestFit="1" customWidth="1"/>
    <col min="28" max="28" width="10.375" style="291" customWidth="1"/>
    <col min="29" max="29" width="9.375" style="291" customWidth="1"/>
    <col min="30" max="30" width="8" style="291"/>
    <col min="31" max="31" width="24.625" style="291" bestFit="1" customWidth="1"/>
    <col min="32" max="16384" width="8" style="291"/>
  </cols>
  <sheetData>
    <row r="1" spans="1:29" ht="26.25" customHeight="1">
      <c r="A1" s="287" t="s">
        <v>1373</v>
      </c>
      <c r="B1" s="287"/>
      <c r="C1" s="288" t="s">
        <v>1374</v>
      </c>
      <c r="D1" s="289">
        <f>SUM(F5:F62)</f>
        <v>146730</v>
      </c>
      <c r="E1" s="327" t="s">
        <v>1375</v>
      </c>
      <c r="F1" s="287">
        <f>SUM(G5:G62)</f>
        <v>4884234.959999999</v>
      </c>
      <c r="G1" s="287" t="s">
        <v>1376</v>
      </c>
      <c r="H1" s="290">
        <f>L8+L11+L42+L49+L17+L54+L28+L35+L22+L62</f>
        <v>157.77619047619046</v>
      </c>
      <c r="I1" s="611" t="s">
        <v>1377</v>
      </c>
      <c r="J1" s="611"/>
      <c r="K1" s="611"/>
      <c r="L1" s="611" t="s">
        <v>1378</v>
      </c>
      <c r="M1" s="611"/>
      <c r="N1" s="611"/>
      <c r="O1" s="611" t="s">
        <v>1379</v>
      </c>
      <c r="P1" s="611"/>
      <c r="Q1" s="611"/>
      <c r="R1" s="611"/>
      <c r="S1" s="611" t="s">
        <v>1380</v>
      </c>
      <c r="T1" s="611"/>
      <c r="U1" s="611"/>
      <c r="V1" s="611"/>
      <c r="W1" s="611"/>
      <c r="X1" s="611"/>
      <c r="Y1" s="611" t="s">
        <v>1381</v>
      </c>
      <c r="Z1" s="611"/>
      <c r="AA1" s="611" t="s">
        <v>1382</v>
      </c>
      <c r="AB1" s="612"/>
      <c r="AC1" s="612"/>
    </row>
    <row r="2" spans="1:29" ht="26.25" customHeight="1">
      <c r="A2" s="292">
        <v>45948</v>
      </c>
      <c r="B2" s="293" t="s">
        <v>397</v>
      </c>
      <c r="C2" s="288" t="s">
        <v>1383</v>
      </c>
      <c r="D2" s="294">
        <f>AVERAGE(N8,N11,N42,N49,N17,N54,N22,N28,N35,N62)</f>
        <v>146.43607006052048</v>
      </c>
      <c r="E2" s="295" t="s">
        <v>2</v>
      </c>
      <c r="F2" s="296">
        <f>F1/D1</f>
        <v>33.287227969740336</v>
      </c>
      <c r="G2" s="287" t="s">
        <v>1384</v>
      </c>
      <c r="H2" s="337">
        <f>COUNT(H5:H62)</f>
        <v>1</v>
      </c>
      <c r="I2" s="611"/>
      <c r="J2" s="611"/>
      <c r="K2" s="611"/>
      <c r="L2" s="611"/>
      <c r="M2" s="611"/>
      <c r="N2" s="611"/>
      <c r="O2" s="611"/>
      <c r="P2" s="611"/>
      <c r="Q2" s="611"/>
      <c r="R2" s="611"/>
      <c r="S2" s="611"/>
      <c r="T2" s="611"/>
      <c r="U2" s="611"/>
      <c r="V2" s="611"/>
      <c r="W2" s="611"/>
      <c r="X2" s="611"/>
      <c r="Y2" s="611"/>
      <c r="Z2" s="611"/>
      <c r="AA2" s="612"/>
      <c r="AB2" s="612"/>
      <c r="AC2" s="612"/>
    </row>
    <row r="3" spans="1:29" ht="23.25" customHeight="1">
      <c r="A3" s="570" t="s">
        <v>1385</v>
      </c>
      <c r="B3" s="570" t="s">
        <v>1386</v>
      </c>
      <c r="C3" s="570" t="s">
        <v>1387</v>
      </c>
      <c r="D3" s="570"/>
      <c r="E3" s="609" t="s">
        <v>1388</v>
      </c>
      <c r="F3" s="570" t="s">
        <v>1389</v>
      </c>
      <c r="G3" s="609" t="s">
        <v>1390</v>
      </c>
      <c r="H3" s="602" t="s">
        <v>1391</v>
      </c>
      <c r="I3" s="600" t="s">
        <v>1392</v>
      </c>
      <c r="J3" s="605" t="s">
        <v>1393</v>
      </c>
      <c r="K3" s="607" t="s">
        <v>1383</v>
      </c>
      <c r="L3" s="600" t="s">
        <v>1392</v>
      </c>
      <c r="M3" s="605" t="s">
        <v>1394</v>
      </c>
      <c r="N3" s="607" t="s">
        <v>1383</v>
      </c>
      <c r="O3" s="600" t="s">
        <v>1392</v>
      </c>
      <c r="P3" s="607" t="s">
        <v>1395</v>
      </c>
      <c r="Q3" s="606" t="s">
        <v>1396</v>
      </c>
      <c r="R3" s="578" t="s">
        <v>1397</v>
      </c>
      <c r="S3" s="608" t="s">
        <v>14</v>
      </c>
      <c r="T3" s="608"/>
      <c r="U3" s="602" t="s">
        <v>15</v>
      </c>
      <c r="V3" s="602" t="s">
        <v>1398</v>
      </c>
      <c r="W3" s="570" t="s">
        <v>1399</v>
      </c>
      <c r="X3" s="570"/>
      <c r="Y3" s="603" t="s">
        <v>1400</v>
      </c>
      <c r="Z3" s="604"/>
      <c r="AA3" s="605" t="s">
        <v>1401</v>
      </c>
      <c r="AB3" s="606" t="s">
        <v>1402</v>
      </c>
      <c r="AC3" s="578" t="s">
        <v>1403</v>
      </c>
    </row>
    <row r="4" spans="1:29">
      <c r="A4" s="570"/>
      <c r="B4" s="570"/>
      <c r="C4" s="570"/>
      <c r="D4" s="570"/>
      <c r="E4" s="610"/>
      <c r="F4" s="570"/>
      <c r="G4" s="610"/>
      <c r="H4" s="602"/>
      <c r="I4" s="600"/>
      <c r="J4" s="605"/>
      <c r="K4" s="607"/>
      <c r="L4" s="600"/>
      <c r="M4" s="605"/>
      <c r="N4" s="607"/>
      <c r="O4" s="600"/>
      <c r="P4" s="607"/>
      <c r="Q4" s="606"/>
      <c r="R4" s="578"/>
      <c r="S4" s="336" t="s">
        <v>18</v>
      </c>
      <c r="T4" s="336" t="s">
        <v>19</v>
      </c>
      <c r="U4" s="602"/>
      <c r="V4" s="602"/>
      <c r="W4" s="327" t="s">
        <v>1404</v>
      </c>
      <c r="X4" s="327" t="s">
        <v>1405</v>
      </c>
      <c r="Y4" s="604"/>
      <c r="Z4" s="604"/>
      <c r="AA4" s="605"/>
      <c r="AB4" s="606"/>
      <c r="AC4" s="578"/>
    </row>
    <row r="5" spans="1:29">
      <c r="A5" s="599" t="s">
        <v>1406</v>
      </c>
      <c r="B5" s="300" t="s">
        <v>36</v>
      </c>
      <c r="C5" s="601" t="s">
        <v>37</v>
      </c>
      <c r="D5" s="601"/>
      <c r="E5" s="300">
        <v>46.93</v>
      </c>
      <c r="F5" s="336">
        <v>949</v>
      </c>
      <c r="G5" s="327">
        <f t="shared" ref="G5:G7" si="0">E5*F5</f>
        <v>44536.57</v>
      </c>
      <c r="H5" s="301" t="s">
        <v>35</v>
      </c>
      <c r="I5" s="334">
        <v>16</v>
      </c>
      <c r="J5" s="303">
        <v>2000</v>
      </c>
      <c r="K5" s="304">
        <f t="shared" ref="K5:K62" si="1">J5/I5</f>
        <v>125</v>
      </c>
      <c r="L5" s="334">
        <v>16</v>
      </c>
      <c r="M5" s="305">
        <f t="shared" ref="M5:M7" si="2">F5/V5*60</f>
        <v>1963.4482758620652</v>
      </c>
      <c r="N5" s="304">
        <f t="shared" ref="N5:N62" si="3">M5/L5</f>
        <v>122.71551724137908</v>
      </c>
      <c r="O5" s="306">
        <f t="shared" ref="O5:O62" si="4">L5-I5</f>
        <v>0</v>
      </c>
      <c r="P5" s="307">
        <f t="shared" ref="P5:P62" si="5">N5-K5</f>
        <v>-2.2844827586209249</v>
      </c>
      <c r="Q5" s="330">
        <f t="shared" ref="Q5:Q62" si="6">N5/K5</f>
        <v>0.98172413793103264</v>
      </c>
      <c r="R5" s="571">
        <f>Q8</f>
        <v>0.96189619344102995</v>
      </c>
      <c r="S5" s="308">
        <v>0.70833333333333337</v>
      </c>
      <c r="T5" s="308">
        <v>0.7284722222222223</v>
      </c>
      <c r="U5" s="327"/>
      <c r="V5" s="335">
        <f t="shared" ref="V5:V7" si="7">(T5-S5)*24*60</f>
        <v>29.000000000000057</v>
      </c>
      <c r="W5" s="310"/>
      <c r="X5" s="311"/>
      <c r="Y5" s="570"/>
      <c r="Z5" s="570"/>
      <c r="AA5" s="306">
        <f t="shared" ref="AA5:AA62" si="8">M5-J5</f>
        <v>-36.551724137934798</v>
      </c>
      <c r="AB5" s="330">
        <f t="shared" ref="AB5:AB62" si="9">M5/J5</f>
        <v>0.98172413793103264</v>
      </c>
      <c r="AC5" s="571">
        <f>AB8</f>
        <v>0.96189619344102995</v>
      </c>
    </row>
    <row r="6" spans="1:29">
      <c r="A6" s="600" t="s">
        <v>1407</v>
      </c>
      <c r="B6" s="300" t="s">
        <v>36</v>
      </c>
      <c r="C6" s="601" t="s">
        <v>38</v>
      </c>
      <c r="D6" s="601"/>
      <c r="E6" s="300">
        <v>50.49</v>
      </c>
      <c r="F6" s="336">
        <v>2255</v>
      </c>
      <c r="G6" s="327">
        <f t="shared" si="0"/>
        <v>113854.95000000001</v>
      </c>
      <c r="H6" s="301" t="s">
        <v>35</v>
      </c>
      <c r="I6" s="334">
        <v>15</v>
      </c>
      <c r="J6" s="303">
        <v>2000</v>
      </c>
      <c r="K6" s="304">
        <f t="shared" si="1"/>
        <v>133.33333333333334</v>
      </c>
      <c r="L6" s="334">
        <v>15</v>
      </c>
      <c r="M6" s="305">
        <f t="shared" si="2"/>
        <v>1905.6338028168996</v>
      </c>
      <c r="N6" s="304">
        <f t="shared" si="3"/>
        <v>127.04225352112664</v>
      </c>
      <c r="O6" s="306">
        <f t="shared" si="4"/>
        <v>0</v>
      </c>
      <c r="P6" s="307">
        <f t="shared" si="5"/>
        <v>-6.2910798122067035</v>
      </c>
      <c r="Q6" s="330">
        <f t="shared" si="6"/>
        <v>0.95281690140844977</v>
      </c>
      <c r="R6" s="571"/>
      <c r="S6" s="308">
        <v>0.73194444444444451</v>
      </c>
      <c r="T6" s="308">
        <v>0.78125000000000011</v>
      </c>
      <c r="U6" s="327">
        <f t="shared" ref="U6:U7" si="10">IF(S6=TIME(17,0,0),"",(S6-T5)*24*60)</f>
        <v>4.9999999999999822</v>
      </c>
      <c r="V6" s="335">
        <f t="shared" si="7"/>
        <v>71.000000000000071</v>
      </c>
      <c r="W6" s="310"/>
      <c r="X6" s="310"/>
      <c r="Y6" s="570"/>
      <c r="Z6" s="570"/>
      <c r="AA6" s="306">
        <f t="shared" si="8"/>
        <v>-94.366197183100439</v>
      </c>
      <c r="AB6" s="330">
        <f t="shared" si="9"/>
        <v>0.95281690140844977</v>
      </c>
      <c r="AC6" s="571"/>
    </row>
    <row r="7" spans="1:29">
      <c r="A7" s="600" t="s">
        <v>1407</v>
      </c>
      <c r="B7" s="300" t="s">
        <v>36</v>
      </c>
      <c r="C7" s="594" t="s">
        <v>39</v>
      </c>
      <c r="D7" s="595"/>
      <c r="E7" s="300">
        <v>50.67</v>
      </c>
      <c r="F7" s="336">
        <v>1934</v>
      </c>
      <c r="G7" s="327">
        <f t="shared" si="0"/>
        <v>97995.78</v>
      </c>
      <c r="H7" s="301" t="s">
        <v>35</v>
      </c>
      <c r="I7" s="334">
        <v>17</v>
      </c>
      <c r="J7" s="303">
        <v>2000</v>
      </c>
      <c r="K7" s="304">
        <f t="shared" si="1"/>
        <v>117.64705882352941</v>
      </c>
      <c r="L7" s="334">
        <v>17</v>
      </c>
      <c r="M7" s="305">
        <f t="shared" si="2"/>
        <v>1902.2950819672149</v>
      </c>
      <c r="N7" s="304">
        <f t="shared" si="3"/>
        <v>111.89971070395382</v>
      </c>
      <c r="O7" s="306">
        <f t="shared" si="4"/>
        <v>0</v>
      </c>
      <c r="P7" s="307">
        <f t="shared" si="5"/>
        <v>-5.7473481195755909</v>
      </c>
      <c r="Q7" s="330">
        <f t="shared" si="6"/>
        <v>0.95114754098360743</v>
      </c>
      <c r="R7" s="571"/>
      <c r="S7" s="308">
        <v>0.7861111111111112</v>
      </c>
      <c r="T7" s="308">
        <v>0.82847222222222228</v>
      </c>
      <c r="U7" s="327">
        <f t="shared" si="10"/>
        <v>6.9999999999999751</v>
      </c>
      <c r="V7" s="335">
        <f t="shared" si="7"/>
        <v>60.999999999999943</v>
      </c>
      <c r="W7" s="310"/>
      <c r="X7" s="310"/>
      <c r="Y7" s="566"/>
      <c r="Z7" s="567"/>
      <c r="AA7" s="306">
        <f t="shared" si="8"/>
        <v>-97.704918032785145</v>
      </c>
      <c r="AB7" s="330">
        <f t="shared" si="9"/>
        <v>0.95114754098360743</v>
      </c>
      <c r="AC7" s="571"/>
    </row>
    <row r="8" spans="1:29">
      <c r="A8" s="600" t="s">
        <v>1407</v>
      </c>
      <c r="B8" s="300" t="s">
        <v>1408</v>
      </c>
      <c r="C8" s="572"/>
      <c r="D8" s="572"/>
      <c r="E8" s="331"/>
      <c r="F8" s="313"/>
      <c r="G8" s="304"/>
      <c r="H8" s="336"/>
      <c r="I8" s="314">
        <v>16</v>
      </c>
      <c r="J8" s="303">
        <v>2000</v>
      </c>
      <c r="K8" s="304">
        <f t="shared" si="1"/>
        <v>125</v>
      </c>
      <c r="L8" s="314">
        <v>16</v>
      </c>
      <c r="M8" s="305">
        <f>AVERAGE(M5:M7)</f>
        <v>1923.7923868820599</v>
      </c>
      <c r="N8" s="304">
        <f t="shared" si="3"/>
        <v>120.23702418012874</v>
      </c>
      <c r="O8" s="306">
        <f t="shared" si="4"/>
        <v>0</v>
      </c>
      <c r="P8" s="307">
        <f t="shared" si="5"/>
        <v>-4.762975819871258</v>
      </c>
      <c r="Q8" s="330">
        <f t="shared" si="6"/>
        <v>0.96189619344102995</v>
      </c>
      <c r="R8" s="571"/>
      <c r="S8" s="308"/>
      <c r="T8" s="308"/>
      <c r="U8" s="327"/>
      <c r="V8" s="335"/>
      <c r="W8" s="304"/>
      <c r="X8" s="304"/>
      <c r="Y8" s="570"/>
      <c r="Z8" s="570"/>
      <c r="AA8" s="306">
        <f t="shared" si="8"/>
        <v>-76.207613117940127</v>
      </c>
      <c r="AB8" s="330">
        <f t="shared" si="9"/>
        <v>0.96189619344102995</v>
      </c>
      <c r="AC8" s="571"/>
    </row>
    <row r="9" spans="1:29" ht="15.75" customHeight="1">
      <c r="A9" s="598" t="s">
        <v>1409</v>
      </c>
      <c r="B9" s="300" t="s">
        <v>40</v>
      </c>
      <c r="C9" s="594" t="s">
        <v>42</v>
      </c>
      <c r="D9" s="595"/>
      <c r="E9" s="300">
        <v>39.36</v>
      </c>
      <c r="F9" s="336">
        <v>2467</v>
      </c>
      <c r="G9" s="327">
        <f t="shared" ref="G9:G10" si="11">E9*F9</f>
        <v>97101.119999999995</v>
      </c>
      <c r="H9" s="301" t="s">
        <v>35</v>
      </c>
      <c r="I9" s="334">
        <v>20</v>
      </c>
      <c r="J9" s="303">
        <v>1500</v>
      </c>
      <c r="K9" s="304">
        <f t="shared" si="1"/>
        <v>75</v>
      </c>
      <c r="L9" s="334">
        <v>20</v>
      </c>
      <c r="M9" s="305">
        <f t="shared" ref="M9:M10" si="12">F9/V9*60</f>
        <v>1437.0873786407767</v>
      </c>
      <c r="N9" s="304">
        <f t="shared" si="3"/>
        <v>71.854368932038838</v>
      </c>
      <c r="O9" s="306">
        <f t="shared" si="4"/>
        <v>0</v>
      </c>
      <c r="P9" s="307">
        <f t="shared" si="5"/>
        <v>-3.1456310679611619</v>
      </c>
      <c r="Q9" s="330">
        <f t="shared" si="6"/>
        <v>0.95805825242718445</v>
      </c>
      <c r="R9" s="571">
        <f>Q11</f>
        <v>0.95593969531928347</v>
      </c>
      <c r="S9" s="308">
        <v>0.20833333333333334</v>
      </c>
      <c r="T9" s="308">
        <v>0.27986111111111112</v>
      </c>
      <c r="U9" s="327"/>
      <c r="V9" s="335">
        <f t="shared" ref="V9:V10" si="13">(T9-S9)*24*60</f>
        <v>103</v>
      </c>
      <c r="W9" s="310"/>
      <c r="X9" s="310"/>
      <c r="Y9" s="570"/>
      <c r="Z9" s="570"/>
      <c r="AA9" s="306">
        <f t="shared" si="8"/>
        <v>-62.912621359223294</v>
      </c>
      <c r="AB9" s="330">
        <f t="shared" si="9"/>
        <v>0.95805825242718445</v>
      </c>
      <c r="AC9" s="571">
        <f>AB11</f>
        <v>0.95593969531928347</v>
      </c>
    </row>
    <row r="10" spans="1:29" ht="15.75" customHeight="1">
      <c r="A10" s="598" t="s">
        <v>1409</v>
      </c>
      <c r="B10" s="300" t="s">
        <v>40</v>
      </c>
      <c r="C10" s="594" t="s">
        <v>41</v>
      </c>
      <c r="D10" s="595"/>
      <c r="E10" s="300">
        <v>39.799999999999997</v>
      </c>
      <c r="F10" s="336">
        <v>5866</v>
      </c>
      <c r="G10" s="327">
        <f t="shared" si="11"/>
        <v>233466.8</v>
      </c>
      <c r="H10" s="301" t="s">
        <v>35</v>
      </c>
      <c r="I10" s="334">
        <v>17</v>
      </c>
      <c r="J10" s="303">
        <v>1500</v>
      </c>
      <c r="K10" s="304">
        <f t="shared" si="1"/>
        <v>88.235294117647058</v>
      </c>
      <c r="L10" s="334">
        <v>17</v>
      </c>
      <c r="M10" s="305">
        <f t="shared" si="12"/>
        <v>1430.7317073170736</v>
      </c>
      <c r="N10" s="304">
        <f t="shared" si="3"/>
        <v>84.160688665710211</v>
      </c>
      <c r="O10" s="306">
        <f t="shared" si="4"/>
        <v>0</v>
      </c>
      <c r="P10" s="307">
        <f t="shared" si="5"/>
        <v>-4.0746054519368471</v>
      </c>
      <c r="Q10" s="330">
        <f t="shared" si="6"/>
        <v>0.95382113821138237</v>
      </c>
      <c r="R10" s="571"/>
      <c r="S10" s="308">
        <v>0.28472222222222221</v>
      </c>
      <c r="T10" s="308">
        <v>0.45555555555555549</v>
      </c>
      <c r="U10" s="327">
        <f t="shared" ref="U10" si="14">IF(S10=TIME(17,0,0),"",(S10-T9)*24*60)</f>
        <v>6.9999999999999751</v>
      </c>
      <c r="V10" s="335">
        <f t="shared" si="13"/>
        <v>245.99999999999991</v>
      </c>
      <c r="W10" s="310"/>
      <c r="X10" s="310"/>
      <c r="Y10" s="570"/>
      <c r="Z10" s="570"/>
      <c r="AA10" s="306">
        <f t="shared" si="8"/>
        <v>-69.268292682926358</v>
      </c>
      <c r="AB10" s="330">
        <f t="shared" si="9"/>
        <v>0.95382113821138248</v>
      </c>
      <c r="AC10" s="571"/>
    </row>
    <row r="11" spans="1:29" ht="16.5" customHeight="1">
      <c r="A11" s="598" t="s">
        <v>1409</v>
      </c>
      <c r="B11" s="300" t="s">
        <v>1410</v>
      </c>
      <c r="C11" s="572"/>
      <c r="D11" s="572"/>
      <c r="E11" s="331"/>
      <c r="F11" s="303"/>
      <c r="G11" s="305"/>
      <c r="H11" s="336"/>
      <c r="I11" s="314">
        <v>18.5</v>
      </c>
      <c r="J11" s="303">
        <v>1500</v>
      </c>
      <c r="K11" s="304">
        <f t="shared" si="1"/>
        <v>81.081081081081081</v>
      </c>
      <c r="L11" s="314">
        <v>18.5</v>
      </c>
      <c r="M11" s="305">
        <f>AVERAGE(M9:M10)</f>
        <v>1433.9095429789252</v>
      </c>
      <c r="N11" s="304">
        <f t="shared" si="3"/>
        <v>77.508623944806772</v>
      </c>
      <c r="O11" s="306">
        <f t="shared" si="4"/>
        <v>0</v>
      </c>
      <c r="P11" s="307">
        <f t="shared" si="5"/>
        <v>-3.5724571362743092</v>
      </c>
      <c r="Q11" s="330">
        <f t="shared" si="6"/>
        <v>0.95593969531928347</v>
      </c>
      <c r="R11" s="571"/>
      <c r="S11" s="308"/>
      <c r="T11" s="308"/>
      <c r="U11" s="304"/>
      <c r="V11" s="335"/>
      <c r="W11" s="304"/>
      <c r="X11" s="304"/>
      <c r="Y11" s="570"/>
      <c r="Z11" s="570"/>
      <c r="AA11" s="306">
        <f t="shared" si="8"/>
        <v>-66.090457021074826</v>
      </c>
      <c r="AB11" s="330">
        <f t="shared" si="9"/>
        <v>0.95593969531928347</v>
      </c>
      <c r="AC11" s="571"/>
    </row>
    <row r="12" spans="1:29" ht="16.5" customHeight="1">
      <c r="A12" s="596" t="s">
        <v>1411</v>
      </c>
      <c r="B12" s="336" t="s">
        <v>43</v>
      </c>
      <c r="C12" s="590" t="s">
        <v>44</v>
      </c>
      <c r="D12" s="590"/>
      <c r="E12" s="300">
        <v>41</v>
      </c>
      <c r="F12" s="336">
        <v>1797</v>
      </c>
      <c r="G12" s="327">
        <f t="shared" ref="G12:G16" si="15">E12*F12</f>
        <v>73677</v>
      </c>
      <c r="H12" s="301" t="s">
        <v>35</v>
      </c>
      <c r="I12" s="334">
        <v>26</v>
      </c>
      <c r="J12" s="303">
        <v>1500</v>
      </c>
      <c r="K12" s="304">
        <f t="shared" si="1"/>
        <v>57.692307692307693</v>
      </c>
      <c r="L12" s="334">
        <v>26</v>
      </c>
      <c r="M12" s="305">
        <f t="shared" ref="M12:M16" si="16">F12/V12*60</f>
        <v>1437.6000000000001</v>
      </c>
      <c r="N12" s="304">
        <f t="shared" si="3"/>
        <v>55.292307692307695</v>
      </c>
      <c r="O12" s="306">
        <f t="shared" si="4"/>
        <v>0</v>
      </c>
      <c r="P12" s="307">
        <f t="shared" si="5"/>
        <v>-2.3999999999999986</v>
      </c>
      <c r="Q12" s="330">
        <f t="shared" si="6"/>
        <v>0.95840000000000003</v>
      </c>
      <c r="R12" s="571">
        <f>Q17</f>
        <v>0.95663653049222475</v>
      </c>
      <c r="S12" s="308">
        <v>8.3333333333333329E-2</v>
      </c>
      <c r="T12" s="308">
        <v>0.13541666666666666</v>
      </c>
      <c r="U12" s="327"/>
      <c r="V12" s="335">
        <f t="shared" ref="V12:V16" si="17">(T12-S12)*24*60</f>
        <v>75</v>
      </c>
      <c r="W12" s="310">
        <f>T12</f>
        <v>0.13541666666666666</v>
      </c>
      <c r="X12" s="310">
        <f>S13</f>
        <v>0.15416666666666667</v>
      </c>
      <c r="Y12" s="570"/>
      <c r="Z12" s="570"/>
      <c r="AA12" s="306">
        <f t="shared" si="8"/>
        <v>-62.399999999999864</v>
      </c>
      <c r="AB12" s="330">
        <f t="shared" si="9"/>
        <v>0.95840000000000014</v>
      </c>
      <c r="AC12" s="571">
        <f>AB17</f>
        <v>0.95663653049222486</v>
      </c>
    </row>
    <row r="13" spans="1:29" ht="16.5" customHeight="1">
      <c r="A13" s="597" t="s">
        <v>1412</v>
      </c>
      <c r="B13" s="336" t="s">
        <v>40</v>
      </c>
      <c r="C13" s="590" t="s">
        <v>45</v>
      </c>
      <c r="D13" s="590"/>
      <c r="E13" s="300">
        <v>39.619999999999997</v>
      </c>
      <c r="F13" s="336">
        <v>4053</v>
      </c>
      <c r="G13" s="327">
        <f t="shared" si="15"/>
        <v>160579.85999999999</v>
      </c>
      <c r="H13" s="301" t="s">
        <v>35</v>
      </c>
      <c r="I13" s="334">
        <v>19</v>
      </c>
      <c r="J13" s="303">
        <v>1500</v>
      </c>
      <c r="K13" s="304">
        <f t="shared" si="1"/>
        <v>78.94736842105263</v>
      </c>
      <c r="L13" s="334">
        <v>19</v>
      </c>
      <c r="M13" s="305">
        <f t="shared" si="16"/>
        <v>1430.4705882352939</v>
      </c>
      <c r="N13" s="304">
        <f t="shared" si="3"/>
        <v>75.287925696594414</v>
      </c>
      <c r="O13" s="306">
        <f t="shared" si="4"/>
        <v>0</v>
      </c>
      <c r="P13" s="307">
        <f t="shared" si="5"/>
        <v>-3.6594427244582164</v>
      </c>
      <c r="Q13" s="330">
        <f t="shared" si="6"/>
        <v>0.95364705882352929</v>
      </c>
      <c r="R13" s="571"/>
      <c r="S13" s="308">
        <v>0.15416666666666667</v>
      </c>
      <c r="T13" s="308">
        <v>0.27222222222222225</v>
      </c>
      <c r="U13" s="327">
        <f t="shared" ref="U13:U16" si="18">IF(S13=TIME(17,0,0),"",(S13-T12)*24*60)</f>
        <v>27.000000000000025</v>
      </c>
      <c r="V13" s="335">
        <f t="shared" si="17"/>
        <v>170.00000000000003</v>
      </c>
      <c r="W13" s="310"/>
      <c r="X13" s="310"/>
      <c r="Y13" s="570"/>
      <c r="Z13" s="570"/>
      <c r="AA13" s="306">
        <f t="shared" si="8"/>
        <v>-69.529411764706083</v>
      </c>
      <c r="AB13" s="330">
        <f t="shared" si="9"/>
        <v>0.95364705882352929</v>
      </c>
      <c r="AC13" s="571"/>
    </row>
    <row r="14" spans="1:29" ht="16.5" customHeight="1">
      <c r="A14" s="597" t="s">
        <v>1412</v>
      </c>
      <c r="B14" s="336" t="s">
        <v>1182</v>
      </c>
      <c r="C14" s="590" t="s">
        <v>1041</v>
      </c>
      <c r="D14" s="590"/>
      <c r="E14" s="300">
        <v>57.3</v>
      </c>
      <c r="F14" s="336">
        <v>1584</v>
      </c>
      <c r="G14" s="327">
        <f t="shared" si="15"/>
        <v>90763.199999999997</v>
      </c>
      <c r="H14" s="301" t="s">
        <v>35</v>
      </c>
      <c r="I14" s="334">
        <v>17</v>
      </c>
      <c r="J14" s="303">
        <v>1500</v>
      </c>
      <c r="K14" s="304">
        <f t="shared" si="1"/>
        <v>88.235294117647058</v>
      </c>
      <c r="L14" s="334">
        <v>17</v>
      </c>
      <c r="M14" s="305">
        <f t="shared" si="16"/>
        <v>1440</v>
      </c>
      <c r="N14" s="304">
        <f t="shared" si="3"/>
        <v>84.705882352941174</v>
      </c>
      <c r="O14" s="306">
        <f t="shared" si="4"/>
        <v>0</v>
      </c>
      <c r="P14" s="307">
        <f t="shared" si="5"/>
        <v>-3.529411764705884</v>
      </c>
      <c r="Q14" s="330">
        <f t="shared" si="6"/>
        <v>0.96</v>
      </c>
      <c r="R14" s="571"/>
      <c r="S14" s="308">
        <v>0.27569444444444446</v>
      </c>
      <c r="T14" s="308">
        <v>0.3215277777777778</v>
      </c>
      <c r="U14" s="327">
        <f t="shared" si="18"/>
        <v>4.9999999999999822</v>
      </c>
      <c r="V14" s="335">
        <f t="shared" si="17"/>
        <v>66</v>
      </c>
      <c r="W14" s="310"/>
      <c r="X14" s="310"/>
      <c r="Y14" s="570"/>
      <c r="Z14" s="570"/>
      <c r="AA14" s="306">
        <f t="shared" si="8"/>
        <v>-60</v>
      </c>
      <c r="AB14" s="330">
        <f t="shared" si="9"/>
        <v>0.96</v>
      </c>
      <c r="AC14" s="571"/>
    </row>
    <row r="15" spans="1:29" ht="16.5" customHeight="1">
      <c r="A15" s="597" t="s">
        <v>1413</v>
      </c>
      <c r="B15" s="336" t="s">
        <v>36</v>
      </c>
      <c r="C15" s="590" t="s">
        <v>49</v>
      </c>
      <c r="D15" s="590"/>
      <c r="E15" s="300">
        <v>50.98</v>
      </c>
      <c r="F15" s="336">
        <v>2804</v>
      </c>
      <c r="G15" s="327">
        <f t="shared" si="15"/>
        <v>142947.91999999998</v>
      </c>
      <c r="H15" s="301" t="s">
        <v>35</v>
      </c>
      <c r="I15" s="334">
        <v>16</v>
      </c>
      <c r="J15" s="303">
        <v>2000</v>
      </c>
      <c r="K15" s="304">
        <f t="shared" si="1"/>
        <v>125</v>
      </c>
      <c r="L15" s="334">
        <v>16</v>
      </c>
      <c r="M15" s="305">
        <f t="shared" si="16"/>
        <v>1911.8181818181818</v>
      </c>
      <c r="N15" s="304">
        <f t="shared" si="3"/>
        <v>119.48863636363636</v>
      </c>
      <c r="O15" s="306">
        <f t="shared" si="4"/>
        <v>0</v>
      </c>
      <c r="P15" s="307">
        <f t="shared" si="5"/>
        <v>-5.5113636363636402</v>
      </c>
      <c r="Q15" s="330">
        <f t="shared" si="6"/>
        <v>0.95590909090909093</v>
      </c>
      <c r="R15" s="571"/>
      <c r="S15" s="308">
        <v>0.70833333333333337</v>
      </c>
      <c r="T15" s="308">
        <v>0.76944444444444449</v>
      </c>
      <c r="U15" s="327" t="str">
        <f t="shared" si="18"/>
        <v/>
      </c>
      <c r="V15" s="335">
        <f t="shared" si="17"/>
        <v>88</v>
      </c>
      <c r="W15" s="310"/>
      <c r="X15" s="310"/>
      <c r="Y15" s="570"/>
      <c r="Z15" s="570"/>
      <c r="AA15" s="306">
        <f t="shared" si="8"/>
        <v>-88.181818181818244</v>
      </c>
      <c r="AB15" s="330">
        <f t="shared" si="9"/>
        <v>0.95590909090909093</v>
      </c>
      <c r="AC15" s="571"/>
    </row>
    <row r="16" spans="1:29" ht="16.5" customHeight="1">
      <c r="A16" s="597" t="s">
        <v>1413</v>
      </c>
      <c r="B16" s="336" t="s">
        <v>36</v>
      </c>
      <c r="C16" s="590" t="s">
        <v>50</v>
      </c>
      <c r="D16" s="590"/>
      <c r="E16" s="300">
        <v>50.92</v>
      </c>
      <c r="F16" s="336">
        <v>2931</v>
      </c>
      <c r="G16" s="327">
        <f t="shared" si="15"/>
        <v>149246.52000000002</v>
      </c>
      <c r="H16" s="301" t="s">
        <v>35</v>
      </c>
      <c r="I16" s="334">
        <v>15</v>
      </c>
      <c r="J16" s="303">
        <v>2000</v>
      </c>
      <c r="K16" s="304">
        <f t="shared" si="1"/>
        <v>133.33333333333334</v>
      </c>
      <c r="L16" s="334">
        <v>15</v>
      </c>
      <c r="M16" s="305">
        <f t="shared" si="16"/>
        <v>1911.5217391304348</v>
      </c>
      <c r="N16" s="304">
        <f t="shared" si="3"/>
        <v>127.43478260869566</v>
      </c>
      <c r="O16" s="306">
        <f t="shared" si="4"/>
        <v>0</v>
      </c>
      <c r="P16" s="307">
        <f t="shared" si="5"/>
        <v>-5.8985507246376869</v>
      </c>
      <c r="Q16" s="330">
        <f t="shared" si="6"/>
        <v>0.95576086956521733</v>
      </c>
      <c r="R16" s="571"/>
      <c r="S16" s="308">
        <v>0.77500000000000002</v>
      </c>
      <c r="T16" s="308">
        <v>0.83888888888888891</v>
      </c>
      <c r="U16" s="327">
        <f t="shared" si="18"/>
        <v>7.9999999999999716</v>
      </c>
      <c r="V16" s="335">
        <f t="shared" si="17"/>
        <v>92</v>
      </c>
      <c r="W16" s="310"/>
      <c r="X16" s="310"/>
      <c r="Y16" s="570"/>
      <c r="Z16" s="570"/>
      <c r="AA16" s="306">
        <f t="shared" si="8"/>
        <v>-88.478260869565247</v>
      </c>
      <c r="AB16" s="330">
        <f t="shared" si="9"/>
        <v>0.95576086956521733</v>
      </c>
      <c r="AC16" s="571"/>
    </row>
    <row r="17" spans="1:29" ht="16.5" customHeight="1">
      <c r="A17" s="597" t="s">
        <v>1412</v>
      </c>
      <c r="B17" s="300" t="s">
        <v>1414</v>
      </c>
      <c r="C17" s="572"/>
      <c r="D17" s="572"/>
      <c r="E17" s="331"/>
      <c r="F17" s="313"/>
      <c r="G17" s="304"/>
      <c r="H17" s="336"/>
      <c r="I17" s="314">
        <v>18.600000000000001</v>
      </c>
      <c r="J17" s="303">
        <v>1700</v>
      </c>
      <c r="K17" s="304">
        <f t="shared" si="1"/>
        <v>91.397849462365585</v>
      </c>
      <c r="L17" s="314">
        <v>18.600000000000001</v>
      </c>
      <c r="M17" s="305">
        <f>AVERAGE(M12:M16)</f>
        <v>1626.2821018367822</v>
      </c>
      <c r="N17" s="304">
        <f t="shared" si="3"/>
        <v>87.434521604128065</v>
      </c>
      <c r="O17" s="306">
        <f t="shared" si="4"/>
        <v>0</v>
      </c>
      <c r="P17" s="307">
        <f t="shared" si="5"/>
        <v>-3.9633278582375198</v>
      </c>
      <c r="Q17" s="330">
        <f t="shared" si="6"/>
        <v>0.95663653049222475</v>
      </c>
      <c r="R17" s="571"/>
      <c r="S17" s="308"/>
      <c r="T17" s="308"/>
      <c r="U17" s="327"/>
      <c r="V17" s="335"/>
      <c r="W17" s="304"/>
      <c r="X17" s="304"/>
      <c r="Y17" s="570"/>
      <c r="Z17" s="570"/>
      <c r="AA17" s="306">
        <f t="shared" si="8"/>
        <v>-73.717898163217797</v>
      </c>
      <c r="AB17" s="330">
        <f t="shared" si="9"/>
        <v>0.95663653049222486</v>
      </c>
      <c r="AC17" s="571"/>
    </row>
    <row r="18" spans="1:29" ht="15.75" customHeight="1">
      <c r="A18" s="592" t="s">
        <v>1415</v>
      </c>
      <c r="B18" s="300" t="s">
        <v>43</v>
      </c>
      <c r="C18" s="590" t="s">
        <v>51</v>
      </c>
      <c r="D18" s="590"/>
      <c r="E18" s="300">
        <v>43.14</v>
      </c>
      <c r="F18" s="336">
        <v>1132</v>
      </c>
      <c r="G18" s="327">
        <f t="shared" ref="G18:G21" si="19">E18*F18</f>
        <v>48834.48</v>
      </c>
      <c r="H18" s="301" t="s">
        <v>35</v>
      </c>
      <c r="I18" s="334">
        <v>17</v>
      </c>
      <c r="J18" s="303">
        <v>2000</v>
      </c>
      <c r="K18" s="304">
        <f t="shared" si="1"/>
        <v>117.64705882352941</v>
      </c>
      <c r="L18" s="334">
        <v>17</v>
      </c>
      <c r="M18" s="305">
        <f t="shared" ref="M18:M21" si="20">F18/V18*60</f>
        <v>1940.5714285714289</v>
      </c>
      <c r="N18" s="304">
        <f t="shared" si="3"/>
        <v>114.1512605042017</v>
      </c>
      <c r="O18" s="306">
        <f t="shared" si="4"/>
        <v>0</v>
      </c>
      <c r="P18" s="307">
        <f t="shared" si="5"/>
        <v>-3.4957983193277045</v>
      </c>
      <c r="Q18" s="330">
        <f t="shared" si="6"/>
        <v>0.97028571428571453</v>
      </c>
      <c r="R18" s="571">
        <f>Q22</f>
        <v>0.96223286641564554</v>
      </c>
      <c r="S18" s="308">
        <v>0.20833333333333334</v>
      </c>
      <c r="T18" s="308">
        <v>0.2326388888888889</v>
      </c>
      <c r="U18" s="327"/>
      <c r="V18" s="335">
        <f t="shared" ref="V18:V21" si="21">(T18-S18)*24*60</f>
        <v>34.999999999999993</v>
      </c>
      <c r="W18" s="315"/>
      <c r="X18" s="315"/>
      <c r="Y18" s="570"/>
      <c r="Z18" s="570"/>
      <c r="AA18" s="306">
        <f t="shared" si="8"/>
        <v>-59.428571428571104</v>
      </c>
      <c r="AB18" s="330">
        <f t="shared" si="9"/>
        <v>0.97028571428571442</v>
      </c>
      <c r="AC18" s="571">
        <f>AB22</f>
        <v>0.96223286641564554</v>
      </c>
    </row>
    <row r="19" spans="1:29" ht="15.75" customHeight="1">
      <c r="A19" s="593" t="s">
        <v>1416</v>
      </c>
      <c r="B19" s="300" t="s">
        <v>36</v>
      </c>
      <c r="C19" s="590" t="s">
        <v>53</v>
      </c>
      <c r="D19" s="590"/>
      <c r="E19" s="300">
        <v>53.68</v>
      </c>
      <c r="F19" s="336">
        <v>1530</v>
      </c>
      <c r="G19" s="327">
        <f t="shared" si="19"/>
        <v>82130.399999999994</v>
      </c>
      <c r="H19" s="301" t="s">
        <v>35</v>
      </c>
      <c r="I19" s="334">
        <v>16</v>
      </c>
      <c r="J19" s="303">
        <v>2000</v>
      </c>
      <c r="K19" s="304">
        <f t="shared" si="1"/>
        <v>125</v>
      </c>
      <c r="L19" s="334">
        <v>16</v>
      </c>
      <c r="M19" s="305">
        <f t="shared" si="20"/>
        <v>1912.4999999999989</v>
      </c>
      <c r="N19" s="304">
        <f t="shared" si="3"/>
        <v>119.53124999999993</v>
      </c>
      <c r="O19" s="306">
        <f t="shared" si="4"/>
        <v>0</v>
      </c>
      <c r="P19" s="307">
        <f t="shared" si="5"/>
        <v>-5.4687500000000711</v>
      </c>
      <c r="Q19" s="330">
        <f t="shared" si="6"/>
        <v>0.95624999999999938</v>
      </c>
      <c r="R19" s="571"/>
      <c r="S19" s="308">
        <v>0.23680555555555557</v>
      </c>
      <c r="T19" s="308">
        <v>0.27013888888888893</v>
      </c>
      <c r="U19" s="327">
        <f t="shared" ref="U19:U21" si="22">IF(S19=TIME(17,0,0),"",(S19-T18)*24*60)</f>
        <v>6.0000000000000187</v>
      </c>
      <c r="V19" s="335">
        <f t="shared" si="21"/>
        <v>48.000000000000028</v>
      </c>
      <c r="W19" s="310"/>
      <c r="X19" s="327"/>
      <c r="Y19" s="570"/>
      <c r="Z19" s="570"/>
      <c r="AA19" s="306">
        <f t="shared" si="8"/>
        <v>-87.500000000001137</v>
      </c>
      <c r="AB19" s="330">
        <f t="shared" si="9"/>
        <v>0.95624999999999938</v>
      </c>
      <c r="AC19" s="571"/>
    </row>
    <row r="20" spans="1:29" ht="15.75" customHeight="1">
      <c r="A20" s="593" t="s">
        <v>1417</v>
      </c>
      <c r="B20" s="300" t="s">
        <v>36</v>
      </c>
      <c r="C20" s="590" t="s">
        <v>52</v>
      </c>
      <c r="D20" s="590"/>
      <c r="E20" s="300">
        <v>57.73</v>
      </c>
      <c r="F20" s="336">
        <v>1995</v>
      </c>
      <c r="G20" s="327">
        <f t="shared" si="19"/>
        <v>115171.34999999999</v>
      </c>
      <c r="H20" s="301" t="s">
        <v>35</v>
      </c>
      <c r="I20" s="334">
        <v>15</v>
      </c>
      <c r="J20" s="303">
        <v>2000</v>
      </c>
      <c r="K20" s="304">
        <f t="shared" si="1"/>
        <v>133.33333333333334</v>
      </c>
      <c r="L20" s="334">
        <v>15</v>
      </c>
      <c r="M20" s="305">
        <f t="shared" si="20"/>
        <v>1930.6451612903218</v>
      </c>
      <c r="N20" s="304">
        <f t="shared" si="3"/>
        <v>128.70967741935479</v>
      </c>
      <c r="O20" s="306">
        <f t="shared" si="4"/>
        <v>0</v>
      </c>
      <c r="P20" s="307">
        <f t="shared" si="5"/>
        <v>-4.6236559139785527</v>
      </c>
      <c r="Q20" s="330">
        <f t="shared" si="6"/>
        <v>0.96532258064516085</v>
      </c>
      <c r="R20" s="571"/>
      <c r="S20" s="308">
        <v>0.27361111111111114</v>
      </c>
      <c r="T20" s="308">
        <v>0.31666666666666671</v>
      </c>
      <c r="U20" s="327">
        <f t="shared" si="22"/>
        <v>4.9999999999999822</v>
      </c>
      <c r="V20" s="335">
        <f t="shared" si="21"/>
        <v>62.000000000000021</v>
      </c>
      <c r="W20" s="310"/>
      <c r="X20" s="327"/>
      <c r="Y20" s="570"/>
      <c r="Z20" s="570"/>
      <c r="AA20" s="306">
        <f t="shared" si="8"/>
        <v>-69.354838709678233</v>
      </c>
      <c r="AB20" s="330">
        <f t="shared" si="9"/>
        <v>0.96532258064516085</v>
      </c>
      <c r="AC20" s="571"/>
    </row>
    <row r="21" spans="1:29" ht="15.75" customHeight="1">
      <c r="A21" s="593" t="s">
        <v>1418</v>
      </c>
      <c r="B21" s="300" t="s">
        <v>36</v>
      </c>
      <c r="C21" s="590" t="s">
        <v>55</v>
      </c>
      <c r="D21" s="590"/>
      <c r="E21" s="300">
        <v>54.09</v>
      </c>
      <c r="F21" s="336">
        <v>2616</v>
      </c>
      <c r="G21" s="327">
        <f t="shared" si="19"/>
        <v>141499.44</v>
      </c>
      <c r="H21" s="301" t="s">
        <v>35</v>
      </c>
      <c r="I21" s="334">
        <v>19</v>
      </c>
      <c r="J21" s="303">
        <v>2000</v>
      </c>
      <c r="K21" s="304">
        <f t="shared" si="1"/>
        <v>105.26315789473684</v>
      </c>
      <c r="L21" s="334">
        <v>19</v>
      </c>
      <c r="M21" s="305">
        <f t="shared" si="20"/>
        <v>1914.146341463414</v>
      </c>
      <c r="N21" s="304">
        <f t="shared" si="3"/>
        <v>100.74454428754811</v>
      </c>
      <c r="O21" s="306">
        <f t="shared" si="4"/>
        <v>0</v>
      </c>
      <c r="P21" s="307">
        <f t="shared" si="5"/>
        <v>-4.5186136071887262</v>
      </c>
      <c r="Q21" s="330">
        <f t="shared" si="6"/>
        <v>0.95707317073170706</v>
      </c>
      <c r="R21" s="571"/>
      <c r="S21" s="308">
        <v>0.70833333333333337</v>
      </c>
      <c r="T21" s="308">
        <v>0.76527777777777783</v>
      </c>
      <c r="U21" s="327" t="str">
        <f t="shared" si="22"/>
        <v/>
      </c>
      <c r="V21" s="335">
        <f t="shared" si="21"/>
        <v>82.000000000000028</v>
      </c>
      <c r="W21" s="310"/>
      <c r="X21" s="327"/>
      <c r="Y21" s="570"/>
      <c r="Z21" s="570"/>
      <c r="AA21" s="306">
        <f t="shared" si="8"/>
        <v>-85.853658536585954</v>
      </c>
      <c r="AB21" s="330">
        <f t="shared" si="9"/>
        <v>0.95707317073170706</v>
      </c>
      <c r="AC21" s="571"/>
    </row>
    <row r="22" spans="1:29" ht="15.75" customHeight="1">
      <c r="A22" s="593" t="s">
        <v>1415</v>
      </c>
      <c r="B22" s="300" t="s">
        <v>1419</v>
      </c>
      <c r="C22" s="572"/>
      <c r="D22" s="572"/>
      <c r="E22" s="331"/>
      <c r="F22" s="336"/>
      <c r="G22" s="327"/>
      <c r="H22" s="336"/>
      <c r="I22" s="314">
        <v>16.75</v>
      </c>
      <c r="J22" s="303">
        <v>2000</v>
      </c>
      <c r="K22" s="304">
        <f t="shared" si="1"/>
        <v>119.40298507462687</v>
      </c>
      <c r="L22" s="314">
        <v>16.75</v>
      </c>
      <c r="M22" s="305">
        <f>AVERAGE(M18:M21)</f>
        <v>1924.465732831291</v>
      </c>
      <c r="N22" s="304">
        <f t="shared" si="3"/>
        <v>114.89347658694275</v>
      </c>
      <c r="O22" s="306">
        <f t="shared" si="4"/>
        <v>0</v>
      </c>
      <c r="P22" s="307">
        <f t="shared" si="5"/>
        <v>-4.5095084876841156</v>
      </c>
      <c r="Q22" s="330">
        <f t="shared" si="6"/>
        <v>0.96223286641564554</v>
      </c>
      <c r="R22" s="571"/>
      <c r="S22" s="308"/>
      <c r="T22" s="308"/>
      <c r="U22" s="304"/>
      <c r="V22" s="335"/>
      <c r="W22" s="304"/>
      <c r="X22" s="304"/>
      <c r="Y22" s="570"/>
      <c r="Z22" s="570"/>
      <c r="AA22" s="306">
        <f t="shared" si="8"/>
        <v>-75.534267168708993</v>
      </c>
      <c r="AB22" s="330">
        <f t="shared" si="9"/>
        <v>0.96223286641564554</v>
      </c>
      <c r="AC22" s="571"/>
    </row>
    <row r="23" spans="1:29" ht="15.75" customHeight="1">
      <c r="A23" s="591" t="s">
        <v>1420</v>
      </c>
      <c r="B23" s="300" t="s">
        <v>46</v>
      </c>
      <c r="C23" s="590" t="s">
        <v>61</v>
      </c>
      <c r="D23" s="590"/>
      <c r="E23" s="300">
        <v>31.29</v>
      </c>
      <c r="F23" s="336">
        <v>7359</v>
      </c>
      <c r="G23" s="327">
        <f t="shared" ref="G23:G27" si="23">E23*F23</f>
        <v>230263.11</v>
      </c>
      <c r="H23" s="301" t="s">
        <v>35</v>
      </c>
      <c r="I23" s="334">
        <v>18</v>
      </c>
      <c r="J23" s="303">
        <v>2400</v>
      </c>
      <c r="K23" s="304">
        <f t="shared" si="1"/>
        <v>133.33333333333334</v>
      </c>
      <c r="L23" s="334">
        <v>18</v>
      </c>
      <c r="M23" s="305">
        <f t="shared" ref="M23:M27" si="24">F23/V23*60</f>
        <v>2287.7720207253883</v>
      </c>
      <c r="N23" s="304">
        <f t="shared" si="3"/>
        <v>127.09844559585491</v>
      </c>
      <c r="O23" s="306">
        <f t="shared" si="4"/>
        <v>0</v>
      </c>
      <c r="P23" s="307">
        <f t="shared" si="5"/>
        <v>-6.2348877374784308</v>
      </c>
      <c r="Q23" s="330">
        <f t="shared" si="6"/>
        <v>0.95323834196891177</v>
      </c>
      <c r="R23" s="571">
        <f>Q28</f>
        <v>0.95622825943436163</v>
      </c>
      <c r="S23" s="308">
        <v>8.3333333333333329E-2</v>
      </c>
      <c r="T23" s="308">
        <v>0.21736111111111112</v>
      </c>
      <c r="U23" s="327"/>
      <c r="V23" s="335">
        <f t="shared" ref="V23:V27" si="25">(T23-S23)*24*60</f>
        <v>193.00000000000003</v>
      </c>
      <c r="W23" s="310"/>
      <c r="X23" s="310"/>
      <c r="Y23" s="570"/>
      <c r="Z23" s="570"/>
      <c r="AA23" s="306">
        <f t="shared" si="8"/>
        <v>-112.2279792746117</v>
      </c>
      <c r="AB23" s="330">
        <f t="shared" si="9"/>
        <v>0.95323834196891177</v>
      </c>
      <c r="AC23" s="571">
        <f>AB28</f>
        <v>0.95622825943436174</v>
      </c>
    </row>
    <row r="24" spans="1:29" ht="15.75" customHeight="1">
      <c r="A24" s="591" t="s">
        <v>1420</v>
      </c>
      <c r="B24" s="300" t="s">
        <v>46</v>
      </c>
      <c r="C24" s="590" t="s">
        <v>59</v>
      </c>
      <c r="D24" s="590"/>
      <c r="E24" s="300">
        <v>26.18</v>
      </c>
      <c r="F24" s="336">
        <v>3230</v>
      </c>
      <c r="G24" s="327">
        <f t="shared" si="23"/>
        <v>84561.4</v>
      </c>
      <c r="H24" s="301" t="s">
        <v>35</v>
      </c>
      <c r="I24" s="334">
        <v>19</v>
      </c>
      <c r="J24" s="303">
        <v>2400</v>
      </c>
      <c r="K24" s="304">
        <f t="shared" si="1"/>
        <v>126.31578947368421</v>
      </c>
      <c r="L24" s="334">
        <v>19</v>
      </c>
      <c r="M24" s="305">
        <f t="shared" si="24"/>
        <v>2307.1428571428573</v>
      </c>
      <c r="N24" s="304">
        <f t="shared" si="3"/>
        <v>121.42857142857144</v>
      </c>
      <c r="O24" s="306">
        <f t="shared" si="4"/>
        <v>0</v>
      </c>
      <c r="P24" s="307">
        <f t="shared" si="5"/>
        <v>-4.8872180451127605</v>
      </c>
      <c r="Q24" s="330">
        <f t="shared" si="6"/>
        <v>0.96130952380952395</v>
      </c>
      <c r="R24" s="571"/>
      <c r="S24" s="308">
        <v>0.2215277777777778</v>
      </c>
      <c r="T24" s="308">
        <v>0.27986111111111112</v>
      </c>
      <c r="U24" s="327">
        <f t="shared" ref="U24:U27" si="26">(S24-T23)*24*60</f>
        <v>6.0000000000000187</v>
      </c>
      <c r="V24" s="335">
        <f t="shared" si="25"/>
        <v>83.999999999999986</v>
      </c>
      <c r="W24" s="310">
        <f>T24</f>
        <v>0.27986111111111112</v>
      </c>
      <c r="X24" s="310">
        <f>S25</f>
        <v>0.2986111111111111</v>
      </c>
      <c r="Y24" s="570"/>
      <c r="Z24" s="570"/>
      <c r="AA24" s="306">
        <f t="shared" si="8"/>
        <v>-92.857142857142662</v>
      </c>
      <c r="AB24" s="330">
        <f t="shared" si="9"/>
        <v>0.96130952380952384</v>
      </c>
      <c r="AC24" s="571"/>
    </row>
    <row r="25" spans="1:29" ht="15.75" customHeight="1">
      <c r="A25" s="591" t="s">
        <v>1421</v>
      </c>
      <c r="B25" s="300" t="s">
        <v>46</v>
      </c>
      <c r="C25" s="590" t="s">
        <v>60</v>
      </c>
      <c r="D25" s="590"/>
      <c r="E25" s="300">
        <v>26.2</v>
      </c>
      <c r="F25" s="336">
        <v>3783</v>
      </c>
      <c r="G25" s="327">
        <f t="shared" si="23"/>
        <v>99114.599999999991</v>
      </c>
      <c r="H25" s="301" t="s">
        <v>35</v>
      </c>
      <c r="I25" s="334">
        <v>19</v>
      </c>
      <c r="J25" s="303">
        <v>2400</v>
      </c>
      <c r="K25" s="304">
        <f t="shared" si="1"/>
        <v>126.31578947368421</v>
      </c>
      <c r="L25" s="334">
        <v>19</v>
      </c>
      <c r="M25" s="305">
        <f t="shared" si="24"/>
        <v>2292.7272727272734</v>
      </c>
      <c r="N25" s="304">
        <f t="shared" si="3"/>
        <v>120.66985645933018</v>
      </c>
      <c r="O25" s="306">
        <f t="shared" si="4"/>
        <v>0</v>
      </c>
      <c r="P25" s="307">
        <f t="shared" si="5"/>
        <v>-5.6459330143540285</v>
      </c>
      <c r="Q25" s="330">
        <f t="shared" si="6"/>
        <v>0.95530303030303065</v>
      </c>
      <c r="R25" s="571"/>
      <c r="S25" s="308">
        <v>0.2986111111111111</v>
      </c>
      <c r="T25" s="308">
        <v>0.36736111111111108</v>
      </c>
      <c r="U25" s="327">
        <f t="shared" si="26"/>
        <v>26.999999999999986</v>
      </c>
      <c r="V25" s="335">
        <f t="shared" si="25"/>
        <v>98.999999999999972</v>
      </c>
      <c r="W25" s="310"/>
      <c r="X25" s="310"/>
      <c r="Y25" s="570"/>
      <c r="Z25" s="570"/>
      <c r="AA25" s="306">
        <f t="shared" si="8"/>
        <v>-107.27272727272657</v>
      </c>
      <c r="AB25" s="330">
        <f t="shared" si="9"/>
        <v>0.95530303030303054</v>
      </c>
      <c r="AC25" s="571"/>
    </row>
    <row r="26" spans="1:29" ht="15.75" customHeight="1">
      <c r="A26" s="591" t="s">
        <v>1422</v>
      </c>
      <c r="B26" s="300" t="s">
        <v>46</v>
      </c>
      <c r="C26" s="590" t="s">
        <v>56</v>
      </c>
      <c r="D26" s="590"/>
      <c r="E26" s="300">
        <v>26.2</v>
      </c>
      <c r="F26" s="336">
        <v>4082</v>
      </c>
      <c r="G26" s="327">
        <f t="shared" si="23"/>
        <v>106948.4</v>
      </c>
      <c r="H26" s="301" t="s">
        <v>35</v>
      </c>
      <c r="I26" s="334">
        <v>20</v>
      </c>
      <c r="J26" s="303">
        <v>2400</v>
      </c>
      <c r="K26" s="304">
        <f t="shared" si="1"/>
        <v>120</v>
      </c>
      <c r="L26" s="334">
        <v>20</v>
      </c>
      <c r="M26" s="305">
        <f t="shared" si="24"/>
        <v>2288.9719626168221</v>
      </c>
      <c r="N26" s="304">
        <f t="shared" si="3"/>
        <v>114.44859813084111</v>
      </c>
      <c r="O26" s="306">
        <f t="shared" si="4"/>
        <v>0</v>
      </c>
      <c r="P26" s="307">
        <f t="shared" si="5"/>
        <v>-5.5514018691588944</v>
      </c>
      <c r="Q26" s="330">
        <f t="shared" si="6"/>
        <v>0.95373831775700924</v>
      </c>
      <c r="R26" s="571"/>
      <c r="S26" s="308">
        <v>0.37222222222222218</v>
      </c>
      <c r="T26" s="308">
        <v>0.44652777777777775</v>
      </c>
      <c r="U26" s="327">
        <f t="shared" si="26"/>
        <v>6.9999999999999751</v>
      </c>
      <c r="V26" s="335">
        <f t="shared" si="25"/>
        <v>107.00000000000001</v>
      </c>
      <c r="W26" s="310"/>
      <c r="X26" s="310"/>
      <c r="Y26" s="570"/>
      <c r="Z26" s="570"/>
      <c r="AA26" s="306">
        <f t="shared" si="8"/>
        <v>-111.02803738317789</v>
      </c>
      <c r="AB26" s="330">
        <f t="shared" si="9"/>
        <v>0.95373831775700924</v>
      </c>
      <c r="AC26" s="571"/>
    </row>
    <row r="27" spans="1:29" ht="15.75" customHeight="1">
      <c r="A27" s="591" t="s">
        <v>1421</v>
      </c>
      <c r="B27" s="300" t="s">
        <v>46</v>
      </c>
      <c r="C27" s="590" t="s">
        <v>62</v>
      </c>
      <c r="D27" s="590"/>
      <c r="E27" s="300">
        <v>25</v>
      </c>
      <c r="F27" s="336">
        <v>3677</v>
      </c>
      <c r="G27" s="327">
        <f t="shared" si="23"/>
        <v>91925</v>
      </c>
      <c r="H27" s="301" t="s">
        <v>35</v>
      </c>
      <c r="I27" s="334">
        <v>15</v>
      </c>
      <c r="J27" s="303">
        <v>2400</v>
      </c>
      <c r="K27" s="304">
        <f t="shared" si="1"/>
        <v>160</v>
      </c>
      <c r="L27" s="334">
        <v>15</v>
      </c>
      <c r="M27" s="305">
        <f t="shared" si="24"/>
        <v>2298.1250000000005</v>
      </c>
      <c r="N27" s="304">
        <f t="shared" si="3"/>
        <v>153.20833333333337</v>
      </c>
      <c r="O27" s="306">
        <f t="shared" si="4"/>
        <v>0</v>
      </c>
      <c r="P27" s="307">
        <f t="shared" si="5"/>
        <v>-6.7916666666666288</v>
      </c>
      <c r="Q27" s="330">
        <f t="shared" si="6"/>
        <v>0.95755208333333353</v>
      </c>
      <c r="R27" s="571"/>
      <c r="S27" s="308">
        <v>0.4506944444444444</v>
      </c>
      <c r="T27" s="308">
        <v>0.51736111111111105</v>
      </c>
      <c r="U27" s="327">
        <f t="shared" si="26"/>
        <v>5.9999999999999787</v>
      </c>
      <c r="V27" s="335">
        <f t="shared" si="25"/>
        <v>95.999999999999972</v>
      </c>
      <c r="W27" s="310"/>
      <c r="X27" s="310"/>
      <c r="Y27" s="570"/>
      <c r="Z27" s="570"/>
      <c r="AA27" s="306">
        <f t="shared" si="8"/>
        <v>-101.87499999999955</v>
      </c>
      <c r="AB27" s="330">
        <f t="shared" si="9"/>
        <v>0.95755208333333353</v>
      </c>
      <c r="AC27" s="571"/>
    </row>
    <row r="28" spans="1:29" ht="15.75" customHeight="1">
      <c r="A28" s="591" t="s">
        <v>1422</v>
      </c>
      <c r="B28" s="300" t="s">
        <v>1423</v>
      </c>
      <c r="C28" s="572"/>
      <c r="D28" s="572"/>
      <c r="E28" s="331"/>
      <c r="F28" s="336"/>
      <c r="G28" s="327"/>
      <c r="H28" s="336"/>
      <c r="I28" s="314">
        <v>18.2</v>
      </c>
      <c r="J28" s="303">
        <v>2400</v>
      </c>
      <c r="K28" s="304">
        <f t="shared" si="1"/>
        <v>131.86813186813188</v>
      </c>
      <c r="L28" s="314">
        <v>18.2</v>
      </c>
      <c r="M28" s="305">
        <f>AVERAGE(M23:M27)</f>
        <v>2294.9478226424681</v>
      </c>
      <c r="N28" s="304">
        <f t="shared" si="3"/>
        <v>126.09603421112462</v>
      </c>
      <c r="O28" s="306">
        <f t="shared" si="4"/>
        <v>0</v>
      </c>
      <c r="P28" s="307">
        <f t="shared" si="5"/>
        <v>-5.7720976570072651</v>
      </c>
      <c r="Q28" s="330">
        <f t="shared" si="6"/>
        <v>0.95622825943436163</v>
      </c>
      <c r="R28" s="571"/>
      <c r="S28" s="308"/>
      <c r="T28" s="308"/>
      <c r="U28" s="327"/>
      <c r="V28" s="335"/>
      <c r="W28" s="327"/>
      <c r="X28" s="327"/>
      <c r="Y28" s="570"/>
      <c r="Z28" s="570"/>
      <c r="AA28" s="306">
        <f t="shared" si="8"/>
        <v>-105.05217735753195</v>
      </c>
      <c r="AB28" s="330">
        <f t="shared" si="9"/>
        <v>0.95622825943436174</v>
      </c>
      <c r="AC28" s="571"/>
    </row>
    <row r="29" spans="1:29" ht="15.75" customHeight="1">
      <c r="A29" s="588" t="s">
        <v>1424</v>
      </c>
      <c r="B29" s="300" t="s">
        <v>46</v>
      </c>
      <c r="C29" s="565" t="s">
        <v>63</v>
      </c>
      <c r="D29" s="565"/>
      <c r="E29" s="300">
        <v>26.2</v>
      </c>
      <c r="F29" s="336">
        <v>5549</v>
      </c>
      <c r="G29" s="327">
        <f t="shared" ref="G29:G34" si="27">E29*F29</f>
        <v>145383.79999999999</v>
      </c>
      <c r="H29" s="301" t="s">
        <v>35</v>
      </c>
      <c r="I29" s="334">
        <v>18</v>
      </c>
      <c r="J29" s="303">
        <v>2400</v>
      </c>
      <c r="K29" s="304">
        <f t="shared" si="1"/>
        <v>133.33333333333334</v>
      </c>
      <c r="L29" s="334">
        <v>18</v>
      </c>
      <c r="M29" s="305">
        <f t="shared" ref="M29:M34" si="28">F29/V29*60</f>
        <v>2280.4109589041095</v>
      </c>
      <c r="N29" s="304">
        <f t="shared" si="3"/>
        <v>126.68949771689498</v>
      </c>
      <c r="O29" s="306">
        <f t="shared" si="4"/>
        <v>0</v>
      </c>
      <c r="P29" s="307">
        <f t="shared" si="5"/>
        <v>-6.6438356164383663</v>
      </c>
      <c r="Q29" s="330">
        <f t="shared" si="6"/>
        <v>0.95017123287671224</v>
      </c>
      <c r="R29" s="571">
        <f>Q35</f>
        <v>0.95828683555811578</v>
      </c>
      <c r="S29" s="308">
        <v>8.3333333333333329E-2</v>
      </c>
      <c r="T29" s="308">
        <v>0.1847222222222222</v>
      </c>
      <c r="U29" s="327"/>
      <c r="V29" s="335">
        <f t="shared" ref="V29:V34" si="29">(T29-S29)*24*60</f>
        <v>146</v>
      </c>
      <c r="W29" s="315">
        <f>T29</f>
        <v>0.1847222222222222</v>
      </c>
      <c r="X29" s="315">
        <f>S30</f>
        <v>0.20624999999999999</v>
      </c>
      <c r="Y29" s="570"/>
      <c r="Z29" s="570"/>
      <c r="AA29" s="306">
        <f t="shared" si="8"/>
        <v>-119.58904109589048</v>
      </c>
      <c r="AB29" s="330">
        <f t="shared" si="9"/>
        <v>0.95017123287671235</v>
      </c>
      <c r="AC29" s="571">
        <f>AB35</f>
        <v>0.95828683555811589</v>
      </c>
    </row>
    <row r="30" spans="1:29" ht="15.75" customHeight="1">
      <c r="A30" s="588" t="s">
        <v>1425</v>
      </c>
      <c r="B30" s="300" t="s">
        <v>46</v>
      </c>
      <c r="C30" s="565" t="s">
        <v>64</v>
      </c>
      <c r="D30" s="565"/>
      <c r="E30" s="300">
        <v>26.39</v>
      </c>
      <c r="F30" s="336">
        <v>5206</v>
      </c>
      <c r="G30" s="327">
        <f t="shared" si="27"/>
        <v>137386.34</v>
      </c>
      <c r="H30" s="301" t="s">
        <v>35</v>
      </c>
      <c r="I30" s="334">
        <v>19</v>
      </c>
      <c r="J30" s="303">
        <v>2400</v>
      </c>
      <c r="K30" s="304">
        <f t="shared" si="1"/>
        <v>126.31578947368421</v>
      </c>
      <c r="L30" s="334">
        <v>19</v>
      </c>
      <c r="M30" s="305">
        <f t="shared" si="28"/>
        <v>2296.7647058823532</v>
      </c>
      <c r="N30" s="304">
        <f t="shared" si="3"/>
        <v>120.88235294117648</v>
      </c>
      <c r="O30" s="306">
        <f t="shared" si="4"/>
        <v>0</v>
      </c>
      <c r="P30" s="307">
        <f t="shared" si="5"/>
        <v>-5.4334365325077272</v>
      </c>
      <c r="Q30" s="330">
        <f t="shared" si="6"/>
        <v>0.95698529411764721</v>
      </c>
      <c r="R30" s="571"/>
      <c r="S30" s="308">
        <v>0.20624999999999999</v>
      </c>
      <c r="T30" s="308">
        <v>0.30069444444444443</v>
      </c>
      <c r="U30" s="327">
        <f t="shared" ref="U30:U34" si="30">(S30-T29)*24*60</f>
        <v>31.000000000000011</v>
      </c>
      <c r="V30" s="335">
        <f t="shared" si="29"/>
        <v>136</v>
      </c>
      <c r="W30" s="327"/>
      <c r="X30" s="327"/>
      <c r="Y30" s="570"/>
      <c r="Z30" s="570"/>
      <c r="AA30" s="306">
        <f t="shared" si="8"/>
        <v>-103.23529411764684</v>
      </c>
      <c r="AB30" s="330">
        <f t="shared" si="9"/>
        <v>0.9569852941176471</v>
      </c>
      <c r="AC30" s="571"/>
    </row>
    <row r="31" spans="1:29">
      <c r="A31" s="589" t="s">
        <v>1424</v>
      </c>
      <c r="B31" s="300" t="s">
        <v>46</v>
      </c>
      <c r="C31" s="565" t="s">
        <v>87</v>
      </c>
      <c r="D31" s="565"/>
      <c r="E31" s="300">
        <v>20.52</v>
      </c>
      <c r="F31" s="336">
        <v>3909</v>
      </c>
      <c r="G31" s="327">
        <f t="shared" si="27"/>
        <v>80212.679999999993</v>
      </c>
      <c r="H31" s="301" t="s">
        <v>35</v>
      </c>
      <c r="I31" s="334">
        <v>18</v>
      </c>
      <c r="J31" s="303">
        <v>2400</v>
      </c>
      <c r="K31" s="304">
        <f t="shared" si="1"/>
        <v>133.33333333333334</v>
      </c>
      <c r="L31" s="334">
        <v>18</v>
      </c>
      <c r="M31" s="305">
        <f t="shared" si="28"/>
        <v>2299.4117647058815</v>
      </c>
      <c r="N31" s="304">
        <f t="shared" si="3"/>
        <v>127.74509803921563</v>
      </c>
      <c r="O31" s="306">
        <f t="shared" si="4"/>
        <v>0</v>
      </c>
      <c r="P31" s="307">
        <f t="shared" si="5"/>
        <v>-5.5882352941177089</v>
      </c>
      <c r="Q31" s="330">
        <f t="shared" si="6"/>
        <v>0.95808823529411724</v>
      </c>
      <c r="R31" s="571"/>
      <c r="S31" s="308">
        <v>0.30555555555555552</v>
      </c>
      <c r="T31" s="308">
        <v>0.37638888888888888</v>
      </c>
      <c r="U31" s="327">
        <f t="shared" si="30"/>
        <v>6.9999999999999751</v>
      </c>
      <c r="V31" s="335">
        <f t="shared" si="29"/>
        <v>102.00000000000004</v>
      </c>
      <c r="W31" s="327"/>
      <c r="X31" s="327"/>
      <c r="Y31" s="570"/>
      <c r="Z31" s="570"/>
      <c r="AA31" s="306">
        <f t="shared" si="8"/>
        <v>-100.58823529411848</v>
      </c>
      <c r="AB31" s="330">
        <f t="shared" si="9"/>
        <v>0.95808823529411735</v>
      </c>
      <c r="AC31" s="571"/>
    </row>
    <row r="32" spans="1:29">
      <c r="A32" s="589" t="s">
        <v>1425</v>
      </c>
      <c r="B32" s="300" t="s">
        <v>46</v>
      </c>
      <c r="C32" s="565" t="s">
        <v>48</v>
      </c>
      <c r="D32" s="565"/>
      <c r="E32" s="300">
        <v>22.35</v>
      </c>
      <c r="F32" s="336">
        <v>1544</v>
      </c>
      <c r="G32" s="327">
        <f t="shared" si="27"/>
        <v>34508.400000000001</v>
      </c>
      <c r="H32" s="301" t="s">
        <v>35</v>
      </c>
      <c r="I32" s="334">
        <v>16</v>
      </c>
      <c r="J32" s="303">
        <v>2400</v>
      </c>
      <c r="K32" s="304">
        <f t="shared" si="1"/>
        <v>150</v>
      </c>
      <c r="L32" s="334">
        <v>16</v>
      </c>
      <c r="M32" s="305">
        <f t="shared" si="28"/>
        <v>2315.9999999999991</v>
      </c>
      <c r="N32" s="304">
        <f t="shared" si="3"/>
        <v>144.74999999999994</v>
      </c>
      <c r="O32" s="306">
        <f t="shared" si="4"/>
        <v>0</v>
      </c>
      <c r="P32" s="307">
        <f t="shared" si="5"/>
        <v>-5.2500000000000568</v>
      </c>
      <c r="Q32" s="330">
        <f t="shared" si="6"/>
        <v>0.96499999999999964</v>
      </c>
      <c r="R32" s="571"/>
      <c r="S32" s="308">
        <v>0.38055555555555554</v>
      </c>
      <c r="T32" s="308">
        <v>0.40833333333333333</v>
      </c>
      <c r="U32" s="327">
        <f t="shared" si="30"/>
        <v>5.9999999999999787</v>
      </c>
      <c r="V32" s="335">
        <f t="shared" si="29"/>
        <v>40.000000000000014</v>
      </c>
      <c r="W32" s="310"/>
      <c r="X32" s="310"/>
      <c r="Y32" s="570"/>
      <c r="Z32" s="570"/>
      <c r="AA32" s="306">
        <f t="shared" si="8"/>
        <v>-84.000000000000909</v>
      </c>
      <c r="AB32" s="330">
        <f t="shared" si="9"/>
        <v>0.96499999999999964</v>
      </c>
      <c r="AC32" s="571"/>
    </row>
    <row r="33" spans="1:29">
      <c r="A33" s="589" t="s">
        <v>1425</v>
      </c>
      <c r="B33" s="300" t="s">
        <v>46</v>
      </c>
      <c r="C33" s="565" t="s">
        <v>65</v>
      </c>
      <c r="D33" s="565"/>
      <c r="E33" s="300">
        <v>24.43</v>
      </c>
      <c r="F33" s="336">
        <v>5000</v>
      </c>
      <c r="G33" s="327">
        <f t="shared" si="27"/>
        <v>122150</v>
      </c>
      <c r="H33" s="301">
        <v>2</v>
      </c>
      <c r="I33" s="334">
        <v>15</v>
      </c>
      <c r="J33" s="303">
        <v>2400</v>
      </c>
      <c r="K33" s="304">
        <f t="shared" si="1"/>
        <v>160</v>
      </c>
      <c r="L33" s="334">
        <v>15</v>
      </c>
      <c r="M33" s="305">
        <f t="shared" si="28"/>
        <v>2290.0763358778627</v>
      </c>
      <c r="N33" s="304">
        <f t="shared" si="3"/>
        <v>152.67175572519085</v>
      </c>
      <c r="O33" s="306">
        <f t="shared" si="4"/>
        <v>0</v>
      </c>
      <c r="P33" s="307">
        <f t="shared" si="5"/>
        <v>-7.3282442748091512</v>
      </c>
      <c r="Q33" s="330">
        <f t="shared" si="6"/>
        <v>0.95419847328244278</v>
      </c>
      <c r="R33" s="571"/>
      <c r="S33" s="308">
        <v>0.41249999999999998</v>
      </c>
      <c r="T33" s="308">
        <v>0.50347222222222221</v>
      </c>
      <c r="U33" s="327">
        <f t="shared" si="30"/>
        <v>5.9999999999999787</v>
      </c>
      <c r="V33" s="335">
        <f t="shared" si="29"/>
        <v>131</v>
      </c>
      <c r="W33" s="315">
        <f>T33</f>
        <v>0.50347222222222221</v>
      </c>
      <c r="X33" s="315">
        <f>S34</f>
        <v>0.54305555555555551</v>
      </c>
      <c r="Y33" s="570"/>
      <c r="Z33" s="570"/>
      <c r="AA33" s="306">
        <f t="shared" si="8"/>
        <v>-109.92366412213732</v>
      </c>
      <c r="AB33" s="330">
        <f t="shared" si="9"/>
        <v>0.95419847328244278</v>
      </c>
      <c r="AC33" s="571"/>
    </row>
    <row r="34" spans="1:29">
      <c r="A34" s="589" t="s">
        <v>1425</v>
      </c>
      <c r="B34" s="300" t="s">
        <v>46</v>
      </c>
      <c r="C34" s="565" t="s">
        <v>65</v>
      </c>
      <c r="D34" s="565"/>
      <c r="E34" s="300">
        <v>24.43</v>
      </c>
      <c r="F34" s="336">
        <v>2780</v>
      </c>
      <c r="G34" s="327">
        <f t="shared" si="27"/>
        <v>67915.399999999994</v>
      </c>
      <c r="H34" s="301" t="s">
        <v>35</v>
      </c>
      <c r="I34" s="334">
        <v>15</v>
      </c>
      <c r="J34" s="303">
        <v>2400</v>
      </c>
      <c r="K34" s="304">
        <f t="shared" si="1"/>
        <v>160</v>
      </c>
      <c r="L34" s="334">
        <v>15</v>
      </c>
      <c r="M34" s="305">
        <f t="shared" si="28"/>
        <v>2316.6666666666647</v>
      </c>
      <c r="N34" s="304">
        <f t="shared" si="3"/>
        <v>154.44444444444431</v>
      </c>
      <c r="O34" s="306">
        <f t="shared" si="4"/>
        <v>0</v>
      </c>
      <c r="P34" s="307">
        <f t="shared" si="5"/>
        <v>-5.555555555555685</v>
      </c>
      <c r="Q34" s="330">
        <f t="shared" si="6"/>
        <v>0.96527777777777701</v>
      </c>
      <c r="R34" s="571"/>
      <c r="S34" s="308">
        <v>0.54305555555555551</v>
      </c>
      <c r="T34" s="308">
        <v>0.59305555555555556</v>
      </c>
      <c r="U34" s="327">
        <f t="shared" si="30"/>
        <v>56.999999999999957</v>
      </c>
      <c r="V34" s="335">
        <f t="shared" si="29"/>
        <v>72.000000000000057</v>
      </c>
      <c r="W34" s="310"/>
      <c r="X34" s="310"/>
      <c r="Y34" s="570"/>
      <c r="Z34" s="570"/>
      <c r="AA34" s="306">
        <f t="shared" si="8"/>
        <v>-83.333333333335304</v>
      </c>
      <c r="AB34" s="330">
        <f t="shared" si="9"/>
        <v>0.9652777777777769</v>
      </c>
      <c r="AC34" s="571"/>
    </row>
    <row r="35" spans="1:29">
      <c r="A35" s="589" t="s">
        <v>1426</v>
      </c>
      <c r="B35" s="313" t="s">
        <v>185</v>
      </c>
      <c r="C35" s="572"/>
      <c r="D35" s="572"/>
      <c r="E35" s="331"/>
      <c r="F35" s="313"/>
      <c r="G35" s="304"/>
      <c r="H35" s="336"/>
      <c r="I35" s="314">
        <v>16.833333333333332</v>
      </c>
      <c r="J35" s="303">
        <v>2400</v>
      </c>
      <c r="K35" s="304">
        <f t="shared" si="1"/>
        <v>142.57425742574259</v>
      </c>
      <c r="L35" s="314">
        <v>16.833333333333332</v>
      </c>
      <c r="M35" s="305">
        <f>AVERAGE(M29:M34)</f>
        <v>2299.8884053394781</v>
      </c>
      <c r="N35" s="304">
        <f t="shared" si="3"/>
        <v>136.62703398056306</v>
      </c>
      <c r="O35" s="306">
        <f t="shared" si="4"/>
        <v>0</v>
      </c>
      <c r="P35" s="307">
        <f t="shared" si="5"/>
        <v>-5.9472234451795316</v>
      </c>
      <c r="Q35" s="330">
        <f t="shared" si="6"/>
        <v>0.95828683555811578</v>
      </c>
      <c r="R35" s="571"/>
      <c r="S35" s="308"/>
      <c r="T35" s="308"/>
      <c r="U35" s="304"/>
      <c r="V35" s="335"/>
      <c r="W35" s="304"/>
      <c r="X35" s="304"/>
      <c r="Y35" s="570"/>
      <c r="Z35" s="570"/>
      <c r="AA35" s="306">
        <f t="shared" si="8"/>
        <v>-100.11159466052186</v>
      </c>
      <c r="AB35" s="330">
        <f t="shared" si="9"/>
        <v>0.95828683555811589</v>
      </c>
      <c r="AC35" s="571"/>
    </row>
    <row r="36" spans="1:29" ht="15.75" customHeight="1">
      <c r="A36" s="585" t="s">
        <v>1427</v>
      </c>
      <c r="B36" s="300" t="s">
        <v>67</v>
      </c>
      <c r="C36" s="580" t="s">
        <v>68</v>
      </c>
      <c r="D36" s="581"/>
      <c r="E36" s="300">
        <v>21.13</v>
      </c>
      <c r="F36" s="336">
        <v>4342</v>
      </c>
      <c r="G36" s="327">
        <f t="shared" ref="G36:G41" si="31">E36*F36</f>
        <v>91746.459999999992</v>
      </c>
      <c r="H36" s="301" t="s">
        <v>35</v>
      </c>
      <c r="I36" s="334">
        <v>10</v>
      </c>
      <c r="J36" s="303">
        <v>3000</v>
      </c>
      <c r="K36" s="304">
        <f t="shared" si="1"/>
        <v>300</v>
      </c>
      <c r="L36" s="334">
        <v>10</v>
      </c>
      <c r="M36" s="305">
        <f t="shared" ref="M36:M41" si="32">F36/V36*60</f>
        <v>2862.8571428571436</v>
      </c>
      <c r="N36" s="305">
        <f t="shared" si="3"/>
        <v>286.28571428571433</v>
      </c>
      <c r="O36" s="306">
        <f t="shared" si="4"/>
        <v>0</v>
      </c>
      <c r="P36" s="307">
        <f t="shared" si="5"/>
        <v>-13.714285714285666</v>
      </c>
      <c r="Q36" s="330">
        <f t="shared" si="6"/>
        <v>0.9542857142857144</v>
      </c>
      <c r="R36" s="582">
        <f>Q42</f>
        <v>0.95804054868079258</v>
      </c>
      <c r="S36" s="308">
        <v>8.3333333333333329E-2</v>
      </c>
      <c r="T36" s="308">
        <v>0.14652777777777776</v>
      </c>
      <c r="U36" s="315"/>
      <c r="V36" s="335">
        <f t="shared" ref="V36:V41" si="33">(T36-S36)*24*60</f>
        <v>90.999999999999972</v>
      </c>
      <c r="W36" s="310"/>
      <c r="X36" s="310"/>
      <c r="Y36" s="566"/>
      <c r="Z36" s="567"/>
      <c r="AA36" s="306">
        <f t="shared" si="8"/>
        <v>-137.14285714285643</v>
      </c>
      <c r="AB36" s="330">
        <f t="shared" si="9"/>
        <v>0.95428571428571451</v>
      </c>
      <c r="AC36" s="582">
        <f>AB42</f>
        <v>0.95804054868079269</v>
      </c>
    </row>
    <row r="37" spans="1:29" ht="15.75" customHeight="1">
      <c r="A37" s="586" t="s">
        <v>1428</v>
      </c>
      <c r="B37" s="300" t="s">
        <v>67</v>
      </c>
      <c r="C37" s="580" t="s">
        <v>69</v>
      </c>
      <c r="D37" s="581"/>
      <c r="E37" s="300">
        <v>27.17</v>
      </c>
      <c r="F37" s="336">
        <v>5589</v>
      </c>
      <c r="G37" s="327">
        <f t="shared" si="31"/>
        <v>151853.13</v>
      </c>
      <c r="H37" s="301" t="s">
        <v>35</v>
      </c>
      <c r="I37" s="334">
        <v>10</v>
      </c>
      <c r="J37" s="303">
        <v>3000</v>
      </c>
      <c r="K37" s="304">
        <f t="shared" si="1"/>
        <v>300</v>
      </c>
      <c r="L37" s="334">
        <v>10</v>
      </c>
      <c r="M37" s="305">
        <f t="shared" si="32"/>
        <v>2866.1538461538457</v>
      </c>
      <c r="N37" s="305">
        <f t="shared" si="3"/>
        <v>286.61538461538458</v>
      </c>
      <c r="O37" s="306">
        <f t="shared" si="4"/>
        <v>0</v>
      </c>
      <c r="P37" s="307">
        <f t="shared" si="5"/>
        <v>-13.384615384615415</v>
      </c>
      <c r="Q37" s="330">
        <f t="shared" si="6"/>
        <v>0.95538461538461528</v>
      </c>
      <c r="R37" s="583"/>
      <c r="S37" s="308">
        <v>0.15069444444444444</v>
      </c>
      <c r="T37" s="308">
        <v>0.23194444444444445</v>
      </c>
      <c r="U37" s="327">
        <f t="shared" ref="U37:U41" si="34">(S37-T36)*24*60</f>
        <v>6.0000000000000187</v>
      </c>
      <c r="V37" s="335">
        <f t="shared" si="33"/>
        <v>117.00000000000003</v>
      </c>
      <c r="W37" s="315">
        <f>T37</f>
        <v>0.23194444444444445</v>
      </c>
      <c r="X37" s="315">
        <f>S38</f>
        <v>0.25208333333333333</v>
      </c>
      <c r="Y37" s="566"/>
      <c r="Z37" s="567"/>
      <c r="AA37" s="306">
        <f t="shared" si="8"/>
        <v>-133.84615384615427</v>
      </c>
      <c r="AB37" s="330">
        <f t="shared" si="9"/>
        <v>0.95538461538461528</v>
      </c>
      <c r="AC37" s="583"/>
    </row>
    <row r="38" spans="1:29" ht="15.75" customHeight="1">
      <c r="A38" s="586" t="s">
        <v>1427</v>
      </c>
      <c r="B38" s="300" t="s">
        <v>67</v>
      </c>
      <c r="C38" s="580" t="s">
        <v>70</v>
      </c>
      <c r="D38" s="581"/>
      <c r="E38" s="300">
        <v>35.119999999999997</v>
      </c>
      <c r="F38" s="336">
        <v>3907</v>
      </c>
      <c r="G38" s="327">
        <f t="shared" si="31"/>
        <v>137213.84</v>
      </c>
      <c r="H38" s="301" t="s">
        <v>35</v>
      </c>
      <c r="I38" s="334">
        <v>10</v>
      </c>
      <c r="J38" s="303">
        <v>3000</v>
      </c>
      <c r="K38" s="304">
        <f t="shared" si="1"/>
        <v>300</v>
      </c>
      <c r="L38" s="334">
        <v>10</v>
      </c>
      <c r="M38" s="305">
        <f t="shared" si="32"/>
        <v>2858.7804878048769</v>
      </c>
      <c r="N38" s="305">
        <f t="shared" si="3"/>
        <v>285.87804878048769</v>
      </c>
      <c r="O38" s="306">
        <f t="shared" si="4"/>
        <v>0</v>
      </c>
      <c r="P38" s="307">
        <f t="shared" si="5"/>
        <v>-14.121951219512312</v>
      </c>
      <c r="Q38" s="330">
        <f t="shared" si="6"/>
        <v>0.95292682926829231</v>
      </c>
      <c r="R38" s="583"/>
      <c r="S38" s="308">
        <v>0.25208333333333333</v>
      </c>
      <c r="T38" s="308">
        <v>0.30902777777777779</v>
      </c>
      <c r="U38" s="327">
        <f t="shared" si="34"/>
        <v>28.999999999999979</v>
      </c>
      <c r="V38" s="335">
        <f t="shared" si="33"/>
        <v>82.000000000000028</v>
      </c>
      <c r="W38" s="310"/>
      <c r="X38" s="310"/>
      <c r="Y38" s="566"/>
      <c r="Z38" s="567"/>
      <c r="AA38" s="306">
        <f t="shared" si="8"/>
        <v>-141.21951219512312</v>
      </c>
      <c r="AB38" s="330">
        <f t="shared" si="9"/>
        <v>0.95292682926829231</v>
      </c>
      <c r="AC38" s="583"/>
    </row>
    <row r="39" spans="1:29" ht="15.75" customHeight="1">
      <c r="A39" s="586" t="s">
        <v>1427</v>
      </c>
      <c r="B39" s="300" t="s">
        <v>67</v>
      </c>
      <c r="C39" s="580" t="s">
        <v>71</v>
      </c>
      <c r="D39" s="581"/>
      <c r="E39" s="300">
        <v>35.869999999999997</v>
      </c>
      <c r="F39" s="336">
        <v>2687</v>
      </c>
      <c r="G39" s="327">
        <f t="shared" si="31"/>
        <v>96382.689999999988</v>
      </c>
      <c r="H39" s="301" t="s">
        <v>35</v>
      </c>
      <c r="I39" s="334">
        <v>10</v>
      </c>
      <c r="J39" s="303">
        <v>3000</v>
      </c>
      <c r="K39" s="304">
        <f t="shared" si="1"/>
        <v>300</v>
      </c>
      <c r="L39" s="334">
        <v>10</v>
      </c>
      <c r="M39" s="305">
        <f t="shared" si="32"/>
        <v>2878.9285714285738</v>
      </c>
      <c r="N39" s="305">
        <f t="shared" si="3"/>
        <v>287.89285714285739</v>
      </c>
      <c r="O39" s="306">
        <f t="shared" si="4"/>
        <v>0</v>
      </c>
      <c r="P39" s="307">
        <f t="shared" si="5"/>
        <v>-12.107142857142605</v>
      </c>
      <c r="Q39" s="330">
        <f t="shared" si="6"/>
        <v>0.95964285714285802</v>
      </c>
      <c r="R39" s="583"/>
      <c r="S39" s="308">
        <v>0.31319444444444444</v>
      </c>
      <c r="T39" s="308">
        <v>0.3520833333333333</v>
      </c>
      <c r="U39" s="327">
        <f t="shared" si="34"/>
        <v>5.9999999999999787</v>
      </c>
      <c r="V39" s="335">
        <f t="shared" si="33"/>
        <v>55.999999999999957</v>
      </c>
      <c r="W39" s="310"/>
      <c r="X39" s="310"/>
      <c r="Y39" s="566"/>
      <c r="Z39" s="567"/>
      <c r="AA39" s="306">
        <f t="shared" si="8"/>
        <v>-121.07142857142617</v>
      </c>
      <c r="AB39" s="330">
        <f t="shared" si="9"/>
        <v>0.95964285714285791</v>
      </c>
      <c r="AC39" s="583"/>
    </row>
    <row r="40" spans="1:29" ht="15.75" customHeight="1">
      <c r="A40" s="586" t="s">
        <v>1429</v>
      </c>
      <c r="B40" s="300" t="s">
        <v>67</v>
      </c>
      <c r="C40" s="580" t="s">
        <v>72</v>
      </c>
      <c r="D40" s="581"/>
      <c r="E40" s="300">
        <v>36.14</v>
      </c>
      <c r="F40" s="336">
        <v>1589</v>
      </c>
      <c r="G40" s="327">
        <f t="shared" si="31"/>
        <v>57426.46</v>
      </c>
      <c r="H40" s="301" t="s">
        <v>35</v>
      </c>
      <c r="I40" s="334">
        <v>8</v>
      </c>
      <c r="J40" s="303">
        <v>3000</v>
      </c>
      <c r="K40" s="304">
        <f t="shared" si="1"/>
        <v>375</v>
      </c>
      <c r="L40" s="334">
        <v>8</v>
      </c>
      <c r="M40" s="305">
        <f t="shared" si="32"/>
        <v>2889.0909090909054</v>
      </c>
      <c r="N40" s="305">
        <f t="shared" si="3"/>
        <v>361.13636363636317</v>
      </c>
      <c r="O40" s="306">
        <f t="shared" si="4"/>
        <v>0</v>
      </c>
      <c r="P40" s="307">
        <f t="shared" si="5"/>
        <v>-13.863636363636829</v>
      </c>
      <c r="Q40" s="330">
        <f t="shared" si="6"/>
        <v>0.96303030303030179</v>
      </c>
      <c r="R40" s="583"/>
      <c r="S40" s="308">
        <v>0.35763888888888884</v>
      </c>
      <c r="T40" s="308">
        <v>0.38055555555555554</v>
      </c>
      <c r="U40" s="327">
        <f t="shared" si="34"/>
        <v>7.9999999999999716</v>
      </c>
      <c r="V40" s="335">
        <f t="shared" si="33"/>
        <v>33.000000000000043</v>
      </c>
      <c r="W40" s="310"/>
      <c r="X40" s="310"/>
      <c r="Y40" s="566"/>
      <c r="Z40" s="567"/>
      <c r="AA40" s="306">
        <f t="shared" si="8"/>
        <v>-110.90909090909463</v>
      </c>
      <c r="AB40" s="330">
        <f t="shared" si="9"/>
        <v>0.96303030303030179</v>
      </c>
      <c r="AC40" s="583"/>
    </row>
    <row r="41" spans="1:29" ht="15.75" customHeight="1">
      <c r="A41" s="586" t="s">
        <v>1429</v>
      </c>
      <c r="B41" s="300" t="s">
        <v>67</v>
      </c>
      <c r="C41" s="580" t="s">
        <v>664</v>
      </c>
      <c r="D41" s="581"/>
      <c r="E41" s="300">
        <v>34.36</v>
      </c>
      <c r="F41" s="336">
        <v>3563</v>
      </c>
      <c r="G41" s="327">
        <f t="shared" si="31"/>
        <v>122424.68</v>
      </c>
      <c r="H41" s="301" t="s">
        <v>35</v>
      </c>
      <c r="I41" s="334">
        <v>10</v>
      </c>
      <c r="J41" s="303">
        <v>3000</v>
      </c>
      <c r="K41" s="304">
        <f t="shared" si="1"/>
        <v>300</v>
      </c>
      <c r="L41" s="334">
        <v>10</v>
      </c>
      <c r="M41" s="305">
        <f t="shared" si="32"/>
        <v>2888.9189189189201</v>
      </c>
      <c r="N41" s="305">
        <f t="shared" si="3"/>
        <v>288.89189189189199</v>
      </c>
      <c r="O41" s="306">
        <f t="shared" si="4"/>
        <v>0</v>
      </c>
      <c r="P41" s="307">
        <f t="shared" si="5"/>
        <v>-11.108108108108013</v>
      </c>
      <c r="Q41" s="330">
        <f t="shared" si="6"/>
        <v>0.96297297297297324</v>
      </c>
      <c r="R41" s="583"/>
      <c r="S41" s="308">
        <v>0.38402777777777775</v>
      </c>
      <c r="T41" s="308">
        <v>0.43541666666666662</v>
      </c>
      <c r="U41" s="327">
        <f t="shared" si="34"/>
        <v>4.9999999999999822</v>
      </c>
      <c r="V41" s="335">
        <f t="shared" si="33"/>
        <v>73.999999999999972</v>
      </c>
      <c r="W41" s="310"/>
      <c r="X41" s="310"/>
      <c r="Y41" s="566"/>
      <c r="Z41" s="567"/>
      <c r="AA41" s="306">
        <f t="shared" si="8"/>
        <v>-111.0810810810799</v>
      </c>
      <c r="AB41" s="330">
        <f t="shared" si="9"/>
        <v>0.96297297297297335</v>
      </c>
      <c r="AC41" s="583"/>
    </row>
    <row r="42" spans="1:29" ht="15.75" customHeight="1">
      <c r="A42" s="587" t="s">
        <v>1427</v>
      </c>
      <c r="B42" s="300" t="s">
        <v>1423</v>
      </c>
      <c r="C42" s="568"/>
      <c r="D42" s="569"/>
      <c r="E42" s="326"/>
      <c r="F42" s="336"/>
      <c r="G42" s="327"/>
      <c r="H42" s="336"/>
      <c r="I42" s="314">
        <v>9.6666666666666661</v>
      </c>
      <c r="J42" s="303">
        <v>3000</v>
      </c>
      <c r="K42" s="304">
        <f t="shared" si="1"/>
        <v>310.34482758620692</v>
      </c>
      <c r="L42" s="314">
        <v>9.6666666666666661</v>
      </c>
      <c r="M42" s="305">
        <f>AVERAGE(M36:M41)</f>
        <v>2874.121646042378</v>
      </c>
      <c r="N42" s="304">
        <f t="shared" si="3"/>
        <v>297.32292890093566</v>
      </c>
      <c r="O42" s="306">
        <f t="shared" si="4"/>
        <v>0</v>
      </c>
      <c r="P42" s="307">
        <f t="shared" si="5"/>
        <v>-13.021898685271253</v>
      </c>
      <c r="Q42" s="330">
        <f t="shared" si="6"/>
        <v>0.95804054868079258</v>
      </c>
      <c r="R42" s="584"/>
      <c r="S42" s="308"/>
      <c r="T42" s="308"/>
      <c r="U42" s="327"/>
      <c r="V42" s="335"/>
      <c r="W42" s="310"/>
      <c r="X42" s="310"/>
      <c r="Y42" s="566"/>
      <c r="Z42" s="567"/>
      <c r="AA42" s="306">
        <f t="shared" si="8"/>
        <v>-125.87835395762204</v>
      </c>
      <c r="AB42" s="330">
        <f t="shared" si="9"/>
        <v>0.95804054868079269</v>
      </c>
      <c r="AC42" s="584"/>
    </row>
    <row r="43" spans="1:29" ht="15.75" customHeight="1">
      <c r="A43" s="578" t="s">
        <v>1430</v>
      </c>
      <c r="B43" s="300" t="s">
        <v>40</v>
      </c>
      <c r="C43" s="565" t="s">
        <v>73</v>
      </c>
      <c r="D43" s="565"/>
      <c r="E43" s="300">
        <v>46</v>
      </c>
      <c r="F43" s="317">
        <v>2583</v>
      </c>
      <c r="G43" s="327">
        <f t="shared" ref="G43:G48" si="35">E43*F43</f>
        <v>118818</v>
      </c>
      <c r="H43" s="301" t="s">
        <v>35</v>
      </c>
      <c r="I43" s="334">
        <v>17</v>
      </c>
      <c r="J43" s="303">
        <v>2000</v>
      </c>
      <c r="K43" s="304">
        <f t="shared" si="1"/>
        <v>117.64705882352941</v>
      </c>
      <c r="L43" s="334">
        <v>17</v>
      </c>
      <c r="M43" s="305">
        <f t="shared" ref="M43:M48" si="36">F43/V43*60</f>
        <v>1913.3333333333328</v>
      </c>
      <c r="N43" s="305">
        <f t="shared" si="3"/>
        <v>112.54901960784311</v>
      </c>
      <c r="O43" s="306">
        <f t="shared" si="4"/>
        <v>0</v>
      </c>
      <c r="P43" s="307">
        <f t="shared" si="5"/>
        <v>-5.098039215686299</v>
      </c>
      <c r="Q43" s="330">
        <f t="shared" si="6"/>
        <v>0.95666666666666644</v>
      </c>
      <c r="R43" s="571">
        <f>Q49</f>
        <v>0.96040704583524605</v>
      </c>
      <c r="S43" s="308">
        <v>0.29166666666666669</v>
      </c>
      <c r="T43" s="308">
        <v>0.34791666666666671</v>
      </c>
      <c r="U43" s="315"/>
      <c r="V43" s="335">
        <f t="shared" ref="V43:V48" si="37">(T43-S43)*24*60</f>
        <v>81.000000000000028</v>
      </c>
      <c r="W43" s="315"/>
      <c r="X43" s="315"/>
      <c r="Y43" s="570"/>
      <c r="Z43" s="570"/>
      <c r="AA43" s="306">
        <f t="shared" si="8"/>
        <v>-86.666666666667197</v>
      </c>
      <c r="AB43" s="330">
        <f t="shared" si="9"/>
        <v>0.95666666666666644</v>
      </c>
      <c r="AC43" s="571">
        <f>AB49</f>
        <v>0.96040704583524594</v>
      </c>
    </row>
    <row r="44" spans="1:29" ht="15.75" customHeight="1">
      <c r="A44" s="578" t="s">
        <v>1431</v>
      </c>
      <c r="B44" s="300" t="s">
        <v>36</v>
      </c>
      <c r="C44" s="565" t="s">
        <v>75</v>
      </c>
      <c r="D44" s="565"/>
      <c r="E44" s="300">
        <v>54.09</v>
      </c>
      <c r="F44" s="317">
        <v>1040</v>
      </c>
      <c r="G44" s="327">
        <f t="shared" si="35"/>
        <v>56253.600000000006</v>
      </c>
      <c r="H44" s="301" t="s">
        <v>35</v>
      </c>
      <c r="I44" s="334">
        <v>16</v>
      </c>
      <c r="J44" s="303">
        <v>2000</v>
      </c>
      <c r="K44" s="304">
        <f t="shared" si="1"/>
        <v>125</v>
      </c>
      <c r="L44" s="334">
        <v>16</v>
      </c>
      <c r="M44" s="305">
        <f t="shared" si="36"/>
        <v>1950.000000000002</v>
      </c>
      <c r="N44" s="305">
        <f t="shared" si="3"/>
        <v>121.87500000000013</v>
      </c>
      <c r="O44" s="306">
        <f t="shared" si="4"/>
        <v>0</v>
      </c>
      <c r="P44" s="307">
        <f t="shared" si="5"/>
        <v>-3.1249999999998721</v>
      </c>
      <c r="Q44" s="330">
        <f t="shared" si="6"/>
        <v>0.97500000000000098</v>
      </c>
      <c r="R44" s="571"/>
      <c r="S44" s="308">
        <v>0.35138888888888892</v>
      </c>
      <c r="T44" s="308">
        <v>0.37361111111111112</v>
      </c>
      <c r="U44" s="327">
        <f t="shared" ref="U44:U48" si="38">IF(S44=TIME(17,0,0),"",(S44-T43)*24*60)</f>
        <v>4.9999999999999822</v>
      </c>
      <c r="V44" s="335">
        <f t="shared" si="37"/>
        <v>31.999999999999964</v>
      </c>
      <c r="W44" s="310"/>
      <c r="X44" s="310"/>
      <c r="Y44" s="570"/>
      <c r="Z44" s="570"/>
      <c r="AA44" s="306">
        <f t="shared" si="8"/>
        <v>-49.999999999997954</v>
      </c>
      <c r="AB44" s="330">
        <f t="shared" si="9"/>
        <v>0.97500000000000098</v>
      </c>
      <c r="AC44" s="571"/>
    </row>
    <row r="45" spans="1:29" ht="15.75" customHeight="1">
      <c r="A45" s="578" t="s">
        <v>1432</v>
      </c>
      <c r="B45" s="300" t="s">
        <v>40</v>
      </c>
      <c r="C45" s="580" t="s">
        <v>74</v>
      </c>
      <c r="D45" s="581"/>
      <c r="E45" s="300">
        <v>46</v>
      </c>
      <c r="F45" s="317">
        <v>2707</v>
      </c>
      <c r="G45" s="327">
        <f t="shared" si="35"/>
        <v>124522</v>
      </c>
      <c r="H45" s="301" t="s">
        <v>35</v>
      </c>
      <c r="I45" s="334">
        <v>17</v>
      </c>
      <c r="J45" s="303">
        <v>2000</v>
      </c>
      <c r="K45" s="304">
        <f t="shared" si="1"/>
        <v>117.64705882352941</v>
      </c>
      <c r="L45" s="334">
        <v>17</v>
      </c>
      <c r="M45" s="305">
        <f t="shared" si="36"/>
        <v>1910.8235294117644</v>
      </c>
      <c r="N45" s="305">
        <f t="shared" si="3"/>
        <v>112.40138408304496</v>
      </c>
      <c r="O45" s="306">
        <f t="shared" si="4"/>
        <v>0</v>
      </c>
      <c r="P45" s="307">
        <f t="shared" si="5"/>
        <v>-5.2456747404844464</v>
      </c>
      <c r="Q45" s="330">
        <f t="shared" si="6"/>
        <v>0.95541176470588218</v>
      </c>
      <c r="R45" s="571"/>
      <c r="S45" s="308">
        <v>0.37708333333333333</v>
      </c>
      <c r="T45" s="308">
        <v>0.43611111111111112</v>
      </c>
      <c r="U45" s="327">
        <f t="shared" si="38"/>
        <v>4.9999999999999822</v>
      </c>
      <c r="V45" s="335">
        <f t="shared" si="37"/>
        <v>85.000000000000014</v>
      </c>
      <c r="W45" s="310"/>
      <c r="X45" s="310"/>
      <c r="Y45" s="328"/>
      <c r="Z45" s="329"/>
      <c r="AA45" s="306">
        <f t="shared" si="8"/>
        <v>-89.176470588235588</v>
      </c>
      <c r="AB45" s="330">
        <f t="shared" si="9"/>
        <v>0.95541176470588218</v>
      </c>
      <c r="AC45" s="571"/>
    </row>
    <row r="46" spans="1:29" ht="15.75" customHeight="1">
      <c r="A46" s="578" t="s">
        <v>1433</v>
      </c>
      <c r="B46" s="300" t="s">
        <v>36</v>
      </c>
      <c r="C46" s="332" t="s">
        <v>76</v>
      </c>
      <c r="D46" s="333"/>
      <c r="E46" s="300">
        <v>55.56</v>
      </c>
      <c r="F46" s="317">
        <v>2224</v>
      </c>
      <c r="G46" s="327">
        <f t="shared" si="35"/>
        <v>123565.44</v>
      </c>
      <c r="H46" s="301" t="s">
        <v>35</v>
      </c>
      <c r="I46" s="334">
        <v>17</v>
      </c>
      <c r="J46" s="303">
        <v>2000</v>
      </c>
      <c r="K46" s="304">
        <f t="shared" si="1"/>
        <v>117.64705882352941</v>
      </c>
      <c r="L46" s="334">
        <v>17</v>
      </c>
      <c r="M46" s="305">
        <f t="shared" si="36"/>
        <v>1906.2857142857124</v>
      </c>
      <c r="N46" s="305">
        <f t="shared" si="3"/>
        <v>112.13445378151249</v>
      </c>
      <c r="O46" s="306">
        <f t="shared" si="4"/>
        <v>0</v>
      </c>
      <c r="P46" s="307">
        <f t="shared" si="5"/>
        <v>-5.512605042016915</v>
      </c>
      <c r="Q46" s="330">
        <f t="shared" si="6"/>
        <v>0.95314285714285618</v>
      </c>
      <c r="R46" s="571"/>
      <c r="S46" s="308">
        <v>0.70833333333333337</v>
      </c>
      <c r="T46" s="308">
        <v>0.75694444444444453</v>
      </c>
      <c r="U46" s="327" t="str">
        <f t="shared" si="38"/>
        <v/>
      </c>
      <c r="V46" s="335">
        <f t="shared" si="37"/>
        <v>70.000000000000071</v>
      </c>
      <c r="W46" s="310"/>
      <c r="X46" s="310"/>
      <c r="Y46" s="328"/>
      <c r="Z46" s="329"/>
      <c r="AA46" s="306">
        <f t="shared" si="8"/>
        <v>-93.714285714287598</v>
      </c>
      <c r="AB46" s="330">
        <f t="shared" si="9"/>
        <v>0.95314285714285618</v>
      </c>
      <c r="AC46" s="571"/>
    </row>
    <row r="47" spans="1:29" ht="15.75" customHeight="1">
      <c r="A47" s="578" t="s">
        <v>1431</v>
      </c>
      <c r="B47" s="300" t="s">
        <v>36</v>
      </c>
      <c r="C47" s="332" t="s">
        <v>77</v>
      </c>
      <c r="D47" s="333"/>
      <c r="E47" s="300">
        <v>55.32</v>
      </c>
      <c r="F47" s="317">
        <v>1772</v>
      </c>
      <c r="G47" s="327">
        <f t="shared" si="35"/>
        <v>98027.04</v>
      </c>
      <c r="H47" s="301" t="s">
        <v>35</v>
      </c>
      <c r="I47" s="334">
        <v>15</v>
      </c>
      <c r="J47" s="303">
        <v>2000</v>
      </c>
      <c r="K47" s="304">
        <f t="shared" si="1"/>
        <v>133.33333333333334</v>
      </c>
      <c r="L47" s="334">
        <v>15</v>
      </c>
      <c r="M47" s="305">
        <f t="shared" si="36"/>
        <v>1933.0909090909104</v>
      </c>
      <c r="N47" s="305">
        <f t="shared" si="3"/>
        <v>128.87272727272736</v>
      </c>
      <c r="O47" s="306">
        <f t="shared" si="4"/>
        <v>0</v>
      </c>
      <c r="P47" s="307">
        <f t="shared" si="5"/>
        <v>-4.4606060606059827</v>
      </c>
      <c r="Q47" s="330">
        <f t="shared" si="6"/>
        <v>0.96654545454545515</v>
      </c>
      <c r="R47" s="571"/>
      <c r="S47" s="308">
        <v>0.76041666666666674</v>
      </c>
      <c r="T47" s="308">
        <v>0.79861111111111116</v>
      </c>
      <c r="U47" s="327">
        <f t="shared" si="38"/>
        <v>4.9999999999999822</v>
      </c>
      <c r="V47" s="335">
        <f t="shared" si="37"/>
        <v>54.999999999999964</v>
      </c>
      <c r="W47" s="310"/>
      <c r="X47" s="310"/>
      <c r="Y47" s="328"/>
      <c r="Z47" s="329"/>
      <c r="AA47" s="306">
        <f t="shared" si="8"/>
        <v>-66.909090909089628</v>
      </c>
      <c r="AB47" s="330">
        <f t="shared" si="9"/>
        <v>0.96654545454545515</v>
      </c>
      <c r="AC47" s="571"/>
    </row>
    <row r="48" spans="1:29" ht="15.75" customHeight="1">
      <c r="A48" s="578" t="s">
        <v>1430</v>
      </c>
      <c r="B48" s="300" t="s">
        <v>36</v>
      </c>
      <c r="C48" s="580" t="s">
        <v>78</v>
      </c>
      <c r="D48" s="581"/>
      <c r="E48" s="300">
        <v>57.73</v>
      </c>
      <c r="F48" s="317">
        <v>1455</v>
      </c>
      <c r="G48" s="327">
        <f t="shared" si="35"/>
        <v>83997.15</v>
      </c>
      <c r="H48" s="301" t="s">
        <v>35</v>
      </c>
      <c r="I48" s="334">
        <v>16</v>
      </c>
      <c r="J48" s="303">
        <v>1500</v>
      </c>
      <c r="K48" s="304">
        <f t="shared" si="1"/>
        <v>93.75</v>
      </c>
      <c r="L48" s="334">
        <v>16</v>
      </c>
      <c r="M48" s="305">
        <f t="shared" si="36"/>
        <v>1431.1475409836078</v>
      </c>
      <c r="N48" s="305">
        <f t="shared" si="3"/>
        <v>89.446721311475486</v>
      </c>
      <c r="O48" s="306">
        <f t="shared" si="4"/>
        <v>0</v>
      </c>
      <c r="P48" s="307">
        <f t="shared" si="5"/>
        <v>-4.3032786885245145</v>
      </c>
      <c r="Q48" s="330">
        <f t="shared" si="6"/>
        <v>0.9540983606557385</v>
      </c>
      <c r="R48" s="571"/>
      <c r="S48" s="308">
        <v>0.80277777777777781</v>
      </c>
      <c r="T48" s="308">
        <v>0.84513888888888888</v>
      </c>
      <c r="U48" s="327">
        <f t="shared" si="38"/>
        <v>5.9999999999999787</v>
      </c>
      <c r="V48" s="335">
        <f t="shared" si="37"/>
        <v>60.999999999999943</v>
      </c>
      <c r="W48" s="310"/>
      <c r="X48" s="310"/>
      <c r="Y48" s="566"/>
      <c r="Z48" s="567"/>
      <c r="AA48" s="306">
        <f t="shared" si="8"/>
        <v>-68.852459016392231</v>
      </c>
      <c r="AB48" s="330">
        <f t="shared" si="9"/>
        <v>0.9540983606557385</v>
      </c>
      <c r="AC48" s="571"/>
    </row>
    <row r="49" spans="1:29">
      <c r="A49" s="579" t="s">
        <v>1431</v>
      </c>
      <c r="B49" s="300" t="s">
        <v>1410</v>
      </c>
      <c r="C49" s="572"/>
      <c r="D49" s="572"/>
      <c r="E49" s="331"/>
      <c r="F49" s="313"/>
      <c r="G49" s="304"/>
      <c r="H49" s="336"/>
      <c r="I49" s="314">
        <v>16.333333333333332</v>
      </c>
      <c r="J49" s="303">
        <v>1916.6666666666667</v>
      </c>
      <c r="K49" s="304">
        <f t="shared" si="1"/>
        <v>117.34693877551021</v>
      </c>
      <c r="L49" s="314">
        <v>16.333333333333332</v>
      </c>
      <c r="M49" s="305">
        <f>AVERAGE(M43:M48)</f>
        <v>1840.7801711842214</v>
      </c>
      <c r="N49" s="304">
        <f t="shared" si="3"/>
        <v>112.70082680719725</v>
      </c>
      <c r="O49" s="306">
        <f t="shared" si="4"/>
        <v>0</v>
      </c>
      <c r="P49" s="307">
        <f t="shared" si="5"/>
        <v>-4.6461119683129652</v>
      </c>
      <c r="Q49" s="330">
        <f t="shared" si="6"/>
        <v>0.96040704583524605</v>
      </c>
      <c r="R49" s="571"/>
      <c r="S49" s="322"/>
      <c r="T49" s="308"/>
      <c r="U49" s="304"/>
      <c r="V49" s="335"/>
      <c r="W49" s="304"/>
      <c r="X49" s="304"/>
      <c r="Y49" s="570"/>
      <c r="Z49" s="570"/>
      <c r="AA49" s="306">
        <f t="shared" si="8"/>
        <v>-75.886495482445298</v>
      </c>
      <c r="AB49" s="330">
        <f t="shared" si="9"/>
        <v>0.96040704583524594</v>
      </c>
      <c r="AC49" s="571"/>
    </row>
    <row r="50" spans="1:29" ht="15.75" customHeight="1">
      <c r="A50" s="576" t="s">
        <v>1434</v>
      </c>
      <c r="B50" s="336" t="s">
        <v>40</v>
      </c>
      <c r="C50" s="565" t="s">
        <v>82</v>
      </c>
      <c r="D50" s="565"/>
      <c r="E50" s="300">
        <v>26.97</v>
      </c>
      <c r="F50" s="317">
        <v>2965</v>
      </c>
      <c r="G50" s="327">
        <f t="shared" ref="G50:G53" si="39">E50*F50</f>
        <v>79966.05</v>
      </c>
      <c r="H50" s="301" t="s">
        <v>35</v>
      </c>
      <c r="I50" s="334">
        <v>8</v>
      </c>
      <c r="J50" s="303">
        <v>1500</v>
      </c>
      <c r="K50" s="304">
        <f t="shared" si="1"/>
        <v>187.5</v>
      </c>
      <c r="L50" s="334">
        <v>8</v>
      </c>
      <c r="M50" s="305">
        <f t="shared" ref="M50:M53" si="40">F50/V50*60</f>
        <v>1434.6774193548388</v>
      </c>
      <c r="N50" s="304">
        <f t="shared" si="3"/>
        <v>179.33467741935485</v>
      </c>
      <c r="O50" s="306">
        <f t="shared" si="4"/>
        <v>0</v>
      </c>
      <c r="P50" s="307">
        <f t="shared" si="5"/>
        <v>-8.165322580645153</v>
      </c>
      <c r="Q50" s="330">
        <f t="shared" si="6"/>
        <v>0.95645161290322589</v>
      </c>
      <c r="R50" s="571">
        <f>Q54</f>
        <v>0.95691231796935239</v>
      </c>
      <c r="S50" s="308">
        <v>0.20833333333333334</v>
      </c>
      <c r="T50" s="308">
        <v>0.29444444444444445</v>
      </c>
      <c r="U50" s="327"/>
      <c r="V50" s="335">
        <f t="shared" ref="V50:V53" si="41">(T50-S50)*24*60</f>
        <v>123.99999999999999</v>
      </c>
      <c r="W50" s="315"/>
      <c r="X50" s="315"/>
      <c r="Y50" s="570"/>
      <c r="Z50" s="570"/>
      <c r="AA50" s="306">
        <f t="shared" si="8"/>
        <v>-65.322580645161224</v>
      </c>
      <c r="AB50" s="330">
        <f t="shared" si="9"/>
        <v>0.95645161290322589</v>
      </c>
      <c r="AC50" s="571">
        <f>AB54</f>
        <v>0.95691231796935228</v>
      </c>
    </row>
    <row r="51" spans="1:29" ht="15.75" customHeight="1">
      <c r="A51" s="576" t="s">
        <v>1435</v>
      </c>
      <c r="B51" s="336" t="s">
        <v>67</v>
      </c>
      <c r="C51" s="565" t="s">
        <v>79</v>
      </c>
      <c r="D51" s="565"/>
      <c r="E51" s="300">
        <v>26.78</v>
      </c>
      <c r="F51" s="317">
        <v>2521</v>
      </c>
      <c r="G51" s="327">
        <f t="shared" si="39"/>
        <v>67512.38</v>
      </c>
      <c r="H51" s="301" t="s">
        <v>35</v>
      </c>
      <c r="I51" s="334">
        <v>10</v>
      </c>
      <c r="J51" s="303">
        <v>3000</v>
      </c>
      <c r="K51" s="304">
        <f t="shared" si="1"/>
        <v>300</v>
      </c>
      <c r="L51" s="334">
        <v>10</v>
      </c>
      <c r="M51" s="305">
        <f t="shared" si="40"/>
        <v>2853.962264150945</v>
      </c>
      <c r="N51" s="304">
        <f t="shared" si="3"/>
        <v>285.39622641509447</v>
      </c>
      <c r="O51" s="306">
        <f t="shared" si="4"/>
        <v>0</v>
      </c>
      <c r="P51" s="307">
        <f t="shared" si="5"/>
        <v>-14.603773584905525</v>
      </c>
      <c r="Q51" s="330">
        <f t="shared" si="6"/>
        <v>0.95132075471698163</v>
      </c>
      <c r="R51" s="571"/>
      <c r="S51" s="308">
        <v>0.29791666666666666</v>
      </c>
      <c r="T51" s="308">
        <v>0.3347222222222222</v>
      </c>
      <c r="U51" s="327">
        <f t="shared" ref="U51:U53" si="42">(S51-T50)*24*60</f>
        <v>4.9999999999999822</v>
      </c>
      <c r="V51" s="335">
        <f t="shared" si="41"/>
        <v>52.999999999999972</v>
      </c>
      <c r="W51" s="327"/>
      <c r="X51" s="327"/>
      <c r="Y51" s="570"/>
      <c r="Z51" s="570"/>
      <c r="AA51" s="306">
        <f t="shared" si="8"/>
        <v>-146.03773584905503</v>
      </c>
      <c r="AB51" s="330">
        <f t="shared" si="9"/>
        <v>0.95132075471698163</v>
      </c>
      <c r="AC51" s="571"/>
    </row>
    <row r="52" spans="1:29" ht="15.75" customHeight="1">
      <c r="A52" s="576" t="s">
        <v>1436</v>
      </c>
      <c r="B52" s="336" t="s">
        <v>67</v>
      </c>
      <c r="C52" s="565" t="s">
        <v>83</v>
      </c>
      <c r="D52" s="565"/>
      <c r="E52" s="300">
        <v>35.369999999999997</v>
      </c>
      <c r="F52" s="317">
        <v>1402</v>
      </c>
      <c r="G52" s="327">
        <f t="shared" si="39"/>
        <v>49588.74</v>
      </c>
      <c r="H52" s="301" t="s">
        <v>35</v>
      </c>
      <c r="I52" s="334">
        <v>10</v>
      </c>
      <c r="J52" s="303">
        <v>3000</v>
      </c>
      <c r="K52" s="304">
        <f t="shared" si="1"/>
        <v>300</v>
      </c>
      <c r="L52" s="334">
        <v>10</v>
      </c>
      <c r="M52" s="305">
        <f t="shared" si="40"/>
        <v>2900.6896551724158</v>
      </c>
      <c r="N52" s="304">
        <f t="shared" si="3"/>
        <v>290.06896551724157</v>
      </c>
      <c r="O52" s="306">
        <f t="shared" si="4"/>
        <v>0</v>
      </c>
      <c r="P52" s="307">
        <f t="shared" si="5"/>
        <v>-9.9310344827584345</v>
      </c>
      <c r="Q52" s="330">
        <f t="shared" si="6"/>
        <v>0.96689655172413858</v>
      </c>
      <c r="R52" s="571"/>
      <c r="S52" s="308">
        <v>0.33958333333333329</v>
      </c>
      <c r="T52" s="308">
        <v>0.35972222222222217</v>
      </c>
      <c r="U52" s="327">
        <f t="shared" si="42"/>
        <v>6.9999999999999751</v>
      </c>
      <c r="V52" s="335">
        <f t="shared" si="41"/>
        <v>28.999999999999979</v>
      </c>
      <c r="W52" s="327"/>
      <c r="X52" s="327"/>
      <c r="Y52" s="570"/>
      <c r="Z52" s="570"/>
      <c r="AA52" s="306">
        <f t="shared" si="8"/>
        <v>-99.310344827584231</v>
      </c>
      <c r="AB52" s="330">
        <f t="shared" si="9"/>
        <v>0.96689655172413858</v>
      </c>
      <c r="AC52" s="571"/>
    </row>
    <row r="53" spans="1:29" ht="15.75" customHeight="1">
      <c r="A53" s="576" t="s">
        <v>1436</v>
      </c>
      <c r="B53" s="336" t="s">
        <v>67</v>
      </c>
      <c r="C53" s="565" t="s">
        <v>666</v>
      </c>
      <c r="D53" s="565"/>
      <c r="E53" s="300">
        <v>37.880000000000003</v>
      </c>
      <c r="F53" s="317">
        <v>3811</v>
      </c>
      <c r="G53" s="327">
        <f t="shared" si="39"/>
        <v>144360.68000000002</v>
      </c>
      <c r="H53" s="301" t="s">
        <v>35</v>
      </c>
      <c r="I53" s="334">
        <v>11</v>
      </c>
      <c r="J53" s="303">
        <v>3000</v>
      </c>
      <c r="K53" s="304">
        <f t="shared" si="1"/>
        <v>272.72727272727275</v>
      </c>
      <c r="L53" s="334">
        <v>11</v>
      </c>
      <c r="M53" s="305">
        <f t="shared" si="40"/>
        <v>2858.2499999999991</v>
      </c>
      <c r="N53" s="304">
        <f t="shared" si="3"/>
        <v>259.84090909090901</v>
      </c>
      <c r="O53" s="306">
        <f t="shared" si="4"/>
        <v>0</v>
      </c>
      <c r="P53" s="307">
        <f t="shared" si="5"/>
        <v>-12.88636363636374</v>
      </c>
      <c r="Q53" s="330">
        <f t="shared" si="6"/>
        <v>0.95274999999999965</v>
      </c>
      <c r="R53" s="571"/>
      <c r="S53" s="308">
        <v>0.36388888888888882</v>
      </c>
      <c r="T53" s="308">
        <v>0.4194444444444444</v>
      </c>
      <c r="U53" s="327">
        <f t="shared" si="42"/>
        <v>5.9999999999999787</v>
      </c>
      <c r="V53" s="335">
        <f t="shared" si="41"/>
        <v>80.000000000000028</v>
      </c>
      <c r="W53" s="327"/>
      <c r="X53" s="327"/>
      <c r="Y53" s="570"/>
      <c r="Z53" s="570"/>
      <c r="AA53" s="306">
        <f t="shared" si="8"/>
        <v>-141.75000000000091</v>
      </c>
      <c r="AB53" s="330">
        <f t="shared" si="9"/>
        <v>0.95274999999999965</v>
      </c>
      <c r="AC53" s="571"/>
    </row>
    <row r="54" spans="1:29">
      <c r="A54" s="577" t="s">
        <v>1437</v>
      </c>
      <c r="B54" s="300" t="s">
        <v>1438</v>
      </c>
      <c r="C54" s="572"/>
      <c r="D54" s="572"/>
      <c r="E54" s="331"/>
      <c r="F54" s="313"/>
      <c r="G54" s="304"/>
      <c r="H54" s="336"/>
      <c r="I54" s="314">
        <v>9.75</v>
      </c>
      <c r="J54" s="303">
        <v>2625</v>
      </c>
      <c r="K54" s="304">
        <f t="shared" si="1"/>
        <v>269.23076923076923</v>
      </c>
      <c r="L54" s="314">
        <v>9.75</v>
      </c>
      <c r="M54" s="305">
        <f>AVERAGE(M50:M53)</f>
        <v>2511.8948346695497</v>
      </c>
      <c r="N54" s="304">
        <f t="shared" si="3"/>
        <v>257.63023945328717</v>
      </c>
      <c r="O54" s="306">
        <f t="shared" si="4"/>
        <v>0</v>
      </c>
      <c r="P54" s="307">
        <f t="shared" si="5"/>
        <v>-11.600529777482052</v>
      </c>
      <c r="Q54" s="330">
        <f t="shared" si="6"/>
        <v>0.95691231796935239</v>
      </c>
      <c r="R54" s="571"/>
      <c r="S54" s="308"/>
      <c r="T54" s="308"/>
      <c r="U54" s="304"/>
      <c r="V54" s="335"/>
      <c r="W54" s="304"/>
      <c r="X54" s="304"/>
      <c r="Y54" s="570"/>
      <c r="Z54" s="570"/>
      <c r="AA54" s="306">
        <f t="shared" si="8"/>
        <v>-113.10516533045029</v>
      </c>
      <c r="AB54" s="330">
        <f t="shared" si="9"/>
        <v>0.95691231796935228</v>
      </c>
      <c r="AC54" s="571"/>
    </row>
    <row r="55" spans="1:29" ht="15.75" customHeight="1">
      <c r="A55" s="573" t="s">
        <v>1439</v>
      </c>
      <c r="B55" s="336" t="s">
        <v>46</v>
      </c>
      <c r="C55" s="565" t="s">
        <v>84</v>
      </c>
      <c r="D55" s="565"/>
      <c r="E55" s="300">
        <v>20.2</v>
      </c>
      <c r="F55" s="336">
        <v>1871</v>
      </c>
      <c r="G55" s="327">
        <f t="shared" ref="G55:G61" si="43">E55*F55</f>
        <v>37794.199999999997</v>
      </c>
      <c r="H55" s="301" t="s">
        <v>35</v>
      </c>
      <c r="I55" s="334">
        <v>19</v>
      </c>
      <c r="J55" s="303">
        <v>2400</v>
      </c>
      <c r="K55" s="304">
        <f t="shared" si="1"/>
        <v>126.31578947368421</v>
      </c>
      <c r="L55" s="334">
        <v>19</v>
      </c>
      <c r="M55" s="305">
        <f t="shared" ref="M55:M61" si="44">F55/V55*60</f>
        <v>2291.0204081632651</v>
      </c>
      <c r="N55" s="304">
        <f t="shared" si="3"/>
        <v>120.5800214822771</v>
      </c>
      <c r="O55" s="306">
        <f t="shared" si="4"/>
        <v>0</v>
      </c>
      <c r="P55" s="307">
        <f t="shared" si="5"/>
        <v>-5.7357679914071014</v>
      </c>
      <c r="Q55" s="330">
        <f t="shared" si="6"/>
        <v>0.95459183673469383</v>
      </c>
      <c r="R55" s="571">
        <f>Q62</f>
        <v>0.95649993525779098</v>
      </c>
      <c r="S55" s="308">
        <v>8.3333333333333329E-2</v>
      </c>
      <c r="T55" s="308">
        <v>0.11736111111111111</v>
      </c>
      <c r="U55" s="315"/>
      <c r="V55" s="335">
        <f t="shared" ref="V55:V61" si="45">(T55-S55)*24*60</f>
        <v>49.000000000000007</v>
      </c>
      <c r="W55" s="310"/>
      <c r="X55" s="310"/>
      <c r="Y55" s="570"/>
      <c r="Z55" s="570"/>
      <c r="AA55" s="306">
        <f t="shared" si="8"/>
        <v>-108.97959183673493</v>
      </c>
      <c r="AB55" s="330">
        <f t="shared" si="9"/>
        <v>0.95459183673469383</v>
      </c>
      <c r="AC55" s="571">
        <f>AB62</f>
        <v>0.95649993525779087</v>
      </c>
    </row>
    <row r="56" spans="1:29" ht="15.75" customHeight="1">
      <c r="A56" s="574" t="s">
        <v>1440</v>
      </c>
      <c r="B56" s="336" t="s">
        <v>46</v>
      </c>
      <c r="C56" s="565" t="s">
        <v>85</v>
      </c>
      <c r="D56" s="565"/>
      <c r="E56" s="300">
        <v>19.02</v>
      </c>
      <c r="F56" s="336">
        <v>8182</v>
      </c>
      <c r="G56" s="327">
        <f t="shared" si="43"/>
        <v>155621.63999999998</v>
      </c>
      <c r="H56" s="301" t="s">
        <v>35</v>
      </c>
      <c r="I56" s="334">
        <v>15</v>
      </c>
      <c r="J56" s="303">
        <v>2400</v>
      </c>
      <c r="K56" s="304">
        <f t="shared" si="1"/>
        <v>160</v>
      </c>
      <c r="L56" s="334">
        <v>15</v>
      </c>
      <c r="M56" s="305">
        <f t="shared" si="44"/>
        <v>2283.3488372093029</v>
      </c>
      <c r="N56" s="304">
        <f t="shared" si="3"/>
        <v>152.22325581395353</v>
      </c>
      <c r="O56" s="306">
        <f t="shared" si="4"/>
        <v>0</v>
      </c>
      <c r="P56" s="307">
        <f t="shared" si="5"/>
        <v>-7.7767441860464714</v>
      </c>
      <c r="Q56" s="330">
        <f t="shared" si="6"/>
        <v>0.95139534883720955</v>
      </c>
      <c r="R56" s="571"/>
      <c r="S56" s="308">
        <v>0.12083333333333333</v>
      </c>
      <c r="T56" s="308">
        <v>0.27013888888888887</v>
      </c>
      <c r="U56" s="327">
        <f t="shared" ref="U56:U61" si="46">(S56-T55)*24*60</f>
        <v>5.0000000000000018</v>
      </c>
      <c r="V56" s="335">
        <f t="shared" si="45"/>
        <v>214.99999999999994</v>
      </c>
      <c r="W56" s="310">
        <f>T56</f>
        <v>0.27013888888888887</v>
      </c>
      <c r="X56" s="310">
        <f>S57</f>
        <v>0.2895833333333333</v>
      </c>
      <c r="Y56" s="570"/>
      <c r="Z56" s="570"/>
      <c r="AA56" s="306">
        <f t="shared" si="8"/>
        <v>-116.65116279069707</v>
      </c>
      <c r="AB56" s="330">
        <f t="shared" si="9"/>
        <v>0.95139534883720955</v>
      </c>
      <c r="AC56" s="571"/>
    </row>
    <row r="57" spans="1:29" ht="15.75" customHeight="1">
      <c r="A57" s="574" t="s">
        <v>1440</v>
      </c>
      <c r="B57" s="336" t="s">
        <v>46</v>
      </c>
      <c r="C57" s="565" t="s">
        <v>88</v>
      </c>
      <c r="D57" s="565"/>
      <c r="E57" s="300">
        <v>24.25</v>
      </c>
      <c r="F57" s="336">
        <v>3213</v>
      </c>
      <c r="G57" s="327">
        <f t="shared" si="43"/>
        <v>77915.25</v>
      </c>
      <c r="H57" s="301" t="s">
        <v>35</v>
      </c>
      <c r="I57" s="334">
        <v>17</v>
      </c>
      <c r="J57" s="303">
        <v>2400</v>
      </c>
      <c r="K57" s="304">
        <f t="shared" si="1"/>
        <v>141.1764705882353</v>
      </c>
      <c r="L57" s="334">
        <v>17</v>
      </c>
      <c r="M57" s="305">
        <f t="shared" si="44"/>
        <v>2294.9999999999991</v>
      </c>
      <c r="N57" s="304">
        <f t="shared" si="3"/>
        <v>134.99999999999994</v>
      </c>
      <c r="O57" s="306">
        <f t="shared" si="4"/>
        <v>0</v>
      </c>
      <c r="P57" s="307">
        <f t="shared" si="5"/>
        <v>-6.176470588235361</v>
      </c>
      <c r="Q57" s="330">
        <f t="shared" si="6"/>
        <v>0.95624999999999949</v>
      </c>
      <c r="R57" s="571"/>
      <c r="S57" s="308">
        <v>0.2895833333333333</v>
      </c>
      <c r="T57" s="308">
        <v>0.34791666666666665</v>
      </c>
      <c r="U57" s="327">
        <f t="shared" si="46"/>
        <v>27.999999999999979</v>
      </c>
      <c r="V57" s="335">
        <f t="shared" si="45"/>
        <v>84.000000000000028</v>
      </c>
      <c r="W57" s="310"/>
      <c r="X57" s="310"/>
      <c r="Y57" s="570"/>
      <c r="Z57" s="570"/>
      <c r="AA57" s="306">
        <f t="shared" si="8"/>
        <v>-105.00000000000091</v>
      </c>
      <c r="AB57" s="330">
        <f t="shared" si="9"/>
        <v>0.9562499999999996</v>
      </c>
      <c r="AC57" s="571"/>
    </row>
    <row r="58" spans="1:29" ht="15.75" customHeight="1">
      <c r="A58" s="574" t="s">
        <v>1440</v>
      </c>
      <c r="B58" s="336" t="s">
        <v>46</v>
      </c>
      <c r="C58" s="565" t="s">
        <v>47</v>
      </c>
      <c r="D58" s="565"/>
      <c r="E58" s="300">
        <v>24.45</v>
      </c>
      <c r="F58" s="336">
        <v>1792</v>
      </c>
      <c r="G58" s="327">
        <f t="shared" si="43"/>
        <v>43814.400000000001</v>
      </c>
      <c r="H58" s="301" t="s">
        <v>35</v>
      </c>
      <c r="I58" s="334">
        <v>20</v>
      </c>
      <c r="J58" s="303">
        <v>2400</v>
      </c>
      <c r="K58" s="304">
        <f t="shared" si="1"/>
        <v>120</v>
      </c>
      <c r="L58" s="334">
        <v>20</v>
      </c>
      <c r="M58" s="305">
        <f t="shared" si="44"/>
        <v>2287.6595744680853</v>
      </c>
      <c r="N58" s="304">
        <f t="shared" si="3"/>
        <v>114.38297872340426</v>
      </c>
      <c r="O58" s="306">
        <f t="shared" si="4"/>
        <v>0</v>
      </c>
      <c r="P58" s="307">
        <f t="shared" si="5"/>
        <v>-5.6170212765957359</v>
      </c>
      <c r="Q58" s="330">
        <f t="shared" si="6"/>
        <v>0.95319148936170217</v>
      </c>
      <c r="R58" s="571"/>
      <c r="S58" s="308">
        <v>0.35277777777777775</v>
      </c>
      <c r="T58" s="308">
        <v>0.38541666666666663</v>
      </c>
      <c r="U58" s="327">
        <f t="shared" si="46"/>
        <v>6.9999999999999751</v>
      </c>
      <c r="V58" s="335">
        <f t="shared" si="45"/>
        <v>46.999999999999993</v>
      </c>
      <c r="W58" s="310"/>
      <c r="X58" s="310"/>
      <c r="Y58" s="570"/>
      <c r="Z58" s="570"/>
      <c r="AA58" s="306">
        <f t="shared" si="8"/>
        <v>-112.34042553191466</v>
      </c>
      <c r="AB58" s="330">
        <f t="shared" si="9"/>
        <v>0.95319148936170217</v>
      </c>
      <c r="AC58" s="571"/>
    </row>
    <row r="59" spans="1:29" ht="15.75" customHeight="1">
      <c r="A59" s="574" t="s">
        <v>1440</v>
      </c>
      <c r="B59" s="336" t="s">
        <v>46</v>
      </c>
      <c r="C59" s="565" t="s">
        <v>66</v>
      </c>
      <c r="D59" s="565"/>
      <c r="E59" s="300">
        <v>24.25</v>
      </c>
      <c r="F59" s="336">
        <v>3421</v>
      </c>
      <c r="G59" s="327">
        <f t="shared" si="43"/>
        <v>82959.25</v>
      </c>
      <c r="H59" s="301" t="s">
        <v>35</v>
      </c>
      <c r="I59" s="334">
        <v>14</v>
      </c>
      <c r="J59" s="303">
        <v>2400</v>
      </c>
      <c r="K59" s="304">
        <f t="shared" si="1"/>
        <v>171.42857142857142</v>
      </c>
      <c r="L59" s="334">
        <v>14</v>
      </c>
      <c r="M59" s="305">
        <f t="shared" si="44"/>
        <v>2306.2921348314608</v>
      </c>
      <c r="N59" s="304">
        <f t="shared" si="3"/>
        <v>164.73515248796147</v>
      </c>
      <c r="O59" s="306">
        <f t="shared" si="4"/>
        <v>0</v>
      </c>
      <c r="P59" s="307">
        <f t="shared" si="5"/>
        <v>-6.6934189406099449</v>
      </c>
      <c r="Q59" s="330">
        <f t="shared" si="6"/>
        <v>0.96095505617977528</v>
      </c>
      <c r="R59" s="571"/>
      <c r="S59" s="308">
        <v>0.38888888888888884</v>
      </c>
      <c r="T59" s="308">
        <v>0.4506944444444444</v>
      </c>
      <c r="U59" s="327">
        <f t="shared" si="46"/>
        <v>4.9999999999999822</v>
      </c>
      <c r="V59" s="335">
        <f t="shared" si="45"/>
        <v>89</v>
      </c>
      <c r="W59" s="310"/>
      <c r="X59" s="310"/>
      <c r="Y59" s="570"/>
      <c r="Z59" s="570"/>
      <c r="AA59" s="306">
        <f t="shared" si="8"/>
        <v>-93.707865168539229</v>
      </c>
      <c r="AB59" s="330">
        <f t="shared" si="9"/>
        <v>0.96095505617977528</v>
      </c>
      <c r="AC59" s="571"/>
    </row>
    <row r="60" spans="1:29" ht="15.75" customHeight="1">
      <c r="A60" s="574" t="s">
        <v>1440</v>
      </c>
      <c r="B60" s="336" t="s">
        <v>46</v>
      </c>
      <c r="C60" s="565" t="s">
        <v>58</v>
      </c>
      <c r="D60" s="565"/>
      <c r="E60" s="300">
        <v>25.98</v>
      </c>
      <c r="F60" s="336">
        <v>1272</v>
      </c>
      <c r="G60" s="327">
        <f t="shared" si="43"/>
        <v>33046.559999999998</v>
      </c>
      <c r="H60" s="301" t="s">
        <v>35</v>
      </c>
      <c r="I60" s="334">
        <v>17</v>
      </c>
      <c r="J60" s="303">
        <v>2400</v>
      </c>
      <c r="K60" s="304">
        <f t="shared" si="1"/>
        <v>141.1764705882353</v>
      </c>
      <c r="L60" s="334">
        <v>17</v>
      </c>
      <c r="M60" s="305">
        <f t="shared" si="44"/>
        <v>2312.7272727272698</v>
      </c>
      <c r="N60" s="304">
        <f t="shared" si="3"/>
        <v>136.04278074866292</v>
      </c>
      <c r="O60" s="306">
        <f t="shared" si="4"/>
        <v>0</v>
      </c>
      <c r="P60" s="307">
        <f t="shared" si="5"/>
        <v>-5.1336898395723836</v>
      </c>
      <c r="Q60" s="330">
        <f t="shared" si="6"/>
        <v>0.96363636363636229</v>
      </c>
      <c r="R60" s="571"/>
      <c r="S60" s="308">
        <v>0.45416666666666661</v>
      </c>
      <c r="T60" s="308">
        <v>0.4770833333333333</v>
      </c>
      <c r="U60" s="327">
        <f t="shared" si="46"/>
        <v>4.9999999999999822</v>
      </c>
      <c r="V60" s="335">
        <f t="shared" si="45"/>
        <v>33.000000000000043</v>
      </c>
      <c r="W60" s="310"/>
      <c r="X60" s="310"/>
      <c r="Y60" s="570"/>
      <c r="Z60" s="570"/>
      <c r="AA60" s="306">
        <f t="shared" si="8"/>
        <v>-87.272727272730208</v>
      </c>
      <c r="AB60" s="330">
        <f t="shared" si="9"/>
        <v>0.9636363636363624</v>
      </c>
      <c r="AC60" s="571"/>
    </row>
    <row r="61" spans="1:29" ht="15.75" customHeight="1">
      <c r="A61" s="574" t="s">
        <v>1440</v>
      </c>
      <c r="B61" s="336" t="s">
        <v>46</v>
      </c>
      <c r="C61" s="565" t="s">
        <v>57</v>
      </c>
      <c r="D61" s="565"/>
      <c r="E61" s="300">
        <v>20.52</v>
      </c>
      <c r="F61" s="336">
        <v>2790</v>
      </c>
      <c r="G61" s="327">
        <f t="shared" si="43"/>
        <v>57250.799999999996</v>
      </c>
      <c r="H61" s="301" t="s">
        <v>35</v>
      </c>
      <c r="I61" s="334">
        <v>18</v>
      </c>
      <c r="J61" s="303">
        <v>2400</v>
      </c>
      <c r="K61" s="304">
        <f t="shared" si="1"/>
        <v>133.33333333333334</v>
      </c>
      <c r="L61" s="334">
        <v>18</v>
      </c>
      <c r="M61" s="305">
        <f t="shared" si="44"/>
        <v>2293.1506849315051</v>
      </c>
      <c r="N61" s="304">
        <f t="shared" si="3"/>
        <v>127.39726027397251</v>
      </c>
      <c r="O61" s="306">
        <f t="shared" si="4"/>
        <v>0</v>
      </c>
      <c r="P61" s="307">
        <f t="shared" si="5"/>
        <v>-5.9360730593608366</v>
      </c>
      <c r="Q61" s="330">
        <f t="shared" si="6"/>
        <v>0.95547945205479368</v>
      </c>
      <c r="R61" s="571"/>
      <c r="S61" s="308">
        <v>0.48124999999999996</v>
      </c>
      <c r="T61" s="308">
        <v>0.53194444444444444</v>
      </c>
      <c r="U61" s="327">
        <f t="shared" si="46"/>
        <v>5.9999999999999787</v>
      </c>
      <c r="V61" s="335">
        <f t="shared" si="45"/>
        <v>73.000000000000057</v>
      </c>
      <c r="W61" s="310"/>
      <c r="X61" s="310"/>
      <c r="Y61" s="566"/>
      <c r="Z61" s="567"/>
      <c r="AA61" s="306">
        <f t="shared" si="8"/>
        <v>-106.84931506849489</v>
      </c>
      <c r="AB61" s="330">
        <f t="shared" si="9"/>
        <v>0.95547945205479379</v>
      </c>
      <c r="AC61" s="571"/>
    </row>
    <row r="62" spans="1:29" ht="16.5" customHeight="1">
      <c r="A62" s="575" t="s">
        <v>1440</v>
      </c>
      <c r="B62" s="300" t="s">
        <v>1423</v>
      </c>
      <c r="C62" s="568"/>
      <c r="D62" s="569"/>
      <c r="E62" s="331"/>
      <c r="F62" s="313"/>
      <c r="G62" s="304"/>
      <c r="H62" s="336"/>
      <c r="I62" s="314">
        <v>17.142857142857142</v>
      </c>
      <c r="J62" s="303">
        <v>2400</v>
      </c>
      <c r="K62" s="304">
        <f t="shared" si="1"/>
        <v>140</v>
      </c>
      <c r="L62" s="314">
        <v>17.142857142857142</v>
      </c>
      <c r="M62" s="305">
        <f>AVERAGE(M55:M61)</f>
        <v>2295.5998446186982</v>
      </c>
      <c r="N62" s="304">
        <f t="shared" si="3"/>
        <v>133.90999093609074</v>
      </c>
      <c r="O62" s="306">
        <f t="shared" si="4"/>
        <v>0</v>
      </c>
      <c r="P62" s="307">
        <f t="shared" si="5"/>
        <v>-6.0900090639092639</v>
      </c>
      <c r="Q62" s="330">
        <f t="shared" si="6"/>
        <v>0.95649993525779098</v>
      </c>
      <c r="R62" s="571"/>
      <c r="S62" s="308"/>
      <c r="T62" s="308"/>
      <c r="U62" s="304"/>
      <c r="V62" s="335"/>
      <c r="W62" s="304"/>
      <c r="X62" s="304"/>
      <c r="Y62" s="570"/>
      <c r="Z62" s="570"/>
      <c r="AA62" s="306">
        <f t="shared" si="8"/>
        <v>-104.40015538130183</v>
      </c>
      <c r="AB62" s="330">
        <f t="shared" si="9"/>
        <v>0.95649993525779087</v>
      </c>
      <c r="AC62" s="571"/>
    </row>
    <row r="63" spans="1:29">
      <c r="D63" s="323"/>
      <c r="E63" s="323"/>
    </row>
  </sheetData>
  <mergeCells count="172">
    <mergeCell ref="A55:A62"/>
    <mergeCell ref="C55:D55"/>
    <mergeCell ref="R55:R62"/>
    <mergeCell ref="Y55:Z55"/>
    <mergeCell ref="AC55:AC62"/>
    <mergeCell ref="C56:D56"/>
    <mergeCell ref="Y56:Z56"/>
    <mergeCell ref="C57:D57"/>
    <mergeCell ref="Y57:Z57"/>
    <mergeCell ref="C58:D58"/>
    <mergeCell ref="C62:D62"/>
    <mergeCell ref="Y62:Z62"/>
    <mergeCell ref="Y58:Z58"/>
    <mergeCell ref="C59:D59"/>
    <mergeCell ref="Y59:Z59"/>
    <mergeCell ref="C60:D60"/>
    <mergeCell ref="Y60:Z60"/>
    <mergeCell ref="C61:D61"/>
    <mergeCell ref="Y61:Z61"/>
    <mergeCell ref="AC50:AC54"/>
    <mergeCell ref="C51:D51"/>
    <mergeCell ref="Y51:Z51"/>
    <mergeCell ref="C52:D52"/>
    <mergeCell ref="Y52:Z52"/>
    <mergeCell ref="C53:D53"/>
    <mergeCell ref="Y53:Z53"/>
    <mergeCell ref="C54:D54"/>
    <mergeCell ref="Y54:Z54"/>
    <mergeCell ref="Y49:Z49"/>
    <mergeCell ref="A50:A54"/>
    <mergeCell ref="C50:D50"/>
    <mergeCell ref="R50:R54"/>
    <mergeCell ref="Y50:Z50"/>
    <mergeCell ref="A43:A49"/>
    <mergeCell ref="C43:D43"/>
    <mergeCell ref="R43:R49"/>
    <mergeCell ref="Y43:Z43"/>
    <mergeCell ref="A36:A42"/>
    <mergeCell ref="C36:D36"/>
    <mergeCell ref="R36:R42"/>
    <mergeCell ref="Y36:Z36"/>
    <mergeCell ref="Y41:Z41"/>
    <mergeCell ref="C42:D42"/>
    <mergeCell ref="Y42:Z42"/>
    <mergeCell ref="AC43:AC49"/>
    <mergeCell ref="C44:D44"/>
    <mergeCell ref="Y44:Z44"/>
    <mergeCell ref="C45:D45"/>
    <mergeCell ref="C48:D48"/>
    <mergeCell ref="Y48:Z48"/>
    <mergeCell ref="AC36:AC42"/>
    <mergeCell ref="C37:D37"/>
    <mergeCell ref="Y37:Z37"/>
    <mergeCell ref="C38:D38"/>
    <mergeCell ref="Y38:Z38"/>
    <mergeCell ref="C39:D39"/>
    <mergeCell ref="Y39:Z39"/>
    <mergeCell ref="C40:D40"/>
    <mergeCell ref="Y40:Z40"/>
    <mergeCell ref="C41:D41"/>
    <mergeCell ref="C49:D49"/>
    <mergeCell ref="AC29:AC35"/>
    <mergeCell ref="C30:D30"/>
    <mergeCell ref="Y30:Z30"/>
    <mergeCell ref="C31:D31"/>
    <mergeCell ref="Y31:Z31"/>
    <mergeCell ref="C32:D32"/>
    <mergeCell ref="Y32:Z32"/>
    <mergeCell ref="C33:D33"/>
    <mergeCell ref="Y33:Z33"/>
    <mergeCell ref="C34:D34"/>
    <mergeCell ref="C35:D35"/>
    <mergeCell ref="Y35:Z35"/>
    <mergeCell ref="A29:A35"/>
    <mergeCell ref="C29:D29"/>
    <mergeCell ref="R29:R35"/>
    <mergeCell ref="Y29:Z29"/>
    <mergeCell ref="Y34:Z34"/>
    <mergeCell ref="A23:A28"/>
    <mergeCell ref="C23:D23"/>
    <mergeCell ref="R23:R28"/>
    <mergeCell ref="Y23:Z23"/>
    <mergeCell ref="AC23:AC28"/>
    <mergeCell ref="C24:D24"/>
    <mergeCell ref="Y24:Z24"/>
    <mergeCell ref="C25:D25"/>
    <mergeCell ref="Y25:Z25"/>
    <mergeCell ref="C26:D26"/>
    <mergeCell ref="AC18:AC22"/>
    <mergeCell ref="C19:D19"/>
    <mergeCell ref="Y19:Z19"/>
    <mergeCell ref="C20:D20"/>
    <mergeCell ref="Y20:Z20"/>
    <mergeCell ref="C21:D21"/>
    <mergeCell ref="Y21:Z21"/>
    <mergeCell ref="C22:D22"/>
    <mergeCell ref="Y22:Z22"/>
    <mergeCell ref="Y26:Z26"/>
    <mergeCell ref="C27:D27"/>
    <mergeCell ref="Y27:Z27"/>
    <mergeCell ref="C28:D28"/>
    <mergeCell ref="Y28:Z28"/>
    <mergeCell ref="A18:A22"/>
    <mergeCell ref="C18:D18"/>
    <mergeCell ref="R18:R22"/>
    <mergeCell ref="Y18:Z18"/>
    <mergeCell ref="C13:D13"/>
    <mergeCell ref="Y13:Z13"/>
    <mergeCell ref="C14:D14"/>
    <mergeCell ref="Y14:Z14"/>
    <mergeCell ref="C15:D15"/>
    <mergeCell ref="Y15:Z15"/>
    <mergeCell ref="AC9:AC11"/>
    <mergeCell ref="C10:D10"/>
    <mergeCell ref="Y10:Z10"/>
    <mergeCell ref="C11:D11"/>
    <mergeCell ref="Y11:Z11"/>
    <mergeCell ref="A12:A17"/>
    <mergeCell ref="C12:D12"/>
    <mergeCell ref="R12:R17"/>
    <mergeCell ref="Y12:Z12"/>
    <mergeCell ref="AC12:AC17"/>
    <mergeCell ref="C16:D16"/>
    <mergeCell ref="Y16:Z16"/>
    <mergeCell ref="C17:D17"/>
    <mergeCell ref="Y17:Z17"/>
    <mergeCell ref="C8:D8"/>
    <mergeCell ref="Y8:Z8"/>
    <mergeCell ref="A9:A11"/>
    <mergeCell ref="C9:D9"/>
    <mergeCell ref="R9:R11"/>
    <mergeCell ref="Y9:Z9"/>
    <mergeCell ref="AC3:AC4"/>
    <mergeCell ref="A5:A8"/>
    <mergeCell ref="C5:D5"/>
    <mergeCell ref="R5:R8"/>
    <mergeCell ref="Y5:Z5"/>
    <mergeCell ref="AC5:AC8"/>
    <mergeCell ref="C6:D6"/>
    <mergeCell ref="Y6:Z6"/>
    <mergeCell ref="C7:D7"/>
    <mergeCell ref="Y7:Z7"/>
    <mergeCell ref="U3:U4"/>
    <mergeCell ref="V3:V4"/>
    <mergeCell ref="W3:X3"/>
    <mergeCell ref="Y3:Z4"/>
    <mergeCell ref="AA3:AA4"/>
    <mergeCell ref="AB3:AB4"/>
    <mergeCell ref="N3:N4"/>
    <mergeCell ref="O3:O4"/>
    <mergeCell ref="S1:X2"/>
    <mergeCell ref="Y1:Z2"/>
    <mergeCell ref="AA1:AC2"/>
    <mergeCell ref="A3:A4"/>
    <mergeCell ref="B3:B4"/>
    <mergeCell ref="C3:D4"/>
    <mergeCell ref="E3:E4"/>
    <mergeCell ref="F3:F4"/>
    <mergeCell ref="G3:G4"/>
    <mergeCell ref="I1:K2"/>
    <mergeCell ref="L1:N2"/>
    <mergeCell ref="O1:R2"/>
    <mergeCell ref="P3:P4"/>
    <mergeCell ref="Q3:Q4"/>
    <mergeCell ref="R3:R4"/>
    <mergeCell ref="S3:T3"/>
    <mergeCell ref="H3:H4"/>
    <mergeCell ref="I3:I4"/>
    <mergeCell ref="J3:J4"/>
    <mergeCell ref="K3:K4"/>
    <mergeCell ref="L3:L4"/>
    <mergeCell ref="M3:M4"/>
  </mergeCells>
  <phoneticPr fontId="3" type="noConversion"/>
  <conditionalFormatting sqref="O53:O60 O62 O5:O9 O11:O13 O17:O50">
    <cfRule type="cellIs" dxfId="1091" priority="41" operator="greaterThan">
      <formula>0</formula>
    </cfRule>
  </conditionalFormatting>
  <conditionalFormatting sqref="P5:P7 P53 AA53 P55:P60 P23:P27 P50 P9 P11:P13 P18:P21 P43:P48 P29:P41 AA5:AA50 AA55:AA62">
    <cfRule type="cellIs" dxfId="1090" priority="45" operator="lessThan">
      <formula>0</formula>
    </cfRule>
  </conditionalFormatting>
  <conditionalFormatting sqref="AB53 Q53:Q60 Q62 Q5:Q9 Q11:Q13 Q17:Q50 AB5:AB50 AB55:AB62">
    <cfRule type="cellIs" dxfId="1089" priority="42" operator="greaterThan">
      <formula>1</formula>
    </cfRule>
    <cfRule type="cellIs" dxfId="1088" priority="43" operator="lessThan">
      <formula>0.8</formula>
    </cfRule>
  </conditionalFormatting>
  <conditionalFormatting sqref="AC12:AC13 R12:R13 AC53 R53:R60 R62 AC5:AC9 R5:R9 AC17:AC50 R17:R50">
    <cfRule type="cellIs" dxfId="1087" priority="47" operator="lessThan">
      <formula>0.8</formula>
    </cfRule>
  </conditionalFormatting>
  <conditionalFormatting sqref="AC36">
    <cfRule type="cellIs" dxfId="1086" priority="49" operator="lessThan">
      <formula>0.8</formula>
    </cfRule>
  </conditionalFormatting>
  <conditionalFormatting sqref="AC18:AC21">
    <cfRule type="cellIs" dxfId="1085" priority="46" operator="lessThan">
      <formula>0.8</formula>
    </cfRule>
  </conditionalFormatting>
  <conditionalFormatting sqref="AC23">
    <cfRule type="cellIs" dxfId="1084" priority="48" operator="lessThan">
      <formula>0.8</formula>
    </cfRule>
  </conditionalFormatting>
  <conditionalFormatting sqref="AC29:AC34">
    <cfRule type="cellIs" dxfId="1083" priority="44" operator="lessThan">
      <formula>0.8</formula>
    </cfRule>
  </conditionalFormatting>
  <conditionalFormatting sqref="AA54">
    <cfRule type="cellIs" dxfId="1082" priority="40" operator="lessThan">
      <formula>0</formula>
    </cfRule>
  </conditionalFormatting>
  <conditionalFormatting sqref="AB54">
    <cfRule type="cellIs" dxfId="1081" priority="38" operator="greaterThan">
      <formula>1</formula>
    </cfRule>
    <cfRule type="cellIs" dxfId="1080" priority="39" operator="lessThan">
      <formula>0.8</formula>
    </cfRule>
  </conditionalFormatting>
  <conditionalFormatting sqref="O14:O15">
    <cfRule type="cellIs" dxfId="1079" priority="33" operator="greaterThan">
      <formula>0</formula>
    </cfRule>
  </conditionalFormatting>
  <conditionalFormatting sqref="P14:P15">
    <cfRule type="cellIs" dxfId="1078" priority="36" operator="lessThan">
      <formula>0</formula>
    </cfRule>
  </conditionalFormatting>
  <conditionalFormatting sqref="Q14:Q15">
    <cfRule type="cellIs" dxfId="1077" priority="34" operator="greaterThan">
      <formula>1</formula>
    </cfRule>
    <cfRule type="cellIs" dxfId="1076" priority="35" operator="lessThan">
      <formula>0.8</formula>
    </cfRule>
  </conditionalFormatting>
  <conditionalFormatting sqref="R14:R15 AC14:AC15">
    <cfRule type="cellIs" dxfId="1075" priority="37" operator="lessThan">
      <formula>0.8</formula>
    </cfRule>
  </conditionalFormatting>
  <conditionalFormatting sqref="O10">
    <cfRule type="cellIs" dxfId="1074" priority="29" operator="greaterThan">
      <formula>0</formula>
    </cfRule>
  </conditionalFormatting>
  <conditionalFormatting sqref="P10">
    <cfRule type="cellIs" dxfId="1073" priority="32" operator="lessThan">
      <formula>0</formula>
    </cfRule>
  </conditionalFormatting>
  <conditionalFormatting sqref="Q10">
    <cfRule type="cellIs" dxfId="1072" priority="30" operator="greaterThan">
      <formula>1</formula>
    </cfRule>
    <cfRule type="cellIs" dxfId="1071" priority="31" operator="lessThan">
      <formula>0.8</formula>
    </cfRule>
  </conditionalFormatting>
  <conditionalFormatting sqref="O52">
    <cfRule type="cellIs" dxfId="1070" priority="24" operator="greaterThan">
      <formula>0</formula>
    </cfRule>
  </conditionalFormatting>
  <conditionalFormatting sqref="P52 AA52">
    <cfRule type="cellIs" dxfId="1069" priority="27" operator="lessThan">
      <formula>0</formula>
    </cfRule>
  </conditionalFormatting>
  <conditionalFormatting sqref="Q52 AB52">
    <cfRule type="cellIs" dxfId="1068" priority="25" operator="greaterThan">
      <formula>1</formula>
    </cfRule>
    <cfRule type="cellIs" dxfId="1067" priority="26" operator="lessThan">
      <formula>0.8</formula>
    </cfRule>
  </conditionalFormatting>
  <conditionalFormatting sqref="R52 AC52">
    <cfRule type="cellIs" dxfId="1066" priority="28" operator="lessThan">
      <formula>0.8</formula>
    </cfRule>
  </conditionalFormatting>
  <conditionalFormatting sqref="O61">
    <cfRule type="cellIs" dxfId="1065" priority="19" operator="greaterThan">
      <formula>0</formula>
    </cfRule>
  </conditionalFormatting>
  <conditionalFormatting sqref="P61">
    <cfRule type="cellIs" dxfId="1064" priority="22" operator="lessThan">
      <formula>0</formula>
    </cfRule>
  </conditionalFormatting>
  <conditionalFormatting sqref="Q61">
    <cfRule type="cellIs" dxfId="1063" priority="20" operator="greaterThan">
      <formula>1</formula>
    </cfRule>
    <cfRule type="cellIs" dxfId="1062" priority="21" operator="lessThan">
      <formula>0.8</formula>
    </cfRule>
  </conditionalFormatting>
  <conditionalFormatting sqref="R61">
    <cfRule type="cellIs" dxfId="1061" priority="23" operator="lessThan">
      <formula>0.8</formula>
    </cfRule>
  </conditionalFormatting>
  <conditionalFormatting sqref="O16">
    <cfRule type="cellIs" dxfId="1060" priority="14" operator="greaterThan">
      <formula>0</formula>
    </cfRule>
  </conditionalFormatting>
  <conditionalFormatting sqref="P16">
    <cfRule type="cellIs" dxfId="1059" priority="17" operator="lessThan">
      <formula>0</formula>
    </cfRule>
  </conditionalFormatting>
  <conditionalFormatting sqref="Q16">
    <cfRule type="cellIs" dxfId="1058" priority="15" operator="greaterThan">
      <formula>1</formula>
    </cfRule>
    <cfRule type="cellIs" dxfId="1057" priority="16" operator="lessThan">
      <formula>0.8</formula>
    </cfRule>
  </conditionalFormatting>
  <conditionalFormatting sqref="R16 AC16">
    <cfRule type="cellIs" dxfId="1056" priority="18" operator="lessThan">
      <formula>0.8</formula>
    </cfRule>
  </conditionalFormatting>
  <conditionalFormatting sqref="O51">
    <cfRule type="cellIs" dxfId="1055" priority="9" operator="greaterThan">
      <formula>0</formula>
    </cfRule>
  </conditionalFormatting>
  <conditionalFormatting sqref="P51 AA51">
    <cfRule type="cellIs" dxfId="1054" priority="12" operator="lessThan">
      <formula>0</formula>
    </cfRule>
  </conditionalFormatting>
  <conditionalFormatting sqref="Q51 AB51">
    <cfRule type="cellIs" dxfId="1053" priority="10" operator="greaterThan">
      <formula>1</formula>
    </cfRule>
    <cfRule type="cellIs" dxfId="1052" priority="11" operator="lessThan">
      <formula>0.8</formula>
    </cfRule>
  </conditionalFormatting>
  <conditionalFormatting sqref="R51 AC51">
    <cfRule type="cellIs" dxfId="1051" priority="13" operator="lessThan">
      <formula>0.8</formula>
    </cfRule>
  </conditionalFormatting>
  <conditionalFormatting sqref="P8">
    <cfRule type="cellIs" dxfId="1050" priority="8" operator="lessThan">
      <formula>0</formula>
    </cfRule>
  </conditionalFormatting>
  <conditionalFormatting sqref="P17">
    <cfRule type="cellIs" dxfId="1049" priority="7" operator="lessThan">
      <formula>0</formula>
    </cfRule>
  </conditionalFormatting>
  <conditionalFormatting sqref="P22">
    <cfRule type="cellIs" dxfId="1048" priority="6" operator="lessThan">
      <formula>0</formula>
    </cfRule>
  </conditionalFormatting>
  <conditionalFormatting sqref="P28">
    <cfRule type="cellIs" dxfId="1047" priority="5" operator="lessThan">
      <formula>0</formula>
    </cfRule>
  </conditionalFormatting>
  <conditionalFormatting sqref="P42">
    <cfRule type="cellIs" dxfId="1046" priority="4" operator="lessThan">
      <formula>0</formula>
    </cfRule>
  </conditionalFormatting>
  <conditionalFormatting sqref="P49">
    <cfRule type="cellIs" dxfId="1045" priority="3" operator="lessThan">
      <formula>0</formula>
    </cfRule>
  </conditionalFormatting>
  <conditionalFormatting sqref="P54">
    <cfRule type="cellIs" dxfId="1044" priority="2" operator="lessThan">
      <formula>0</formula>
    </cfRule>
  </conditionalFormatting>
  <conditionalFormatting sqref="P62">
    <cfRule type="cellIs" dxfId="1043" priority="1" operator="lessThan">
      <formula>0</formula>
    </cfRule>
  </conditionalFormatting>
  <dataValidations count="1">
    <dataValidation type="list" allowBlank="1" showInputMessage="1" showErrorMessage="1" sqref="Z8 Y5:Z7 Y8:Y53 Z10:Z50 Y54:Z62">
      <formula1>#REF!</formula1>
    </dataValidation>
  </dataValidations>
  <pageMargins left="0" right="0" top="0" bottom="0" header="0" footer="0"/>
  <pageSetup paperSize="9" scale="11" orientation="landscape" horizontalDpi="300" verticalDpi="300" r:id="rId1"/>
</worksheet>
</file>

<file path=xl/worksheets/sheet2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工作表25"/>
  <dimension ref="B1:Q28"/>
  <sheetViews>
    <sheetView zoomScale="85" zoomScaleNormal="85" workbookViewId="0">
      <selection activeCell="I7" sqref="I7:J7"/>
    </sheetView>
  </sheetViews>
  <sheetFormatPr defaultColWidth="8.75" defaultRowHeight="15.75"/>
  <cols>
    <col min="1" max="1" width="8.75" style="30"/>
    <col min="2" max="2" width="17.875" style="30" customWidth="1"/>
    <col min="3" max="3" width="9.25" style="37" customWidth="1"/>
    <col min="4" max="13" width="12.625" style="30" customWidth="1"/>
    <col min="14" max="14" width="11" style="30" bestFit="1" customWidth="1"/>
    <col min="15" max="15" width="17.75" style="30" bestFit="1" customWidth="1"/>
    <col min="16" max="16" width="12.25" style="30" bestFit="1" customWidth="1"/>
    <col min="17" max="22" width="9.25" style="30" customWidth="1"/>
    <col min="23" max="23" width="10.75" style="30" customWidth="1"/>
    <col min="24" max="24" width="11" style="30" customWidth="1"/>
    <col min="25" max="16384" width="8.75" style="30"/>
  </cols>
  <sheetData>
    <row r="1" spans="2:17" ht="27.75" customHeight="1">
      <c r="B1" s="552" t="s">
        <v>1262</v>
      </c>
      <c r="C1" s="552"/>
      <c r="D1" s="552"/>
      <c r="E1" s="552"/>
      <c r="F1" s="552"/>
      <c r="G1" s="552"/>
      <c r="H1" s="552"/>
      <c r="I1" s="552"/>
      <c r="J1" s="552"/>
      <c r="K1" s="29"/>
      <c r="L1" s="29"/>
      <c r="M1" s="29"/>
      <c r="N1" s="29"/>
      <c r="O1" s="29"/>
      <c r="P1" s="29"/>
    </row>
    <row r="2" spans="2:17" ht="27.75" customHeight="1">
      <c r="B2" s="553"/>
      <c r="C2" s="553"/>
      <c r="D2" s="553"/>
      <c r="E2" s="553"/>
      <c r="F2" s="553"/>
      <c r="G2" s="553"/>
      <c r="H2" s="553"/>
      <c r="I2" s="553"/>
      <c r="J2" s="553"/>
      <c r="K2" s="31"/>
      <c r="L2" s="31"/>
      <c r="M2" s="31"/>
      <c r="N2" s="29"/>
      <c r="O2" s="29"/>
      <c r="P2" s="29"/>
    </row>
    <row r="3" spans="2:17" ht="46.5" customHeight="1">
      <c r="B3" s="32" t="s">
        <v>1263</v>
      </c>
      <c r="C3" s="554" t="str">
        <f>TEXT('1017 4度C'!A2,"yyyy.mm.ddaaaa")</f>
        <v>2025.10.17星期五</v>
      </c>
      <c r="D3" s="555"/>
      <c r="E3" s="32" t="s">
        <v>1264</v>
      </c>
      <c r="F3" s="556">
        <f>'1017 4度C'!D1</f>
        <v>144032</v>
      </c>
      <c r="G3" s="557"/>
      <c r="H3" s="32" t="s">
        <v>1265</v>
      </c>
      <c r="I3" s="558">
        <f>'1017 4度C'!F1</f>
        <v>4739156.7999999989</v>
      </c>
      <c r="J3" s="559"/>
      <c r="K3" s="33"/>
      <c r="L3" s="34"/>
      <c r="M3" s="35"/>
      <c r="N3" s="35"/>
    </row>
    <row r="4" spans="2:17" ht="28.5" customHeight="1">
      <c r="B4" s="560" t="s">
        <v>1266</v>
      </c>
      <c r="C4" s="542" t="s">
        <v>1267</v>
      </c>
      <c r="D4" s="543"/>
      <c r="E4" s="563" t="s">
        <v>1268</v>
      </c>
      <c r="F4" s="564"/>
      <c r="G4" s="563" t="s">
        <v>1269</v>
      </c>
      <c r="H4" s="564"/>
      <c r="I4" s="563" t="s">
        <v>1270</v>
      </c>
      <c r="J4" s="564"/>
      <c r="L4" s="35"/>
      <c r="M4" s="35"/>
      <c r="N4" s="35"/>
    </row>
    <row r="5" spans="2:17" ht="28.5" customHeight="1">
      <c r="B5" s="561"/>
      <c r="C5" s="542" t="s">
        <v>1271</v>
      </c>
      <c r="D5" s="543"/>
      <c r="E5" s="542" t="s">
        <v>1272</v>
      </c>
      <c r="F5" s="543"/>
      <c r="G5" s="544" t="s">
        <v>1273</v>
      </c>
      <c r="H5" s="545"/>
      <c r="I5" s="546" t="s">
        <v>91</v>
      </c>
      <c r="J5" s="547"/>
      <c r="K5" s="35"/>
      <c r="L5" s="35"/>
      <c r="M5" s="35"/>
      <c r="N5" s="35"/>
    </row>
    <row r="6" spans="2:17" ht="28.5" customHeight="1">
      <c r="B6" s="561"/>
      <c r="C6" s="542" t="s">
        <v>92</v>
      </c>
      <c r="D6" s="543"/>
      <c r="E6" s="548">
        <f>AVERAGE(D13:M13)</f>
        <v>152.82468405044344</v>
      </c>
      <c r="F6" s="549">
        <f>AVERAGE(D27:O27,D13:J13)</f>
        <v>159.11492160150854</v>
      </c>
      <c r="G6" s="550">
        <f>AVERAGE(D13:J13)</f>
        <v>159.11492160150854</v>
      </c>
      <c r="H6" s="551"/>
      <c r="I6" s="550">
        <f>AVERAGE(K13:M13)</f>
        <v>138.14746309795817</v>
      </c>
      <c r="J6" s="551"/>
      <c r="K6" s="35"/>
      <c r="L6" s="35"/>
      <c r="M6" s="35"/>
      <c r="N6" s="35"/>
    </row>
    <row r="7" spans="2:17" ht="28.5" customHeight="1">
      <c r="B7" s="561"/>
      <c r="C7" s="532" t="s">
        <v>93</v>
      </c>
      <c r="D7" s="533"/>
      <c r="E7" s="534">
        <f>AVERAGE(D14:M14)</f>
        <v>146.60827146774494</v>
      </c>
      <c r="F7" s="535">
        <f>AVERAGE(D28:O28,D14:J14)</f>
        <v>152.7253325235593</v>
      </c>
      <c r="G7" s="536">
        <f>AVERAGE(D14:J14)</f>
        <v>152.7253325235593</v>
      </c>
      <c r="H7" s="537"/>
      <c r="I7" s="536">
        <f>AVERAGE(K14:M14)</f>
        <v>132.33512900417807</v>
      </c>
      <c r="J7" s="537"/>
      <c r="K7" s="35"/>
      <c r="L7" s="35"/>
      <c r="M7" s="35"/>
      <c r="N7" s="35"/>
    </row>
    <row r="8" spans="2:17" ht="28.5" customHeight="1">
      <c r="B8" s="562"/>
      <c r="C8" s="532" t="s">
        <v>94</v>
      </c>
      <c r="D8" s="533"/>
      <c r="E8" s="538">
        <f>AVERAGE(D15:M15)</f>
        <v>0.95973836821306191</v>
      </c>
      <c r="F8" s="539">
        <f>AVERAGE(D15:J15,D29:O29)</f>
        <v>0.96051761411159731</v>
      </c>
      <c r="G8" s="540">
        <f>AVERAGE(D15:J15)</f>
        <v>0.96051761411159731</v>
      </c>
      <c r="H8" s="541"/>
      <c r="I8" s="540">
        <f>AVERAGE(K15:M15)</f>
        <v>0.95792012778314606</v>
      </c>
      <c r="J8" s="541"/>
      <c r="K8" s="36" t="s">
        <v>1274</v>
      </c>
      <c r="L8" s="35"/>
      <c r="M8" s="35"/>
      <c r="N8" s="35"/>
    </row>
    <row r="9" spans="2:17" ht="28.5" customHeight="1" thickBot="1">
      <c r="H9" s="38"/>
      <c r="N9" s="35"/>
      <c r="O9" s="35"/>
      <c r="P9" s="35"/>
      <c r="Q9" s="35"/>
    </row>
    <row r="10" spans="2:17" ht="30" customHeight="1">
      <c r="B10" s="515" t="s">
        <v>1275</v>
      </c>
      <c r="C10" s="516"/>
      <c r="D10" s="517" t="s">
        <v>1276</v>
      </c>
      <c r="E10" s="518"/>
      <c r="F10" s="518"/>
      <c r="G10" s="518"/>
      <c r="H10" s="518"/>
      <c r="I10" s="518"/>
      <c r="J10" s="519"/>
      <c r="K10" s="520" t="s">
        <v>1277</v>
      </c>
      <c r="L10" s="521"/>
      <c r="M10" s="522"/>
      <c r="P10" s="39"/>
      <c r="Q10" s="39"/>
    </row>
    <row r="11" spans="2:17" ht="17.25" customHeight="1">
      <c r="B11" s="523" t="s">
        <v>1278</v>
      </c>
      <c r="C11" s="524"/>
      <c r="D11" s="40">
        <v>1</v>
      </c>
      <c r="E11" s="41">
        <v>2</v>
      </c>
      <c r="F11" s="41">
        <v>3</v>
      </c>
      <c r="G11" s="41">
        <v>4</v>
      </c>
      <c r="H11" s="41">
        <v>5</v>
      </c>
      <c r="I11" s="41">
        <v>6</v>
      </c>
      <c r="J11" s="42">
        <v>7</v>
      </c>
      <c r="K11" s="40">
        <v>1</v>
      </c>
      <c r="L11" s="41">
        <v>2</v>
      </c>
      <c r="M11" s="42">
        <v>3</v>
      </c>
      <c r="P11" s="39"/>
      <c r="Q11" s="39"/>
    </row>
    <row r="12" spans="2:17" ht="34.15" customHeight="1">
      <c r="B12" s="525"/>
      <c r="C12" s="526"/>
      <c r="D12" s="43" t="s">
        <v>96</v>
      </c>
      <c r="E12" s="44" t="s">
        <v>97</v>
      </c>
      <c r="F12" s="44" t="s">
        <v>98</v>
      </c>
      <c r="G12" s="44" t="s">
        <v>99</v>
      </c>
      <c r="H12" s="44" t="s">
        <v>100</v>
      </c>
      <c r="I12" s="44" t="s">
        <v>101</v>
      </c>
      <c r="J12" s="45" t="s">
        <v>102</v>
      </c>
      <c r="K12" s="43" t="s">
        <v>103</v>
      </c>
      <c r="L12" s="44" t="s">
        <v>104</v>
      </c>
      <c r="M12" s="45" t="s">
        <v>105</v>
      </c>
    </row>
    <row r="13" spans="2:17" ht="40.15" customHeight="1">
      <c r="B13" s="527" t="s">
        <v>1279</v>
      </c>
      <c r="C13" s="46" t="s">
        <v>1280</v>
      </c>
      <c r="D13" s="47">
        <f>SUMIFS('1017 4度C'!$K:$K,'1017 4度C'!$A:$A,"新豐6線",'1017 4度C'!$B:$B,"平均")</f>
        <v>125</v>
      </c>
      <c r="E13" s="48">
        <f>SUMIFS('1017 4度C'!$K:$K,'1017 4度C'!$A:$A,"新豐2線",'1017 4度C'!$B:$B,"平均")</f>
        <v>81.081081081081081</v>
      </c>
      <c r="F13" s="49">
        <f>SUMIFS('1017 4度C'!$K:$K,'1017 4度C'!$A:$A,"新豐5線",'1017 4度C'!$B:$B,"平均")</f>
        <v>91.397849462365585</v>
      </c>
      <c r="G13" s="49">
        <f>SUMIFS('1017 4度C'!$K:$K,'1017 4度C'!$A:$A,"新豐7線",'1017 4度C'!$B:$B,"平均")</f>
        <v>119.40298507462687</v>
      </c>
      <c r="H13" s="49">
        <f>SUMIFS('1017 4度C'!$K:$K,'1017 4度C'!$A:$A,"新豐3線",'1017 4度C'!$B:$B,"平均")</f>
        <v>310.34482758620692</v>
      </c>
      <c r="I13" s="49">
        <f>SUMIFS('1017 4度C'!$K:$K,'1017 4度C'!$A:$A,"新豐1線",'1017 4度C'!$B:$B,"平均")</f>
        <v>117.34693877551021</v>
      </c>
      <c r="J13" s="50">
        <f>SUMIFS('1017 4度C'!$K:$K,'1017 4度C'!$A:$A,"新豐10線",'1017 4度C'!$B:$B,"平均")</f>
        <v>269.23076923076923</v>
      </c>
      <c r="K13" s="51">
        <f>SUMIFS('1017 4度C'!$K:$K,'1017 4度C'!$A:$A,"新豐8線",'1017 4度C'!$B:$B,"平均")</f>
        <v>131.86813186813188</v>
      </c>
      <c r="L13" s="52">
        <f>SUMIFS('1017 4度C'!$K:$K,'1017 4度C'!$A:$A,"新豐9線",'1017 4度C'!$B:$B,"平均")</f>
        <v>142.57425742574259</v>
      </c>
      <c r="M13" s="50">
        <f>SUMIFS('1017 4度C'!$K:$K,'1017 4度C'!$A:$A,"新豐4線",'1017 4度C'!$B:$B,"平均")</f>
        <v>140</v>
      </c>
    </row>
    <row r="14" spans="2:17" ht="39.6" customHeight="1">
      <c r="B14" s="528"/>
      <c r="C14" s="53" t="s">
        <v>1281</v>
      </c>
      <c r="D14" s="54">
        <f>SUMIFS('1017 4度C'!$N:$N,'1017 4度C'!$A:$A,"新豐6線",'1017 4度C'!$B:$B,"平均")</f>
        <v>121.38832521645041</v>
      </c>
      <c r="E14" s="55">
        <f>SUMIFS('1017 4度C'!$N:$N,'1017 4度C'!$A:$A,"新豐2線",'1017 4度C'!$B:$B,"平均")</f>
        <v>77.631699496106265</v>
      </c>
      <c r="F14" s="55">
        <f>SUMIFS('1017 4度C'!$N:$N,'1017 4度C'!$A:$A,"新豐5線",'1017 4度C'!$B:$B,"平均")</f>
        <v>87.70931169775254</v>
      </c>
      <c r="G14" s="55">
        <f>SUMIFS('1017 4度C'!$N:$N,'1017 4度C'!$A:$A,"新豐7線",'1017 4度C'!$B:$B,"平均")</f>
        <v>115.05683164708756</v>
      </c>
      <c r="H14" s="55">
        <f>SUMIFS('1017 4度C'!$N:$N,'1017 4度C'!$A:$A,"新豐3線",'1017 4度C'!$B:$B,"平均")</f>
        <v>297.1743654275416</v>
      </c>
      <c r="I14" s="55">
        <f>SUMIFS('1017 4度C'!$N:$N,'1017 4度C'!$A:$A,"新豐1線",'1017 4度C'!$B:$B,"平均")</f>
        <v>112.22858245072618</v>
      </c>
      <c r="J14" s="56">
        <f>SUMIFS('1017 4度C'!$N:$N,'1017 4度C'!$A:$A,"新豐10線",'1017 4度C'!$B:$B,"平均")</f>
        <v>257.88821172925054</v>
      </c>
      <c r="K14" s="57">
        <f>SUMIFS('1017 4度C'!$N:$N,'1017 4度C'!$A:$A,"新豐8線",'1017 4度C'!$B:$B,"平均")</f>
        <v>126.21288761564732</v>
      </c>
      <c r="L14" s="58">
        <f>SUMIFS('1017 4度C'!$N:$N,'1017 4度C'!$A:$A,"新豐9線",'1017 4度C'!$B:$B,"平均")</f>
        <v>136.36032442584388</v>
      </c>
      <c r="M14" s="56">
        <f>SUMIFS('1017 4度C'!$N:$N,'1017 4度C'!$A:$A,"新豐4線",'1017 4度C'!$B:$B,"平均")</f>
        <v>134.43217497104303</v>
      </c>
    </row>
    <row r="15" spans="2:17" ht="40.15" customHeight="1">
      <c r="B15" s="529"/>
      <c r="C15" s="59" t="s">
        <v>1282</v>
      </c>
      <c r="D15" s="60">
        <f t="shared" ref="D15:M15" si="0">D14/D13</f>
        <v>0.97110660173160324</v>
      </c>
      <c r="E15" s="61">
        <f t="shared" si="0"/>
        <v>0.95745762711864391</v>
      </c>
      <c r="F15" s="61">
        <f t="shared" si="0"/>
        <v>0.95964305739893963</v>
      </c>
      <c r="G15" s="61">
        <f t="shared" si="0"/>
        <v>0.96360096504435833</v>
      </c>
      <c r="H15" s="61">
        <f t="shared" si="0"/>
        <v>0.95756184415541179</v>
      </c>
      <c r="I15" s="61">
        <f t="shared" si="0"/>
        <v>0.95638270262357961</v>
      </c>
      <c r="J15" s="62">
        <f t="shared" si="0"/>
        <v>0.95787050070864488</v>
      </c>
      <c r="K15" s="60">
        <f t="shared" si="0"/>
        <v>0.95711439775199203</v>
      </c>
      <c r="L15" s="61">
        <f t="shared" si="0"/>
        <v>0.95641616437571053</v>
      </c>
      <c r="M15" s="62">
        <f t="shared" si="0"/>
        <v>0.96022982122173595</v>
      </c>
    </row>
    <row r="16" spans="2:17" ht="17.25" customHeight="1">
      <c r="B16" s="530" t="s">
        <v>1283</v>
      </c>
      <c r="C16" s="63" t="s">
        <v>1284</v>
      </c>
      <c r="D16" s="284">
        <f>VLOOKUP("新豐6線",'1017 4度C'!$A:$T,19,0)</f>
        <v>0.70833333333333337</v>
      </c>
      <c r="E16" s="285">
        <f>VLOOKUP("新豐2線",'1017 4度C'!$A:$T,19,0)</f>
        <v>0.20833333333333334</v>
      </c>
      <c r="F16" s="285">
        <f>VLOOKUP("新豐5線",'1017 4度C'!$A:$T,19,0)</f>
        <v>8.3333333333333329E-2</v>
      </c>
      <c r="G16" s="285">
        <f>VLOOKUP("新豐7線",'1017 4度C'!$A:$T,19,0)</f>
        <v>0.20833333333333334</v>
      </c>
      <c r="H16" s="285">
        <f>VLOOKUP("新豐3線",'1017 4度C'!$A:$T,19,0)</f>
        <v>8.3333333333333329E-2</v>
      </c>
      <c r="I16" s="285">
        <f>VLOOKUP("新豐1線",'1017 4度C'!$A:$T,19,0)</f>
        <v>0.29166666666666669</v>
      </c>
      <c r="J16" s="286">
        <f>VLOOKUP("新豐10線",'1017 4度C'!$A:$T,19,0)</f>
        <v>0.20833333333333334</v>
      </c>
      <c r="K16" s="66">
        <f>VLOOKUP("新豐8線",'1017 4度C'!$A:$T,19,0)</f>
        <v>8.3333333333333329E-2</v>
      </c>
      <c r="L16" s="67">
        <f>VLOOKUP("新豐9線",'1017 4度C'!$A:$T,19,0)</f>
        <v>8.3333333333333329E-2</v>
      </c>
      <c r="M16" s="68">
        <f>VLOOKUP("新豐4線",'1017 4度C'!$A:$T,19,0)</f>
        <v>8.3333333333333329E-2</v>
      </c>
    </row>
    <row r="17" spans="2:13" ht="17.25" customHeight="1">
      <c r="B17" s="531"/>
      <c r="C17" s="63" t="s">
        <v>1285</v>
      </c>
      <c r="D17" s="66">
        <f>LOOKUP(2,1/(('1017 4度C'!$A:$A="新豐6線")*('1017 4度C'!$T:$T&lt;&gt;"")),'1017 4度C'!$T:$T)</f>
        <v>0.80416666666666659</v>
      </c>
      <c r="E17" s="285">
        <f>LOOKUP(2,1/(('1017 4度C'!$A:$A="新豐2線")*('1017 4度C'!$T:$T&lt;&gt;"")),'1017 4度C'!$T:$T)</f>
        <v>0.44652777777777775</v>
      </c>
      <c r="F17" s="285">
        <f>LOOKUP(2,1/(('1017 4度C'!$A:$A="新豐5線")*('1017 4度C'!$T:$T&lt;&gt;"")),'1017 4度C'!$T:$T)</f>
        <v>0.81597222222222232</v>
      </c>
      <c r="G17" s="285">
        <f>LOOKUP(2,1/(('1017 4度C'!$A:$A="新豐7線")*('1017 4度C'!$T:$T&lt;&gt;"")),'1017 4度C'!$T:$T)</f>
        <v>0.75625000000000009</v>
      </c>
      <c r="H17" s="285">
        <f>LOOKUP(2,1/(('1017 4度C'!$A:$A="新豐3線")*('1017 4度C'!$T:$T&lt;&gt;"")),'1017 4度C'!$T:$T)</f>
        <v>0.43958333333333321</v>
      </c>
      <c r="I17" s="285">
        <f>LOOKUP(2,1/(('1017 4度C'!$A:$A="新豐1線")*('1017 4度C'!$T:$T&lt;&gt;"")),'1017 4度C'!$T:$T)</f>
        <v>0.82708333333333328</v>
      </c>
      <c r="J17" s="286">
        <f>LOOKUP(2,1/(('1017 4度C'!$A:$A="新豐10線")*('1017 4度C'!$T:$T&lt;&gt;"")),'1017 4度C'!$T:$T)</f>
        <v>0.42083333333333328</v>
      </c>
      <c r="K17" s="284">
        <f>LOOKUP(2,1/(('1017 4度C'!$A:$A="新豐8線")*('1017 4度C'!$T:$T&lt;&gt;"")),'1017 4度C'!$T:$T)</f>
        <v>0.52569444444444446</v>
      </c>
      <c r="L17" s="285">
        <f>LOOKUP(2,1/(('1017 4度C'!$A:$A="新豐9線")*('1017 4度C'!$T:$T&lt;&gt;"")),'1017 4度C'!$T:$T)</f>
        <v>0.58749999999999991</v>
      </c>
      <c r="M17" s="286">
        <f>LOOKUP(2,1/(('1017 4度C'!$A:$A="新豐4線")*('1017 4度C'!$T:$T&lt;&gt;"")),'1017 4度C'!$T:$T)</f>
        <v>0.54097222222222219</v>
      </c>
    </row>
    <row r="18" spans="2:13" ht="17.25" customHeight="1">
      <c r="B18" s="509" t="s">
        <v>1286</v>
      </c>
      <c r="C18" s="510"/>
      <c r="D18" s="69">
        <f>SUMIFS('1017 4度C'!$I:$I,'1017 4度C'!$A:$A,"新豐6線",'1017 4度C'!$B:$B,"平均")</f>
        <v>16</v>
      </c>
      <c r="E18" s="70">
        <f>SUMIFS('1017 4度C'!$I:$I,'1017 4度C'!$A:$A,"新豐2線",'1017 4度C'!$B:$B,"平均")</f>
        <v>18.5</v>
      </c>
      <c r="F18" s="70">
        <f>SUMIFS('1017 4度C'!$I:$I,'1017 4度C'!$A:$A,"新豐5線",'1017 4度C'!$B:$B,"平均")</f>
        <v>18.600000000000001</v>
      </c>
      <c r="G18" s="70">
        <f>SUMIFS('1017 4度C'!$I:$I,'1017 4度C'!$A:$A,"新豐7線",'1017 4度C'!$B:$B,"平均")</f>
        <v>16.75</v>
      </c>
      <c r="H18" s="70">
        <f>SUMIFS('1017 4度C'!$I:$I,'1017 4度C'!$A:$A,"新豐3線",'1017 4度C'!$B:$B,"平均")</f>
        <v>9.6666666666666661</v>
      </c>
      <c r="I18" s="70">
        <f>SUMIFS('1017 4度C'!$I:$I,'1017 4度C'!$A:$A,"新豐1線",'1017 4度C'!$B:$B,"平均")</f>
        <v>16.333333333333332</v>
      </c>
      <c r="J18" s="71">
        <f>SUMIFS('1017 4度C'!$I:$I,'1017 4度C'!$A:$A,"新豐10線",'1017 4度C'!$B:$B,"平均")</f>
        <v>9.75</v>
      </c>
      <c r="K18" s="69">
        <f>SUMIFS('1017 4度C'!$I:$I,'1017 4度C'!$A:$A,"新豐8線",'1017 4度C'!$B:$B,"平均")</f>
        <v>18.2</v>
      </c>
      <c r="L18" s="70">
        <f>SUMIFS('1017 4度C'!$I:$I,'1017 4度C'!$A:$A,"新豐9線",'1017 4度C'!$B:$B,"平均")</f>
        <v>16.833333333333332</v>
      </c>
      <c r="M18" s="71">
        <f>SUMIFS('1017 4度C'!$I:$I,'1017 4度C'!$A:$A,"新豐4線",'1017 4度C'!$B:$B,"平均")</f>
        <v>17.142857142857142</v>
      </c>
    </row>
    <row r="19" spans="2:13" ht="17.25" customHeight="1">
      <c r="B19" s="509" t="s">
        <v>1287</v>
      </c>
      <c r="C19" s="510"/>
      <c r="D19" s="72" t="s">
        <v>109</v>
      </c>
      <c r="E19" s="73" t="s">
        <v>110</v>
      </c>
      <c r="F19" s="73" t="s">
        <v>1288</v>
      </c>
      <c r="G19" s="73" t="s">
        <v>134</v>
      </c>
      <c r="H19" s="73" t="s">
        <v>111</v>
      </c>
      <c r="I19" s="73" t="s">
        <v>109</v>
      </c>
      <c r="J19" s="74" t="s">
        <v>111</v>
      </c>
      <c r="K19" s="72" t="s">
        <v>1289</v>
      </c>
      <c r="L19" s="73" t="s">
        <v>1289</v>
      </c>
      <c r="M19" s="74" t="s">
        <v>1290</v>
      </c>
    </row>
    <row r="20" spans="2:13" ht="17.25" customHeight="1">
      <c r="B20" s="509" t="s">
        <v>1291</v>
      </c>
      <c r="C20" s="510"/>
      <c r="D20" s="72"/>
      <c r="E20" s="73"/>
      <c r="F20" s="73" t="s">
        <v>1292</v>
      </c>
      <c r="G20" s="73" t="s">
        <v>109</v>
      </c>
      <c r="H20" s="73"/>
      <c r="I20" s="73"/>
      <c r="J20" s="74"/>
      <c r="K20" s="72"/>
      <c r="L20" s="73"/>
      <c r="M20" s="74"/>
    </row>
    <row r="21" spans="2:13" ht="17.25" customHeight="1" thickBot="1">
      <c r="B21" s="511" t="s">
        <v>1293</v>
      </c>
      <c r="C21" s="512"/>
      <c r="D21" s="75"/>
      <c r="E21" s="76" t="s">
        <v>1294</v>
      </c>
      <c r="F21" s="513" t="s">
        <v>1295</v>
      </c>
      <c r="G21" s="514"/>
      <c r="H21" s="76" t="s">
        <v>1296</v>
      </c>
      <c r="I21" s="76" t="s">
        <v>1297</v>
      </c>
      <c r="J21" s="77" t="s">
        <v>1296</v>
      </c>
      <c r="K21" s="78"/>
      <c r="L21" s="76"/>
      <c r="M21" s="77"/>
    </row>
    <row r="22" spans="2:13" ht="17.25" customHeight="1"/>
    <row r="23" spans="2:13" ht="17.25" customHeight="1"/>
    <row r="24" spans="2:13" ht="17.25" customHeight="1"/>
    <row r="25" spans="2:13" ht="37.5" customHeight="1"/>
    <row r="26" spans="2:13" ht="35.25" customHeight="1"/>
    <row r="27" spans="2:13" ht="35.25" customHeight="1"/>
    <row r="28" spans="2:13" ht="39.75" customHeight="1"/>
  </sheetData>
  <mergeCells count="36">
    <mergeCell ref="B1:J2"/>
    <mergeCell ref="C3:D3"/>
    <mergeCell ref="F3:G3"/>
    <mergeCell ref="I3:J3"/>
    <mergeCell ref="B4:B8"/>
    <mergeCell ref="C4:D4"/>
    <mergeCell ref="E4:F4"/>
    <mergeCell ref="G4:H4"/>
    <mergeCell ref="I4:J4"/>
    <mergeCell ref="C5:D5"/>
    <mergeCell ref="E5:F5"/>
    <mergeCell ref="G5:H5"/>
    <mergeCell ref="I5:J5"/>
    <mergeCell ref="C6:D6"/>
    <mergeCell ref="E6:F6"/>
    <mergeCell ref="G6:H6"/>
    <mergeCell ref="I6:J6"/>
    <mergeCell ref="B16:B17"/>
    <mergeCell ref="C7:D7"/>
    <mergeCell ref="E7:F7"/>
    <mergeCell ref="G7:H7"/>
    <mergeCell ref="I7:J7"/>
    <mergeCell ref="C8:D8"/>
    <mergeCell ref="E8:F8"/>
    <mergeCell ref="G8:H8"/>
    <mergeCell ref="I8:J8"/>
    <mergeCell ref="B10:C10"/>
    <mergeCell ref="D10:J10"/>
    <mergeCell ref="B20:C20"/>
    <mergeCell ref="B21:C21"/>
    <mergeCell ref="F21:G21"/>
    <mergeCell ref="K10:M10"/>
    <mergeCell ref="B11:C12"/>
    <mergeCell ref="B13:B15"/>
    <mergeCell ref="B18:C18"/>
    <mergeCell ref="B19:C19"/>
  </mergeCells>
  <phoneticPr fontId="3" type="noConversion"/>
  <conditionalFormatting sqref="D15:M15">
    <cfRule type="cellIs" dxfId="1042" priority="1" operator="lessThan">
      <formula>0.8</formula>
    </cfRule>
  </conditionalFormatting>
  <pageMargins left="0.7" right="0.7" top="0.75" bottom="0.75" header="0.3" footer="0.3"/>
  <pageSetup paperSize="9" orientation="portrait" horizontalDpi="300" verticalDpi="300" r:id="rId1"/>
</worksheet>
</file>

<file path=xl/worksheets/sheet3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工作表26">
    <pageSetUpPr fitToPage="1"/>
  </sheetPr>
  <dimension ref="A1:AC63"/>
  <sheetViews>
    <sheetView topLeftCell="F1" zoomScale="80" zoomScaleNormal="80" workbookViewId="0">
      <pane ySplit="4" topLeftCell="A38" activePane="bottomLeft" state="frozen"/>
      <selection activeCell="L11" sqref="L11"/>
      <selection pane="bottomLeft" activeCell="T40" sqref="T40"/>
    </sheetView>
  </sheetViews>
  <sheetFormatPr defaultColWidth="8" defaultRowHeight="15.75"/>
  <cols>
    <col min="1" max="1" width="15.125" style="291" customWidth="1"/>
    <col min="2" max="2" width="19.375" style="291" customWidth="1"/>
    <col min="3" max="3" width="15.25" style="291" customWidth="1"/>
    <col min="4" max="4" width="17.5" style="291" customWidth="1"/>
    <col min="5" max="5" width="7.5" style="291" bestFit="1" customWidth="1"/>
    <col min="6" max="6" width="14.375" style="291" bestFit="1" customWidth="1"/>
    <col min="7" max="7" width="14.375" style="291" customWidth="1"/>
    <col min="8" max="8" width="8" style="291" customWidth="1"/>
    <col min="9" max="9" width="5.875" style="291" customWidth="1"/>
    <col min="10" max="10" width="10.625" style="291" customWidth="1"/>
    <col min="11" max="11" width="14.625" style="291" customWidth="1"/>
    <col min="12" max="12" width="7.25" style="291" bestFit="1" customWidth="1"/>
    <col min="13" max="13" width="8" style="291" customWidth="1"/>
    <col min="14" max="14" width="12" style="291" customWidth="1"/>
    <col min="15" max="15" width="6" style="291" customWidth="1"/>
    <col min="16" max="16" width="9.25" style="291" customWidth="1"/>
    <col min="17" max="17" width="11.5" style="291" customWidth="1"/>
    <col min="18" max="18" width="8.5" style="291" customWidth="1"/>
    <col min="19" max="19" width="10.125" style="324" bestFit="1" customWidth="1"/>
    <col min="20" max="20" width="7.625" style="324" bestFit="1" customWidth="1"/>
    <col min="21" max="21" width="10.25" style="291" bestFit="1" customWidth="1"/>
    <col min="22" max="22" width="8.75" style="325" customWidth="1"/>
    <col min="23" max="23" width="7.375" style="291" customWidth="1"/>
    <col min="24" max="24" width="6.875" style="291" bestFit="1" customWidth="1"/>
    <col min="25" max="25" width="12.75" style="291" customWidth="1"/>
    <col min="26" max="26" width="18.875" style="291" customWidth="1"/>
    <col min="27" max="27" width="13.125" style="291" bestFit="1" customWidth="1"/>
    <col min="28" max="28" width="10.375" style="291" customWidth="1"/>
    <col min="29" max="29" width="9.375" style="291" customWidth="1"/>
    <col min="30" max="30" width="8" style="291"/>
    <col min="31" max="31" width="24.625" style="291" bestFit="1" customWidth="1"/>
    <col min="32" max="16384" width="8" style="291"/>
  </cols>
  <sheetData>
    <row r="1" spans="1:29" ht="26.25" customHeight="1">
      <c r="A1" s="287" t="s">
        <v>1298</v>
      </c>
      <c r="B1" s="287"/>
      <c r="C1" s="288" t="s">
        <v>1299</v>
      </c>
      <c r="D1" s="289">
        <f>SUM(F5:F62)</f>
        <v>144032</v>
      </c>
      <c r="E1" s="298" t="s">
        <v>1300</v>
      </c>
      <c r="F1" s="287">
        <f>SUM(G5:G62)</f>
        <v>4739156.7999999989</v>
      </c>
      <c r="G1" s="287" t="s">
        <v>1301</v>
      </c>
      <c r="H1" s="290">
        <f>L8+L11+L42+L49+L17+L54+L28+L35+L22+L62</f>
        <v>157.77619047619046</v>
      </c>
      <c r="I1" s="611" t="s">
        <v>1302</v>
      </c>
      <c r="J1" s="611"/>
      <c r="K1" s="611"/>
      <c r="L1" s="611" t="s">
        <v>1303</v>
      </c>
      <c r="M1" s="611"/>
      <c r="N1" s="611"/>
      <c r="O1" s="611" t="s">
        <v>1304</v>
      </c>
      <c r="P1" s="611"/>
      <c r="Q1" s="611"/>
      <c r="R1" s="611"/>
      <c r="S1" s="611" t="s">
        <v>1305</v>
      </c>
      <c r="T1" s="611"/>
      <c r="U1" s="611"/>
      <c r="V1" s="611"/>
      <c r="W1" s="611"/>
      <c r="X1" s="611"/>
      <c r="Y1" s="611" t="s">
        <v>1306</v>
      </c>
      <c r="Z1" s="611"/>
      <c r="AA1" s="611" t="s">
        <v>1307</v>
      </c>
      <c r="AB1" s="612"/>
      <c r="AC1" s="612"/>
    </row>
    <row r="2" spans="1:29" ht="26.25" customHeight="1">
      <c r="A2" s="292">
        <v>45947</v>
      </c>
      <c r="B2" s="293" t="s">
        <v>315</v>
      </c>
      <c r="C2" s="288" t="s">
        <v>1308</v>
      </c>
      <c r="D2" s="294">
        <f>AVERAGE(N8,N11,N42,N49,N17,N54,N22,N28,N35,N62)</f>
        <v>146.60827146774494</v>
      </c>
      <c r="E2" s="295" t="s">
        <v>2</v>
      </c>
      <c r="F2" s="296">
        <f>F1/D1</f>
        <v>32.903499222395013</v>
      </c>
      <c r="G2" s="287" t="s">
        <v>1309</v>
      </c>
      <c r="H2" s="297">
        <f>COUNT(H5:H62)</f>
        <v>1</v>
      </c>
      <c r="I2" s="611"/>
      <c r="J2" s="611"/>
      <c r="K2" s="611"/>
      <c r="L2" s="611"/>
      <c r="M2" s="611"/>
      <c r="N2" s="611"/>
      <c r="O2" s="611"/>
      <c r="P2" s="611"/>
      <c r="Q2" s="611"/>
      <c r="R2" s="611"/>
      <c r="S2" s="611"/>
      <c r="T2" s="611"/>
      <c r="U2" s="611"/>
      <c r="V2" s="611"/>
      <c r="W2" s="611"/>
      <c r="X2" s="611"/>
      <c r="Y2" s="611"/>
      <c r="Z2" s="611"/>
      <c r="AA2" s="612"/>
      <c r="AB2" s="612"/>
      <c r="AC2" s="612"/>
    </row>
    <row r="3" spans="1:29" ht="23.25" customHeight="1">
      <c r="A3" s="570" t="s">
        <v>1310</v>
      </c>
      <c r="B3" s="570" t="s">
        <v>1311</v>
      </c>
      <c r="C3" s="570" t="s">
        <v>1312</v>
      </c>
      <c r="D3" s="570"/>
      <c r="E3" s="609" t="s">
        <v>1313</v>
      </c>
      <c r="F3" s="570" t="s">
        <v>1314</v>
      </c>
      <c r="G3" s="609" t="s">
        <v>1315</v>
      </c>
      <c r="H3" s="602" t="s">
        <v>1316</v>
      </c>
      <c r="I3" s="600" t="s">
        <v>1317</v>
      </c>
      <c r="J3" s="605" t="s">
        <v>1318</v>
      </c>
      <c r="K3" s="607" t="s">
        <v>1279</v>
      </c>
      <c r="L3" s="600" t="s">
        <v>1319</v>
      </c>
      <c r="M3" s="605" t="s">
        <v>1318</v>
      </c>
      <c r="N3" s="607" t="s">
        <v>1308</v>
      </c>
      <c r="O3" s="600" t="s">
        <v>1317</v>
      </c>
      <c r="P3" s="607" t="s">
        <v>1279</v>
      </c>
      <c r="Q3" s="606" t="s">
        <v>1320</v>
      </c>
      <c r="R3" s="578" t="s">
        <v>1321</v>
      </c>
      <c r="S3" s="608" t="s">
        <v>14</v>
      </c>
      <c r="T3" s="608"/>
      <c r="U3" s="602" t="s">
        <v>15</v>
      </c>
      <c r="V3" s="602" t="s">
        <v>1322</v>
      </c>
      <c r="W3" s="570" t="s">
        <v>1323</v>
      </c>
      <c r="X3" s="570"/>
      <c r="Y3" s="603" t="s">
        <v>1324</v>
      </c>
      <c r="Z3" s="604"/>
      <c r="AA3" s="605" t="s">
        <v>1325</v>
      </c>
      <c r="AB3" s="606" t="s">
        <v>1320</v>
      </c>
      <c r="AC3" s="578" t="s">
        <v>1321</v>
      </c>
    </row>
    <row r="4" spans="1:29">
      <c r="A4" s="570"/>
      <c r="B4" s="570"/>
      <c r="C4" s="570"/>
      <c r="D4" s="570"/>
      <c r="E4" s="610"/>
      <c r="F4" s="570"/>
      <c r="G4" s="610"/>
      <c r="H4" s="602"/>
      <c r="I4" s="600"/>
      <c r="J4" s="605"/>
      <c r="K4" s="607"/>
      <c r="L4" s="600"/>
      <c r="M4" s="605"/>
      <c r="N4" s="607"/>
      <c r="O4" s="600"/>
      <c r="P4" s="607"/>
      <c r="Q4" s="606"/>
      <c r="R4" s="578"/>
      <c r="S4" s="299" t="s">
        <v>18</v>
      </c>
      <c r="T4" s="299" t="s">
        <v>19</v>
      </c>
      <c r="U4" s="602"/>
      <c r="V4" s="602"/>
      <c r="W4" s="298" t="s">
        <v>1326</v>
      </c>
      <c r="X4" s="298" t="s">
        <v>1327</v>
      </c>
      <c r="Y4" s="604"/>
      <c r="Z4" s="604"/>
      <c r="AA4" s="605"/>
      <c r="AB4" s="606"/>
      <c r="AC4" s="578"/>
    </row>
    <row r="5" spans="1:29">
      <c r="A5" s="599" t="s">
        <v>1328</v>
      </c>
      <c r="B5" s="300" t="s">
        <v>36</v>
      </c>
      <c r="C5" s="601" t="s">
        <v>37</v>
      </c>
      <c r="D5" s="601"/>
      <c r="E5" s="300">
        <v>46.93</v>
      </c>
      <c r="F5" s="299">
        <v>723</v>
      </c>
      <c r="G5" s="298">
        <f t="shared" ref="G5:G7" si="0">E5*F5</f>
        <v>33930.39</v>
      </c>
      <c r="H5" s="301" t="s">
        <v>35</v>
      </c>
      <c r="I5" s="302">
        <v>16</v>
      </c>
      <c r="J5" s="303">
        <v>2000</v>
      </c>
      <c r="K5" s="304">
        <f t="shared" ref="K5:K62" si="1">J5/I5</f>
        <v>125</v>
      </c>
      <c r="L5" s="302">
        <v>16</v>
      </c>
      <c r="M5" s="305">
        <f t="shared" ref="M5:M7" si="2">F5/V5*60</f>
        <v>1971.8181818181888</v>
      </c>
      <c r="N5" s="304">
        <f t="shared" ref="N5:N62" si="3">M5/L5</f>
        <v>123.2386363636368</v>
      </c>
      <c r="O5" s="306">
        <f t="shared" ref="O5:O62" si="4">L5-I5</f>
        <v>0</v>
      </c>
      <c r="P5" s="307">
        <f t="shared" ref="P5:P62" si="5">N5-K5</f>
        <v>-1.7613636363631997</v>
      </c>
      <c r="Q5" s="283">
        <f t="shared" ref="Q5:Q62" si="6">N5/K5</f>
        <v>0.9859090909090944</v>
      </c>
      <c r="R5" s="571">
        <f>Q8</f>
        <v>0.97110660173160324</v>
      </c>
      <c r="S5" s="308">
        <v>0.70833333333333337</v>
      </c>
      <c r="T5" s="308">
        <v>0.72361111111111109</v>
      </c>
      <c r="U5" s="298"/>
      <c r="V5" s="309">
        <f t="shared" ref="V5:V7" si="7">(T5-S5)*24*60</f>
        <v>21.999999999999922</v>
      </c>
      <c r="W5" s="310"/>
      <c r="X5" s="311"/>
      <c r="Y5" s="570"/>
      <c r="Z5" s="570"/>
      <c r="AA5" s="306">
        <f t="shared" ref="AA5:AA62" si="8">M5-J5</f>
        <v>-28.181818181811195</v>
      </c>
      <c r="AB5" s="283">
        <f t="shared" ref="AB5:AB62" si="9">M5/J5</f>
        <v>0.9859090909090944</v>
      </c>
      <c r="AC5" s="571">
        <f>AB8</f>
        <v>0.97110660173160324</v>
      </c>
    </row>
    <row r="6" spans="1:29">
      <c r="A6" s="600" t="s">
        <v>1329</v>
      </c>
      <c r="B6" s="300" t="s">
        <v>36</v>
      </c>
      <c r="C6" s="601" t="s">
        <v>38</v>
      </c>
      <c r="D6" s="601"/>
      <c r="E6" s="300">
        <v>50.49</v>
      </c>
      <c r="F6" s="299">
        <v>1800</v>
      </c>
      <c r="G6" s="298">
        <f t="shared" si="0"/>
        <v>90882</v>
      </c>
      <c r="H6" s="301" t="s">
        <v>35</v>
      </c>
      <c r="I6" s="302">
        <v>15</v>
      </c>
      <c r="J6" s="303">
        <v>2000</v>
      </c>
      <c r="K6" s="304">
        <f t="shared" si="1"/>
        <v>133.33333333333334</v>
      </c>
      <c r="L6" s="302">
        <v>15</v>
      </c>
      <c r="M6" s="305">
        <f t="shared" si="2"/>
        <v>1928.57142857143</v>
      </c>
      <c r="N6" s="304">
        <f t="shared" si="3"/>
        <v>128.57142857142867</v>
      </c>
      <c r="O6" s="306">
        <f t="shared" si="4"/>
        <v>0</v>
      </c>
      <c r="P6" s="307">
        <f t="shared" si="5"/>
        <v>-4.7619047619046739</v>
      </c>
      <c r="Q6" s="283">
        <f t="shared" si="6"/>
        <v>0.96428571428571497</v>
      </c>
      <c r="R6" s="571"/>
      <c r="S6" s="308">
        <v>0.72777777777777775</v>
      </c>
      <c r="T6" s="308">
        <v>0.76666666666666661</v>
      </c>
      <c r="U6" s="298">
        <f t="shared" ref="U6:U7" si="10">IF(S6=TIME(17,0,0),"",(S6-T5)*24*60)</f>
        <v>5.9999999999999787</v>
      </c>
      <c r="V6" s="309">
        <f t="shared" si="7"/>
        <v>55.999999999999957</v>
      </c>
      <c r="W6" s="310"/>
      <c r="X6" s="310"/>
      <c r="Y6" s="570"/>
      <c r="Z6" s="570"/>
      <c r="AA6" s="306">
        <f t="shared" si="8"/>
        <v>-71.428571428569967</v>
      </c>
      <c r="AB6" s="283">
        <f t="shared" si="9"/>
        <v>0.96428571428571497</v>
      </c>
      <c r="AC6" s="571"/>
    </row>
    <row r="7" spans="1:29">
      <c r="A7" s="600" t="s">
        <v>1328</v>
      </c>
      <c r="B7" s="300" t="s">
        <v>36</v>
      </c>
      <c r="C7" s="594" t="s">
        <v>39</v>
      </c>
      <c r="D7" s="595"/>
      <c r="E7" s="300">
        <v>50.67</v>
      </c>
      <c r="F7" s="299">
        <v>1541</v>
      </c>
      <c r="G7" s="298">
        <f t="shared" si="0"/>
        <v>78082.47</v>
      </c>
      <c r="H7" s="301" t="s">
        <v>35</v>
      </c>
      <c r="I7" s="302">
        <v>17</v>
      </c>
      <c r="J7" s="303">
        <v>2000</v>
      </c>
      <c r="K7" s="304">
        <f t="shared" si="1"/>
        <v>117.64705882352941</v>
      </c>
      <c r="L7" s="302">
        <v>17</v>
      </c>
      <c r="M7" s="305">
        <f t="shared" si="2"/>
        <v>1926.2500000000007</v>
      </c>
      <c r="N7" s="304">
        <f t="shared" si="3"/>
        <v>113.30882352941181</v>
      </c>
      <c r="O7" s="306">
        <f t="shared" si="4"/>
        <v>0</v>
      </c>
      <c r="P7" s="307">
        <f t="shared" si="5"/>
        <v>-4.3382352941175952</v>
      </c>
      <c r="Q7" s="283">
        <f t="shared" si="6"/>
        <v>0.96312500000000045</v>
      </c>
      <c r="R7" s="571"/>
      <c r="S7" s="308">
        <v>0.77083333333333326</v>
      </c>
      <c r="T7" s="308">
        <v>0.80416666666666659</v>
      </c>
      <c r="U7" s="298">
        <f t="shared" si="10"/>
        <v>5.9999999999999787</v>
      </c>
      <c r="V7" s="309">
        <f t="shared" si="7"/>
        <v>47.999999999999986</v>
      </c>
      <c r="W7" s="310"/>
      <c r="X7" s="310"/>
      <c r="Y7" s="566"/>
      <c r="Z7" s="567"/>
      <c r="AA7" s="306">
        <f t="shared" si="8"/>
        <v>-73.749999999999318</v>
      </c>
      <c r="AB7" s="283">
        <f t="shared" si="9"/>
        <v>0.96312500000000034</v>
      </c>
      <c r="AC7" s="571"/>
    </row>
    <row r="8" spans="1:29">
      <c r="A8" s="600" t="s">
        <v>1329</v>
      </c>
      <c r="B8" s="300" t="s">
        <v>1330</v>
      </c>
      <c r="C8" s="572"/>
      <c r="D8" s="572"/>
      <c r="E8" s="312"/>
      <c r="F8" s="313"/>
      <c r="G8" s="304"/>
      <c r="H8" s="299"/>
      <c r="I8" s="314">
        <v>16</v>
      </c>
      <c r="J8" s="303">
        <v>2000</v>
      </c>
      <c r="K8" s="304">
        <f t="shared" si="1"/>
        <v>125</v>
      </c>
      <c r="L8" s="314">
        <v>16</v>
      </c>
      <c r="M8" s="305">
        <f>AVERAGE(M5:M7)</f>
        <v>1942.2132034632066</v>
      </c>
      <c r="N8" s="304">
        <f t="shared" si="3"/>
        <v>121.38832521645041</v>
      </c>
      <c r="O8" s="306">
        <f t="shared" si="4"/>
        <v>0</v>
      </c>
      <c r="P8" s="307">
        <f t="shared" si="5"/>
        <v>-3.6116747835495886</v>
      </c>
      <c r="Q8" s="283">
        <f t="shared" si="6"/>
        <v>0.97110660173160324</v>
      </c>
      <c r="R8" s="571"/>
      <c r="S8" s="308"/>
      <c r="T8" s="308"/>
      <c r="U8" s="298"/>
      <c r="V8" s="309"/>
      <c r="W8" s="304"/>
      <c r="X8" s="304"/>
      <c r="Y8" s="570"/>
      <c r="Z8" s="570"/>
      <c r="AA8" s="306">
        <f t="shared" si="8"/>
        <v>-57.786796536793418</v>
      </c>
      <c r="AB8" s="283">
        <f t="shared" si="9"/>
        <v>0.97110660173160324</v>
      </c>
      <c r="AC8" s="571"/>
    </row>
    <row r="9" spans="1:29" ht="15.75" customHeight="1">
      <c r="A9" s="598" t="s">
        <v>1331</v>
      </c>
      <c r="B9" s="300" t="s">
        <v>40</v>
      </c>
      <c r="C9" s="594" t="s">
        <v>42</v>
      </c>
      <c r="D9" s="595"/>
      <c r="E9" s="300">
        <v>39.36</v>
      </c>
      <c r="F9" s="299">
        <v>2376</v>
      </c>
      <c r="G9" s="298">
        <f t="shared" ref="G9:G10" si="11">E9*F9</f>
        <v>93519.360000000001</v>
      </c>
      <c r="H9" s="301" t="s">
        <v>35</v>
      </c>
      <c r="I9" s="302">
        <v>20</v>
      </c>
      <c r="J9" s="303">
        <v>1500</v>
      </c>
      <c r="K9" s="304">
        <f t="shared" si="1"/>
        <v>75</v>
      </c>
      <c r="L9" s="302">
        <v>20</v>
      </c>
      <c r="M9" s="305">
        <f t="shared" ref="M9:M10" si="12">F9/V9*60</f>
        <v>1439.9999999999998</v>
      </c>
      <c r="N9" s="304">
        <f t="shared" si="3"/>
        <v>71.999999999999986</v>
      </c>
      <c r="O9" s="306">
        <f t="shared" si="4"/>
        <v>0</v>
      </c>
      <c r="P9" s="307">
        <f t="shared" si="5"/>
        <v>-3.0000000000000142</v>
      </c>
      <c r="Q9" s="283">
        <f t="shared" si="6"/>
        <v>0.95999999999999985</v>
      </c>
      <c r="R9" s="571">
        <f>Q11</f>
        <v>0.95745762711864391</v>
      </c>
      <c r="S9" s="308">
        <v>0.20833333333333334</v>
      </c>
      <c r="T9" s="308">
        <v>0.27708333333333335</v>
      </c>
      <c r="U9" s="298"/>
      <c r="V9" s="309">
        <f t="shared" ref="V9:V10" si="13">(T9-S9)*24*60</f>
        <v>99.000000000000014</v>
      </c>
      <c r="W9" s="310"/>
      <c r="X9" s="310"/>
      <c r="Y9" s="570"/>
      <c r="Z9" s="570"/>
      <c r="AA9" s="306">
        <f t="shared" si="8"/>
        <v>-60.000000000000227</v>
      </c>
      <c r="AB9" s="283">
        <f t="shared" si="9"/>
        <v>0.95999999999999985</v>
      </c>
      <c r="AC9" s="571">
        <f>AB11</f>
        <v>0.95745762711864402</v>
      </c>
    </row>
    <row r="10" spans="1:29" ht="15.75" customHeight="1">
      <c r="A10" s="598" t="s">
        <v>1332</v>
      </c>
      <c r="B10" s="300" t="s">
        <v>40</v>
      </c>
      <c r="C10" s="594" t="s">
        <v>41</v>
      </c>
      <c r="D10" s="595"/>
      <c r="E10" s="300">
        <v>39.799999999999997</v>
      </c>
      <c r="F10" s="299">
        <v>5634</v>
      </c>
      <c r="G10" s="298">
        <f t="shared" si="11"/>
        <v>224233.19999999998</v>
      </c>
      <c r="H10" s="301" t="s">
        <v>35</v>
      </c>
      <c r="I10" s="302">
        <v>17</v>
      </c>
      <c r="J10" s="303">
        <v>1500</v>
      </c>
      <c r="K10" s="304">
        <f t="shared" si="1"/>
        <v>88.235294117647058</v>
      </c>
      <c r="L10" s="302">
        <v>17</v>
      </c>
      <c r="M10" s="305">
        <f t="shared" si="12"/>
        <v>1432.3728813559323</v>
      </c>
      <c r="N10" s="304">
        <f t="shared" si="3"/>
        <v>84.257228315054846</v>
      </c>
      <c r="O10" s="306">
        <f t="shared" si="4"/>
        <v>0</v>
      </c>
      <c r="P10" s="307">
        <f t="shared" si="5"/>
        <v>-3.9780658025922122</v>
      </c>
      <c r="Q10" s="283">
        <f t="shared" si="6"/>
        <v>0.95491525423728829</v>
      </c>
      <c r="R10" s="571"/>
      <c r="S10" s="308">
        <v>0.28263888888888888</v>
      </c>
      <c r="T10" s="308">
        <v>0.44652777777777775</v>
      </c>
      <c r="U10" s="298">
        <f t="shared" ref="U10" si="14">IF(S10=TIME(17,0,0),"",(S10-T9)*24*60)</f>
        <v>7.9999999999999716</v>
      </c>
      <c r="V10" s="309">
        <f t="shared" si="13"/>
        <v>235.99999999999997</v>
      </c>
      <c r="W10" s="310"/>
      <c r="X10" s="310"/>
      <c r="Y10" s="570"/>
      <c r="Z10" s="570"/>
      <c r="AA10" s="306">
        <f t="shared" si="8"/>
        <v>-67.62711864406765</v>
      </c>
      <c r="AB10" s="283">
        <f t="shared" si="9"/>
        <v>0.95491525423728818</v>
      </c>
      <c r="AC10" s="571"/>
    </row>
    <row r="11" spans="1:29" ht="16.5" customHeight="1">
      <c r="A11" s="598" t="s">
        <v>1332</v>
      </c>
      <c r="B11" s="300" t="s">
        <v>1330</v>
      </c>
      <c r="C11" s="572"/>
      <c r="D11" s="572"/>
      <c r="E11" s="312"/>
      <c r="F11" s="303"/>
      <c r="G11" s="305"/>
      <c r="H11" s="299"/>
      <c r="I11" s="314">
        <v>18.5</v>
      </c>
      <c r="J11" s="303">
        <v>1500</v>
      </c>
      <c r="K11" s="304">
        <f t="shared" si="1"/>
        <v>81.081081081081081</v>
      </c>
      <c r="L11" s="314">
        <v>18.5</v>
      </c>
      <c r="M11" s="305">
        <f>AVERAGE(M9:M10)</f>
        <v>1436.1864406779659</v>
      </c>
      <c r="N11" s="304">
        <f t="shared" si="3"/>
        <v>77.631699496106265</v>
      </c>
      <c r="O11" s="306">
        <f t="shared" si="4"/>
        <v>0</v>
      </c>
      <c r="P11" s="307">
        <f t="shared" si="5"/>
        <v>-3.449381584974816</v>
      </c>
      <c r="Q11" s="283">
        <f t="shared" si="6"/>
        <v>0.95745762711864391</v>
      </c>
      <c r="R11" s="571"/>
      <c r="S11" s="308"/>
      <c r="T11" s="308"/>
      <c r="U11" s="304"/>
      <c r="V11" s="309"/>
      <c r="W11" s="304"/>
      <c r="X11" s="304"/>
      <c r="Y11" s="570"/>
      <c r="Z11" s="570"/>
      <c r="AA11" s="306">
        <f t="shared" si="8"/>
        <v>-63.813559322034052</v>
      </c>
      <c r="AB11" s="283">
        <f t="shared" si="9"/>
        <v>0.95745762711864402</v>
      </c>
      <c r="AC11" s="571"/>
    </row>
    <row r="12" spans="1:29" ht="16.5" customHeight="1">
      <c r="A12" s="596" t="s">
        <v>1333</v>
      </c>
      <c r="B12" s="299" t="s">
        <v>43</v>
      </c>
      <c r="C12" s="590" t="s">
        <v>44</v>
      </c>
      <c r="D12" s="590"/>
      <c r="E12" s="300">
        <v>41</v>
      </c>
      <c r="F12" s="299">
        <v>1857</v>
      </c>
      <c r="G12" s="298">
        <f t="shared" ref="G12:G16" si="15">E12*F12</f>
        <v>76137</v>
      </c>
      <c r="H12" s="301" t="s">
        <v>35</v>
      </c>
      <c r="I12" s="302">
        <v>26</v>
      </c>
      <c r="J12" s="303">
        <v>1500</v>
      </c>
      <c r="K12" s="304">
        <f t="shared" si="1"/>
        <v>57.692307692307693</v>
      </c>
      <c r="L12" s="302">
        <v>26</v>
      </c>
      <c r="M12" s="305">
        <f t="shared" ref="M12:M16" si="16">F12/V12*60</f>
        <v>1447.0129870129867</v>
      </c>
      <c r="N12" s="304">
        <f t="shared" si="3"/>
        <v>55.654345654345647</v>
      </c>
      <c r="O12" s="306">
        <f t="shared" si="4"/>
        <v>0</v>
      </c>
      <c r="P12" s="307">
        <f t="shared" si="5"/>
        <v>-2.0379620379620462</v>
      </c>
      <c r="Q12" s="283">
        <f t="shared" si="6"/>
        <v>0.96467532467532457</v>
      </c>
      <c r="R12" s="571">
        <f>Q17</f>
        <v>0.95964305739893963</v>
      </c>
      <c r="S12" s="308">
        <v>8.3333333333333329E-2</v>
      </c>
      <c r="T12" s="308">
        <v>0.13680555555555557</v>
      </c>
      <c r="U12" s="298"/>
      <c r="V12" s="309">
        <f t="shared" ref="V12:V16" si="17">(T12-S12)*24*60</f>
        <v>77.000000000000014</v>
      </c>
      <c r="W12" s="310">
        <f>T12</f>
        <v>0.13680555555555557</v>
      </c>
      <c r="X12" s="310">
        <f>S13</f>
        <v>0.15694444444444447</v>
      </c>
      <c r="Y12" s="570"/>
      <c r="Z12" s="570"/>
      <c r="AA12" s="306">
        <f t="shared" si="8"/>
        <v>-52.987012987013259</v>
      </c>
      <c r="AB12" s="283">
        <f t="shared" si="9"/>
        <v>0.96467532467532446</v>
      </c>
      <c r="AC12" s="571">
        <f>AB17</f>
        <v>0.95964305739893951</v>
      </c>
    </row>
    <row r="13" spans="1:29" ht="16.5" customHeight="1">
      <c r="A13" s="597" t="s">
        <v>1334</v>
      </c>
      <c r="B13" s="299" t="s">
        <v>40</v>
      </c>
      <c r="C13" s="590" t="s">
        <v>45</v>
      </c>
      <c r="D13" s="590"/>
      <c r="E13" s="300">
        <v>39.619999999999997</v>
      </c>
      <c r="F13" s="299">
        <v>3856</v>
      </c>
      <c r="G13" s="298">
        <f t="shared" si="15"/>
        <v>152774.72</v>
      </c>
      <c r="H13" s="301" t="s">
        <v>35</v>
      </c>
      <c r="I13" s="302">
        <v>19</v>
      </c>
      <c r="J13" s="303">
        <v>1500</v>
      </c>
      <c r="K13" s="304">
        <f t="shared" si="1"/>
        <v>78.94736842105263</v>
      </c>
      <c r="L13" s="302">
        <v>19</v>
      </c>
      <c r="M13" s="305">
        <f t="shared" si="16"/>
        <v>1437.0186335403728</v>
      </c>
      <c r="N13" s="304">
        <f t="shared" si="3"/>
        <v>75.632559660019623</v>
      </c>
      <c r="O13" s="306">
        <f t="shared" si="4"/>
        <v>0</v>
      </c>
      <c r="P13" s="307">
        <f t="shared" si="5"/>
        <v>-3.3148087610330066</v>
      </c>
      <c r="Q13" s="283">
        <f t="shared" si="6"/>
        <v>0.95801242236024853</v>
      </c>
      <c r="R13" s="571"/>
      <c r="S13" s="308">
        <v>0.15694444444444447</v>
      </c>
      <c r="T13" s="308">
        <v>0.26875000000000004</v>
      </c>
      <c r="U13" s="298">
        <f t="shared" ref="U13:U16" si="18">IF(S13=TIME(17,0,0),"",(S13-T12)*24*60)</f>
        <v>29.000000000000018</v>
      </c>
      <c r="V13" s="309">
        <f t="shared" si="17"/>
        <v>161</v>
      </c>
      <c r="W13" s="310"/>
      <c r="X13" s="310"/>
      <c r="Y13" s="570"/>
      <c r="Z13" s="570"/>
      <c r="AA13" s="306">
        <f t="shared" si="8"/>
        <v>-62.981366459627225</v>
      </c>
      <c r="AB13" s="283">
        <f t="shared" si="9"/>
        <v>0.95801242236024853</v>
      </c>
      <c r="AC13" s="571"/>
    </row>
    <row r="14" spans="1:29" ht="16.5" customHeight="1">
      <c r="A14" s="597" t="s">
        <v>1334</v>
      </c>
      <c r="B14" s="299" t="s">
        <v>1182</v>
      </c>
      <c r="C14" s="590" t="s">
        <v>1041</v>
      </c>
      <c r="D14" s="590"/>
      <c r="E14" s="300">
        <v>57.3</v>
      </c>
      <c r="F14" s="299">
        <v>1810</v>
      </c>
      <c r="G14" s="298">
        <f t="shared" si="15"/>
        <v>103713</v>
      </c>
      <c r="H14" s="301" t="s">
        <v>35</v>
      </c>
      <c r="I14" s="302">
        <v>17</v>
      </c>
      <c r="J14" s="303">
        <v>1500</v>
      </c>
      <c r="K14" s="304">
        <f t="shared" si="1"/>
        <v>88.235294117647058</v>
      </c>
      <c r="L14" s="302">
        <v>17</v>
      </c>
      <c r="M14" s="305">
        <f t="shared" si="16"/>
        <v>1428.9473684210532</v>
      </c>
      <c r="N14" s="304">
        <f t="shared" si="3"/>
        <v>84.055727554179597</v>
      </c>
      <c r="O14" s="306">
        <f t="shared" si="4"/>
        <v>0</v>
      </c>
      <c r="P14" s="307">
        <f t="shared" si="5"/>
        <v>-4.1795665634674606</v>
      </c>
      <c r="Q14" s="283">
        <f t="shared" si="6"/>
        <v>0.95263157894736883</v>
      </c>
      <c r="R14" s="571"/>
      <c r="S14" s="308">
        <v>0.2729166666666667</v>
      </c>
      <c r="T14" s="308">
        <v>0.32569444444444445</v>
      </c>
      <c r="U14" s="298">
        <f t="shared" si="18"/>
        <v>5.9999999999999787</v>
      </c>
      <c r="V14" s="309">
        <f t="shared" si="17"/>
        <v>75.999999999999972</v>
      </c>
      <c r="W14" s="310"/>
      <c r="X14" s="310"/>
      <c r="Y14" s="570"/>
      <c r="Z14" s="570"/>
      <c r="AA14" s="306">
        <f t="shared" si="8"/>
        <v>-71.05263157894683</v>
      </c>
      <c r="AB14" s="283">
        <f t="shared" si="9"/>
        <v>0.95263157894736883</v>
      </c>
      <c r="AC14" s="571"/>
    </row>
    <row r="15" spans="1:29" ht="16.5" customHeight="1">
      <c r="A15" s="597" t="s">
        <v>1334</v>
      </c>
      <c r="B15" s="299" t="s">
        <v>36</v>
      </c>
      <c r="C15" s="590" t="s">
        <v>49</v>
      </c>
      <c r="D15" s="590"/>
      <c r="E15" s="300">
        <v>50.98</v>
      </c>
      <c r="F15" s="299">
        <v>2284</v>
      </c>
      <c r="G15" s="298">
        <f t="shared" si="15"/>
        <v>116438.31999999999</v>
      </c>
      <c r="H15" s="301" t="s">
        <v>35</v>
      </c>
      <c r="I15" s="302">
        <v>16</v>
      </c>
      <c r="J15" s="303">
        <v>2000</v>
      </c>
      <c r="K15" s="304">
        <f t="shared" si="1"/>
        <v>125</v>
      </c>
      <c r="L15" s="302">
        <v>16</v>
      </c>
      <c r="M15" s="305">
        <f t="shared" si="16"/>
        <v>1930.1408450704207</v>
      </c>
      <c r="N15" s="304">
        <f t="shared" si="3"/>
        <v>120.63380281690129</v>
      </c>
      <c r="O15" s="306">
        <f t="shared" si="4"/>
        <v>0</v>
      </c>
      <c r="P15" s="307">
        <f t="shared" si="5"/>
        <v>-4.3661971830987056</v>
      </c>
      <c r="Q15" s="283">
        <f t="shared" si="6"/>
        <v>0.96507042253521036</v>
      </c>
      <c r="R15" s="571"/>
      <c r="S15" s="308">
        <v>0.70833333333333337</v>
      </c>
      <c r="T15" s="308">
        <v>0.75763888888888897</v>
      </c>
      <c r="U15" s="298" t="str">
        <f t="shared" si="18"/>
        <v/>
      </c>
      <c r="V15" s="309">
        <f t="shared" si="17"/>
        <v>71.000000000000071</v>
      </c>
      <c r="W15" s="310"/>
      <c r="X15" s="310"/>
      <c r="Y15" s="570"/>
      <c r="Z15" s="570"/>
      <c r="AA15" s="306">
        <f t="shared" si="8"/>
        <v>-69.85915492957929</v>
      </c>
      <c r="AB15" s="283">
        <f t="shared" si="9"/>
        <v>0.96507042253521036</v>
      </c>
      <c r="AC15" s="571"/>
    </row>
    <row r="16" spans="1:29" ht="16.5" customHeight="1">
      <c r="A16" s="597" t="s">
        <v>1334</v>
      </c>
      <c r="B16" s="299" t="s">
        <v>36</v>
      </c>
      <c r="C16" s="590" t="s">
        <v>50</v>
      </c>
      <c r="D16" s="590"/>
      <c r="E16" s="300">
        <v>50.92</v>
      </c>
      <c r="F16" s="299">
        <v>2488</v>
      </c>
      <c r="G16" s="298">
        <f t="shared" si="15"/>
        <v>126688.96000000001</v>
      </c>
      <c r="H16" s="301" t="s">
        <v>35</v>
      </c>
      <c r="I16" s="302">
        <v>15</v>
      </c>
      <c r="J16" s="303">
        <v>2000</v>
      </c>
      <c r="K16" s="304">
        <f t="shared" si="1"/>
        <v>133.33333333333334</v>
      </c>
      <c r="L16" s="302">
        <v>15</v>
      </c>
      <c r="M16" s="305">
        <f t="shared" si="16"/>
        <v>1913.8461538461529</v>
      </c>
      <c r="N16" s="304">
        <f t="shared" si="3"/>
        <v>127.58974358974352</v>
      </c>
      <c r="O16" s="306">
        <f t="shared" si="4"/>
        <v>0</v>
      </c>
      <c r="P16" s="307">
        <f t="shared" si="5"/>
        <v>-5.7435897435898227</v>
      </c>
      <c r="Q16" s="283">
        <f t="shared" si="6"/>
        <v>0.95692307692307632</v>
      </c>
      <c r="R16" s="571"/>
      <c r="S16" s="308">
        <v>0.76180555555555562</v>
      </c>
      <c r="T16" s="308">
        <v>0.81597222222222232</v>
      </c>
      <c r="U16" s="298">
        <f t="shared" si="18"/>
        <v>5.9999999999999787</v>
      </c>
      <c r="V16" s="309">
        <f t="shared" si="17"/>
        <v>78.000000000000043</v>
      </c>
      <c r="W16" s="310"/>
      <c r="X16" s="310"/>
      <c r="Y16" s="570"/>
      <c r="Z16" s="570"/>
      <c r="AA16" s="306">
        <f t="shared" si="8"/>
        <v>-86.153846153847098</v>
      </c>
      <c r="AB16" s="283">
        <f t="shared" si="9"/>
        <v>0.95692307692307643</v>
      </c>
      <c r="AC16" s="571"/>
    </row>
    <row r="17" spans="1:29" ht="16.5" customHeight="1">
      <c r="A17" s="597" t="s">
        <v>1334</v>
      </c>
      <c r="B17" s="300" t="s">
        <v>1335</v>
      </c>
      <c r="C17" s="572"/>
      <c r="D17" s="572"/>
      <c r="E17" s="312"/>
      <c r="F17" s="313"/>
      <c r="G17" s="304"/>
      <c r="H17" s="299"/>
      <c r="I17" s="314">
        <v>18.600000000000001</v>
      </c>
      <c r="J17" s="303">
        <v>1700</v>
      </c>
      <c r="K17" s="304">
        <f t="shared" si="1"/>
        <v>91.397849462365585</v>
      </c>
      <c r="L17" s="314">
        <v>18.600000000000001</v>
      </c>
      <c r="M17" s="305">
        <f>AVERAGE(M12:M16)</f>
        <v>1631.3931975781973</v>
      </c>
      <c r="N17" s="304">
        <f t="shared" si="3"/>
        <v>87.70931169775254</v>
      </c>
      <c r="O17" s="306">
        <f t="shared" si="4"/>
        <v>0</v>
      </c>
      <c r="P17" s="307">
        <f t="shared" si="5"/>
        <v>-3.6885377646130451</v>
      </c>
      <c r="Q17" s="283">
        <f t="shared" si="6"/>
        <v>0.95964305739893963</v>
      </c>
      <c r="R17" s="571"/>
      <c r="S17" s="308"/>
      <c r="T17" s="308"/>
      <c r="U17" s="298"/>
      <c r="V17" s="309"/>
      <c r="W17" s="304"/>
      <c r="X17" s="304"/>
      <c r="Y17" s="570"/>
      <c r="Z17" s="570"/>
      <c r="AA17" s="306">
        <f t="shared" si="8"/>
        <v>-68.60680242180274</v>
      </c>
      <c r="AB17" s="283">
        <f t="shared" si="9"/>
        <v>0.95964305739893951</v>
      </c>
      <c r="AC17" s="571"/>
    </row>
    <row r="18" spans="1:29" ht="15.75" customHeight="1">
      <c r="A18" s="592" t="s">
        <v>1336</v>
      </c>
      <c r="B18" s="300" t="s">
        <v>43</v>
      </c>
      <c r="C18" s="590" t="s">
        <v>51</v>
      </c>
      <c r="D18" s="590"/>
      <c r="E18" s="300">
        <v>43.14</v>
      </c>
      <c r="F18" s="299">
        <v>1076</v>
      </c>
      <c r="G18" s="298">
        <f t="shared" ref="G18:G21" si="19">E18*F18</f>
        <v>46418.64</v>
      </c>
      <c r="H18" s="301" t="s">
        <v>35</v>
      </c>
      <c r="I18" s="302">
        <v>17</v>
      </c>
      <c r="J18" s="303">
        <v>2000</v>
      </c>
      <c r="K18" s="304">
        <f t="shared" si="1"/>
        <v>117.64705882352941</v>
      </c>
      <c r="L18" s="302">
        <v>17</v>
      </c>
      <c r="M18" s="305">
        <f t="shared" ref="M18:M21" si="20">F18/V18*60</f>
        <v>1956.3636363636365</v>
      </c>
      <c r="N18" s="304">
        <f t="shared" si="3"/>
        <v>115.08021390374333</v>
      </c>
      <c r="O18" s="306">
        <f t="shared" si="4"/>
        <v>0</v>
      </c>
      <c r="P18" s="307">
        <f t="shared" si="5"/>
        <v>-2.5668449197860781</v>
      </c>
      <c r="Q18" s="283">
        <f t="shared" si="6"/>
        <v>0.97818181818181837</v>
      </c>
      <c r="R18" s="571">
        <f>Q22</f>
        <v>0.96360096504435833</v>
      </c>
      <c r="S18" s="308">
        <v>0.20833333333333334</v>
      </c>
      <c r="T18" s="308">
        <v>0.23125000000000001</v>
      </c>
      <c r="U18" s="298"/>
      <c r="V18" s="309">
        <f t="shared" ref="V18:V21" si="21">(T18-S18)*24*60</f>
        <v>33</v>
      </c>
      <c r="W18" s="315"/>
      <c r="X18" s="315"/>
      <c r="Y18" s="570"/>
      <c r="Z18" s="570"/>
      <c r="AA18" s="306">
        <f t="shared" si="8"/>
        <v>-43.636363636363512</v>
      </c>
      <c r="AB18" s="283">
        <f t="shared" si="9"/>
        <v>0.97818181818181826</v>
      </c>
      <c r="AC18" s="571">
        <f>AB22</f>
        <v>0.96360096504435833</v>
      </c>
    </row>
    <row r="19" spans="1:29" ht="15.75" customHeight="1">
      <c r="A19" s="593" t="s">
        <v>1336</v>
      </c>
      <c r="B19" s="300" t="s">
        <v>36</v>
      </c>
      <c r="C19" s="590" t="s">
        <v>53</v>
      </c>
      <c r="D19" s="590"/>
      <c r="E19" s="300">
        <v>53.68</v>
      </c>
      <c r="F19" s="299">
        <v>1508</v>
      </c>
      <c r="G19" s="298">
        <f t="shared" si="19"/>
        <v>80949.440000000002</v>
      </c>
      <c r="H19" s="301" t="s">
        <v>35</v>
      </c>
      <c r="I19" s="302">
        <v>16</v>
      </c>
      <c r="J19" s="303">
        <v>2000</v>
      </c>
      <c r="K19" s="304">
        <f t="shared" si="1"/>
        <v>125</v>
      </c>
      <c r="L19" s="302">
        <v>16</v>
      </c>
      <c r="M19" s="305">
        <f t="shared" si="20"/>
        <v>1925.1063829787238</v>
      </c>
      <c r="N19" s="304">
        <f t="shared" si="3"/>
        <v>120.31914893617024</v>
      </c>
      <c r="O19" s="306">
        <f t="shared" si="4"/>
        <v>0</v>
      </c>
      <c r="P19" s="307">
        <f t="shared" si="5"/>
        <v>-4.6808510638297633</v>
      </c>
      <c r="Q19" s="283">
        <f t="shared" si="6"/>
        <v>0.96255319148936191</v>
      </c>
      <c r="R19" s="571"/>
      <c r="S19" s="308">
        <v>0.23472222222222222</v>
      </c>
      <c r="T19" s="308">
        <v>0.2673611111111111</v>
      </c>
      <c r="U19" s="298">
        <f t="shared" ref="U19:U21" si="22">IF(S19=TIME(17,0,0),"",(S19-T18)*24*60)</f>
        <v>4.9999999999999822</v>
      </c>
      <c r="V19" s="309">
        <f t="shared" si="21"/>
        <v>46.999999999999993</v>
      </c>
      <c r="W19" s="310"/>
      <c r="X19" s="298"/>
      <c r="Y19" s="570"/>
      <c r="Z19" s="570"/>
      <c r="AA19" s="306">
        <f t="shared" si="8"/>
        <v>-74.893617021276214</v>
      </c>
      <c r="AB19" s="283">
        <f t="shared" si="9"/>
        <v>0.96255319148936191</v>
      </c>
      <c r="AC19" s="571"/>
    </row>
    <row r="20" spans="1:29" ht="15.75" customHeight="1">
      <c r="A20" s="593" t="s">
        <v>1336</v>
      </c>
      <c r="B20" s="300" t="s">
        <v>36</v>
      </c>
      <c r="C20" s="590" t="s">
        <v>52</v>
      </c>
      <c r="D20" s="590"/>
      <c r="E20" s="300">
        <v>57.73</v>
      </c>
      <c r="F20" s="299">
        <v>2328</v>
      </c>
      <c r="G20" s="298">
        <f t="shared" si="19"/>
        <v>134395.44</v>
      </c>
      <c r="H20" s="301" t="s">
        <v>35</v>
      </c>
      <c r="I20" s="302">
        <v>15</v>
      </c>
      <c r="J20" s="303">
        <v>2000</v>
      </c>
      <c r="K20" s="304">
        <f t="shared" si="1"/>
        <v>133.33333333333334</v>
      </c>
      <c r="L20" s="302">
        <v>15</v>
      </c>
      <c r="M20" s="305">
        <f t="shared" si="20"/>
        <v>1913.424657534247</v>
      </c>
      <c r="N20" s="304">
        <f t="shared" si="3"/>
        <v>127.56164383561647</v>
      </c>
      <c r="O20" s="306">
        <f t="shared" si="4"/>
        <v>0</v>
      </c>
      <c r="P20" s="307">
        <f t="shared" si="5"/>
        <v>-5.7716894977168778</v>
      </c>
      <c r="Q20" s="283">
        <f t="shared" si="6"/>
        <v>0.95671232876712342</v>
      </c>
      <c r="R20" s="571"/>
      <c r="S20" s="308">
        <v>0.27291666666666664</v>
      </c>
      <c r="T20" s="308">
        <v>0.32361111111111107</v>
      </c>
      <c r="U20" s="298">
        <f t="shared" si="22"/>
        <v>7.9999999999999716</v>
      </c>
      <c r="V20" s="309">
        <f t="shared" si="21"/>
        <v>72.999999999999986</v>
      </c>
      <c r="W20" s="310"/>
      <c r="X20" s="298"/>
      <c r="Y20" s="570"/>
      <c r="Z20" s="570"/>
      <c r="AA20" s="306">
        <f t="shared" si="8"/>
        <v>-86.57534246575301</v>
      </c>
      <c r="AB20" s="283">
        <f t="shared" si="9"/>
        <v>0.95671232876712353</v>
      </c>
      <c r="AC20" s="571"/>
    </row>
    <row r="21" spans="1:29" ht="15.75" customHeight="1">
      <c r="A21" s="593" t="s">
        <v>1336</v>
      </c>
      <c r="B21" s="300" t="s">
        <v>36</v>
      </c>
      <c r="C21" s="590" t="s">
        <v>55</v>
      </c>
      <c r="D21" s="590"/>
      <c r="E21" s="300">
        <v>54.09</v>
      </c>
      <c r="F21" s="299">
        <v>2201</v>
      </c>
      <c r="G21" s="298">
        <f t="shared" si="19"/>
        <v>119052.09000000001</v>
      </c>
      <c r="H21" s="301" t="s">
        <v>35</v>
      </c>
      <c r="I21" s="302">
        <v>19</v>
      </c>
      <c r="J21" s="303">
        <v>2000</v>
      </c>
      <c r="K21" s="304">
        <f t="shared" si="1"/>
        <v>105.26315789473684</v>
      </c>
      <c r="L21" s="302">
        <v>19</v>
      </c>
      <c r="M21" s="305">
        <f t="shared" si="20"/>
        <v>1913.9130434782589</v>
      </c>
      <c r="N21" s="304">
        <f t="shared" si="3"/>
        <v>100.73226544622416</v>
      </c>
      <c r="O21" s="306">
        <f t="shared" si="4"/>
        <v>0</v>
      </c>
      <c r="P21" s="307">
        <f t="shared" si="5"/>
        <v>-4.5308924485126738</v>
      </c>
      <c r="Q21" s="283">
        <f t="shared" si="6"/>
        <v>0.9569565217391296</v>
      </c>
      <c r="R21" s="571"/>
      <c r="S21" s="308">
        <v>0.70833333333333337</v>
      </c>
      <c r="T21" s="308">
        <v>0.75625000000000009</v>
      </c>
      <c r="U21" s="298" t="str">
        <f t="shared" si="22"/>
        <v/>
      </c>
      <c r="V21" s="309">
        <f t="shared" si="21"/>
        <v>69.000000000000071</v>
      </c>
      <c r="W21" s="310"/>
      <c r="X21" s="298"/>
      <c r="Y21" s="570"/>
      <c r="Z21" s="570"/>
      <c r="AA21" s="306">
        <f t="shared" si="8"/>
        <v>-86.086956521741058</v>
      </c>
      <c r="AB21" s="283">
        <f t="shared" si="9"/>
        <v>0.95695652173912948</v>
      </c>
      <c r="AC21" s="571"/>
    </row>
    <row r="22" spans="1:29" ht="15.75" customHeight="1">
      <c r="A22" s="593" t="s">
        <v>1336</v>
      </c>
      <c r="B22" s="300" t="s">
        <v>1335</v>
      </c>
      <c r="C22" s="572"/>
      <c r="D22" s="572"/>
      <c r="E22" s="312"/>
      <c r="F22" s="299"/>
      <c r="G22" s="298"/>
      <c r="H22" s="299"/>
      <c r="I22" s="314">
        <v>16.75</v>
      </c>
      <c r="J22" s="303">
        <v>2000</v>
      </c>
      <c r="K22" s="304">
        <f t="shared" si="1"/>
        <v>119.40298507462687</v>
      </c>
      <c r="L22" s="314">
        <v>16.75</v>
      </c>
      <c r="M22" s="305">
        <f>AVERAGE(M18:M21)</f>
        <v>1927.2019300887166</v>
      </c>
      <c r="N22" s="304">
        <f t="shared" si="3"/>
        <v>115.05683164708756</v>
      </c>
      <c r="O22" s="306">
        <f t="shared" si="4"/>
        <v>0</v>
      </c>
      <c r="P22" s="307">
        <f t="shared" si="5"/>
        <v>-4.3461534275393063</v>
      </c>
      <c r="Q22" s="283">
        <f t="shared" si="6"/>
        <v>0.96360096504435833</v>
      </c>
      <c r="R22" s="571"/>
      <c r="S22" s="308"/>
      <c r="T22" s="308"/>
      <c r="U22" s="304"/>
      <c r="V22" s="309"/>
      <c r="W22" s="304"/>
      <c r="X22" s="304"/>
      <c r="Y22" s="570"/>
      <c r="Z22" s="570"/>
      <c r="AA22" s="306">
        <f t="shared" si="8"/>
        <v>-72.798069911283392</v>
      </c>
      <c r="AB22" s="283">
        <f t="shared" si="9"/>
        <v>0.96360096504435833</v>
      </c>
      <c r="AC22" s="571"/>
    </row>
    <row r="23" spans="1:29" ht="15.75" customHeight="1">
      <c r="A23" s="591" t="s">
        <v>1337</v>
      </c>
      <c r="B23" s="300" t="s">
        <v>46</v>
      </c>
      <c r="C23" s="590" t="s">
        <v>61</v>
      </c>
      <c r="D23" s="590"/>
      <c r="E23" s="300">
        <v>31.29</v>
      </c>
      <c r="F23" s="299">
        <v>7434</v>
      </c>
      <c r="G23" s="298">
        <f t="shared" ref="G23:G27" si="23">E23*F23</f>
        <v>232609.86</v>
      </c>
      <c r="H23" s="301" t="s">
        <v>35</v>
      </c>
      <c r="I23" s="302">
        <v>18</v>
      </c>
      <c r="J23" s="303">
        <v>2400</v>
      </c>
      <c r="K23" s="304">
        <f t="shared" si="1"/>
        <v>133.33333333333334</v>
      </c>
      <c r="L23" s="302">
        <v>18</v>
      </c>
      <c r="M23" s="305">
        <f t="shared" ref="M23:M27" si="24">F23/V23*60</f>
        <v>2287.3846153846148</v>
      </c>
      <c r="N23" s="304">
        <f t="shared" si="3"/>
        <v>127.07692307692304</v>
      </c>
      <c r="O23" s="306">
        <f t="shared" si="4"/>
        <v>0</v>
      </c>
      <c r="P23" s="307">
        <f t="shared" si="5"/>
        <v>-6.2564102564103052</v>
      </c>
      <c r="Q23" s="283">
        <f t="shared" si="6"/>
        <v>0.95307692307692271</v>
      </c>
      <c r="R23" s="571">
        <f>Q28</f>
        <v>0.95711439775199203</v>
      </c>
      <c r="S23" s="308">
        <v>8.3333333333333329E-2</v>
      </c>
      <c r="T23" s="308">
        <v>0.21875</v>
      </c>
      <c r="U23" s="298"/>
      <c r="V23" s="309">
        <f t="shared" ref="V23:V27" si="25">(T23-S23)*24*60</f>
        <v>195.00000000000003</v>
      </c>
      <c r="W23" s="310"/>
      <c r="X23" s="310"/>
      <c r="Y23" s="570"/>
      <c r="Z23" s="570"/>
      <c r="AA23" s="306">
        <f t="shared" si="8"/>
        <v>-112.61538461538521</v>
      </c>
      <c r="AB23" s="283">
        <f t="shared" si="9"/>
        <v>0.95307692307692282</v>
      </c>
      <c r="AC23" s="571">
        <f>AB28</f>
        <v>0.95711439775199214</v>
      </c>
    </row>
    <row r="24" spans="1:29" ht="15.75" customHeight="1">
      <c r="A24" s="591" t="s">
        <v>1337</v>
      </c>
      <c r="B24" s="300" t="s">
        <v>46</v>
      </c>
      <c r="C24" s="590" t="s">
        <v>59</v>
      </c>
      <c r="D24" s="590"/>
      <c r="E24" s="300">
        <v>26.18</v>
      </c>
      <c r="F24" s="299">
        <v>3257</v>
      </c>
      <c r="G24" s="298">
        <f t="shared" si="23"/>
        <v>85268.26</v>
      </c>
      <c r="H24" s="301" t="s">
        <v>35</v>
      </c>
      <c r="I24" s="302">
        <v>19</v>
      </c>
      <c r="J24" s="303">
        <v>2400</v>
      </c>
      <c r="K24" s="304">
        <f t="shared" si="1"/>
        <v>126.31578947368421</v>
      </c>
      <c r="L24" s="302">
        <v>19</v>
      </c>
      <c r="M24" s="305">
        <f t="shared" si="24"/>
        <v>2299.0588235294122</v>
      </c>
      <c r="N24" s="304">
        <f t="shared" si="3"/>
        <v>121.00309597523221</v>
      </c>
      <c r="O24" s="306">
        <f t="shared" si="4"/>
        <v>0</v>
      </c>
      <c r="P24" s="307">
        <f t="shared" si="5"/>
        <v>-5.312693498451992</v>
      </c>
      <c r="Q24" s="283">
        <f t="shared" si="6"/>
        <v>0.95794117647058841</v>
      </c>
      <c r="R24" s="571"/>
      <c r="S24" s="308">
        <v>0.22291666666666668</v>
      </c>
      <c r="T24" s="308">
        <v>0.28194444444444444</v>
      </c>
      <c r="U24" s="298">
        <f t="shared" ref="U24:U27" si="26">(S24-T23)*24*60</f>
        <v>6.0000000000000187</v>
      </c>
      <c r="V24" s="309">
        <f t="shared" si="25"/>
        <v>84.999999999999972</v>
      </c>
      <c r="W24" s="310">
        <f>T24</f>
        <v>0.28194444444444444</v>
      </c>
      <c r="X24" s="310">
        <f>S25</f>
        <v>0.30069444444444443</v>
      </c>
      <c r="Y24" s="570"/>
      <c r="Z24" s="570"/>
      <c r="AA24" s="306">
        <f t="shared" si="8"/>
        <v>-100.94117647058783</v>
      </c>
      <c r="AB24" s="283">
        <f t="shared" si="9"/>
        <v>0.95794117647058841</v>
      </c>
      <c r="AC24" s="571"/>
    </row>
    <row r="25" spans="1:29" ht="15.75" customHeight="1">
      <c r="A25" s="591" t="s">
        <v>1337</v>
      </c>
      <c r="B25" s="300" t="s">
        <v>46</v>
      </c>
      <c r="C25" s="590" t="s">
        <v>60</v>
      </c>
      <c r="D25" s="590"/>
      <c r="E25" s="300">
        <v>26.2</v>
      </c>
      <c r="F25" s="299">
        <v>3904</v>
      </c>
      <c r="G25" s="298">
        <f t="shared" si="23"/>
        <v>102284.8</v>
      </c>
      <c r="H25" s="301" t="s">
        <v>35</v>
      </c>
      <c r="I25" s="302">
        <v>19</v>
      </c>
      <c r="J25" s="303">
        <v>2400</v>
      </c>
      <c r="K25" s="304">
        <f t="shared" si="1"/>
        <v>126.31578947368421</v>
      </c>
      <c r="L25" s="302">
        <v>19</v>
      </c>
      <c r="M25" s="305">
        <f t="shared" si="24"/>
        <v>2296.4705882352932</v>
      </c>
      <c r="N25" s="304">
        <f t="shared" si="3"/>
        <v>120.86687306501544</v>
      </c>
      <c r="O25" s="306">
        <f t="shared" si="4"/>
        <v>0</v>
      </c>
      <c r="P25" s="307">
        <f t="shared" si="5"/>
        <v>-5.4489164086687651</v>
      </c>
      <c r="Q25" s="283">
        <f t="shared" si="6"/>
        <v>0.95686274509803892</v>
      </c>
      <c r="R25" s="571"/>
      <c r="S25" s="308">
        <v>0.30069444444444443</v>
      </c>
      <c r="T25" s="308">
        <v>0.37152777777777779</v>
      </c>
      <c r="U25" s="298">
        <f t="shared" si="26"/>
        <v>26.999999999999986</v>
      </c>
      <c r="V25" s="309">
        <f t="shared" si="25"/>
        <v>102.00000000000004</v>
      </c>
      <c r="W25" s="310"/>
      <c r="X25" s="310"/>
      <c r="Y25" s="570"/>
      <c r="Z25" s="570"/>
      <c r="AA25" s="306">
        <f t="shared" si="8"/>
        <v>-103.52941176470677</v>
      </c>
      <c r="AB25" s="283">
        <f t="shared" si="9"/>
        <v>0.95686274509803881</v>
      </c>
      <c r="AC25" s="571"/>
    </row>
    <row r="26" spans="1:29" ht="15.75" customHeight="1">
      <c r="A26" s="591" t="s">
        <v>1337</v>
      </c>
      <c r="B26" s="300" t="s">
        <v>46</v>
      </c>
      <c r="C26" s="590" t="s">
        <v>56</v>
      </c>
      <c r="D26" s="590"/>
      <c r="E26" s="300">
        <v>26.2</v>
      </c>
      <c r="F26" s="299">
        <v>4143</v>
      </c>
      <c r="G26" s="298">
        <f t="shared" si="23"/>
        <v>108546.59999999999</v>
      </c>
      <c r="H26" s="301" t="s">
        <v>35</v>
      </c>
      <c r="I26" s="302">
        <v>20</v>
      </c>
      <c r="J26" s="303">
        <v>2400</v>
      </c>
      <c r="K26" s="304">
        <f t="shared" si="1"/>
        <v>120</v>
      </c>
      <c r="L26" s="302">
        <v>20</v>
      </c>
      <c r="M26" s="305">
        <f t="shared" si="24"/>
        <v>2301.6666666666665</v>
      </c>
      <c r="N26" s="304">
        <f t="shared" si="3"/>
        <v>115.08333333333333</v>
      </c>
      <c r="O26" s="306">
        <f t="shared" si="4"/>
        <v>0</v>
      </c>
      <c r="P26" s="307">
        <f t="shared" si="5"/>
        <v>-4.9166666666666714</v>
      </c>
      <c r="Q26" s="283">
        <f t="shared" si="6"/>
        <v>0.9590277777777777</v>
      </c>
      <c r="R26" s="571"/>
      <c r="S26" s="308">
        <v>0.37708333333333333</v>
      </c>
      <c r="T26" s="308">
        <v>0.45208333333333334</v>
      </c>
      <c r="U26" s="298">
        <f t="shared" si="26"/>
        <v>7.9999999999999716</v>
      </c>
      <c r="V26" s="309">
        <f t="shared" si="25"/>
        <v>108.00000000000001</v>
      </c>
      <c r="W26" s="310"/>
      <c r="X26" s="310"/>
      <c r="Y26" s="570"/>
      <c r="Z26" s="570"/>
      <c r="AA26" s="306">
        <f t="shared" si="8"/>
        <v>-98.333333333333485</v>
      </c>
      <c r="AB26" s="283">
        <f t="shared" si="9"/>
        <v>0.9590277777777777</v>
      </c>
      <c r="AC26" s="571"/>
    </row>
    <row r="27" spans="1:29" ht="15.75" customHeight="1">
      <c r="A27" s="591" t="s">
        <v>1337</v>
      </c>
      <c r="B27" s="300" t="s">
        <v>46</v>
      </c>
      <c r="C27" s="590" t="s">
        <v>62</v>
      </c>
      <c r="D27" s="590"/>
      <c r="E27" s="300">
        <v>25</v>
      </c>
      <c r="F27" s="299">
        <v>3873</v>
      </c>
      <c r="G27" s="298">
        <f t="shared" si="23"/>
        <v>96825</v>
      </c>
      <c r="H27" s="301" t="s">
        <v>35</v>
      </c>
      <c r="I27" s="302">
        <v>15</v>
      </c>
      <c r="J27" s="303">
        <v>2400</v>
      </c>
      <c r="K27" s="304">
        <f t="shared" si="1"/>
        <v>160</v>
      </c>
      <c r="L27" s="302">
        <v>15</v>
      </c>
      <c r="M27" s="305">
        <f t="shared" si="24"/>
        <v>2300.7920792079199</v>
      </c>
      <c r="N27" s="304">
        <f t="shared" si="3"/>
        <v>153.38613861386133</v>
      </c>
      <c r="O27" s="306">
        <f t="shared" si="4"/>
        <v>0</v>
      </c>
      <c r="P27" s="307">
        <f t="shared" si="5"/>
        <v>-6.6138613861386659</v>
      </c>
      <c r="Q27" s="283">
        <f t="shared" si="6"/>
        <v>0.95866336633663329</v>
      </c>
      <c r="R27" s="571"/>
      <c r="S27" s="308">
        <v>0.45555555555555555</v>
      </c>
      <c r="T27" s="308">
        <v>0.52569444444444446</v>
      </c>
      <c r="U27" s="298">
        <f t="shared" si="26"/>
        <v>4.9999999999999822</v>
      </c>
      <c r="V27" s="309">
        <f t="shared" si="25"/>
        <v>101.00000000000004</v>
      </c>
      <c r="W27" s="310"/>
      <c r="X27" s="310"/>
      <c r="Y27" s="570"/>
      <c r="Z27" s="570"/>
      <c r="AA27" s="306">
        <f t="shared" si="8"/>
        <v>-99.207920792080131</v>
      </c>
      <c r="AB27" s="283">
        <f t="shared" si="9"/>
        <v>0.95866336633663329</v>
      </c>
      <c r="AC27" s="571"/>
    </row>
    <row r="28" spans="1:29" ht="15.75" customHeight="1">
      <c r="A28" s="591" t="s">
        <v>1337</v>
      </c>
      <c r="B28" s="300" t="s">
        <v>1335</v>
      </c>
      <c r="C28" s="572"/>
      <c r="D28" s="572"/>
      <c r="E28" s="312"/>
      <c r="F28" s="299"/>
      <c r="G28" s="298"/>
      <c r="H28" s="299"/>
      <c r="I28" s="314">
        <v>18.2</v>
      </c>
      <c r="J28" s="303">
        <v>2400</v>
      </c>
      <c r="K28" s="304">
        <f t="shared" si="1"/>
        <v>131.86813186813188</v>
      </c>
      <c r="L28" s="314">
        <v>18.2</v>
      </c>
      <c r="M28" s="305">
        <f>AVERAGE(M23:M27)</f>
        <v>2297.074554604781</v>
      </c>
      <c r="N28" s="304">
        <f t="shared" si="3"/>
        <v>126.21288761564732</v>
      </c>
      <c r="O28" s="306">
        <f t="shared" si="4"/>
        <v>0</v>
      </c>
      <c r="P28" s="307">
        <f t="shared" si="5"/>
        <v>-5.6552442524845645</v>
      </c>
      <c r="Q28" s="283">
        <f t="shared" si="6"/>
        <v>0.95711439775199203</v>
      </c>
      <c r="R28" s="571"/>
      <c r="S28" s="308"/>
      <c r="T28" s="308"/>
      <c r="U28" s="298"/>
      <c r="V28" s="309"/>
      <c r="W28" s="298"/>
      <c r="X28" s="298"/>
      <c r="Y28" s="570"/>
      <c r="Z28" s="570"/>
      <c r="AA28" s="306">
        <f t="shared" si="8"/>
        <v>-102.92544539521896</v>
      </c>
      <c r="AB28" s="283">
        <f t="shared" si="9"/>
        <v>0.95711439775199214</v>
      </c>
      <c r="AC28" s="571"/>
    </row>
    <row r="29" spans="1:29" ht="15.75" customHeight="1">
      <c r="A29" s="588" t="s">
        <v>1338</v>
      </c>
      <c r="B29" s="300" t="s">
        <v>46</v>
      </c>
      <c r="C29" s="565" t="s">
        <v>63</v>
      </c>
      <c r="D29" s="565"/>
      <c r="E29" s="300">
        <v>26.2</v>
      </c>
      <c r="F29" s="299">
        <v>5598</v>
      </c>
      <c r="G29" s="298">
        <f t="shared" ref="G29:G34" si="27">E29*F29</f>
        <v>146667.6</v>
      </c>
      <c r="H29" s="301" t="s">
        <v>35</v>
      </c>
      <c r="I29" s="302">
        <v>18</v>
      </c>
      <c r="J29" s="303">
        <v>2400</v>
      </c>
      <c r="K29" s="304">
        <f t="shared" si="1"/>
        <v>133.33333333333334</v>
      </c>
      <c r="L29" s="302">
        <v>18</v>
      </c>
      <c r="M29" s="305">
        <f t="shared" ref="M29:M34" si="28">F29/V29*60</f>
        <v>2284.8979591836737</v>
      </c>
      <c r="N29" s="304">
        <f t="shared" si="3"/>
        <v>126.9387755102041</v>
      </c>
      <c r="O29" s="306">
        <f t="shared" si="4"/>
        <v>0</v>
      </c>
      <c r="P29" s="307">
        <f t="shared" si="5"/>
        <v>-6.3945578231292473</v>
      </c>
      <c r="Q29" s="283">
        <f t="shared" si="6"/>
        <v>0.9520408163265307</v>
      </c>
      <c r="R29" s="571">
        <f>Q35</f>
        <v>0.95641616437571053</v>
      </c>
      <c r="S29" s="308">
        <v>8.3333333333333329E-2</v>
      </c>
      <c r="T29" s="308">
        <v>0.18541666666666667</v>
      </c>
      <c r="U29" s="298"/>
      <c r="V29" s="309">
        <f t="shared" ref="V29:V34" si="29">(T29-S29)*24*60</f>
        <v>147</v>
      </c>
      <c r="W29" s="315">
        <f>T29</f>
        <v>0.18541666666666667</v>
      </c>
      <c r="X29" s="315">
        <f>S30</f>
        <v>0.2048611111111111</v>
      </c>
      <c r="Y29" s="570"/>
      <c r="Z29" s="570"/>
      <c r="AA29" s="306">
        <f t="shared" si="8"/>
        <v>-115.10204081632628</v>
      </c>
      <c r="AB29" s="283">
        <f t="shared" si="9"/>
        <v>0.9520408163265307</v>
      </c>
      <c r="AC29" s="571">
        <f>AB35</f>
        <v>0.95641616437571053</v>
      </c>
    </row>
    <row r="30" spans="1:29" ht="15.75" customHeight="1">
      <c r="A30" s="588" t="s">
        <v>1338</v>
      </c>
      <c r="B30" s="300" t="s">
        <v>46</v>
      </c>
      <c r="C30" s="565" t="s">
        <v>64</v>
      </c>
      <c r="D30" s="565"/>
      <c r="E30" s="300">
        <v>26.39</v>
      </c>
      <c r="F30" s="299">
        <v>5265</v>
      </c>
      <c r="G30" s="298">
        <f t="shared" si="27"/>
        <v>138943.35</v>
      </c>
      <c r="H30" s="301" t="s">
        <v>35</v>
      </c>
      <c r="I30" s="302">
        <v>19</v>
      </c>
      <c r="J30" s="303">
        <v>2400</v>
      </c>
      <c r="K30" s="304">
        <f t="shared" si="1"/>
        <v>126.31578947368421</v>
      </c>
      <c r="L30" s="302">
        <v>19</v>
      </c>
      <c r="M30" s="305">
        <f t="shared" si="28"/>
        <v>2289.1304347826085</v>
      </c>
      <c r="N30" s="304">
        <f t="shared" si="3"/>
        <v>120.48054919908466</v>
      </c>
      <c r="O30" s="306">
        <f t="shared" si="4"/>
        <v>0</v>
      </c>
      <c r="P30" s="307">
        <f t="shared" si="5"/>
        <v>-5.835240274599542</v>
      </c>
      <c r="Q30" s="283">
        <f t="shared" si="6"/>
        <v>0.95380434782608692</v>
      </c>
      <c r="R30" s="571"/>
      <c r="S30" s="308">
        <v>0.2048611111111111</v>
      </c>
      <c r="T30" s="308">
        <v>0.30069444444444443</v>
      </c>
      <c r="U30" s="298">
        <f t="shared" ref="U30:U34" si="30">(S30-T29)*24*60</f>
        <v>27.999999999999979</v>
      </c>
      <c r="V30" s="309">
        <f t="shared" si="29"/>
        <v>138</v>
      </c>
      <c r="W30" s="298"/>
      <c r="X30" s="298"/>
      <c r="Y30" s="570"/>
      <c r="Z30" s="570"/>
      <c r="AA30" s="306">
        <f t="shared" si="8"/>
        <v>-110.86956521739148</v>
      </c>
      <c r="AB30" s="283">
        <f t="shared" si="9"/>
        <v>0.95380434782608692</v>
      </c>
      <c r="AC30" s="571"/>
    </row>
    <row r="31" spans="1:29">
      <c r="A31" s="589" t="s">
        <v>1338</v>
      </c>
      <c r="B31" s="300" t="s">
        <v>46</v>
      </c>
      <c r="C31" s="565" t="s">
        <v>87</v>
      </c>
      <c r="D31" s="565"/>
      <c r="E31" s="300">
        <v>20.52</v>
      </c>
      <c r="F31" s="299">
        <v>4018</v>
      </c>
      <c r="G31" s="298">
        <f t="shared" si="27"/>
        <v>82449.36</v>
      </c>
      <c r="H31" s="301" t="s">
        <v>35</v>
      </c>
      <c r="I31" s="302">
        <v>18</v>
      </c>
      <c r="J31" s="303">
        <v>2400</v>
      </c>
      <c r="K31" s="304">
        <f t="shared" si="1"/>
        <v>133.33333333333334</v>
      </c>
      <c r="L31" s="302">
        <v>18</v>
      </c>
      <c r="M31" s="305">
        <f t="shared" si="28"/>
        <v>2295.9999999999995</v>
      </c>
      <c r="N31" s="304">
        <f t="shared" si="3"/>
        <v>127.55555555555553</v>
      </c>
      <c r="O31" s="306">
        <f t="shared" si="4"/>
        <v>0</v>
      </c>
      <c r="P31" s="307">
        <f t="shared" si="5"/>
        <v>-5.7777777777778141</v>
      </c>
      <c r="Q31" s="283">
        <f t="shared" si="6"/>
        <v>0.95666666666666644</v>
      </c>
      <c r="R31" s="571"/>
      <c r="S31" s="308">
        <v>0.30416666666666664</v>
      </c>
      <c r="T31" s="308">
        <v>0.37708333333333333</v>
      </c>
      <c r="U31" s="298">
        <f t="shared" si="30"/>
        <v>4.9999999999999822</v>
      </c>
      <c r="V31" s="309">
        <f t="shared" si="29"/>
        <v>105.00000000000003</v>
      </c>
      <c r="W31" s="298"/>
      <c r="X31" s="298"/>
      <c r="Y31" s="570"/>
      <c r="Z31" s="570"/>
      <c r="AA31" s="306">
        <f t="shared" si="8"/>
        <v>-104.00000000000045</v>
      </c>
      <c r="AB31" s="283">
        <f t="shared" si="9"/>
        <v>0.95666666666666644</v>
      </c>
      <c r="AC31" s="571"/>
    </row>
    <row r="32" spans="1:29">
      <c r="A32" s="589" t="s">
        <v>1338</v>
      </c>
      <c r="B32" s="300" t="s">
        <v>46</v>
      </c>
      <c r="C32" s="565" t="s">
        <v>48</v>
      </c>
      <c r="D32" s="565"/>
      <c r="E32" s="300">
        <v>22.35</v>
      </c>
      <c r="F32" s="299">
        <v>1569</v>
      </c>
      <c r="G32" s="298">
        <f t="shared" si="27"/>
        <v>35067.15</v>
      </c>
      <c r="H32" s="301" t="s">
        <v>35</v>
      </c>
      <c r="I32" s="302">
        <v>16</v>
      </c>
      <c r="J32" s="303">
        <v>2400</v>
      </c>
      <c r="K32" s="304">
        <f t="shared" si="1"/>
        <v>150</v>
      </c>
      <c r="L32" s="302">
        <v>16</v>
      </c>
      <c r="M32" s="305">
        <f t="shared" si="28"/>
        <v>2296.0975609756088</v>
      </c>
      <c r="N32" s="304">
        <f t="shared" si="3"/>
        <v>143.50609756097555</v>
      </c>
      <c r="O32" s="306">
        <f t="shared" si="4"/>
        <v>0</v>
      </c>
      <c r="P32" s="307">
        <f t="shared" si="5"/>
        <v>-6.4939024390244526</v>
      </c>
      <c r="Q32" s="283">
        <f t="shared" si="6"/>
        <v>0.95670731707317036</v>
      </c>
      <c r="R32" s="571"/>
      <c r="S32" s="308">
        <v>0.38055555555555554</v>
      </c>
      <c r="T32" s="308">
        <v>0.40902777777777777</v>
      </c>
      <c r="U32" s="298">
        <f t="shared" si="30"/>
        <v>4.9999999999999822</v>
      </c>
      <c r="V32" s="309">
        <f t="shared" si="29"/>
        <v>41.000000000000014</v>
      </c>
      <c r="W32" s="310"/>
      <c r="X32" s="310"/>
      <c r="Y32" s="570"/>
      <c r="Z32" s="570"/>
      <c r="AA32" s="306">
        <f t="shared" si="8"/>
        <v>-103.90243902439124</v>
      </c>
      <c r="AB32" s="283">
        <f t="shared" si="9"/>
        <v>0.95670731707317036</v>
      </c>
      <c r="AC32" s="571"/>
    </row>
    <row r="33" spans="1:29">
      <c r="A33" s="589" t="s">
        <v>1338</v>
      </c>
      <c r="B33" s="300" t="s">
        <v>46</v>
      </c>
      <c r="C33" s="565" t="s">
        <v>65</v>
      </c>
      <c r="D33" s="565"/>
      <c r="E33" s="300">
        <v>24.43</v>
      </c>
      <c r="F33" s="299">
        <v>5000</v>
      </c>
      <c r="G33" s="298">
        <f t="shared" si="27"/>
        <v>122150</v>
      </c>
      <c r="H33" s="301">
        <v>2</v>
      </c>
      <c r="I33" s="302">
        <v>15</v>
      </c>
      <c r="J33" s="303">
        <v>2400</v>
      </c>
      <c r="K33" s="304">
        <f t="shared" si="1"/>
        <v>160</v>
      </c>
      <c r="L33" s="302">
        <v>15</v>
      </c>
      <c r="M33" s="305">
        <f t="shared" si="28"/>
        <v>2290.0763358778627</v>
      </c>
      <c r="N33" s="304">
        <f t="shared" si="3"/>
        <v>152.67175572519085</v>
      </c>
      <c r="O33" s="306">
        <f t="shared" si="4"/>
        <v>0</v>
      </c>
      <c r="P33" s="307">
        <f t="shared" si="5"/>
        <v>-7.3282442748091512</v>
      </c>
      <c r="Q33" s="283">
        <f t="shared" si="6"/>
        <v>0.95419847328244278</v>
      </c>
      <c r="R33" s="571"/>
      <c r="S33" s="308">
        <v>0.41319444444444442</v>
      </c>
      <c r="T33" s="308">
        <v>0.50416666666666665</v>
      </c>
      <c r="U33" s="298">
        <f t="shared" si="30"/>
        <v>5.9999999999999787</v>
      </c>
      <c r="V33" s="309">
        <f t="shared" si="29"/>
        <v>131</v>
      </c>
      <c r="W33" s="315">
        <f>T33</f>
        <v>0.50416666666666665</v>
      </c>
      <c r="X33" s="315">
        <f>S34</f>
        <v>0.54374999999999996</v>
      </c>
      <c r="Y33" s="570"/>
      <c r="Z33" s="570"/>
      <c r="AA33" s="306">
        <f t="shared" si="8"/>
        <v>-109.92366412213732</v>
      </c>
      <c r="AB33" s="283">
        <f t="shared" si="9"/>
        <v>0.95419847328244278</v>
      </c>
      <c r="AC33" s="571"/>
    </row>
    <row r="34" spans="1:29">
      <c r="A34" s="589" t="s">
        <v>1338</v>
      </c>
      <c r="B34" s="300" t="s">
        <v>46</v>
      </c>
      <c r="C34" s="565" t="s">
        <v>65</v>
      </c>
      <c r="D34" s="565"/>
      <c r="E34" s="300">
        <v>24.43</v>
      </c>
      <c r="F34" s="299">
        <v>2432</v>
      </c>
      <c r="G34" s="298">
        <f t="shared" si="27"/>
        <v>59413.760000000002</v>
      </c>
      <c r="H34" s="301" t="s">
        <v>35</v>
      </c>
      <c r="I34" s="302">
        <v>15</v>
      </c>
      <c r="J34" s="303">
        <v>2400</v>
      </c>
      <c r="K34" s="304">
        <f t="shared" si="1"/>
        <v>160</v>
      </c>
      <c r="L34" s="302">
        <v>15</v>
      </c>
      <c r="M34" s="305">
        <f t="shared" si="28"/>
        <v>2316.1904761904784</v>
      </c>
      <c r="N34" s="304">
        <f t="shared" si="3"/>
        <v>154.41269841269857</v>
      </c>
      <c r="O34" s="306">
        <f t="shared" si="4"/>
        <v>0</v>
      </c>
      <c r="P34" s="307">
        <f t="shared" si="5"/>
        <v>-5.5873015873014253</v>
      </c>
      <c r="Q34" s="283">
        <f t="shared" si="6"/>
        <v>0.96507936507936609</v>
      </c>
      <c r="R34" s="571"/>
      <c r="S34" s="308">
        <v>0.54374999999999996</v>
      </c>
      <c r="T34" s="308">
        <v>0.58749999999999991</v>
      </c>
      <c r="U34" s="298">
        <f t="shared" si="30"/>
        <v>56.999999999999957</v>
      </c>
      <c r="V34" s="309">
        <f t="shared" si="29"/>
        <v>62.999999999999936</v>
      </c>
      <c r="W34" s="310"/>
      <c r="X34" s="310"/>
      <c r="Y34" s="570"/>
      <c r="Z34" s="570"/>
      <c r="AA34" s="306">
        <f t="shared" si="8"/>
        <v>-83.809523809521579</v>
      </c>
      <c r="AB34" s="283">
        <f t="shared" si="9"/>
        <v>0.96507936507936598</v>
      </c>
      <c r="AC34" s="571"/>
    </row>
    <row r="35" spans="1:29">
      <c r="A35" s="589" t="s">
        <v>1338</v>
      </c>
      <c r="B35" s="313" t="s">
        <v>1335</v>
      </c>
      <c r="C35" s="572"/>
      <c r="D35" s="572"/>
      <c r="E35" s="312"/>
      <c r="F35" s="313"/>
      <c r="G35" s="304"/>
      <c r="H35" s="299"/>
      <c r="I35" s="314">
        <v>16.833333333333332</v>
      </c>
      <c r="J35" s="303">
        <v>2400</v>
      </c>
      <c r="K35" s="304">
        <f t="shared" si="1"/>
        <v>142.57425742574259</v>
      </c>
      <c r="L35" s="314">
        <v>16.833333333333332</v>
      </c>
      <c r="M35" s="305">
        <f>AVERAGE(M29:M34)</f>
        <v>2295.3987945017052</v>
      </c>
      <c r="N35" s="304">
        <f t="shared" si="3"/>
        <v>136.36032442584388</v>
      </c>
      <c r="O35" s="306">
        <f t="shared" si="4"/>
        <v>0</v>
      </c>
      <c r="P35" s="307">
        <f t="shared" si="5"/>
        <v>-6.2139329998987023</v>
      </c>
      <c r="Q35" s="283">
        <f t="shared" si="6"/>
        <v>0.95641616437571053</v>
      </c>
      <c r="R35" s="571"/>
      <c r="S35" s="308"/>
      <c r="T35" s="308"/>
      <c r="U35" s="304"/>
      <c r="V35" s="309"/>
      <c r="W35" s="304"/>
      <c r="X35" s="304"/>
      <c r="Y35" s="570"/>
      <c r="Z35" s="570"/>
      <c r="AA35" s="306">
        <f t="shared" si="8"/>
        <v>-104.6012054982948</v>
      </c>
      <c r="AB35" s="283">
        <f t="shared" si="9"/>
        <v>0.95641616437571053</v>
      </c>
      <c r="AC35" s="571"/>
    </row>
    <row r="36" spans="1:29" ht="15.75" customHeight="1">
      <c r="A36" s="585" t="s">
        <v>1339</v>
      </c>
      <c r="B36" s="300" t="s">
        <v>67</v>
      </c>
      <c r="C36" s="580" t="s">
        <v>68</v>
      </c>
      <c r="D36" s="581"/>
      <c r="E36" s="300">
        <v>21.13</v>
      </c>
      <c r="F36" s="299">
        <v>4362</v>
      </c>
      <c r="G36" s="298">
        <f t="shared" ref="G36:G41" si="31">E36*F36</f>
        <v>92169.06</v>
      </c>
      <c r="H36" s="301" t="s">
        <v>35</v>
      </c>
      <c r="I36" s="302">
        <v>10</v>
      </c>
      <c r="J36" s="303">
        <v>3000</v>
      </c>
      <c r="K36" s="304">
        <f t="shared" si="1"/>
        <v>300</v>
      </c>
      <c r="L36" s="302">
        <v>10</v>
      </c>
      <c r="M36" s="305">
        <f t="shared" ref="M36:M41" si="32">F36/V36*60</f>
        <v>2876.0439560439568</v>
      </c>
      <c r="N36" s="305">
        <f t="shared" si="3"/>
        <v>287.60439560439568</v>
      </c>
      <c r="O36" s="306">
        <f t="shared" si="4"/>
        <v>0</v>
      </c>
      <c r="P36" s="307">
        <f t="shared" si="5"/>
        <v>-12.395604395604323</v>
      </c>
      <c r="Q36" s="283">
        <f t="shared" si="6"/>
        <v>0.95868131868131889</v>
      </c>
      <c r="R36" s="582">
        <f>Q42</f>
        <v>0.95756184415541179</v>
      </c>
      <c r="S36" s="308">
        <v>8.3333333333333329E-2</v>
      </c>
      <c r="T36" s="308">
        <v>0.14652777777777776</v>
      </c>
      <c r="U36" s="315"/>
      <c r="V36" s="309">
        <f t="shared" ref="V36:V41" si="33">(T36-S36)*24*60</f>
        <v>90.999999999999972</v>
      </c>
      <c r="W36" s="310"/>
      <c r="X36" s="310"/>
      <c r="Y36" s="566"/>
      <c r="Z36" s="567"/>
      <c r="AA36" s="306">
        <f t="shared" si="8"/>
        <v>-123.95604395604323</v>
      </c>
      <c r="AB36" s="283">
        <f t="shared" si="9"/>
        <v>0.95868131868131889</v>
      </c>
      <c r="AC36" s="582">
        <f>AB42</f>
        <v>0.95756184415541168</v>
      </c>
    </row>
    <row r="37" spans="1:29" ht="15.75" customHeight="1">
      <c r="A37" s="586" t="s">
        <v>1339</v>
      </c>
      <c r="B37" s="300" t="s">
        <v>67</v>
      </c>
      <c r="C37" s="580" t="s">
        <v>69</v>
      </c>
      <c r="D37" s="581"/>
      <c r="E37" s="300">
        <v>27.17</v>
      </c>
      <c r="F37" s="299">
        <v>5448</v>
      </c>
      <c r="G37" s="298">
        <f t="shared" si="31"/>
        <v>148022.16</v>
      </c>
      <c r="H37" s="301" t="s">
        <v>35</v>
      </c>
      <c r="I37" s="302">
        <v>10</v>
      </c>
      <c r="J37" s="303">
        <v>3000</v>
      </c>
      <c r="K37" s="304">
        <f t="shared" si="1"/>
        <v>300</v>
      </c>
      <c r="L37" s="302">
        <v>10</v>
      </c>
      <c r="M37" s="305">
        <f t="shared" si="32"/>
        <v>2867.3684210526317</v>
      </c>
      <c r="N37" s="305">
        <f t="shared" si="3"/>
        <v>286.73684210526318</v>
      </c>
      <c r="O37" s="306">
        <f t="shared" si="4"/>
        <v>0</v>
      </c>
      <c r="P37" s="307">
        <f t="shared" si="5"/>
        <v>-13.263157894736821</v>
      </c>
      <c r="Q37" s="283">
        <f t="shared" si="6"/>
        <v>0.95578947368421063</v>
      </c>
      <c r="R37" s="583"/>
      <c r="S37" s="308">
        <v>0.15138888888888888</v>
      </c>
      <c r="T37" s="308">
        <v>0.23055555555555554</v>
      </c>
      <c r="U37" s="298">
        <f t="shared" ref="U37:U41" si="34">(S37-T36)*24*60</f>
        <v>7.0000000000000151</v>
      </c>
      <c r="V37" s="309">
        <f t="shared" si="33"/>
        <v>114</v>
      </c>
      <c r="W37" s="310">
        <f>T37</f>
        <v>0.23055555555555554</v>
      </c>
      <c r="X37" s="310">
        <f>S38</f>
        <v>0.24999999999999997</v>
      </c>
      <c r="Y37" s="566"/>
      <c r="Z37" s="567"/>
      <c r="AA37" s="306">
        <f t="shared" si="8"/>
        <v>-132.63157894736833</v>
      </c>
      <c r="AB37" s="283">
        <f t="shared" si="9"/>
        <v>0.95578947368421052</v>
      </c>
      <c r="AC37" s="583"/>
    </row>
    <row r="38" spans="1:29" ht="15.75" customHeight="1">
      <c r="A38" s="586" t="s">
        <v>1339</v>
      </c>
      <c r="B38" s="300" t="s">
        <v>67</v>
      </c>
      <c r="C38" s="580" t="s">
        <v>70</v>
      </c>
      <c r="D38" s="581"/>
      <c r="E38" s="300">
        <v>35.119999999999997</v>
      </c>
      <c r="F38" s="299">
        <v>3998</v>
      </c>
      <c r="G38" s="298">
        <f t="shared" si="31"/>
        <v>140409.75999999998</v>
      </c>
      <c r="H38" s="301" t="s">
        <v>35</v>
      </c>
      <c r="I38" s="302">
        <v>10</v>
      </c>
      <c r="J38" s="303">
        <v>3000</v>
      </c>
      <c r="K38" s="304">
        <f t="shared" si="1"/>
        <v>300</v>
      </c>
      <c r="L38" s="302">
        <v>10</v>
      </c>
      <c r="M38" s="305">
        <f t="shared" si="32"/>
        <v>2855.7142857142862</v>
      </c>
      <c r="N38" s="305">
        <f t="shared" si="3"/>
        <v>285.57142857142861</v>
      </c>
      <c r="O38" s="306">
        <f t="shared" si="4"/>
        <v>0</v>
      </c>
      <c r="P38" s="307">
        <f t="shared" si="5"/>
        <v>-14.428571428571388</v>
      </c>
      <c r="Q38" s="283">
        <f t="shared" si="6"/>
        <v>0.95190476190476203</v>
      </c>
      <c r="R38" s="583"/>
      <c r="S38" s="308">
        <v>0.24999999999999997</v>
      </c>
      <c r="T38" s="308">
        <v>0.30833333333333329</v>
      </c>
      <c r="U38" s="298">
        <f t="shared" si="34"/>
        <v>27.999999999999979</v>
      </c>
      <c r="V38" s="309">
        <f t="shared" si="33"/>
        <v>83.999999999999986</v>
      </c>
      <c r="W38" s="310"/>
      <c r="X38" s="310"/>
      <c r="Y38" s="566"/>
      <c r="Z38" s="567"/>
      <c r="AA38" s="306">
        <f t="shared" si="8"/>
        <v>-144.28571428571377</v>
      </c>
      <c r="AB38" s="283">
        <f t="shared" si="9"/>
        <v>0.95190476190476203</v>
      </c>
      <c r="AC38" s="583"/>
    </row>
    <row r="39" spans="1:29" ht="15.75" customHeight="1">
      <c r="A39" s="586" t="s">
        <v>1339</v>
      </c>
      <c r="B39" s="300" t="s">
        <v>67</v>
      </c>
      <c r="C39" s="580" t="s">
        <v>71</v>
      </c>
      <c r="D39" s="581"/>
      <c r="E39" s="300">
        <v>35.869999999999997</v>
      </c>
      <c r="F39" s="299">
        <v>2615</v>
      </c>
      <c r="G39" s="298">
        <f t="shared" si="31"/>
        <v>93800.049999999988</v>
      </c>
      <c r="H39" s="301" t="s">
        <v>35</v>
      </c>
      <c r="I39" s="302">
        <v>10</v>
      </c>
      <c r="J39" s="303">
        <v>3000</v>
      </c>
      <c r="K39" s="304">
        <f t="shared" si="1"/>
        <v>300</v>
      </c>
      <c r="L39" s="302">
        <v>10</v>
      </c>
      <c r="M39" s="305">
        <f t="shared" si="32"/>
        <v>2852.7272727272743</v>
      </c>
      <c r="N39" s="305">
        <f t="shared" si="3"/>
        <v>285.27272727272742</v>
      </c>
      <c r="O39" s="306">
        <f t="shared" si="4"/>
        <v>0</v>
      </c>
      <c r="P39" s="307">
        <f t="shared" si="5"/>
        <v>-14.727272727272577</v>
      </c>
      <c r="Q39" s="283">
        <f t="shared" si="6"/>
        <v>0.95090909090909137</v>
      </c>
      <c r="R39" s="583"/>
      <c r="S39" s="308">
        <v>0.31249999999999994</v>
      </c>
      <c r="T39" s="308">
        <v>0.35069444444444436</v>
      </c>
      <c r="U39" s="298">
        <f t="shared" si="34"/>
        <v>5.9999999999999787</v>
      </c>
      <c r="V39" s="309">
        <f t="shared" si="33"/>
        <v>54.999999999999964</v>
      </c>
      <c r="W39" s="310"/>
      <c r="X39" s="310"/>
      <c r="Y39" s="566"/>
      <c r="Z39" s="567"/>
      <c r="AA39" s="306">
        <f t="shared" si="8"/>
        <v>-147.27272727272566</v>
      </c>
      <c r="AB39" s="283">
        <f t="shared" si="9"/>
        <v>0.95090909090909148</v>
      </c>
      <c r="AC39" s="583"/>
    </row>
    <row r="40" spans="1:29" ht="15.75" customHeight="1">
      <c r="A40" s="586" t="s">
        <v>1339</v>
      </c>
      <c r="B40" s="300" t="s">
        <v>67</v>
      </c>
      <c r="C40" s="580" t="s">
        <v>72</v>
      </c>
      <c r="D40" s="581"/>
      <c r="E40" s="300">
        <v>36.14</v>
      </c>
      <c r="F40" s="299">
        <v>1560</v>
      </c>
      <c r="G40" s="298">
        <f t="shared" si="31"/>
        <v>56378.400000000001</v>
      </c>
      <c r="H40" s="301" t="s">
        <v>35</v>
      </c>
      <c r="I40" s="302">
        <v>8</v>
      </c>
      <c r="J40" s="303">
        <v>3000</v>
      </c>
      <c r="K40" s="304">
        <f t="shared" si="1"/>
        <v>375</v>
      </c>
      <c r="L40" s="302">
        <v>8</v>
      </c>
      <c r="M40" s="305">
        <f t="shared" si="32"/>
        <v>2925.0000000000036</v>
      </c>
      <c r="N40" s="305">
        <f t="shared" si="3"/>
        <v>365.62500000000045</v>
      </c>
      <c r="O40" s="306">
        <f t="shared" si="4"/>
        <v>0</v>
      </c>
      <c r="P40" s="307">
        <f t="shared" si="5"/>
        <v>-9.3749999999995453</v>
      </c>
      <c r="Q40" s="283">
        <f t="shared" si="6"/>
        <v>0.9750000000000012</v>
      </c>
      <c r="R40" s="583"/>
      <c r="S40" s="308">
        <v>0.35555555555555546</v>
      </c>
      <c r="T40" s="308">
        <v>0.37777777777777766</v>
      </c>
      <c r="U40" s="298">
        <f t="shared" si="34"/>
        <v>6.9999999999999751</v>
      </c>
      <c r="V40" s="309">
        <f t="shared" si="33"/>
        <v>31.999999999999964</v>
      </c>
      <c r="W40" s="310"/>
      <c r="X40" s="310"/>
      <c r="Y40" s="566"/>
      <c r="Z40" s="567"/>
      <c r="AA40" s="306">
        <f t="shared" si="8"/>
        <v>-74.999999999996362</v>
      </c>
      <c r="AB40" s="283">
        <f t="shared" si="9"/>
        <v>0.9750000000000012</v>
      </c>
      <c r="AC40" s="583"/>
    </row>
    <row r="41" spans="1:29" ht="15.75" customHeight="1">
      <c r="A41" s="586" t="s">
        <v>1339</v>
      </c>
      <c r="B41" s="300" t="s">
        <v>67</v>
      </c>
      <c r="C41" s="580" t="s">
        <v>664</v>
      </c>
      <c r="D41" s="581"/>
      <c r="E41" s="300">
        <v>34.36</v>
      </c>
      <c r="F41" s="299">
        <v>3860</v>
      </c>
      <c r="G41" s="298">
        <f t="shared" si="31"/>
        <v>132629.6</v>
      </c>
      <c r="H41" s="301" t="s">
        <v>35</v>
      </c>
      <c r="I41" s="302">
        <v>10</v>
      </c>
      <c r="J41" s="303">
        <v>3000</v>
      </c>
      <c r="K41" s="304">
        <f t="shared" si="1"/>
        <v>300</v>
      </c>
      <c r="L41" s="302">
        <v>10</v>
      </c>
      <c r="M41" s="305">
        <f t="shared" si="32"/>
        <v>2859.2592592592582</v>
      </c>
      <c r="N41" s="305">
        <f t="shared" si="3"/>
        <v>285.92592592592581</v>
      </c>
      <c r="O41" s="306">
        <f t="shared" si="4"/>
        <v>0</v>
      </c>
      <c r="P41" s="307">
        <f t="shared" si="5"/>
        <v>-14.07407407407419</v>
      </c>
      <c r="Q41" s="283">
        <f t="shared" si="6"/>
        <v>0.95308641975308606</v>
      </c>
      <c r="R41" s="583"/>
      <c r="S41" s="308">
        <v>0.38333333333333319</v>
      </c>
      <c r="T41" s="308">
        <v>0.43958333333333321</v>
      </c>
      <c r="U41" s="298">
        <f t="shared" si="34"/>
        <v>7.9999999999999716</v>
      </c>
      <c r="V41" s="309">
        <f t="shared" si="33"/>
        <v>81.000000000000028</v>
      </c>
      <c r="W41" s="310"/>
      <c r="X41" s="310"/>
      <c r="Y41" s="566"/>
      <c r="Z41" s="567"/>
      <c r="AA41" s="306">
        <f t="shared" si="8"/>
        <v>-140.74074074074178</v>
      </c>
      <c r="AB41" s="283">
        <f t="shared" si="9"/>
        <v>0.95308641975308606</v>
      </c>
      <c r="AC41" s="583"/>
    </row>
    <row r="42" spans="1:29" ht="15.75" customHeight="1">
      <c r="A42" s="587" t="s">
        <v>1339</v>
      </c>
      <c r="B42" s="300" t="s">
        <v>1335</v>
      </c>
      <c r="C42" s="568"/>
      <c r="D42" s="569"/>
      <c r="E42" s="316"/>
      <c r="F42" s="299"/>
      <c r="G42" s="298"/>
      <c r="H42" s="299"/>
      <c r="I42" s="314">
        <v>9.6666666666666661</v>
      </c>
      <c r="J42" s="303">
        <v>3000</v>
      </c>
      <c r="K42" s="304">
        <f t="shared" si="1"/>
        <v>310.34482758620692</v>
      </c>
      <c r="L42" s="314">
        <v>9.6666666666666661</v>
      </c>
      <c r="M42" s="305">
        <f>AVERAGE(M36:M41)</f>
        <v>2872.6855324662351</v>
      </c>
      <c r="N42" s="304">
        <f t="shared" si="3"/>
        <v>297.1743654275416</v>
      </c>
      <c r="O42" s="306">
        <f t="shared" si="4"/>
        <v>0</v>
      </c>
      <c r="P42" s="307">
        <f t="shared" si="5"/>
        <v>-13.170462158665316</v>
      </c>
      <c r="Q42" s="283">
        <f t="shared" si="6"/>
        <v>0.95756184415541179</v>
      </c>
      <c r="R42" s="584"/>
      <c r="S42" s="308"/>
      <c r="T42" s="308"/>
      <c r="U42" s="298"/>
      <c r="V42" s="309"/>
      <c r="W42" s="310"/>
      <c r="X42" s="310"/>
      <c r="Y42" s="566"/>
      <c r="Z42" s="567"/>
      <c r="AA42" s="306">
        <f t="shared" si="8"/>
        <v>-127.31446753376486</v>
      </c>
      <c r="AB42" s="283">
        <f t="shared" si="9"/>
        <v>0.95756184415541168</v>
      </c>
      <c r="AC42" s="584"/>
    </row>
    <row r="43" spans="1:29" ht="15.75" customHeight="1">
      <c r="A43" s="578" t="s">
        <v>1340</v>
      </c>
      <c r="B43" s="300" t="s">
        <v>40</v>
      </c>
      <c r="C43" s="565" t="s">
        <v>73</v>
      </c>
      <c r="D43" s="565"/>
      <c r="E43" s="300">
        <v>46</v>
      </c>
      <c r="F43" s="317">
        <v>2464</v>
      </c>
      <c r="G43" s="298">
        <f t="shared" ref="G43:G48" si="35">E43*F43</f>
        <v>113344</v>
      </c>
      <c r="H43" s="301" t="s">
        <v>35</v>
      </c>
      <c r="I43" s="302">
        <v>17</v>
      </c>
      <c r="J43" s="303">
        <v>2000</v>
      </c>
      <c r="K43" s="304">
        <f t="shared" si="1"/>
        <v>117.64705882352941</v>
      </c>
      <c r="L43" s="302">
        <v>17</v>
      </c>
      <c r="M43" s="305">
        <f t="shared" ref="M43:M48" si="36">F43/V43*60</f>
        <v>1920.0000000000009</v>
      </c>
      <c r="N43" s="305">
        <f t="shared" si="3"/>
        <v>112.94117647058829</v>
      </c>
      <c r="O43" s="306">
        <f t="shared" si="4"/>
        <v>0</v>
      </c>
      <c r="P43" s="307">
        <f t="shared" si="5"/>
        <v>-4.7058823529411171</v>
      </c>
      <c r="Q43" s="283">
        <f t="shared" si="6"/>
        <v>0.96000000000000052</v>
      </c>
      <c r="R43" s="571">
        <f>Q49</f>
        <v>0.95638270262357961</v>
      </c>
      <c r="S43" s="308">
        <v>0.29166666666666669</v>
      </c>
      <c r="T43" s="308">
        <v>0.34513888888888888</v>
      </c>
      <c r="U43" s="315"/>
      <c r="V43" s="309">
        <f t="shared" ref="V43:V48" si="37">(T43-S43)*24*60</f>
        <v>76.999999999999972</v>
      </c>
      <c r="W43" s="315"/>
      <c r="X43" s="315"/>
      <c r="Y43" s="570"/>
      <c r="Z43" s="570"/>
      <c r="AA43" s="306">
        <f t="shared" si="8"/>
        <v>-79.999999999999091</v>
      </c>
      <c r="AB43" s="283">
        <f t="shared" si="9"/>
        <v>0.96000000000000041</v>
      </c>
      <c r="AC43" s="571">
        <f>AB49</f>
        <v>0.95638270262357949</v>
      </c>
    </row>
    <row r="44" spans="1:29" ht="15.75" customHeight="1">
      <c r="A44" s="578" t="s">
        <v>1340</v>
      </c>
      <c r="B44" s="300" t="s">
        <v>36</v>
      </c>
      <c r="C44" s="565" t="s">
        <v>75</v>
      </c>
      <c r="D44" s="565"/>
      <c r="E44" s="300">
        <v>54.09</v>
      </c>
      <c r="F44" s="317">
        <v>921</v>
      </c>
      <c r="G44" s="298">
        <f t="shared" si="35"/>
        <v>49816.890000000007</v>
      </c>
      <c r="H44" s="301" t="s">
        <v>35</v>
      </c>
      <c r="I44" s="302">
        <v>16</v>
      </c>
      <c r="J44" s="303">
        <v>2000</v>
      </c>
      <c r="K44" s="304">
        <f t="shared" si="1"/>
        <v>125</v>
      </c>
      <c r="L44" s="302">
        <v>16</v>
      </c>
      <c r="M44" s="305">
        <f t="shared" si="36"/>
        <v>1905.5172413793118</v>
      </c>
      <c r="N44" s="305">
        <f t="shared" si="3"/>
        <v>119.09482758620699</v>
      </c>
      <c r="O44" s="306">
        <f t="shared" si="4"/>
        <v>0</v>
      </c>
      <c r="P44" s="307">
        <f t="shared" si="5"/>
        <v>-5.9051724137930108</v>
      </c>
      <c r="Q44" s="283">
        <f t="shared" si="6"/>
        <v>0.95275862068965589</v>
      </c>
      <c r="R44" s="571"/>
      <c r="S44" s="308">
        <v>0.35069444444444442</v>
      </c>
      <c r="T44" s="308">
        <v>0.37083333333333329</v>
      </c>
      <c r="U44" s="298">
        <f t="shared" ref="U44:U48" si="38">IF(S44=TIME(17,0,0),"",(S44-T43)*24*60)</f>
        <v>7.9999999999999716</v>
      </c>
      <c r="V44" s="309">
        <f t="shared" si="37"/>
        <v>28.999999999999979</v>
      </c>
      <c r="W44" s="310"/>
      <c r="X44" s="310"/>
      <c r="Y44" s="570"/>
      <c r="Z44" s="570"/>
      <c r="AA44" s="306">
        <f t="shared" si="8"/>
        <v>-94.482758620688173</v>
      </c>
      <c r="AB44" s="283">
        <f t="shared" si="9"/>
        <v>0.95275862068965589</v>
      </c>
      <c r="AC44" s="571"/>
    </row>
    <row r="45" spans="1:29" ht="15.75" customHeight="1">
      <c r="A45" s="578" t="s">
        <v>1340</v>
      </c>
      <c r="B45" s="300" t="s">
        <v>40</v>
      </c>
      <c r="C45" s="580" t="s">
        <v>74</v>
      </c>
      <c r="D45" s="581"/>
      <c r="E45" s="300">
        <v>46</v>
      </c>
      <c r="F45" s="317">
        <v>2615</v>
      </c>
      <c r="G45" s="298">
        <f t="shared" si="35"/>
        <v>120290</v>
      </c>
      <c r="H45" s="301" t="s">
        <v>35</v>
      </c>
      <c r="I45" s="302">
        <v>17</v>
      </c>
      <c r="J45" s="303">
        <v>2000</v>
      </c>
      <c r="K45" s="304">
        <f t="shared" si="1"/>
        <v>117.64705882352941</v>
      </c>
      <c r="L45" s="302">
        <v>17</v>
      </c>
      <c r="M45" s="305">
        <f t="shared" si="36"/>
        <v>1913.4146341463409</v>
      </c>
      <c r="N45" s="305">
        <f t="shared" si="3"/>
        <v>112.55380200860829</v>
      </c>
      <c r="O45" s="306">
        <f t="shared" si="4"/>
        <v>0</v>
      </c>
      <c r="P45" s="307">
        <f t="shared" si="5"/>
        <v>-5.0932568149211193</v>
      </c>
      <c r="Q45" s="283">
        <f t="shared" si="6"/>
        <v>0.95670731707317047</v>
      </c>
      <c r="R45" s="571"/>
      <c r="S45" s="308">
        <v>0.37569444444444439</v>
      </c>
      <c r="T45" s="308">
        <v>0.43263888888888885</v>
      </c>
      <c r="U45" s="298">
        <f t="shared" si="38"/>
        <v>6.9999999999999751</v>
      </c>
      <c r="V45" s="309">
        <f t="shared" si="37"/>
        <v>82.000000000000028</v>
      </c>
      <c r="W45" s="310"/>
      <c r="X45" s="310"/>
      <c r="Y45" s="318"/>
      <c r="Z45" s="319"/>
      <c r="AA45" s="306">
        <f t="shared" si="8"/>
        <v>-86.585365853659141</v>
      </c>
      <c r="AB45" s="283">
        <f t="shared" si="9"/>
        <v>0.95670731707317047</v>
      </c>
      <c r="AC45" s="571"/>
    </row>
    <row r="46" spans="1:29" ht="15.75" customHeight="1">
      <c r="A46" s="578" t="s">
        <v>1340</v>
      </c>
      <c r="B46" s="300" t="s">
        <v>36</v>
      </c>
      <c r="C46" s="320" t="s">
        <v>76</v>
      </c>
      <c r="D46" s="321"/>
      <c r="E46" s="300">
        <v>55.56</v>
      </c>
      <c r="F46" s="317">
        <v>1946</v>
      </c>
      <c r="G46" s="298">
        <f t="shared" si="35"/>
        <v>108119.76000000001</v>
      </c>
      <c r="H46" s="301" t="s">
        <v>35</v>
      </c>
      <c r="I46" s="302">
        <v>17</v>
      </c>
      <c r="J46" s="303">
        <v>2000</v>
      </c>
      <c r="K46" s="304">
        <f t="shared" si="1"/>
        <v>117.64705882352941</v>
      </c>
      <c r="L46" s="302">
        <v>17</v>
      </c>
      <c r="M46" s="305">
        <f t="shared" si="36"/>
        <v>1914.0983606557395</v>
      </c>
      <c r="N46" s="305">
        <f t="shared" si="3"/>
        <v>112.5940212150435</v>
      </c>
      <c r="O46" s="306">
        <f t="shared" si="4"/>
        <v>0</v>
      </c>
      <c r="P46" s="307">
        <f t="shared" si="5"/>
        <v>-5.0530376084859085</v>
      </c>
      <c r="Q46" s="283">
        <f t="shared" si="6"/>
        <v>0.95704918032786979</v>
      </c>
      <c r="R46" s="571"/>
      <c r="S46" s="308">
        <v>0.70833333333333337</v>
      </c>
      <c r="T46" s="308">
        <v>0.75069444444444444</v>
      </c>
      <c r="U46" s="298" t="str">
        <f t="shared" si="38"/>
        <v/>
      </c>
      <c r="V46" s="309">
        <f t="shared" si="37"/>
        <v>60.999999999999943</v>
      </c>
      <c r="W46" s="310"/>
      <c r="X46" s="310"/>
      <c r="Y46" s="318"/>
      <c r="Z46" s="319"/>
      <c r="AA46" s="306">
        <f t="shared" si="8"/>
        <v>-85.901639344260502</v>
      </c>
      <c r="AB46" s="283">
        <f t="shared" si="9"/>
        <v>0.95704918032786979</v>
      </c>
      <c r="AC46" s="571"/>
    </row>
    <row r="47" spans="1:29" ht="15.75" customHeight="1">
      <c r="A47" s="578" t="s">
        <v>1340</v>
      </c>
      <c r="B47" s="300" t="s">
        <v>36</v>
      </c>
      <c r="C47" s="320" t="s">
        <v>77</v>
      </c>
      <c r="D47" s="321"/>
      <c r="E47" s="300">
        <v>55.32</v>
      </c>
      <c r="F47" s="317">
        <v>1468</v>
      </c>
      <c r="G47" s="298">
        <f t="shared" si="35"/>
        <v>81209.759999999995</v>
      </c>
      <c r="H47" s="301" t="s">
        <v>35</v>
      </c>
      <c r="I47" s="302">
        <v>15</v>
      </c>
      <c r="J47" s="303">
        <v>2000</v>
      </c>
      <c r="K47" s="304">
        <f t="shared" si="1"/>
        <v>133.33333333333334</v>
      </c>
      <c r="L47" s="302">
        <v>15</v>
      </c>
      <c r="M47" s="305">
        <f t="shared" si="36"/>
        <v>1914.7826086956522</v>
      </c>
      <c r="N47" s="305">
        <f t="shared" si="3"/>
        <v>127.65217391304348</v>
      </c>
      <c r="O47" s="306">
        <f t="shared" si="4"/>
        <v>0</v>
      </c>
      <c r="P47" s="307">
        <f t="shared" si="5"/>
        <v>-5.681159420289859</v>
      </c>
      <c r="Q47" s="283">
        <f t="shared" si="6"/>
        <v>0.95739130434782604</v>
      </c>
      <c r="R47" s="571"/>
      <c r="S47" s="308">
        <v>0.75486111111111109</v>
      </c>
      <c r="T47" s="308">
        <v>0.78680555555555554</v>
      </c>
      <c r="U47" s="298">
        <f t="shared" si="38"/>
        <v>5.9999999999999787</v>
      </c>
      <c r="V47" s="309">
        <f t="shared" si="37"/>
        <v>46</v>
      </c>
      <c r="W47" s="310"/>
      <c r="X47" s="310"/>
      <c r="Y47" s="318"/>
      <c r="Z47" s="319"/>
      <c r="AA47" s="306">
        <f t="shared" si="8"/>
        <v>-85.217391304347757</v>
      </c>
      <c r="AB47" s="283">
        <f t="shared" si="9"/>
        <v>0.95739130434782616</v>
      </c>
      <c r="AC47" s="571"/>
    </row>
    <row r="48" spans="1:29" ht="15.75" customHeight="1">
      <c r="A48" s="578" t="s">
        <v>1340</v>
      </c>
      <c r="B48" s="300" t="s">
        <v>36</v>
      </c>
      <c r="C48" s="580" t="s">
        <v>78</v>
      </c>
      <c r="D48" s="581"/>
      <c r="E48" s="300">
        <v>57.73</v>
      </c>
      <c r="F48" s="317">
        <v>1216</v>
      </c>
      <c r="G48" s="298">
        <f t="shared" si="35"/>
        <v>70199.679999999993</v>
      </c>
      <c r="H48" s="301" t="s">
        <v>35</v>
      </c>
      <c r="I48" s="302">
        <v>16</v>
      </c>
      <c r="J48" s="303">
        <v>1500</v>
      </c>
      <c r="K48" s="304">
        <f t="shared" si="1"/>
        <v>93.75</v>
      </c>
      <c r="L48" s="302">
        <v>16</v>
      </c>
      <c r="M48" s="305">
        <f t="shared" si="36"/>
        <v>1430.5882352941182</v>
      </c>
      <c r="N48" s="305">
        <f t="shared" si="3"/>
        <v>89.411764705882391</v>
      </c>
      <c r="O48" s="306">
        <f t="shared" si="4"/>
        <v>0</v>
      </c>
      <c r="P48" s="307">
        <f t="shared" si="5"/>
        <v>-4.3382352941176094</v>
      </c>
      <c r="Q48" s="283">
        <f t="shared" si="6"/>
        <v>0.95372549019607888</v>
      </c>
      <c r="R48" s="571"/>
      <c r="S48" s="308">
        <v>0.79166666666666663</v>
      </c>
      <c r="T48" s="308">
        <v>0.82708333333333328</v>
      </c>
      <c r="U48" s="298">
        <f t="shared" si="38"/>
        <v>6.9999999999999751</v>
      </c>
      <c r="V48" s="309">
        <f t="shared" si="37"/>
        <v>50.999999999999979</v>
      </c>
      <c r="W48" s="310"/>
      <c r="X48" s="310"/>
      <c r="Y48" s="566"/>
      <c r="Z48" s="567"/>
      <c r="AA48" s="306">
        <f t="shared" si="8"/>
        <v>-69.411764705881751</v>
      </c>
      <c r="AB48" s="283">
        <f t="shared" si="9"/>
        <v>0.95372549019607888</v>
      </c>
      <c r="AC48" s="571"/>
    </row>
    <row r="49" spans="1:29">
      <c r="A49" s="579" t="s">
        <v>1340</v>
      </c>
      <c r="B49" s="300" t="s">
        <v>1335</v>
      </c>
      <c r="C49" s="572"/>
      <c r="D49" s="572"/>
      <c r="E49" s="312"/>
      <c r="F49" s="313"/>
      <c r="G49" s="304"/>
      <c r="H49" s="299"/>
      <c r="I49" s="314">
        <v>16.333333333333332</v>
      </c>
      <c r="J49" s="303">
        <v>1916.6666666666667</v>
      </c>
      <c r="K49" s="304">
        <f t="shared" si="1"/>
        <v>117.34693877551021</v>
      </c>
      <c r="L49" s="314">
        <v>16.333333333333332</v>
      </c>
      <c r="M49" s="305">
        <f>AVERAGE(M43:M48)</f>
        <v>1833.066846695194</v>
      </c>
      <c r="N49" s="304">
        <f t="shared" si="3"/>
        <v>112.22858245072618</v>
      </c>
      <c r="O49" s="306">
        <f t="shared" si="4"/>
        <v>0</v>
      </c>
      <c r="P49" s="307">
        <f t="shared" si="5"/>
        <v>-5.1183563247840311</v>
      </c>
      <c r="Q49" s="283">
        <f t="shared" si="6"/>
        <v>0.95638270262357961</v>
      </c>
      <c r="R49" s="571"/>
      <c r="S49" s="322"/>
      <c r="T49" s="308"/>
      <c r="U49" s="304"/>
      <c r="V49" s="309"/>
      <c r="W49" s="304"/>
      <c r="X49" s="304"/>
      <c r="Y49" s="570"/>
      <c r="Z49" s="570"/>
      <c r="AA49" s="306">
        <f t="shared" si="8"/>
        <v>-83.599819971472698</v>
      </c>
      <c r="AB49" s="283">
        <f t="shared" si="9"/>
        <v>0.95638270262357949</v>
      </c>
      <c r="AC49" s="571"/>
    </row>
    <row r="50" spans="1:29" ht="15.75" customHeight="1">
      <c r="A50" s="576" t="s">
        <v>1341</v>
      </c>
      <c r="B50" s="299" t="s">
        <v>40</v>
      </c>
      <c r="C50" s="565" t="s">
        <v>82</v>
      </c>
      <c r="D50" s="565"/>
      <c r="E50" s="300">
        <v>26.97</v>
      </c>
      <c r="F50" s="317">
        <v>2846</v>
      </c>
      <c r="G50" s="298">
        <f t="shared" ref="G50:G53" si="39">E50*F50</f>
        <v>76756.62</v>
      </c>
      <c r="H50" s="301" t="s">
        <v>35</v>
      </c>
      <c r="I50" s="302">
        <v>8</v>
      </c>
      <c r="J50" s="303">
        <v>1500</v>
      </c>
      <c r="K50" s="304">
        <f t="shared" si="1"/>
        <v>187.5</v>
      </c>
      <c r="L50" s="302">
        <v>8</v>
      </c>
      <c r="M50" s="305">
        <f t="shared" ref="M50:M53" si="40">F50/V50*60</f>
        <v>1434.9579831932772</v>
      </c>
      <c r="N50" s="304">
        <f t="shared" si="3"/>
        <v>179.36974789915965</v>
      </c>
      <c r="O50" s="306">
        <f t="shared" si="4"/>
        <v>0</v>
      </c>
      <c r="P50" s="307">
        <f t="shared" si="5"/>
        <v>-8.1302521008403517</v>
      </c>
      <c r="Q50" s="283">
        <f t="shared" si="6"/>
        <v>0.95663865546218474</v>
      </c>
      <c r="R50" s="571">
        <f>Q54</f>
        <v>0.95787050070864488</v>
      </c>
      <c r="S50" s="308">
        <v>0.20833333333333334</v>
      </c>
      <c r="T50" s="308">
        <v>0.29097222222222224</v>
      </c>
      <c r="U50" s="298"/>
      <c r="V50" s="309">
        <f t="shared" ref="V50:V53" si="41">(T50-S50)*24*60</f>
        <v>119.00000000000001</v>
      </c>
      <c r="W50" s="315"/>
      <c r="X50" s="315"/>
      <c r="Y50" s="570"/>
      <c r="Z50" s="570"/>
      <c r="AA50" s="306">
        <f t="shared" si="8"/>
        <v>-65.042016806722813</v>
      </c>
      <c r="AB50" s="283">
        <f t="shared" si="9"/>
        <v>0.95663865546218474</v>
      </c>
      <c r="AC50" s="571">
        <f>AB54</f>
        <v>0.95787050070864488</v>
      </c>
    </row>
    <row r="51" spans="1:29" ht="15.75" customHeight="1">
      <c r="A51" s="576" t="s">
        <v>1341</v>
      </c>
      <c r="B51" s="299" t="s">
        <v>67</v>
      </c>
      <c r="C51" s="565" t="s">
        <v>79</v>
      </c>
      <c r="D51" s="565"/>
      <c r="E51" s="300">
        <v>26.78</v>
      </c>
      <c r="F51" s="317">
        <v>2211</v>
      </c>
      <c r="G51" s="298">
        <f t="shared" si="39"/>
        <v>59210.58</v>
      </c>
      <c r="H51" s="301" t="s">
        <v>35</v>
      </c>
      <c r="I51" s="302">
        <v>10</v>
      </c>
      <c r="J51" s="303">
        <v>3000</v>
      </c>
      <c r="K51" s="304">
        <f t="shared" si="1"/>
        <v>300</v>
      </c>
      <c r="L51" s="302">
        <v>10</v>
      </c>
      <c r="M51" s="305">
        <f t="shared" si="40"/>
        <v>2883.913043478261</v>
      </c>
      <c r="N51" s="304">
        <f t="shared" si="3"/>
        <v>288.39130434782612</v>
      </c>
      <c r="O51" s="306">
        <f t="shared" si="4"/>
        <v>0</v>
      </c>
      <c r="P51" s="307">
        <f t="shared" si="5"/>
        <v>-11.608695652173878</v>
      </c>
      <c r="Q51" s="283">
        <f t="shared" si="6"/>
        <v>0.96130434782608709</v>
      </c>
      <c r="R51" s="571"/>
      <c r="S51" s="308">
        <v>0.29444444444444445</v>
      </c>
      <c r="T51" s="308">
        <v>0.3263888888888889</v>
      </c>
      <c r="U51" s="298">
        <f t="shared" ref="U51:U53" si="42">(S51-T50)*24*60</f>
        <v>4.9999999999999822</v>
      </c>
      <c r="V51" s="309">
        <f t="shared" si="41"/>
        <v>46</v>
      </c>
      <c r="W51" s="298"/>
      <c r="X51" s="298"/>
      <c r="Y51" s="570"/>
      <c r="Z51" s="570"/>
      <c r="AA51" s="306">
        <f t="shared" si="8"/>
        <v>-116.08695652173901</v>
      </c>
      <c r="AB51" s="283">
        <f t="shared" si="9"/>
        <v>0.96130434782608698</v>
      </c>
      <c r="AC51" s="571"/>
    </row>
    <row r="52" spans="1:29" ht="15.75" customHeight="1">
      <c r="A52" s="576" t="s">
        <v>1341</v>
      </c>
      <c r="B52" s="299" t="s">
        <v>67</v>
      </c>
      <c r="C52" s="565" t="s">
        <v>83</v>
      </c>
      <c r="D52" s="565"/>
      <c r="E52" s="300">
        <v>35.369999999999997</v>
      </c>
      <c r="F52" s="317">
        <v>1244</v>
      </c>
      <c r="G52" s="298">
        <f t="shared" si="39"/>
        <v>44000.28</v>
      </c>
      <c r="H52" s="301" t="s">
        <v>35</v>
      </c>
      <c r="I52" s="302">
        <v>10</v>
      </c>
      <c r="J52" s="303">
        <v>3000</v>
      </c>
      <c r="K52" s="304">
        <f t="shared" si="1"/>
        <v>300</v>
      </c>
      <c r="L52" s="302">
        <v>10</v>
      </c>
      <c r="M52" s="305">
        <f t="shared" si="40"/>
        <v>2870.7692307692323</v>
      </c>
      <c r="N52" s="304">
        <f t="shared" si="3"/>
        <v>287.07692307692321</v>
      </c>
      <c r="O52" s="306">
        <f t="shared" si="4"/>
        <v>0</v>
      </c>
      <c r="P52" s="307">
        <f t="shared" si="5"/>
        <v>-12.923076923076792</v>
      </c>
      <c r="Q52" s="283">
        <f t="shared" si="6"/>
        <v>0.95692307692307732</v>
      </c>
      <c r="R52" s="571"/>
      <c r="S52" s="308">
        <v>0.33124999999999999</v>
      </c>
      <c r="T52" s="308">
        <v>0.34930555555555554</v>
      </c>
      <c r="U52" s="298">
        <f t="shared" si="42"/>
        <v>6.9999999999999751</v>
      </c>
      <c r="V52" s="309">
        <f t="shared" si="41"/>
        <v>25.999999999999986</v>
      </c>
      <c r="W52" s="298"/>
      <c r="X52" s="298"/>
      <c r="Y52" s="570"/>
      <c r="Z52" s="570"/>
      <c r="AA52" s="306">
        <f t="shared" si="8"/>
        <v>-129.23076923076769</v>
      </c>
      <c r="AB52" s="283">
        <f t="shared" si="9"/>
        <v>0.95692307692307743</v>
      </c>
      <c r="AC52" s="571"/>
    </row>
    <row r="53" spans="1:29" ht="15.75" customHeight="1">
      <c r="A53" s="576" t="s">
        <v>1341</v>
      </c>
      <c r="B53" s="299" t="s">
        <v>67</v>
      </c>
      <c r="C53" s="565" t="s">
        <v>666</v>
      </c>
      <c r="D53" s="565"/>
      <c r="E53" s="300">
        <v>37.880000000000003</v>
      </c>
      <c r="F53" s="317">
        <v>4541</v>
      </c>
      <c r="G53" s="298">
        <f t="shared" si="39"/>
        <v>172013.08000000002</v>
      </c>
      <c r="H53" s="301" t="s">
        <v>35</v>
      </c>
      <c r="I53" s="302">
        <v>11</v>
      </c>
      <c r="J53" s="303">
        <v>3000</v>
      </c>
      <c r="K53" s="304">
        <f t="shared" si="1"/>
        <v>272.72727272727275</v>
      </c>
      <c r="L53" s="302">
        <v>11</v>
      </c>
      <c r="M53" s="305">
        <f t="shared" si="40"/>
        <v>2868.0000000000005</v>
      </c>
      <c r="N53" s="304">
        <f t="shared" si="3"/>
        <v>260.72727272727275</v>
      </c>
      <c r="O53" s="306">
        <f t="shared" si="4"/>
        <v>0</v>
      </c>
      <c r="P53" s="307">
        <f t="shared" si="5"/>
        <v>-12</v>
      </c>
      <c r="Q53" s="283">
        <f t="shared" si="6"/>
        <v>0.95599999999999996</v>
      </c>
      <c r="R53" s="571"/>
      <c r="S53" s="308">
        <v>0.35486111111111107</v>
      </c>
      <c r="T53" s="308">
        <v>0.42083333333333328</v>
      </c>
      <c r="U53" s="298">
        <f t="shared" si="42"/>
        <v>7.9999999999999716</v>
      </c>
      <c r="V53" s="309">
        <f t="shared" si="41"/>
        <v>94.999999999999986</v>
      </c>
      <c r="W53" s="298"/>
      <c r="X53" s="298"/>
      <c r="Y53" s="570"/>
      <c r="Z53" s="570"/>
      <c r="AA53" s="306">
        <f t="shared" si="8"/>
        <v>-131.99999999999955</v>
      </c>
      <c r="AB53" s="283">
        <f t="shared" si="9"/>
        <v>0.95600000000000018</v>
      </c>
      <c r="AC53" s="571"/>
    </row>
    <row r="54" spans="1:29">
      <c r="A54" s="577" t="s">
        <v>1341</v>
      </c>
      <c r="B54" s="300" t="s">
        <v>1335</v>
      </c>
      <c r="C54" s="572"/>
      <c r="D54" s="572"/>
      <c r="E54" s="312"/>
      <c r="F54" s="313"/>
      <c r="G54" s="304"/>
      <c r="H54" s="299"/>
      <c r="I54" s="314">
        <v>9.75</v>
      </c>
      <c r="J54" s="303">
        <v>2625</v>
      </c>
      <c r="K54" s="304">
        <f t="shared" si="1"/>
        <v>269.23076923076923</v>
      </c>
      <c r="L54" s="314">
        <v>9.75</v>
      </c>
      <c r="M54" s="305">
        <f>AVERAGE(M50:M53)</f>
        <v>2514.4100643601928</v>
      </c>
      <c r="N54" s="304">
        <f t="shared" si="3"/>
        <v>257.88821172925054</v>
      </c>
      <c r="O54" s="306">
        <f t="shared" si="4"/>
        <v>0</v>
      </c>
      <c r="P54" s="307">
        <f t="shared" si="5"/>
        <v>-11.342557501518684</v>
      </c>
      <c r="Q54" s="283">
        <f t="shared" si="6"/>
        <v>0.95787050070864488</v>
      </c>
      <c r="R54" s="571"/>
      <c r="S54" s="308"/>
      <c r="T54" s="308"/>
      <c r="U54" s="304"/>
      <c r="V54" s="309"/>
      <c r="W54" s="304"/>
      <c r="X54" s="304"/>
      <c r="Y54" s="570"/>
      <c r="Z54" s="570"/>
      <c r="AA54" s="306">
        <f t="shared" si="8"/>
        <v>-110.58993563980721</v>
      </c>
      <c r="AB54" s="283">
        <f t="shared" si="9"/>
        <v>0.95787050070864488</v>
      </c>
      <c r="AC54" s="571"/>
    </row>
    <row r="55" spans="1:29" ht="15.75" customHeight="1">
      <c r="A55" s="573" t="s">
        <v>1342</v>
      </c>
      <c r="B55" s="299" t="s">
        <v>46</v>
      </c>
      <c r="C55" s="565" t="s">
        <v>84</v>
      </c>
      <c r="D55" s="565"/>
      <c r="E55" s="300">
        <v>20.2</v>
      </c>
      <c r="F55" s="299">
        <v>1963</v>
      </c>
      <c r="G55" s="298">
        <f t="shared" ref="G55:G61" si="43">E55*F55</f>
        <v>39652.6</v>
      </c>
      <c r="H55" s="301" t="s">
        <v>35</v>
      </c>
      <c r="I55" s="302">
        <v>19</v>
      </c>
      <c r="J55" s="303">
        <v>2400</v>
      </c>
      <c r="K55" s="304">
        <f t="shared" si="1"/>
        <v>126.31578947368421</v>
      </c>
      <c r="L55" s="302">
        <v>19</v>
      </c>
      <c r="M55" s="305">
        <f t="shared" ref="M55:M61" si="44">F55/V55*60</f>
        <v>2309.4117647058824</v>
      </c>
      <c r="N55" s="304">
        <f t="shared" si="3"/>
        <v>121.54798761609908</v>
      </c>
      <c r="O55" s="306">
        <f t="shared" si="4"/>
        <v>0</v>
      </c>
      <c r="P55" s="307">
        <f t="shared" si="5"/>
        <v>-4.7678018575851269</v>
      </c>
      <c r="Q55" s="283">
        <f t="shared" si="6"/>
        <v>0.96225490196078445</v>
      </c>
      <c r="R55" s="571">
        <f>Q62</f>
        <v>0.96022982122173595</v>
      </c>
      <c r="S55" s="308">
        <v>8.3333333333333329E-2</v>
      </c>
      <c r="T55" s="308">
        <v>0.11874999999999999</v>
      </c>
      <c r="U55" s="315"/>
      <c r="V55" s="309">
        <f t="shared" ref="V55:V61" si="45">(T55-S55)*24*60</f>
        <v>51</v>
      </c>
      <c r="W55" s="310"/>
      <c r="X55" s="310"/>
      <c r="Y55" s="570"/>
      <c r="Z55" s="570"/>
      <c r="AA55" s="306">
        <f t="shared" si="8"/>
        <v>-90.588235294117567</v>
      </c>
      <c r="AB55" s="283">
        <f t="shared" si="9"/>
        <v>0.96225490196078434</v>
      </c>
      <c r="AC55" s="571">
        <f>AB62</f>
        <v>0.96022982122173595</v>
      </c>
    </row>
    <row r="56" spans="1:29" ht="15.75" customHeight="1">
      <c r="A56" s="574" t="s">
        <v>1342</v>
      </c>
      <c r="B56" s="299" t="s">
        <v>46</v>
      </c>
      <c r="C56" s="565" t="s">
        <v>85</v>
      </c>
      <c r="D56" s="565"/>
      <c r="E56" s="300">
        <v>19.02</v>
      </c>
      <c r="F56" s="299">
        <v>8138</v>
      </c>
      <c r="G56" s="298">
        <f t="shared" si="43"/>
        <v>154784.76</v>
      </c>
      <c r="H56" s="301" t="s">
        <v>35</v>
      </c>
      <c r="I56" s="302">
        <v>15</v>
      </c>
      <c r="J56" s="303">
        <v>2400</v>
      </c>
      <c r="K56" s="304">
        <f t="shared" si="1"/>
        <v>160</v>
      </c>
      <c r="L56" s="302">
        <v>15</v>
      </c>
      <c r="M56" s="305">
        <f t="shared" si="44"/>
        <v>2281.6822429906547</v>
      </c>
      <c r="N56" s="304">
        <f t="shared" si="3"/>
        <v>152.1121495327103</v>
      </c>
      <c r="O56" s="306">
        <f t="shared" si="4"/>
        <v>0</v>
      </c>
      <c r="P56" s="307">
        <f t="shared" si="5"/>
        <v>-7.8878504672896952</v>
      </c>
      <c r="Q56" s="283">
        <f t="shared" si="6"/>
        <v>0.95070093457943938</v>
      </c>
      <c r="R56" s="571"/>
      <c r="S56" s="308">
        <v>0.12430555555555554</v>
      </c>
      <c r="T56" s="308">
        <v>0.27291666666666664</v>
      </c>
      <c r="U56" s="298">
        <f t="shared" ref="U56:U61" si="46">(S56-T55)*24*60</f>
        <v>7.9999999999999911</v>
      </c>
      <c r="V56" s="309">
        <f t="shared" si="45"/>
        <v>213.99999999999997</v>
      </c>
      <c r="W56" s="310">
        <f>T56</f>
        <v>0.27291666666666664</v>
      </c>
      <c r="X56" s="310">
        <f>S57</f>
        <v>0.2944444444444444</v>
      </c>
      <c r="Y56" s="570"/>
      <c r="Z56" s="570"/>
      <c r="AA56" s="306">
        <f t="shared" si="8"/>
        <v>-118.31775700934531</v>
      </c>
      <c r="AB56" s="283">
        <f t="shared" si="9"/>
        <v>0.95070093457943949</v>
      </c>
      <c r="AC56" s="571"/>
    </row>
    <row r="57" spans="1:29" ht="15.75" customHeight="1">
      <c r="A57" s="574" t="s">
        <v>1342</v>
      </c>
      <c r="B57" s="299" t="s">
        <v>46</v>
      </c>
      <c r="C57" s="565" t="s">
        <v>88</v>
      </c>
      <c r="D57" s="565"/>
      <c r="E57" s="300">
        <v>24.25</v>
      </c>
      <c r="F57" s="299">
        <v>3109</v>
      </c>
      <c r="G57" s="298">
        <f t="shared" si="43"/>
        <v>75393.25</v>
      </c>
      <c r="H57" s="301" t="s">
        <v>35</v>
      </c>
      <c r="I57" s="302">
        <v>17</v>
      </c>
      <c r="J57" s="303">
        <v>2400</v>
      </c>
      <c r="K57" s="304">
        <f t="shared" si="1"/>
        <v>141.1764705882353</v>
      </c>
      <c r="L57" s="302">
        <v>17</v>
      </c>
      <c r="M57" s="305">
        <f t="shared" si="44"/>
        <v>2302.9629629629621</v>
      </c>
      <c r="N57" s="304">
        <f t="shared" si="3"/>
        <v>135.46840958605659</v>
      </c>
      <c r="O57" s="306">
        <f t="shared" si="4"/>
        <v>0</v>
      </c>
      <c r="P57" s="307">
        <f t="shared" si="5"/>
        <v>-5.7080610021787095</v>
      </c>
      <c r="Q57" s="283">
        <f t="shared" si="6"/>
        <v>0.95956790123456748</v>
      </c>
      <c r="R57" s="571"/>
      <c r="S57" s="308">
        <v>0.2944444444444444</v>
      </c>
      <c r="T57" s="308">
        <v>0.35069444444444442</v>
      </c>
      <c r="U57" s="298">
        <f t="shared" si="46"/>
        <v>30.999999999999972</v>
      </c>
      <c r="V57" s="309">
        <f t="shared" si="45"/>
        <v>81.000000000000028</v>
      </c>
      <c r="W57" s="310"/>
      <c r="X57" s="310"/>
      <c r="Y57" s="570"/>
      <c r="Z57" s="570"/>
      <c r="AA57" s="306">
        <f t="shared" si="8"/>
        <v>-97.037037037037862</v>
      </c>
      <c r="AB57" s="283">
        <f t="shared" si="9"/>
        <v>0.95956790123456759</v>
      </c>
      <c r="AC57" s="571"/>
    </row>
    <row r="58" spans="1:29" ht="15.75" customHeight="1">
      <c r="A58" s="574" t="s">
        <v>1342</v>
      </c>
      <c r="B58" s="299" t="s">
        <v>46</v>
      </c>
      <c r="C58" s="565" t="s">
        <v>47</v>
      </c>
      <c r="D58" s="565"/>
      <c r="E58" s="300">
        <v>24.45</v>
      </c>
      <c r="F58" s="299">
        <v>1857</v>
      </c>
      <c r="G58" s="298">
        <f t="shared" si="43"/>
        <v>45403.65</v>
      </c>
      <c r="H58" s="301" t="s">
        <v>35</v>
      </c>
      <c r="I58" s="302">
        <v>20</v>
      </c>
      <c r="J58" s="303">
        <v>2400</v>
      </c>
      <c r="K58" s="304">
        <f t="shared" si="1"/>
        <v>120</v>
      </c>
      <c r="L58" s="302">
        <v>20</v>
      </c>
      <c r="M58" s="305">
        <f t="shared" si="44"/>
        <v>2321.2500000000009</v>
      </c>
      <c r="N58" s="304">
        <f t="shared" si="3"/>
        <v>116.06250000000004</v>
      </c>
      <c r="O58" s="306">
        <f t="shared" si="4"/>
        <v>0</v>
      </c>
      <c r="P58" s="307">
        <f t="shared" si="5"/>
        <v>-3.9374999999999574</v>
      </c>
      <c r="Q58" s="283">
        <f t="shared" si="6"/>
        <v>0.96718750000000031</v>
      </c>
      <c r="R58" s="571"/>
      <c r="S58" s="308">
        <v>0.35416666666666663</v>
      </c>
      <c r="T58" s="308">
        <v>0.38749999999999996</v>
      </c>
      <c r="U58" s="298">
        <f t="shared" si="46"/>
        <v>4.9999999999999822</v>
      </c>
      <c r="V58" s="309">
        <f t="shared" si="45"/>
        <v>47.999999999999986</v>
      </c>
      <c r="W58" s="310"/>
      <c r="X58" s="310"/>
      <c r="Y58" s="570"/>
      <c r="Z58" s="570"/>
      <c r="AA58" s="306">
        <f t="shared" si="8"/>
        <v>-78.749999999999091</v>
      </c>
      <c r="AB58" s="283">
        <f t="shared" si="9"/>
        <v>0.96718750000000042</v>
      </c>
      <c r="AC58" s="571"/>
    </row>
    <row r="59" spans="1:29" ht="15.75" customHeight="1">
      <c r="A59" s="574" t="s">
        <v>1342</v>
      </c>
      <c r="B59" s="299" t="s">
        <v>46</v>
      </c>
      <c r="C59" s="565" t="s">
        <v>66</v>
      </c>
      <c r="D59" s="565"/>
      <c r="E59" s="300">
        <v>24.25</v>
      </c>
      <c r="F59" s="299">
        <v>3605</v>
      </c>
      <c r="G59" s="298">
        <f t="shared" si="43"/>
        <v>87421.25</v>
      </c>
      <c r="H59" s="301" t="s">
        <v>35</v>
      </c>
      <c r="I59" s="302">
        <v>14</v>
      </c>
      <c r="J59" s="303">
        <v>2400</v>
      </c>
      <c r="K59" s="304">
        <f t="shared" si="1"/>
        <v>171.42857142857142</v>
      </c>
      <c r="L59" s="302">
        <v>14</v>
      </c>
      <c r="M59" s="305">
        <f t="shared" si="44"/>
        <v>2301.0638297872347</v>
      </c>
      <c r="N59" s="304">
        <f t="shared" si="3"/>
        <v>164.36170212765961</v>
      </c>
      <c r="O59" s="306">
        <f t="shared" si="4"/>
        <v>0</v>
      </c>
      <c r="P59" s="307">
        <f t="shared" si="5"/>
        <v>-7.0668693009118044</v>
      </c>
      <c r="Q59" s="283">
        <f t="shared" si="6"/>
        <v>0.9587765957446811</v>
      </c>
      <c r="R59" s="571"/>
      <c r="S59" s="308">
        <v>0.39305555555555549</v>
      </c>
      <c r="T59" s="308">
        <v>0.45833333333333326</v>
      </c>
      <c r="U59" s="298">
        <f t="shared" si="46"/>
        <v>7.9999999999999716</v>
      </c>
      <c r="V59" s="309">
        <f t="shared" si="45"/>
        <v>93.999999999999986</v>
      </c>
      <c r="W59" s="310"/>
      <c r="X59" s="310"/>
      <c r="Y59" s="570"/>
      <c r="Z59" s="570"/>
      <c r="AA59" s="306">
        <f t="shared" si="8"/>
        <v>-98.936170212765319</v>
      </c>
      <c r="AB59" s="283">
        <f t="shared" si="9"/>
        <v>0.9587765957446811</v>
      </c>
      <c r="AC59" s="571"/>
    </row>
    <row r="60" spans="1:29" ht="15.75" customHeight="1">
      <c r="A60" s="574" t="s">
        <v>1342</v>
      </c>
      <c r="B60" s="299" t="s">
        <v>46</v>
      </c>
      <c r="C60" s="565" t="s">
        <v>58</v>
      </c>
      <c r="D60" s="565"/>
      <c r="E60" s="300">
        <v>25.98</v>
      </c>
      <c r="F60" s="299">
        <v>1314</v>
      </c>
      <c r="G60" s="298">
        <f t="shared" si="43"/>
        <v>34137.72</v>
      </c>
      <c r="H60" s="301" t="s">
        <v>35</v>
      </c>
      <c r="I60" s="302">
        <v>17</v>
      </c>
      <c r="J60" s="303">
        <v>2400</v>
      </c>
      <c r="K60" s="304">
        <f t="shared" si="1"/>
        <v>141.1764705882353</v>
      </c>
      <c r="L60" s="302">
        <v>17</v>
      </c>
      <c r="M60" s="305">
        <f t="shared" si="44"/>
        <v>2318.8235294117617</v>
      </c>
      <c r="N60" s="304">
        <f t="shared" si="3"/>
        <v>136.4013840830448</v>
      </c>
      <c r="O60" s="306">
        <f t="shared" si="4"/>
        <v>0</v>
      </c>
      <c r="P60" s="307">
        <f t="shared" si="5"/>
        <v>-4.7750865051905009</v>
      </c>
      <c r="Q60" s="283">
        <f t="shared" si="6"/>
        <v>0.96617647058823397</v>
      </c>
      <c r="R60" s="571"/>
      <c r="S60" s="308">
        <v>0.4638888888888888</v>
      </c>
      <c r="T60" s="308">
        <v>0.48749999999999993</v>
      </c>
      <c r="U60" s="298">
        <f t="shared" si="46"/>
        <v>7.9999999999999716</v>
      </c>
      <c r="V60" s="309">
        <f t="shared" si="45"/>
        <v>34.000000000000043</v>
      </c>
      <c r="W60" s="310"/>
      <c r="X60" s="310"/>
      <c r="Y60" s="570"/>
      <c r="Z60" s="570"/>
      <c r="AA60" s="306">
        <f t="shared" si="8"/>
        <v>-81.176470588238317</v>
      </c>
      <c r="AB60" s="283">
        <f t="shared" si="9"/>
        <v>0.96617647058823408</v>
      </c>
      <c r="AC60" s="571"/>
    </row>
    <row r="61" spans="1:29" ht="15.75" customHeight="1">
      <c r="A61" s="574" t="s">
        <v>1342</v>
      </c>
      <c r="B61" s="299" t="s">
        <v>46</v>
      </c>
      <c r="C61" s="565" t="s">
        <v>57</v>
      </c>
      <c r="D61" s="565"/>
      <c r="E61" s="300">
        <v>20.52</v>
      </c>
      <c r="F61" s="299">
        <v>2756</v>
      </c>
      <c r="G61" s="298">
        <f t="shared" si="43"/>
        <v>56553.119999999995</v>
      </c>
      <c r="H61" s="301" t="s">
        <v>35</v>
      </c>
      <c r="I61" s="302">
        <v>18</v>
      </c>
      <c r="J61" s="303">
        <v>2400</v>
      </c>
      <c r="K61" s="304">
        <f t="shared" si="1"/>
        <v>133.33333333333334</v>
      </c>
      <c r="L61" s="302">
        <v>18</v>
      </c>
      <c r="M61" s="305">
        <f t="shared" si="44"/>
        <v>2296.6666666666652</v>
      </c>
      <c r="N61" s="304">
        <f t="shared" si="3"/>
        <v>127.59259259259251</v>
      </c>
      <c r="O61" s="306">
        <f t="shared" si="4"/>
        <v>0</v>
      </c>
      <c r="P61" s="307">
        <f t="shared" si="5"/>
        <v>-5.7407407407408328</v>
      </c>
      <c r="Q61" s="283">
        <f t="shared" si="6"/>
        <v>0.95694444444444371</v>
      </c>
      <c r="R61" s="571"/>
      <c r="S61" s="308">
        <v>0.49097222222222214</v>
      </c>
      <c r="T61" s="308">
        <v>0.54097222222222219</v>
      </c>
      <c r="U61" s="298">
        <f t="shared" si="46"/>
        <v>4.9999999999999822</v>
      </c>
      <c r="V61" s="309">
        <f t="shared" si="45"/>
        <v>72.000000000000057</v>
      </c>
      <c r="W61" s="310"/>
      <c r="X61" s="310"/>
      <c r="Y61" s="566"/>
      <c r="Z61" s="567"/>
      <c r="AA61" s="306">
        <f t="shared" si="8"/>
        <v>-103.33333333333485</v>
      </c>
      <c r="AB61" s="283">
        <f t="shared" si="9"/>
        <v>0.95694444444444382</v>
      </c>
      <c r="AC61" s="571"/>
    </row>
    <row r="62" spans="1:29" ht="16.5" customHeight="1">
      <c r="A62" s="575" t="s">
        <v>1342</v>
      </c>
      <c r="B62" s="300" t="s">
        <v>1335</v>
      </c>
      <c r="C62" s="568"/>
      <c r="D62" s="569"/>
      <c r="E62" s="312"/>
      <c r="F62" s="313"/>
      <c r="G62" s="304"/>
      <c r="H62" s="299"/>
      <c r="I62" s="314">
        <v>17.142857142857142</v>
      </c>
      <c r="J62" s="303">
        <v>2400</v>
      </c>
      <c r="K62" s="304">
        <f t="shared" si="1"/>
        <v>140</v>
      </c>
      <c r="L62" s="314">
        <v>17.142857142857142</v>
      </c>
      <c r="M62" s="305">
        <f>AVERAGE(M55:M61)</f>
        <v>2304.5515709321662</v>
      </c>
      <c r="N62" s="304">
        <f t="shared" si="3"/>
        <v>134.43217497104303</v>
      </c>
      <c r="O62" s="306">
        <f t="shared" si="4"/>
        <v>0</v>
      </c>
      <c r="P62" s="307">
        <f t="shared" si="5"/>
        <v>-5.5678250289569746</v>
      </c>
      <c r="Q62" s="283">
        <f t="shared" si="6"/>
        <v>0.96022982122173595</v>
      </c>
      <c r="R62" s="571"/>
      <c r="S62" s="308"/>
      <c r="T62" s="308"/>
      <c r="U62" s="304"/>
      <c r="V62" s="309"/>
      <c r="W62" s="304"/>
      <c r="X62" s="304"/>
      <c r="Y62" s="570"/>
      <c r="Z62" s="570"/>
      <c r="AA62" s="306">
        <f t="shared" si="8"/>
        <v>-95.448429067833786</v>
      </c>
      <c r="AB62" s="283">
        <f t="shared" si="9"/>
        <v>0.96022982122173595</v>
      </c>
      <c r="AC62" s="571"/>
    </row>
    <row r="63" spans="1:29">
      <c r="D63" s="323"/>
      <c r="E63" s="323"/>
    </row>
  </sheetData>
  <mergeCells count="172">
    <mergeCell ref="S1:X2"/>
    <mergeCell ref="Y1:Z2"/>
    <mergeCell ref="AA1:AC2"/>
    <mergeCell ref="A3:A4"/>
    <mergeCell ref="B3:B4"/>
    <mergeCell ref="C3:D4"/>
    <mergeCell ref="E3:E4"/>
    <mergeCell ref="F3:F4"/>
    <mergeCell ref="G3:G4"/>
    <mergeCell ref="I1:K2"/>
    <mergeCell ref="L1:N2"/>
    <mergeCell ref="O1:R2"/>
    <mergeCell ref="P3:P4"/>
    <mergeCell ref="Q3:Q4"/>
    <mergeCell ref="R3:R4"/>
    <mergeCell ref="S3:T3"/>
    <mergeCell ref="H3:H4"/>
    <mergeCell ref="I3:I4"/>
    <mergeCell ref="J3:J4"/>
    <mergeCell ref="K3:K4"/>
    <mergeCell ref="L3:L4"/>
    <mergeCell ref="M3:M4"/>
    <mergeCell ref="C8:D8"/>
    <mergeCell ref="Y8:Z8"/>
    <mergeCell ref="A9:A11"/>
    <mergeCell ref="C9:D9"/>
    <mergeCell ref="R9:R11"/>
    <mergeCell ref="Y9:Z9"/>
    <mergeCell ref="AC3:AC4"/>
    <mergeCell ref="A5:A8"/>
    <mergeCell ref="C5:D5"/>
    <mergeCell ref="R5:R8"/>
    <mergeCell ref="Y5:Z5"/>
    <mergeCell ref="AC5:AC8"/>
    <mergeCell ref="C6:D6"/>
    <mergeCell ref="Y6:Z6"/>
    <mergeCell ref="C7:D7"/>
    <mergeCell ref="Y7:Z7"/>
    <mergeCell ref="U3:U4"/>
    <mergeCell ref="V3:V4"/>
    <mergeCell ref="W3:X3"/>
    <mergeCell ref="Y3:Z4"/>
    <mergeCell ref="AA3:AA4"/>
    <mergeCell ref="AB3:AB4"/>
    <mergeCell ref="N3:N4"/>
    <mergeCell ref="O3:O4"/>
    <mergeCell ref="AC9:AC11"/>
    <mergeCell ref="C10:D10"/>
    <mergeCell ref="Y10:Z10"/>
    <mergeCell ref="C11:D11"/>
    <mergeCell ref="Y11:Z11"/>
    <mergeCell ref="A12:A17"/>
    <mergeCell ref="C12:D12"/>
    <mergeCell ref="R12:R17"/>
    <mergeCell ref="Y12:Z12"/>
    <mergeCell ref="AC12:AC17"/>
    <mergeCell ref="C16:D16"/>
    <mergeCell ref="Y16:Z16"/>
    <mergeCell ref="C17:D17"/>
    <mergeCell ref="Y17:Z17"/>
    <mergeCell ref="A18:A22"/>
    <mergeCell ref="C18:D18"/>
    <mergeCell ref="R18:R22"/>
    <mergeCell ref="Y18:Z18"/>
    <mergeCell ref="C13:D13"/>
    <mergeCell ref="Y13:Z13"/>
    <mergeCell ref="C14:D14"/>
    <mergeCell ref="Y14:Z14"/>
    <mergeCell ref="C15:D15"/>
    <mergeCell ref="Y15:Z15"/>
    <mergeCell ref="AC23:AC28"/>
    <mergeCell ref="C24:D24"/>
    <mergeCell ref="Y24:Z24"/>
    <mergeCell ref="C25:D25"/>
    <mergeCell ref="Y25:Z25"/>
    <mergeCell ref="C26:D26"/>
    <mergeCell ref="AC18:AC22"/>
    <mergeCell ref="C19:D19"/>
    <mergeCell ref="Y19:Z19"/>
    <mergeCell ref="C20:D20"/>
    <mergeCell ref="Y20:Z20"/>
    <mergeCell ref="C21:D21"/>
    <mergeCell ref="Y21:Z21"/>
    <mergeCell ref="C22:D22"/>
    <mergeCell ref="Y22:Z22"/>
    <mergeCell ref="Y26:Z26"/>
    <mergeCell ref="C27:D27"/>
    <mergeCell ref="Y27:Z27"/>
    <mergeCell ref="C28:D28"/>
    <mergeCell ref="Y28:Z28"/>
    <mergeCell ref="A29:A35"/>
    <mergeCell ref="C29:D29"/>
    <mergeCell ref="R29:R35"/>
    <mergeCell ref="Y29:Z29"/>
    <mergeCell ref="Y34:Z34"/>
    <mergeCell ref="A23:A28"/>
    <mergeCell ref="C23:D23"/>
    <mergeCell ref="R23:R28"/>
    <mergeCell ref="Y23:Z23"/>
    <mergeCell ref="AC29:AC35"/>
    <mergeCell ref="C30:D30"/>
    <mergeCell ref="Y30:Z30"/>
    <mergeCell ref="C31:D31"/>
    <mergeCell ref="Y31:Z31"/>
    <mergeCell ref="C32:D32"/>
    <mergeCell ref="Y32:Z32"/>
    <mergeCell ref="C33:D33"/>
    <mergeCell ref="Y33:Z33"/>
    <mergeCell ref="C34:D34"/>
    <mergeCell ref="C35:D35"/>
    <mergeCell ref="Y35:Z35"/>
    <mergeCell ref="A36:A42"/>
    <mergeCell ref="C36:D36"/>
    <mergeCell ref="R36:R42"/>
    <mergeCell ref="Y36:Z36"/>
    <mergeCell ref="Y41:Z41"/>
    <mergeCell ref="C42:D42"/>
    <mergeCell ref="Y42:Z42"/>
    <mergeCell ref="AC43:AC49"/>
    <mergeCell ref="C44:D44"/>
    <mergeCell ref="Y44:Z44"/>
    <mergeCell ref="C45:D45"/>
    <mergeCell ref="C48:D48"/>
    <mergeCell ref="Y48:Z48"/>
    <mergeCell ref="AC36:AC42"/>
    <mergeCell ref="C37:D37"/>
    <mergeCell ref="Y37:Z37"/>
    <mergeCell ref="C38:D38"/>
    <mergeCell ref="Y38:Z38"/>
    <mergeCell ref="C39:D39"/>
    <mergeCell ref="Y39:Z39"/>
    <mergeCell ref="C40:D40"/>
    <mergeCell ref="Y40:Z40"/>
    <mergeCell ref="C41:D41"/>
    <mergeCell ref="C49:D49"/>
    <mergeCell ref="Y49:Z49"/>
    <mergeCell ref="A50:A54"/>
    <mergeCell ref="C50:D50"/>
    <mergeCell ref="R50:R54"/>
    <mergeCell ref="Y50:Z50"/>
    <mergeCell ref="A43:A49"/>
    <mergeCell ref="C43:D43"/>
    <mergeCell ref="R43:R49"/>
    <mergeCell ref="Y43:Z43"/>
    <mergeCell ref="AC50:AC54"/>
    <mergeCell ref="C51:D51"/>
    <mergeCell ref="Y51:Z51"/>
    <mergeCell ref="C52:D52"/>
    <mergeCell ref="Y52:Z52"/>
    <mergeCell ref="C53:D53"/>
    <mergeCell ref="Y53:Z53"/>
    <mergeCell ref="C54:D54"/>
    <mergeCell ref="Y54:Z54"/>
    <mergeCell ref="A55:A62"/>
    <mergeCell ref="C55:D55"/>
    <mergeCell ref="R55:R62"/>
    <mergeCell ref="Y55:Z55"/>
    <mergeCell ref="AC55:AC62"/>
    <mergeCell ref="C56:D56"/>
    <mergeCell ref="Y56:Z56"/>
    <mergeCell ref="C57:D57"/>
    <mergeCell ref="Y57:Z57"/>
    <mergeCell ref="C58:D58"/>
    <mergeCell ref="C62:D62"/>
    <mergeCell ref="Y62:Z62"/>
    <mergeCell ref="Y58:Z58"/>
    <mergeCell ref="C59:D59"/>
    <mergeCell ref="Y59:Z59"/>
    <mergeCell ref="C60:D60"/>
    <mergeCell ref="Y60:Z60"/>
    <mergeCell ref="C61:D61"/>
    <mergeCell ref="Y61:Z61"/>
  </mergeCells>
  <phoneticPr fontId="3" type="noConversion"/>
  <conditionalFormatting sqref="O53:O60 O62 O5:O9 O11:O13 O17:O50">
    <cfRule type="cellIs" dxfId="1041" priority="41" operator="greaterThan">
      <formula>0</formula>
    </cfRule>
  </conditionalFormatting>
  <conditionalFormatting sqref="P5:P7 P53 AA53 P55:P60 P23:P27 P50 P9 P11:P13 P18:P21 P43:P48 P29:P41 AA5:AA50 AA55:AA62">
    <cfRule type="cellIs" dxfId="1040" priority="45" operator="lessThan">
      <formula>0</formula>
    </cfRule>
  </conditionalFormatting>
  <conditionalFormatting sqref="AB53 Q53:Q60 Q62 Q5:Q9 Q11:Q13 Q17:Q50 AB5:AB50 AB55:AB62">
    <cfRule type="cellIs" dxfId="1039" priority="42" operator="greaterThan">
      <formula>1</formula>
    </cfRule>
    <cfRule type="cellIs" dxfId="1038" priority="43" operator="lessThan">
      <formula>0.8</formula>
    </cfRule>
  </conditionalFormatting>
  <conditionalFormatting sqref="AC12:AC13 R12:R13 AC53 R53:R60 R62 AC5:AC9 R5:R9 AC17:AC50 R17:R50">
    <cfRule type="cellIs" dxfId="1037" priority="47" operator="lessThan">
      <formula>0.8</formula>
    </cfRule>
  </conditionalFormatting>
  <conditionalFormatting sqref="AC36">
    <cfRule type="cellIs" dxfId="1036" priority="49" operator="lessThan">
      <formula>0.8</formula>
    </cfRule>
  </conditionalFormatting>
  <conditionalFormatting sqref="AC18:AC21">
    <cfRule type="cellIs" dxfId="1035" priority="46" operator="lessThan">
      <formula>0.8</formula>
    </cfRule>
  </conditionalFormatting>
  <conditionalFormatting sqref="AC23">
    <cfRule type="cellIs" dxfId="1034" priority="48" operator="lessThan">
      <formula>0.8</formula>
    </cfRule>
  </conditionalFormatting>
  <conditionalFormatting sqref="AC29:AC34">
    <cfRule type="cellIs" dxfId="1033" priority="44" operator="lessThan">
      <formula>0.8</formula>
    </cfRule>
  </conditionalFormatting>
  <conditionalFormatting sqref="AA54">
    <cfRule type="cellIs" dxfId="1032" priority="40" operator="lessThan">
      <formula>0</formula>
    </cfRule>
  </conditionalFormatting>
  <conditionalFormatting sqref="AB54">
    <cfRule type="cellIs" dxfId="1031" priority="38" operator="greaterThan">
      <formula>1</formula>
    </cfRule>
    <cfRule type="cellIs" dxfId="1030" priority="39" operator="lessThan">
      <formula>0.8</formula>
    </cfRule>
  </conditionalFormatting>
  <conditionalFormatting sqref="O14:O15">
    <cfRule type="cellIs" dxfId="1029" priority="33" operator="greaterThan">
      <formula>0</formula>
    </cfRule>
  </conditionalFormatting>
  <conditionalFormatting sqref="P14:P15">
    <cfRule type="cellIs" dxfId="1028" priority="36" operator="lessThan">
      <formula>0</formula>
    </cfRule>
  </conditionalFormatting>
  <conditionalFormatting sqref="Q14:Q15">
    <cfRule type="cellIs" dxfId="1027" priority="34" operator="greaterThan">
      <formula>1</formula>
    </cfRule>
    <cfRule type="cellIs" dxfId="1026" priority="35" operator="lessThan">
      <formula>0.8</formula>
    </cfRule>
  </conditionalFormatting>
  <conditionalFormatting sqref="R14:R15 AC14:AC15">
    <cfRule type="cellIs" dxfId="1025" priority="37" operator="lessThan">
      <formula>0.8</formula>
    </cfRule>
  </conditionalFormatting>
  <conditionalFormatting sqref="O10">
    <cfRule type="cellIs" dxfId="1024" priority="29" operator="greaterThan">
      <formula>0</formula>
    </cfRule>
  </conditionalFormatting>
  <conditionalFormatting sqref="P10">
    <cfRule type="cellIs" dxfId="1023" priority="32" operator="lessThan">
      <formula>0</formula>
    </cfRule>
  </conditionalFormatting>
  <conditionalFormatting sqref="Q10">
    <cfRule type="cellIs" dxfId="1022" priority="30" operator="greaterThan">
      <formula>1</formula>
    </cfRule>
    <cfRule type="cellIs" dxfId="1021" priority="31" operator="lessThan">
      <formula>0.8</formula>
    </cfRule>
  </conditionalFormatting>
  <conditionalFormatting sqref="O52">
    <cfRule type="cellIs" dxfId="1020" priority="24" operator="greaterThan">
      <formula>0</formula>
    </cfRule>
  </conditionalFormatting>
  <conditionalFormatting sqref="P52 AA52">
    <cfRule type="cellIs" dxfId="1019" priority="27" operator="lessThan">
      <formula>0</formula>
    </cfRule>
  </conditionalFormatting>
  <conditionalFormatting sqref="Q52 AB52">
    <cfRule type="cellIs" dxfId="1018" priority="25" operator="greaterThan">
      <formula>1</formula>
    </cfRule>
    <cfRule type="cellIs" dxfId="1017" priority="26" operator="lessThan">
      <formula>0.8</formula>
    </cfRule>
  </conditionalFormatting>
  <conditionalFormatting sqref="R52 AC52">
    <cfRule type="cellIs" dxfId="1016" priority="28" operator="lessThan">
      <formula>0.8</formula>
    </cfRule>
  </conditionalFormatting>
  <conditionalFormatting sqref="O61">
    <cfRule type="cellIs" dxfId="1015" priority="19" operator="greaterThan">
      <formula>0</formula>
    </cfRule>
  </conditionalFormatting>
  <conditionalFormatting sqref="P61">
    <cfRule type="cellIs" dxfId="1014" priority="22" operator="lessThan">
      <formula>0</formula>
    </cfRule>
  </conditionalFormatting>
  <conditionalFormatting sqref="Q61">
    <cfRule type="cellIs" dxfId="1013" priority="20" operator="greaterThan">
      <formula>1</formula>
    </cfRule>
    <cfRule type="cellIs" dxfId="1012" priority="21" operator="lessThan">
      <formula>0.8</formula>
    </cfRule>
  </conditionalFormatting>
  <conditionalFormatting sqref="R61">
    <cfRule type="cellIs" dxfId="1011" priority="23" operator="lessThan">
      <formula>0.8</formula>
    </cfRule>
  </conditionalFormatting>
  <conditionalFormatting sqref="O16">
    <cfRule type="cellIs" dxfId="1010" priority="14" operator="greaterThan">
      <formula>0</formula>
    </cfRule>
  </conditionalFormatting>
  <conditionalFormatting sqref="P16">
    <cfRule type="cellIs" dxfId="1009" priority="17" operator="lessThan">
      <formula>0</formula>
    </cfRule>
  </conditionalFormatting>
  <conditionalFormatting sqref="Q16">
    <cfRule type="cellIs" dxfId="1008" priority="15" operator="greaterThan">
      <formula>1</formula>
    </cfRule>
    <cfRule type="cellIs" dxfId="1007" priority="16" operator="lessThan">
      <formula>0.8</formula>
    </cfRule>
  </conditionalFormatting>
  <conditionalFormatting sqref="R16 AC16">
    <cfRule type="cellIs" dxfId="1006" priority="18" operator="lessThan">
      <formula>0.8</formula>
    </cfRule>
  </conditionalFormatting>
  <conditionalFormatting sqref="O51">
    <cfRule type="cellIs" dxfId="1005" priority="9" operator="greaterThan">
      <formula>0</formula>
    </cfRule>
  </conditionalFormatting>
  <conditionalFormatting sqref="P51 AA51">
    <cfRule type="cellIs" dxfId="1004" priority="12" operator="lessThan">
      <formula>0</formula>
    </cfRule>
  </conditionalFormatting>
  <conditionalFormatting sqref="Q51 AB51">
    <cfRule type="cellIs" dxfId="1003" priority="10" operator="greaterThan">
      <formula>1</formula>
    </cfRule>
    <cfRule type="cellIs" dxfId="1002" priority="11" operator="lessThan">
      <formula>0.8</formula>
    </cfRule>
  </conditionalFormatting>
  <conditionalFormatting sqref="R51 AC51">
    <cfRule type="cellIs" dxfId="1001" priority="13" operator="lessThan">
      <formula>0.8</formula>
    </cfRule>
  </conditionalFormatting>
  <conditionalFormatting sqref="P8">
    <cfRule type="cellIs" dxfId="1000" priority="8" operator="lessThan">
      <formula>0</formula>
    </cfRule>
  </conditionalFormatting>
  <conditionalFormatting sqref="P17">
    <cfRule type="cellIs" dxfId="999" priority="7" operator="lessThan">
      <formula>0</formula>
    </cfRule>
  </conditionalFormatting>
  <conditionalFormatting sqref="P22">
    <cfRule type="cellIs" dxfId="998" priority="6" operator="lessThan">
      <formula>0</formula>
    </cfRule>
  </conditionalFormatting>
  <conditionalFormatting sqref="P28">
    <cfRule type="cellIs" dxfId="997" priority="5" operator="lessThan">
      <formula>0</formula>
    </cfRule>
  </conditionalFormatting>
  <conditionalFormatting sqref="P42">
    <cfRule type="cellIs" dxfId="996" priority="4" operator="lessThan">
      <formula>0</formula>
    </cfRule>
  </conditionalFormatting>
  <conditionalFormatting sqref="P49">
    <cfRule type="cellIs" dxfId="995" priority="3" operator="lessThan">
      <formula>0</formula>
    </cfRule>
  </conditionalFormatting>
  <conditionalFormatting sqref="P54">
    <cfRule type="cellIs" dxfId="994" priority="2" operator="lessThan">
      <formula>0</formula>
    </cfRule>
  </conditionalFormatting>
  <conditionalFormatting sqref="P62">
    <cfRule type="cellIs" dxfId="993" priority="1" operator="lessThan">
      <formula>0</formula>
    </cfRule>
  </conditionalFormatting>
  <dataValidations count="1">
    <dataValidation type="list" allowBlank="1" showInputMessage="1" showErrorMessage="1" sqref="Z8 Y5:Z7 Y8:Y53 Z10:Z50 Y54:Z62">
      <formula1>#REF!</formula1>
    </dataValidation>
  </dataValidations>
  <pageMargins left="0" right="0" top="0" bottom="0" header="0" footer="0"/>
  <pageSetup paperSize="9" scale="11" orientation="landscape" horizontalDpi="300" verticalDpi="300" r:id="rId1"/>
</worksheet>
</file>

<file path=xl/worksheets/sheet3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工作表27"/>
  <dimension ref="B1:Q28"/>
  <sheetViews>
    <sheetView zoomScale="85" zoomScaleNormal="85" workbookViewId="0">
      <selection activeCell="I7" sqref="I7:J7"/>
    </sheetView>
  </sheetViews>
  <sheetFormatPr defaultColWidth="8.75" defaultRowHeight="15.75"/>
  <cols>
    <col min="1" max="1" width="8.75" style="30"/>
    <col min="2" max="2" width="17.875" style="30" customWidth="1"/>
    <col min="3" max="3" width="9.25" style="37" customWidth="1"/>
    <col min="4" max="13" width="12.625" style="30" customWidth="1"/>
    <col min="14" max="14" width="11" style="30" bestFit="1" customWidth="1"/>
    <col min="15" max="15" width="17.75" style="30" bestFit="1" customWidth="1"/>
    <col min="16" max="16" width="12.25" style="30" bestFit="1" customWidth="1"/>
    <col min="17" max="22" width="9.25" style="30" customWidth="1"/>
    <col min="23" max="23" width="10.75" style="30" customWidth="1"/>
    <col min="24" max="24" width="11" style="30" customWidth="1"/>
    <col min="25" max="16384" width="8.75" style="30"/>
  </cols>
  <sheetData>
    <row r="1" spans="2:17" ht="27.75" customHeight="1">
      <c r="B1" s="552" t="s">
        <v>1195</v>
      </c>
      <c r="C1" s="552"/>
      <c r="D1" s="552"/>
      <c r="E1" s="552"/>
      <c r="F1" s="552"/>
      <c r="G1" s="552"/>
      <c r="H1" s="552"/>
      <c r="I1" s="552"/>
      <c r="J1" s="552"/>
      <c r="K1" s="29"/>
      <c r="L1" s="29"/>
      <c r="M1" s="29"/>
      <c r="N1" s="29"/>
      <c r="O1" s="29"/>
      <c r="P1" s="29"/>
    </row>
    <row r="2" spans="2:17" ht="27.75" customHeight="1">
      <c r="B2" s="553"/>
      <c r="C2" s="553"/>
      <c r="D2" s="553"/>
      <c r="E2" s="553"/>
      <c r="F2" s="553"/>
      <c r="G2" s="553"/>
      <c r="H2" s="553"/>
      <c r="I2" s="553"/>
      <c r="J2" s="553"/>
      <c r="K2" s="31"/>
      <c r="L2" s="31"/>
      <c r="M2" s="31"/>
      <c r="N2" s="29"/>
      <c r="O2" s="29"/>
      <c r="P2" s="29"/>
    </row>
    <row r="3" spans="2:17" ht="46.5" customHeight="1">
      <c r="B3" s="32" t="s">
        <v>200</v>
      </c>
      <c r="C3" s="554" t="str">
        <f>TEXT('1016 4度C'!A2,"yyyy.mm.ddaaaa")</f>
        <v>2025.10.16星期四</v>
      </c>
      <c r="D3" s="555"/>
      <c r="E3" s="32" t="s">
        <v>1196</v>
      </c>
      <c r="F3" s="556">
        <f>'1016 4度C'!D1</f>
        <v>181153</v>
      </c>
      <c r="G3" s="557"/>
      <c r="H3" s="32" t="s">
        <v>1197</v>
      </c>
      <c r="I3" s="558">
        <f>'1016 4度C'!F1</f>
        <v>5877497.3299999991</v>
      </c>
      <c r="J3" s="559"/>
      <c r="K3" s="33"/>
      <c r="L3" s="34"/>
      <c r="M3" s="35"/>
      <c r="N3" s="35"/>
    </row>
    <row r="4" spans="2:17" ht="28.5" customHeight="1">
      <c r="B4" s="560" t="s">
        <v>1198</v>
      </c>
      <c r="C4" s="542" t="s">
        <v>1199</v>
      </c>
      <c r="D4" s="543"/>
      <c r="E4" s="563" t="s">
        <v>1200</v>
      </c>
      <c r="F4" s="564"/>
      <c r="G4" s="563" t="s">
        <v>1201</v>
      </c>
      <c r="H4" s="564"/>
      <c r="I4" s="563" t="s">
        <v>1202</v>
      </c>
      <c r="J4" s="564"/>
      <c r="L4" s="35"/>
      <c r="M4" s="35"/>
      <c r="N4" s="35"/>
    </row>
    <row r="5" spans="2:17" ht="28.5" customHeight="1">
      <c r="B5" s="561"/>
      <c r="C5" s="542" t="s">
        <v>1203</v>
      </c>
      <c r="D5" s="543"/>
      <c r="E5" s="542" t="s">
        <v>1204</v>
      </c>
      <c r="F5" s="543"/>
      <c r="G5" s="544" t="s">
        <v>1205</v>
      </c>
      <c r="H5" s="545"/>
      <c r="I5" s="546" t="s">
        <v>1206</v>
      </c>
      <c r="J5" s="547"/>
      <c r="K5" s="35"/>
      <c r="L5" s="35"/>
      <c r="M5" s="35"/>
      <c r="N5" s="35"/>
    </row>
    <row r="6" spans="2:17" ht="28.5" customHeight="1">
      <c r="B6" s="561"/>
      <c r="C6" s="542" t="s">
        <v>92</v>
      </c>
      <c r="D6" s="543"/>
      <c r="E6" s="548">
        <f>AVERAGE(D13:M13)</f>
        <v>153.12346622795218</v>
      </c>
      <c r="F6" s="549">
        <f>AVERAGE(D27:O27,D13:J13)</f>
        <v>159.11492160150854</v>
      </c>
      <c r="G6" s="550">
        <f>AVERAGE(D13:J13)</f>
        <v>159.11492160150854</v>
      </c>
      <c r="H6" s="551"/>
      <c r="I6" s="550">
        <f>AVERAGE(K13:M13)</f>
        <v>139.14340368965404</v>
      </c>
      <c r="J6" s="551"/>
      <c r="K6" s="35"/>
      <c r="L6" s="35"/>
      <c r="M6" s="35"/>
      <c r="N6" s="35"/>
    </row>
    <row r="7" spans="2:17" ht="28.5" customHeight="1">
      <c r="B7" s="561"/>
      <c r="C7" s="532" t="s">
        <v>93</v>
      </c>
      <c r="D7" s="533"/>
      <c r="E7" s="534">
        <f>AVERAGE(D14:M14)</f>
        <v>146.88970244481033</v>
      </c>
      <c r="F7" s="535">
        <f>AVERAGE(D28:O28,D14:J14)</f>
        <v>152.7688282398874</v>
      </c>
      <c r="G7" s="536">
        <f>AVERAGE(D14:J14)</f>
        <v>152.7688282398874</v>
      </c>
      <c r="H7" s="537"/>
      <c r="I7" s="536">
        <f>AVERAGE(K14:M14)</f>
        <v>133.17174225629708</v>
      </c>
      <c r="J7" s="537"/>
      <c r="K7" s="35"/>
      <c r="L7" s="35"/>
      <c r="M7" s="35"/>
      <c r="N7" s="35"/>
    </row>
    <row r="8" spans="2:17" ht="28.5" customHeight="1">
      <c r="B8" s="562"/>
      <c r="C8" s="532" t="s">
        <v>94</v>
      </c>
      <c r="D8" s="533"/>
      <c r="E8" s="538">
        <f>AVERAGE(D15:M15)</f>
        <v>0.95927084193967738</v>
      </c>
      <c r="F8" s="539">
        <f>AVERAGE(D15:J15,D29:O29)</f>
        <v>0.96021481600631409</v>
      </c>
      <c r="G8" s="540">
        <f>AVERAGE(D15:J15)</f>
        <v>0.96021481600631409</v>
      </c>
      <c r="H8" s="541"/>
      <c r="I8" s="540">
        <f>AVERAGE(K15:M15)</f>
        <v>0.9570682357841912</v>
      </c>
      <c r="J8" s="541"/>
      <c r="K8" s="36" t="s">
        <v>1207</v>
      </c>
      <c r="L8" s="35"/>
      <c r="M8" s="35"/>
      <c r="N8" s="35"/>
    </row>
    <row r="9" spans="2:17" ht="28.5" customHeight="1" thickBot="1">
      <c r="H9" s="38"/>
      <c r="N9" s="35"/>
      <c r="O9" s="35"/>
      <c r="P9" s="35"/>
      <c r="Q9" s="35"/>
    </row>
    <row r="10" spans="2:17" ht="30" customHeight="1">
      <c r="B10" s="515" t="s">
        <v>1208</v>
      </c>
      <c r="C10" s="516"/>
      <c r="D10" s="517" t="s">
        <v>1209</v>
      </c>
      <c r="E10" s="518"/>
      <c r="F10" s="518"/>
      <c r="G10" s="518"/>
      <c r="H10" s="518"/>
      <c r="I10" s="518"/>
      <c r="J10" s="519"/>
      <c r="K10" s="520" t="s">
        <v>1210</v>
      </c>
      <c r="L10" s="521"/>
      <c r="M10" s="522"/>
      <c r="P10" s="39"/>
      <c r="Q10" s="39"/>
    </row>
    <row r="11" spans="2:17" ht="17.25" customHeight="1">
      <c r="B11" s="523" t="s">
        <v>1211</v>
      </c>
      <c r="C11" s="524"/>
      <c r="D11" s="40">
        <v>1</v>
      </c>
      <c r="E11" s="41">
        <v>2</v>
      </c>
      <c r="F11" s="41">
        <v>3</v>
      </c>
      <c r="G11" s="41">
        <v>4</v>
      </c>
      <c r="H11" s="41">
        <v>5</v>
      </c>
      <c r="I11" s="41">
        <v>6</v>
      </c>
      <c r="J11" s="42">
        <v>7</v>
      </c>
      <c r="K11" s="40">
        <v>1</v>
      </c>
      <c r="L11" s="41">
        <v>2</v>
      </c>
      <c r="M11" s="42">
        <v>3</v>
      </c>
      <c r="P11" s="39"/>
      <c r="Q11" s="39"/>
    </row>
    <row r="12" spans="2:17" ht="34.15" customHeight="1">
      <c r="B12" s="525"/>
      <c r="C12" s="526"/>
      <c r="D12" s="43" t="s">
        <v>96</v>
      </c>
      <c r="E12" s="44" t="s">
        <v>97</v>
      </c>
      <c r="F12" s="44" t="s">
        <v>98</v>
      </c>
      <c r="G12" s="44" t="s">
        <v>99</v>
      </c>
      <c r="H12" s="44" t="s">
        <v>100</v>
      </c>
      <c r="I12" s="44" t="s">
        <v>101</v>
      </c>
      <c r="J12" s="45" t="s">
        <v>102</v>
      </c>
      <c r="K12" s="43" t="s">
        <v>103</v>
      </c>
      <c r="L12" s="44" t="s">
        <v>104</v>
      </c>
      <c r="M12" s="45" t="s">
        <v>105</v>
      </c>
    </row>
    <row r="13" spans="2:17" ht="40.15" customHeight="1">
      <c r="B13" s="527" t="s">
        <v>1212</v>
      </c>
      <c r="C13" s="46" t="s">
        <v>371</v>
      </c>
      <c r="D13" s="47">
        <f>SUMIFS('1016 4度C'!$K:$K,'1016 4度C'!$A:$A,"新豐6線",'1016 4度C'!$B:$B,"平均")</f>
        <v>125</v>
      </c>
      <c r="E13" s="48">
        <f>SUMIFS('1016 4度C'!$K:$K,'1016 4度C'!$A:$A,"新豐2線",'1016 4度C'!$B:$B,"平均")</f>
        <v>81.081081081081081</v>
      </c>
      <c r="F13" s="49">
        <f>SUMIFS('1016 4度C'!$K:$K,'1016 4度C'!$A:$A,"新豐5線",'1016 4度C'!$B:$B,"平均")</f>
        <v>91.397849462365585</v>
      </c>
      <c r="G13" s="49">
        <f>SUMIFS('1016 4度C'!$K:$K,'1016 4度C'!$A:$A,"新豐7線",'1016 4度C'!$B:$B,"平均")</f>
        <v>119.40298507462687</v>
      </c>
      <c r="H13" s="49">
        <f>SUMIFS('1016 4度C'!$K:$K,'1016 4度C'!$A:$A,"新豐3線",'1016 4度C'!$B:$B,"平均")</f>
        <v>310.34482758620692</v>
      </c>
      <c r="I13" s="49">
        <f>SUMIFS('1016 4度C'!$K:$K,'1016 4度C'!$A:$A,"新豐1線",'1016 4度C'!$B:$B,"平均")</f>
        <v>117.34693877551021</v>
      </c>
      <c r="J13" s="50">
        <f>SUMIFS('1016 4度C'!$K:$K,'1016 4度C'!$A:$A,"新豐10線",'1016 4度C'!$B:$B,"平均")</f>
        <v>269.23076923076923</v>
      </c>
      <c r="K13" s="51">
        <f>SUMIFS('1016 4度C'!$K:$K,'1016 4度C'!$A:$A,"新豐8線",'1016 4度C'!$B:$B,"平均")</f>
        <v>133.33333333333334</v>
      </c>
      <c r="L13" s="52">
        <f>SUMIFS('1016 4度C'!$K:$K,'1016 4度C'!$A:$A,"新豐9線",'1016 4度C'!$B:$B,"平均")</f>
        <v>139.13043478260869</v>
      </c>
      <c r="M13" s="50">
        <f>SUMIFS('1016 4度C'!$K:$K,'1016 4度C'!$A:$A,"新豐4線",'1016 4度C'!$B:$B,"平均")</f>
        <v>144.96644295302013</v>
      </c>
    </row>
    <row r="14" spans="2:17" ht="39.6" customHeight="1">
      <c r="B14" s="528"/>
      <c r="C14" s="53" t="s">
        <v>218</v>
      </c>
      <c r="D14" s="54">
        <f>SUMIFS('1016 4度C'!$N:$N,'1016 4度C'!$A:$A,"新豐6線",'1016 4度C'!$B:$B,"平均")</f>
        <v>120.95149116618153</v>
      </c>
      <c r="E14" s="55">
        <f>SUMIFS('1016 4度C'!$N:$N,'1016 4度C'!$A:$A,"新豐2線",'1016 4度C'!$B:$B,"平均")</f>
        <v>77.513142433050916</v>
      </c>
      <c r="F14" s="55">
        <f>SUMIFS('1016 4度C'!$N:$N,'1016 4度C'!$A:$A,"新豐5線",'1016 4度C'!$B:$B,"平均")</f>
        <v>87.451268185774083</v>
      </c>
      <c r="G14" s="55">
        <f>SUMIFS('1016 4度C'!$N:$N,'1016 4度C'!$A:$A,"新豐7線",'1016 4度C'!$B:$B,"平均")</f>
        <v>114.58439820036172</v>
      </c>
      <c r="H14" s="55">
        <f>SUMIFS('1016 4度C'!$N:$N,'1016 4度C'!$A:$A,"新豐3線",'1016 4度C'!$B:$B,"平均")</f>
        <v>297.13689387366566</v>
      </c>
      <c r="I14" s="55">
        <f>SUMIFS('1016 4度C'!$N:$N,'1016 4度C'!$A:$A,"新豐1線",'1016 4度C'!$B:$B,"平均")</f>
        <v>112.99651724336503</v>
      </c>
      <c r="J14" s="56">
        <f>SUMIFS('1016 4度C'!$N:$N,'1016 4度C'!$A:$A,"新豐10線",'1016 4度C'!$B:$B,"平均")</f>
        <v>258.74808657681291</v>
      </c>
      <c r="K14" s="57">
        <f>SUMIFS('1016 4度C'!$N:$N,'1016 4度C'!$A:$A,"新豐8線",'1016 4度C'!$B:$B,"平均")</f>
        <v>127.52777765039939</v>
      </c>
      <c r="L14" s="58">
        <f>SUMIFS('1016 4度C'!$N:$N,'1016 4度C'!$A:$A,"新豐9線",'1016 4度C'!$B:$B,"平均")</f>
        <v>133.18268492729547</v>
      </c>
      <c r="M14" s="56">
        <f>SUMIFS('1016 4度C'!$N:$N,'1016 4度C'!$A:$A,"新豐4線",'1016 4度C'!$B:$B,"平均")</f>
        <v>138.8047641911964</v>
      </c>
    </row>
    <row r="15" spans="2:17" ht="40.15" customHeight="1">
      <c r="B15" s="529"/>
      <c r="C15" s="59" t="s">
        <v>1213</v>
      </c>
      <c r="D15" s="60">
        <f t="shared" ref="D15:M15" si="0">D14/D13</f>
        <v>0.96761192932945217</v>
      </c>
      <c r="E15" s="61">
        <f t="shared" si="0"/>
        <v>0.95599542334096133</v>
      </c>
      <c r="F15" s="61">
        <f t="shared" si="0"/>
        <v>0.956819757797293</v>
      </c>
      <c r="G15" s="61">
        <f t="shared" si="0"/>
        <v>0.95964433492802936</v>
      </c>
      <c r="H15" s="61">
        <f t="shared" si="0"/>
        <v>0.95744110248181147</v>
      </c>
      <c r="I15" s="61">
        <f t="shared" si="0"/>
        <v>0.96292684259563244</v>
      </c>
      <c r="J15" s="62">
        <f t="shared" si="0"/>
        <v>0.9610643215710194</v>
      </c>
      <c r="K15" s="60">
        <f t="shared" si="0"/>
        <v>0.95645833237799538</v>
      </c>
      <c r="L15" s="61">
        <f t="shared" si="0"/>
        <v>0.95725054791493625</v>
      </c>
      <c r="M15" s="62">
        <f t="shared" si="0"/>
        <v>0.95749582705964187</v>
      </c>
    </row>
    <row r="16" spans="2:17" ht="17.25" customHeight="1">
      <c r="B16" s="530" t="s">
        <v>1214</v>
      </c>
      <c r="C16" s="63" t="s">
        <v>1215</v>
      </c>
      <c r="D16" s="64">
        <f>VLOOKUP("新豐6線",'1016 4度C'!$A:$T,19,0)</f>
        <v>0.70833333333333337</v>
      </c>
      <c r="E16" s="24">
        <f>VLOOKUP("新豐2線",'1016 4度C'!$A:$T,19,0)</f>
        <v>0.20833333333333334</v>
      </c>
      <c r="F16" s="24">
        <f>VLOOKUP("新豐5線",'1016 4度C'!$A:$T,19,0)</f>
        <v>8.3333333333333329E-2</v>
      </c>
      <c r="G16" s="24">
        <f>VLOOKUP("新豐7線",'1016 4度C'!$A:$T,19,0)</f>
        <v>0.20833333333333334</v>
      </c>
      <c r="H16" s="24">
        <f>VLOOKUP("新豐3線",'1016 4度C'!$A:$T,19,0)</f>
        <v>8.3333333333333329E-2</v>
      </c>
      <c r="I16" s="24">
        <f>VLOOKUP("新豐1線",'1016 4度C'!$A:$T,19,0)</f>
        <v>0.29166666666666669</v>
      </c>
      <c r="J16" s="65">
        <f>VLOOKUP("新豐10線",'1016 4度C'!$A:$T,19,0)</f>
        <v>0.20833333333333334</v>
      </c>
      <c r="K16" s="66">
        <f>VLOOKUP("新豐8線",'1016 4度C'!$A:$T,19,0)</f>
        <v>8.3333333333333329E-2</v>
      </c>
      <c r="L16" s="67">
        <f>VLOOKUP("新豐9線",'1016 4度C'!$A:$T,19,0)</f>
        <v>8.3333333333333329E-2</v>
      </c>
      <c r="M16" s="68">
        <f>VLOOKUP("新豐4線",'1016 4度C'!$A:$T,19,0)</f>
        <v>8.3333333333333329E-2</v>
      </c>
    </row>
    <row r="17" spans="2:13" ht="17.25" customHeight="1">
      <c r="B17" s="531"/>
      <c r="C17" s="63" t="s">
        <v>375</v>
      </c>
      <c r="D17" s="66">
        <f>LOOKUP(2,1/(('1016 4度C'!$A:$A="新豐6線")*('1016 4度C'!$T:$T&lt;&gt;"")),'1016 4度C'!$T:$T)</f>
        <v>0.80694444444444446</v>
      </c>
      <c r="E17" s="24">
        <f>LOOKUP(2,1/(('1016 4度C'!$A:$A="新豐2線")*('1016 4度C'!$T:$T&lt;&gt;"")),'1016 4度C'!$T:$T)</f>
        <v>0.5</v>
      </c>
      <c r="F17" s="24">
        <f>LOOKUP(2,1/(('1016 4度C'!$A:$A="新豐5線")*('1016 4度C'!$T:$T&lt;&gt;"")),'1016 4度C'!$T:$T)</f>
        <v>0.82777777777777783</v>
      </c>
      <c r="G17" s="24">
        <f>LOOKUP(2,1/(('1016 4度C'!$A:$A="新豐7線")*('1016 4度C'!$T:$T&lt;&gt;"")),'1016 4度C'!$T:$T)</f>
        <v>0.75763888888888897</v>
      </c>
      <c r="H17" s="24">
        <f>LOOKUP(2,1/(('1016 4度C'!$A:$A="新豐3線")*('1016 4度C'!$T:$T&lt;&gt;"")),'1016 4度C'!$T:$T)</f>
        <v>0.50277777777777766</v>
      </c>
      <c r="I17" s="24">
        <f>LOOKUP(2,1/(('1016 4度C'!$A:$A="新豐1線")*('1016 4度C'!$T:$T&lt;&gt;"")),'1016 4度C'!$T:$T)</f>
        <v>0.82847222222222217</v>
      </c>
      <c r="J17" s="65">
        <f>LOOKUP(2,1/(('1016 4度C'!$A:$A="新豐10線")*('1016 4度C'!$T:$T&lt;&gt;"")),'1016 4度C'!$T:$T)</f>
        <v>0.46111111111111108</v>
      </c>
      <c r="K17" s="64">
        <f>LOOKUP(2,1/(('1016 4度C'!$A:$A="新豐8線")*('1016 4度C'!$T:$T&lt;&gt;"")),'1016 4度C'!$T:$T)</f>
        <v>0.70138888888888873</v>
      </c>
      <c r="L17" s="24">
        <f>LOOKUP(2,1/(('1016 4度C'!$A:$A="新豐9線")*('1016 4度C'!$T:$T&lt;&gt;"")),'1016 4度C'!$T:$T)</f>
        <v>0.73888888888888871</v>
      </c>
      <c r="M17" s="65">
        <f>LOOKUP(2,1/(('1016 4度C'!$A:$A="新豐4線")*('1016 4度C'!$T:$T&lt;&gt;"")),'1016 4度C'!$T:$T)</f>
        <v>0.72013888888888877</v>
      </c>
    </row>
    <row r="18" spans="2:13" ht="17.25" customHeight="1">
      <c r="B18" s="509" t="s">
        <v>1216</v>
      </c>
      <c r="C18" s="510"/>
      <c r="D18" s="69">
        <f>SUMIFS('1016 4度C'!$I:$I,'1016 4度C'!$A:$A,"新豐6線",'1016 4度C'!$B:$B,"平均")</f>
        <v>16</v>
      </c>
      <c r="E18" s="70">
        <f>SUMIFS('1016 4度C'!$I:$I,'1016 4度C'!$A:$A,"新豐2線",'1016 4度C'!$B:$B,"平均")</f>
        <v>18.5</v>
      </c>
      <c r="F18" s="70">
        <f>SUMIFS('1016 4度C'!$I:$I,'1016 4度C'!$A:$A,"新豐5線",'1016 4度C'!$B:$B,"平均")</f>
        <v>18.600000000000001</v>
      </c>
      <c r="G18" s="70">
        <f>SUMIFS('1016 4度C'!$I:$I,'1016 4度C'!$A:$A,"新豐7線",'1016 4度C'!$B:$B,"平均")</f>
        <v>16.75</v>
      </c>
      <c r="H18" s="70">
        <f>SUMIFS('1016 4度C'!$I:$I,'1016 4度C'!$A:$A,"新豐3線",'1016 4度C'!$B:$B,"平均")</f>
        <v>9.6666666666666661</v>
      </c>
      <c r="I18" s="70">
        <f>SUMIFS('1016 4度C'!$I:$I,'1016 4度C'!$A:$A,"新豐1線",'1016 4度C'!$B:$B,"平均")</f>
        <v>16.333333333333332</v>
      </c>
      <c r="J18" s="71">
        <f>SUMIFS('1016 4度C'!$I:$I,'1016 4度C'!$A:$A,"新豐10線",'1016 4度C'!$B:$B,"平均")</f>
        <v>9.75</v>
      </c>
      <c r="K18" s="69">
        <f>SUMIFS('1016 4度C'!$I:$I,'1016 4度C'!$A:$A,"新豐8線",'1016 4度C'!$B:$B,"平均")</f>
        <v>18</v>
      </c>
      <c r="L18" s="70">
        <f>SUMIFS('1016 4度C'!$I:$I,'1016 4度C'!$A:$A,"新豐9線",'1016 4度C'!$B:$B,"平均")</f>
        <v>17.25</v>
      </c>
      <c r="M18" s="71">
        <f>SUMIFS('1016 4度C'!$I:$I,'1016 4度C'!$A:$A,"新豐4線",'1016 4度C'!$B:$B,"平均")</f>
        <v>16.555555555555557</v>
      </c>
    </row>
    <row r="19" spans="2:13" ht="17.25" customHeight="1">
      <c r="B19" s="509" t="s">
        <v>133</v>
      </c>
      <c r="C19" s="510"/>
      <c r="D19" s="72" t="s">
        <v>109</v>
      </c>
      <c r="E19" s="73" t="s">
        <v>110</v>
      </c>
      <c r="F19" s="73" t="s">
        <v>1217</v>
      </c>
      <c r="G19" s="73" t="s">
        <v>1217</v>
      </c>
      <c r="H19" s="73" t="s">
        <v>111</v>
      </c>
      <c r="I19" s="73" t="s">
        <v>109</v>
      </c>
      <c r="J19" s="74" t="s">
        <v>111</v>
      </c>
      <c r="K19" s="72" t="s">
        <v>1218</v>
      </c>
      <c r="L19" s="73" t="s">
        <v>1218</v>
      </c>
      <c r="M19" s="74" t="s">
        <v>1218</v>
      </c>
    </row>
    <row r="20" spans="2:13" ht="17.25" customHeight="1">
      <c r="B20" s="509" t="s">
        <v>1219</v>
      </c>
      <c r="C20" s="510"/>
      <c r="D20" s="72"/>
      <c r="E20" s="73"/>
      <c r="F20" s="73" t="s">
        <v>1220</v>
      </c>
      <c r="G20" s="73" t="s">
        <v>109</v>
      </c>
      <c r="H20" s="73"/>
      <c r="I20" s="73"/>
      <c r="J20" s="74"/>
      <c r="K20" s="72"/>
      <c r="L20" s="73"/>
      <c r="M20" s="74"/>
    </row>
    <row r="21" spans="2:13" ht="17.25" customHeight="1" thickBot="1">
      <c r="B21" s="511" t="s">
        <v>1221</v>
      </c>
      <c r="C21" s="512"/>
      <c r="D21" s="75"/>
      <c r="E21" s="76" t="s">
        <v>1222</v>
      </c>
      <c r="F21" s="513" t="s">
        <v>1223</v>
      </c>
      <c r="G21" s="514"/>
      <c r="H21" s="76" t="s">
        <v>1224</v>
      </c>
      <c r="I21" s="76" t="s">
        <v>1225</v>
      </c>
      <c r="J21" s="77" t="s">
        <v>1226</v>
      </c>
      <c r="K21" s="78"/>
      <c r="L21" s="76"/>
      <c r="M21" s="77"/>
    </row>
    <row r="22" spans="2:13" ht="17.25" customHeight="1"/>
    <row r="23" spans="2:13" ht="17.25" customHeight="1"/>
    <row r="24" spans="2:13" ht="17.25" customHeight="1"/>
    <row r="25" spans="2:13" ht="37.5" customHeight="1"/>
    <row r="26" spans="2:13" ht="35.25" customHeight="1"/>
    <row r="27" spans="2:13" ht="35.25" customHeight="1"/>
    <row r="28" spans="2:13" ht="39.75" customHeight="1"/>
  </sheetData>
  <mergeCells count="36">
    <mergeCell ref="B1:J2"/>
    <mergeCell ref="C3:D3"/>
    <mergeCell ref="F3:G3"/>
    <mergeCell ref="I3:J3"/>
    <mergeCell ref="B4:B8"/>
    <mergeCell ref="C4:D4"/>
    <mergeCell ref="E4:F4"/>
    <mergeCell ref="G4:H4"/>
    <mergeCell ref="I4:J4"/>
    <mergeCell ref="C5:D5"/>
    <mergeCell ref="E5:F5"/>
    <mergeCell ref="G5:H5"/>
    <mergeCell ref="I5:J5"/>
    <mergeCell ref="C6:D6"/>
    <mergeCell ref="E6:F6"/>
    <mergeCell ref="G6:H6"/>
    <mergeCell ref="I6:J6"/>
    <mergeCell ref="B16:B17"/>
    <mergeCell ref="C7:D7"/>
    <mergeCell ref="E7:F7"/>
    <mergeCell ref="G7:H7"/>
    <mergeCell ref="I7:J7"/>
    <mergeCell ref="C8:D8"/>
    <mergeCell ref="E8:F8"/>
    <mergeCell ref="G8:H8"/>
    <mergeCell ref="I8:J8"/>
    <mergeCell ref="B10:C10"/>
    <mergeCell ref="D10:J10"/>
    <mergeCell ref="B20:C20"/>
    <mergeCell ref="B21:C21"/>
    <mergeCell ref="F21:G21"/>
    <mergeCell ref="K10:M10"/>
    <mergeCell ref="B11:C12"/>
    <mergeCell ref="B13:B15"/>
    <mergeCell ref="B18:C18"/>
    <mergeCell ref="B19:C19"/>
  </mergeCells>
  <phoneticPr fontId="3" type="noConversion"/>
  <conditionalFormatting sqref="D15:M15">
    <cfRule type="cellIs" dxfId="992" priority="1" operator="lessThan">
      <formula>0.8</formula>
    </cfRule>
  </conditionalFormatting>
  <pageMargins left="0.7" right="0.7" top="0.75" bottom="0.75" header="0.3" footer="0.3"/>
  <pageSetup paperSize="9" orientation="portrait" horizontalDpi="300" verticalDpi="300" r:id="rId1"/>
</worksheet>
</file>

<file path=xl/worksheets/sheet3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工作表135">
    <pageSetUpPr fitToPage="1"/>
  </sheetPr>
  <dimension ref="A1:AC70"/>
  <sheetViews>
    <sheetView zoomScale="80" zoomScaleNormal="80" workbookViewId="0">
      <pane ySplit="4" topLeftCell="A5" activePane="bottomLeft" state="frozen"/>
      <selection activeCell="I7" sqref="I7:J7"/>
      <selection pane="bottomLeft" activeCell="C21" sqref="C21:D21"/>
    </sheetView>
  </sheetViews>
  <sheetFormatPr defaultColWidth="8" defaultRowHeight="15.75"/>
  <cols>
    <col min="1" max="1" width="15.125" style="5" customWidth="1"/>
    <col min="2" max="2" width="19.375" style="5" customWidth="1"/>
    <col min="3" max="3" width="15.25" style="5" customWidth="1"/>
    <col min="4" max="4" width="17.5" style="5" customWidth="1"/>
    <col min="5" max="5" width="7.5" style="5" bestFit="1" customWidth="1"/>
    <col min="6" max="6" width="14.375" style="5" bestFit="1" customWidth="1"/>
    <col min="7" max="7" width="14.375" style="5" customWidth="1"/>
    <col min="8" max="8" width="8" style="5" customWidth="1"/>
    <col min="9" max="9" width="5.875" style="5" customWidth="1"/>
    <col min="10" max="10" width="10.625" style="5" customWidth="1"/>
    <col min="11" max="11" width="14.625" style="5" customWidth="1"/>
    <col min="12" max="12" width="7.25" style="5" bestFit="1" customWidth="1"/>
    <col min="13" max="13" width="8" style="5" customWidth="1"/>
    <col min="14" max="14" width="12" style="5" customWidth="1"/>
    <col min="15" max="15" width="6" style="5" customWidth="1"/>
    <col min="16" max="16" width="9.25" style="5" customWidth="1"/>
    <col min="17" max="17" width="11.5" style="5" customWidth="1"/>
    <col min="18" max="18" width="8.5" style="5" customWidth="1"/>
    <col min="19" max="19" width="10.125" style="22" bestFit="1" customWidth="1"/>
    <col min="20" max="20" width="7.625" style="22" bestFit="1" customWidth="1"/>
    <col min="21" max="21" width="10.25" style="5" bestFit="1" customWidth="1"/>
    <col min="22" max="22" width="8.75" style="18" customWidth="1"/>
    <col min="23" max="23" width="7.375" style="5" customWidth="1"/>
    <col min="24" max="24" width="6.875" style="5" bestFit="1" customWidth="1"/>
    <col min="25" max="25" width="12.75" style="5" customWidth="1"/>
    <col min="26" max="26" width="18.875" style="5" customWidth="1"/>
    <col min="27" max="27" width="13.125" style="5" bestFit="1" customWidth="1"/>
    <col min="28" max="28" width="10.375" style="5" customWidth="1"/>
    <col min="29" max="29" width="9.375" style="5" customWidth="1"/>
    <col min="30" max="30" width="8" style="5"/>
    <col min="31" max="31" width="24.625" style="5" bestFit="1" customWidth="1"/>
    <col min="32" max="16384" width="8" style="5"/>
  </cols>
  <sheetData>
    <row r="1" spans="1:29" ht="26.25" customHeight="1">
      <c r="A1" s="1" t="s">
        <v>1227</v>
      </c>
      <c r="B1" s="1"/>
      <c r="C1" s="2" t="s">
        <v>1228</v>
      </c>
      <c r="D1" s="3">
        <f>SUM(F5:F69)</f>
        <v>181153</v>
      </c>
      <c r="E1" s="274" t="s">
        <v>478</v>
      </c>
      <c r="F1" s="1">
        <f>SUM(G5:G69)</f>
        <v>5877497.3299999991</v>
      </c>
      <c r="G1" s="1" t="s">
        <v>149</v>
      </c>
      <c r="H1" s="4">
        <f>L8+L11+L47+L54+L17+L59+L31+L40+L22+L69</f>
        <v>157.40555555555557</v>
      </c>
      <c r="I1" s="652" t="s">
        <v>150</v>
      </c>
      <c r="J1" s="652"/>
      <c r="K1" s="652"/>
      <c r="L1" s="652" t="s">
        <v>392</v>
      </c>
      <c r="M1" s="652"/>
      <c r="N1" s="652"/>
      <c r="O1" s="652" t="s">
        <v>152</v>
      </c>
      <c r="P1" s="652"/>
      <c r="Q1" s="652"/>
      <c r="R1" s="652"/>
      <c r="S1" s="652" t="s">
        <v>1229</v>
      </c>
      <c r="T1" s="652"/>
      <c r="U1" s="652"/>
      <c r="V1" s="652"/>
      <c r="W1" s="652"/>
      <c r="X1" s="652"/>
      <c r="Y1" s="652" t="s">
        <v>395</v>
      </c>
      <c r="Z1" s="652"/>
      <c r="AA1" s="652" t="s">
        <v>1230</v>
      </c>
      <c r="AB1" s="653"/>
      <c r="AC1" s="653"/>
    </row>
    <row r="2" spans="1:29" ht="26.25" customHeight="1">
      <c r="A2" s="19">
        <v>45946</v>
      </c>
      <c r="B2" s="20" t="s">
        <v>155</v>
      </c>
      <c r="C2" s="2" t="s">
        <v>127</v>
      </c>
      <c r="D2" s="6">
        <f>AVERAGE(N8,N11,N47,N54,N17,N59,N22,N31,N40,N69)</f>
        <v>146.88970244481033</v>
      </c>
      <c r="E2" s="7" t="s">
        <v>2</v>
      </c>
      <c r="F2" s="8">
        <f>F1/D1</f>
        <v>32.444935110100296</v>
      </c>
      <c r="G2" s="1" t="s">
        <v>1231</v>
      </c>
      <c r="H2" s="282">
        <f>COUNT(H5:H69)</f>
        <v>8</v>
      </c>
      <c r="I2" s="652"/>
      <c r="J2" s="652"/>
      <c r="K2" s="652"/>
      <c r="L2" s="652"/>
      <c r="M2" s="652"/>
      <c r="N2" s="652"/>
      <c r="O2" s="652"/>
      <c r="P2" s="652"/>
      <c r="Q2" s="652"/>
      <c r="R2" s="652"/>
      <c r="S2" s="652"/>
      <c r="T2" s="652"/>
      <c r="U2" s="652"/>
      <c r="V2" s="652"/>
      <c r="W2" s="652"/>
      <c r="X2" s="652"/>
      <c r="Y2" s="652"/>
      <c r="Z2" s="652"/>
      <c r="AA2" s="653"/>
      <c r="AB2" s="653"/>
      <c r="AC2" s="653"/>
    </row>
    <row r="3" spans="1:29" ht="23.25" customHeight="1">
      <c r="A3" s="617" t="s">
        <v>1232</v>
      </c>
      <c r="B3" s="617" t="s">
        <v>490</v>
      </c>
      <c r="C3" s="617" t="s">
        <v>1233</v>
      </c>
      <c r="D3" s="617"/>
      <c r="E3" s="654" t="s">
        <v>1234</v>
      </c>
      <c r="F3" s="617" t="s">
        <v>1235</v>
      </c>
      <c r="G3" s="654" t="s">
        <v>1236</v>
      </c>
      <c r="H3" s="657" t="s">
        <v>1237</v>
      </c>
      <c r="I3" s="645" t="s">
        <v>1238</v>
      </c>
      <c r="J3" s="649" t="s">
        <v>1239</v>
      </c>
      <c r="K3" s="651" t="s">
        <v>1212</v>
      </c>
      <c r="L3" s="645" t="s">
        <v>406</v>
      </c>
      <c r="M3" s="649" t="s">
        <v>1240</v>
      </c>
      <c r="N3" s="651" t="s">
        <v>1212</v>
      </c>
      <c r="O3" s="645" t="s">
        <v>1241</v>
      </c>
      <c r="P3" s="651" t="s">
        <v>1212</v>
      </c>
      <c r="Q3" s="650" t="s">
        <v>1242</v>
      </c>
      <c r="R3" s="633" t="s">
        <v>1243</v>
      </c>
      <c r="S3" s="656" t="s">
        <v>14</v>
      </c>
      <c r="T3" s="656"/>
      <c r="U3" s="646" t="s">
        <v>15</v>
      </c>
      <c r="V3" s="646" t="s">
        <v>1244</v>
      </c>
      <c r="W3" s="617" t="s">
        <v>1245</v>
      </c>
      <c r="X3" s="617"/>
      <c r="Y3" s="647" t="s">
        <v>330</v>
      </c>
      <c r="Z3" s="648"/>
      <c r="AA3" s="649" t="s">
        <v>1240</v>
      </c>
      <c r="AB3" s="650" t="s">
        <v>1242</v>
      </c>
      <c r="AC3" s="633" t="s">
        <v>163</v>
      </c>
    </row>
    <row r="4" spans="1:29">
      <c r="A4" s="617"/>
      <c r="B4" s="617"/>
      <c r="C4" s="617"/>
      <c r="D4" s="617"/>
      <c r="E4" s="655"/>
      <c r="F4" s="617"/>
      <c r="G4" s="655"/>
      <c r="H4" s="657"/>
      <c r="I4" s="645"/>
      <c r="J4" s="649"/>
      <c r="K4" s="651"/>
      <c r="L4" s="645"/>
      <c r="M4" s="649"/>
      <c r="N4" s="651"/>
      <c r="O4" s="645"/>
      <c r="P4" s="651"/>
      <c r="Q4" s="650"/>
      <c r="R4" s="633"/>
      <c r="S4" s="281" t="s">
        <v>18</v>
      </c>
      <c r="T4" s="281" t="s">
        <v>19</v>
      </c>
      <c r="U4" s="646"/>
      <c r="V4" s="646"/>
      <c r="W4" s="274" t="s">
        <v>1246</v>
      </c>
      <c r="X4" s="274" t="s">
        <v>1247</v>
      </c>
      <c r="Y4" s="648"/>
      <c r="Z4" s="648"/>
      <c r="AA4" s="649"/>
      <c r="AB4" s="650"/>
      <c r="AC4" s="633"/>
    </row>
    <row r="5" spans="1:29">
      <c r="A5" s="644" t="s">
        <v>420</v>
      </c>
      <c r="B5" s="26" t="s">
        <v>36</v>
      </c>
      <c r="C5" s="601" t="s">
        <v>37</v>
      </c>
      <c r="D5" s="601"/>
      <c r="E5" s="26">
        <v>46.93</v>
      </c>
      <c r="F5" s="281">
        <v>760</v>
      </c>
      <c r="G5" s="274">
        <f>E5*F5</f>
        <v>35666.800000000003</v>
      </c>
      <c r="H5" s="21" t="s">
        <v>35</v>
      </c>
      <c r="I5" s="279">
        <v>16</v>
      </c>
      <c r="J5" s="23">
        <v>2000</v>
      </c>
      <c r="K5" s="9">
        <f>J5/I5</f>
        <v>125</v>
      </c>
      <c r="L5" s="279">
        <v>16</v>
      </c>
      <c r="M5" s="10">
        <f>F5/V5*60</f>
        <v>1982.6086956521674</v>
      </c>
      <c r="N5" s="9">
        <f>M5/L5</f>
        <v>123.91304347826046</v>
      </c>
      <c r="O5" s="11">
        <f t="shared" ref="O5:O7" si="0">L5-I5</f>
        <v>0</v>
      </c>
      <c r="P5" s="12">
        <f t="shared" ref="P5:P7" si="1">N5-K5</f>
        <v>-1.0869565217395376</v>
      </c>
      <c r="Q5" s="275">
        <f>N5/K5</f>
        <v>0.99130434782608368</v>
      </c>
      <c r="R5" s="571">
        <f>Q8</f>
        <v>0.96761192932945217</v>
      </c>
      <c r="S5" s="24">
        <v>0.70833333333333337</v>
      </c>
      <c r="T5" s="24">
        <v>0.72430555555555565</v>
      </c>
      <c r="U5" s="274"/>
      <c r="V5" s="280">
        <f>(T5-S5)*24*60</f>
        <v>23.000000000000078</v>
      </c>
      <c r="W5" s="13"/>
      <c r="X5" s="14"/>
      <c r="Y5" s="617"/>
      <c r="Z5" s="617"/>
      <c r="AA5" s="11">
        <f t="shared" ref="AA5:AA68" si="2">M5-J5</f>
        <v>-17.391304347832602</v>
      </c>
      <c r="AB5" s="275">
        <f t="shared" ref="AB5:AB7" si="3">M5/J5</f>
        <v>0.99130434782608368</v>
      </c>
      <c r="AC5" s="571">
        <f>AB8</f>
        <v>0.96761192932945217</v>
      </c>
    </row>
    <row r="6" spans="1:29">
      <c r="A6" s="645" t="s">
        <v>1248</v>
      </c>
      <c r="B6" s="26" t="s">
        <v>36</v>
      </c>
      <c r="C6" s="601" t="s">
        <v>38</v>
      </c>
      <c r="D6" s="601"/>
      <c r="E6" s="26">
        <v>50.49</v>
      </c>
      <c r="F6" s="281">
        <v>1851</v>
      </c>
      <c r="G6" s="274">
        <f t="shared" ref="G6:G7" si="4">E6*F6</f>
        <v>93456.99</v>
      </c>
      <c r="H6" s="21" t="s">
        <v>35</v>
      </c>
      <c r="I6" s="279">
        <v>15</v>
      </c>
      <c r="J6" s="23">
        <v>2000</v>
      </c>
      <c r="K6" s="9">
        <f t="shared" ref="K6:K7" si="5">J6/I6</f>
        <v>133.33333333333334</v>
      </c>
      <c r="L6" s="279">
        <v>15</v>
      </c>
      <c r="M6" s="10">
        <f>F6/V6*60</f>
        <v>1914.8275862068979</v>
      </c>
      <c r="N6" s="9">
        <f t="shared" ref="N6:N7" si="6">M6/L6</f>
        <v>127.6551724137932</v>
      </c>
      <c r="O6" s="11">
        <f t="shared" si="0"/>
        <v>0</v>
      </c>
      <c r="P6" s="12">
        <f t="shared" si="1"/>
        <v>-5.6781609195401472</v>
      </c>
      <c r="Q6" s="275">
        <f t="shared" ref="Q6:Q7" si="7">N6/K6</f>
        <v>0.95741379310344887</v>
      </c>
      <c r="R6" s="571"/>
      <c r="S6" s="24">
        <v>0.72777777777777786</v>
      </c>
      <c r="T6" s="24">
        <v>0.7680555555555556</v>
      </c>
      <c r="U6" s="274">
        <f>IF(S6=TIME(17,0,0),"",(S6-T5)*24*60)</f>
        <v>4.9999999999999822</v>
      </c>
      <c r="V6" s="280">
        <f>(T6-S6)*24*60</f>
        <v>57.999999999999957</v>
      </c>
      <c r="W6" s="13"/>
      <c r="X6" s="13"/>
      <c r="Y6" s="617"/>
      <c r="Z6" s="617"/>
      <c r="AA6" s="11">
        <f t="shared" si="2"/>
        <v>-85.172413793102123</v>
      </c>
      <c r="AB6" s="275">
        <f t="shared" si="3"/>
        <v>0.95741379310344898</v>
      </c>
      <c r="AC6" s="571"/>
    </row>
    <row r="7" spans="1:29">
      <c r="A7" s="645" t="s">
        <v>1249</v>
      </c>
      <c r="B7" s="26" t="s">
        <v>36</v>
      </c>
      <c r="C7" s="594" t="s">
        <v>39</v>
      </c>
      <c r="D7" s="595"/>
      <c r="E7" s="26">
        <v>50.67</v>
      </c>
      <c r="F7" s="281">
        <v>1622</v>
      </c>
      <c r="G7" s="274">
        <f t="shared" si="4"/>
        <v>82186.740000000005</v>
      </c>
      <c r="H7" s="21" t="s">
        <v>35</v>
      </c>
      <c r="I7" s="279">
        <v>17</v>
      </c>
      <c r="J7" s="23">
        <v>2000</v>
      </c>
      <c r="K7" s="9">
        <f t="shared" si="5"/>
        <v>117.64705882352941</v>
      </c>
      <c r="L7" s="279">
        <v>17</v>
      </c>
      <c r="M7" s="10">
        <f t="shared" ref="M7" si="8">F7/V7*60</f>
        <v>1908.235294117648</v>
      </c>
      <c r="N7" s="9">
        <f t="shared" si="6"/>
        <v>112.24913494809694</v>
      </c>
      <c r="O7" s="11">
        <f t="shared" si="0"/>
        <v>0</v>
      </c>
      <c r="P7" s="12">
        <f t="shared" si="1"/>
        <v>-5.3979238754324683</v>
      </c>
      <c r="Q7" s="275">
        <f t="shared" si="7"/>
        <v>0.95411764705882407</v>
      </c>
      <c r="R7" s="571"/>
      <c r="S7" s="24">
        <v>0.77152777777777781</v>
      </c>
      <c r="T7" s="24">
        <v>0.80694444444444446</v>
      </c>
      <c r="U7" s="274">
        <f t="shared" ref="U7" si="9">IF(S7=TIME(17,0,0),"",(S7-T6)*24*60)</f>
        <v>4.9999999999999822</v>
      </c>
      <c r="V7" s="280">
        <f t="shared" ref="V7" si="10">(T7-S7)*24*60</f>
        <v>50.999999999999979</v>
      </c>
      <c r="W7" s="13"/>
      <c r="X7" s="13"/>
      <c r="Y7" s="621"/>
      <c r="Z7" s="622"/>
      <c r="AA7" s="11">
        <f t="shared" si="2"/>
        <v>-91.764705882352018</v>
      </c>
      <c r="AB7" s="275">
        <f t="shared" si="3"/>
        <v>0.95411764705882396</v>
      </c>
      <c r="AC7" s="571"/>
    </row>
    <row r="8" spans="1:29">
      <c r="A8" s="645" t="s">
        <v>1250</v>
      </c>
      <c r="B8" s="26" t="s">
        <v>168</v>
      </c>
      <c r="C8" s="629"/>
      <c r="D8" s="629"/>
      <c r="E8" s="276"/>
      <c r="F8" s="27"/>
      <c r="G8" s="9"/>
      <c r="H8" s="281"/>
      <c r="I8" s="16">
        <v>16</v>
      </c>
      <c r="J8" s="23">
        <v>2000</v>
      </c>
      <c r="K8" s="9">
        <f>J8/I8</f>
        <v>125</v>
      </c>
      <c r="L8" s="16">
        <v>16</v>
      </c>
      <c r="M8" s="10">
        <f>AVERAGE(M5:M7)</f>
        <v>1935.2238586589044</v>
      </c>
      <c r="N8" s="9">
        <f>M8/L8</f>
        <v>120.95149116618153</v>
      </c>
      <c r="O8" s="11">
        <f>L8-I8</f>
        <v>0</v>
      </c>
      <c r="P8" s="12">
        <f>N8-K8</f>
        <v>-4.0485088338184738</v>
      </c>
      <c r="Q8" s="275">
        <f>N8/K8</f>
        <v>0.96761192932945217</v>
      </c>
      <c r="R8" s="571"/>
      <c r="S8" s="24"/>
      <c r="T8" s="24"/>
      <c r="U8" s="274"/>
      <c r="V8" s="280"/>
      <c r="W8" s="9"/>
      <c r="X8" s="9"/>
      <c r="Y8" s="617"/>
      <c r="Z8" s="617"/>
      <c r="AA8" s="11">
        <f t="shared" si="2"/>
        <v>-64.776141341095581</v>
      </c>
      <c r="AB8" s="275">
        <f>M8/J8</f>
        <v>0.96761192932945217</v>
      </c>
      <c r="AC8" s="571"/>
    </row>
    <row r="9" spans="1:29" ht="15.75" customHeight="1">
      <c r="A9" s="643" t="s">
        <v>1251</v>
      </c>
      <c r="B9" s="26" t="s">
        <v>40</v>
      </c>
      <c r="C9" s="594" t="s">
        <v>42</v>
      </c>
      <c r="D9" s="595"/>
      <c r="E9" s="26">
        <v>39.36</v>
      </c>
      <c r="F9" s="281">
        <v>2733</v>
      </c>
      <c r="G9" s="274">
        <f t="shared" ref="G9:G10" si="11">E9*F9</f>
        <v>107570.88</v>
      </c>
      <c r="H9" s="21" t="s">
        <v>35</v>
      </c>
      <c r="I9" s="279">
        <v>20</v>
      </c>
      <c r="J9" s="23">
        <v>1500</v>
      </c>
      <c r="K9" s="9">
        <f t="shared" ref="K9:K10" si="12">J9/I9</f>
        <v>75</v>
      </c>
      <c r="L9" s="279">
        <v>20</v>
      </c>
      <c r="M9" s="10">
        <f t="shared" ref="M9:M10" si="13">F9/V9*60</f>
        <v>1438.4210526315796</v>
      </c>
      <c r="N9" s="9">
        <f t="shared" ref="N9:N10" si="14">M9/L9</f>
        <v>71.921052631578988</v>
      </c>
      <c r="O9" s="11">
        <f t="shared" ref="O9:O10" si="15">L9-I9</f>
        <v>0</v>
      </c>
      <c r="P9" s="12">
        <f>N9-K9</f>
        <v>-3.0789473684210122</v>
      </c>
      <c r="Q9" s="275">
        <f>N9/K9</f>
        <v>0.95894736842105321</v>
      </c>
      <c r="R9" s="571">
        <f>Q11</f>
        <v>0.95599542334096133</v>
      </c>
      <c r="S9" s="24">
        <v>0.20833333333333334</v>
      </c>
      <c r="T9" s="24">
        <v>0.28749999999999998</v>
      </c>
      <c r="U9" s="274"/>
      <c r="V9" s="280">
        <f t="shared" ref="V9:V10" si="16">(T9-S9)*24*60</f>
        <v>113.99999999999996</v>
      </c>
      <c r="W9" s="13"/>
      <c r="X9" s="13"/>
      <c r="Y9" s="617"/>
      <c r="Z9" s="617"/>
      <c r="AA9" s="11">
        <f t="shared" si="2"/>
        <v>-61.578947368420359</v>
      </c>
      <c r="AB9" s="275">
        <f>M9/J9</f>
        <v>0.9589473684210531</v>
      </c>
      <c r="AC9" s="571">
        <f>AB11</f>
        <v>0.95599542334096121</v>
      </c>
    </row>
    <row r="10" spans="1:29" ht="15.75" customHeight="1">
      <c r="A10" s="643" t="s">
        <v>1252</v>
      </c>
      <c r="B10" s="26" t="s">
        <v>40</v>
      </c>
      <c r="C10" s="594" t="s">
        <v>41</v>
      </c>
      <c r="D10" s="595"/>
      <c r="E10" s="26">
        <v>39.799999999999997</v>
      </c>
      <c r="F10" s="281">
        <v>7124</v>
      </c>
      <c r="G10" s="274">
        <f t="shared" si="11"/>
        <v>283535.19999999995</v>
      </c>
      <c r="H10" s="21" t="s">
        <v>35</v>
      </c>
      <c r="I10" s="279">
        <v>17</v>
      </c>
      <c r="J10" s="23">
        <v>1500</v>
      </c>
      <c r="K10" s="9">
        <f t="shared" si="12"/>
        <v>88.235294117647058</v>
      </c>
      <c r="L10" s="279">
        <v>17</v>
      </c>
      <c r="M10" s="10">
        <f t="shared" si="13"/>
        <v>1429.565217391304</v>
      </c>
      <c r="N10" s="9">
        <f t="shared" si="14"/>
        <v>84.092071611253175</v>
      </c>
      <c r="O10" s="11">
        <f t="shared" si="15"/>
        <v>0</v>
      </c>
      <c r="P10" s="12">
        <f t="shared" ref="P10" si="17">N10-K10</f>
        <v>-4.143222506393883</v>
      </c>
      <c r="Q10" s="275">
        <f t="shared" ref="Q10" si="18">N10/K10</f>
        <v>0.95304347826086933</v>
      </c>
      <c r="R10" s="571"/>
      <c r="S10" s="24">
        <v>0.29236111111111107</v>
      </c>
      <c r="T10" s="24">
        <v>0.5</v>
      </c>
      <c r="U10" s="274">
        <f>IF(S10=TIME(17,0,0),"",(S10-T9)*24*60)</f>
        <v>6.9999999999999751</v>
      </c>
      <c r="V10" s="280">
        <f t="shared" si="16"/>
        <v>299.00000000000006</v>
      </c>
      <c r="W10" s="13"/>
      <c r="X10" s="13"/>
      <c r="Y10" s="617"/>
      <c r="Z10" s="617"/>
      <c r="AA10" s="11">
        <f t="shared" si="2"/>
        <v>-70.434782608695969</v>
      </c>
      <c r="AB10" s="275">
        <f t="shared" ref="AB10:AB22" si="19">M10/J10</f>
        <v>0.95304347826086933</v>
      </c>
      <c r="AC10" s="571"/>
    </row>
    <row r="11" spans="1:29" ht="16.5" customHeight="1">
      <c r="A11" s="643" t="s">
        <v>1253</v>
      </c>
      <c r="B11" s="26" t="s">
        <v>1254</v>
      </c>
      <c r="C11" s="629"/>
      <c r="D11" s="629"/>
      <c r="E11" s="276"/>
      <c r="F11" s="23"/>
      <c r="G11" s="10"/>
      <c r="H11" s="281"/>
      <c r="I11" s="16">
        <v>18.5</v>
      </c>
      <c r="J11" s="23">
        <v>1500</v>
      </c>
      <c r="K11" s="9">
        <f>J11/I11</f>
        <v>81.081081081081081</v>
      </c>
      <c r="L11" s="16">
        <v>18.5</v>
      </c>
      <c r="M11" s="10">
        <f>AVERAGE(M9:M10)</f>
        <v>1433.9931350114418</v>
      </c>
      <c r="N11" s="9">
        <f>M11/L11</f>
        <v>77.513142433050916</v>
      </c>
      <c r="O11" s="11">
        <f>L11-I11</f>
        <v>0</v>
      </c>
      <c r="P11" s="12">
        <f>N11-K11</f>
        <v>-3.5679386480301645</v>
      </c>
      <c r="Q11" s="275">
        <f>N11/K11</f>
        <v>0.95599542334096133</v>
      </c>
      <c r="R11" s="571"/>
      <c r="S11" s="24"/>
      <c r="T11" s="24"/>
      <c r="U11" s="9"/>
      <c r="V11" s="280"/>
      <c r="W11" s="9"/>
      <c r="X11" s="9"/>
      <c r="Y11" s="617"/>
      <c r="Z11" s="617"/>
      <c r="AA11" s="11">
        <f t="shared" si="2"/>
        <v>-66.006864988558164</v>
      </c>
      <c r="AB11" s="275">
        <f t="shared" si="19"/>
        <v>0.95599542334096121</v>
      </c>
      <c r="AC11" s="571"/>
    </row>
    <row r="12" spans="1:29" ht="16.5" customHeight="1">
      <c r="A12" s="641" t="s">
        <v>1255</v>
      </c>
      <c r="B12" s="281" t="s">
        <v>43</v>
      </c>
      <c r="C12" s="636" t="s">
        <v>44</v>
      </c>
      <c r="D12" s="636"/>
      <c r="E12" s="26">
        <v>41</v>
      </c>
      <c r="F12" s="281">
        <v>2061</v>
      </c>
      <c r="G12" s="274">
        <f t="shared" ref="G12:G16" si="20">E12*F12</f>
        <v>84501</v>
      </c>
      <c r="H12" s="21" t="s">
        <v>35</v>
      </c>
      <c r="I12" s="279">
        <v>26</v>
      </c>
      <c r="J12" s="23">
        <v>1500</v>
      </c>
      <c r="K12" s="9">
        <f>J12/I12</f>
        <v>57.692307692307693</v>
      </c>
      <c r="L12" s="279">
        <v>26</v>
      </c>
      <c r="M12" s="10">
        <f>F12/V12*60</f>
        <v>1437.9069767441863</v>
      </c>
      <c r="N12" s="9">
        <f t="shared" ref="N12:N21" si="21">M12/L12</f>
        <v>55.304114490161012</v>
      </c>
      <c r="O12" s="11">
        <f t="shared" ref="O12" si="22">L12-I12</f>
        <v>0</v>
      </c>
      <c r="P12" s="12">
        <f t="shared" ref="P12" si="23">N12-K12</f>
        <v>-2.388193202146681</v>
      </c>
      <c r="Q12" s="275">
        <f>N12/K12</f>
        <v>0.95860465116279081</v>
      </c>
      <c r="R12" s="571">
        <f>Q17</f>
        <v>0.956819757797293</v>
      </c>
      <c r="S12" s="24">
        <v>8.3333333333333329E-2</v>
      </c>
      <c r="T12" s="24">
        <v>0.14305555555555555</v>
      </c>
      <c r="U12" s="274"/>
      <c r="V12" s="280">
        <f>(T12-S12)*24*60</f>
        <v>85.999999999999986</v>
      </c>
      <c r="W12" s="13">
        <f>T12</f>
        <v>0.14305555555555555</v>
      </c>
      <c r="X12" s="13">
        <f>S13</f>
        <v>0.16319444444444445</v>
      </c>
      <c r="Y12" s="617"/>
      <c r="Z12" s="617"/>
      <c r="AA12" s="11">
        <f t="shared" si="2"/>
        <v>-62.093023255813705</v>
      </c>
      <c r="AB12" s="275">
        <f t="shared" si="19"/>
        <v>0.95860465116279081</v>
      </c>
      <c r="AC12" s="571">
        <f>AB17</f>
        <v>0.956819757797293</v>
      </c>
    </row>
    <row r="13" spans="1:29" ht="16.5" customHeight="1">
      <c r="A13" s="642" t="s">
        <v>1256</v>
      </c>
      <c r="B13" s="281" t="s">
        <v>40</v>
      </c>
      <c r="C13" s="636" t="s">
        <v>45</v>
      </c>
      <c r="D13" s="636"/>
      <c r="E13" s="26">
        <v>39.619999999999997</v>
      </c>
      <c r="F13" s="281">
        <v>4683</v>
      </c>
      <c r="G13" s="274">
        <f t="shared" si="20"/>
        <v>185540.46</v>
      </c>
      <c r="H13" s="21" t="s">
        <v>35</v>
      </c>
      <c r="I13" s="279">
        <v>19</v>
      </c>
      <c r="J13" s="23">
        <v>1500</v>
      </c>
      <c r="K13" s="9">
        <f>J13/I13</f>
        <v>78.94736842105263</v>
      </c>
      <c r="L13" s="279">
        <v>19</v>
      </c>
      <c r="M13" s="10">
        <f>F13/V13*60</f>
        <v>1433.5714285714284</v>
      </c>
      <c r="N13" s="9">
        <f t="shared" si="21"/>
        <v>75.451127819548859</v>
      </c>
      <c r="O13" s="11">
        <f>L13-I13</f>
        <v>0</v>
      </c>
      <c r="P13" s="12">
        <f>N13-K13</f>
        <v>-3.4962406015037715</v>
      </c>
      <c r="Q13" s="275">
        <f>N13/K13</f>
        <v>0.95571428571428552</v>
      </c>
      <c r="R13" s="571"/>
      <c r="S13" s="24">
        <v>0.16319444444444445</v>
      </c>
      <c r="T13" s="24">
        <v>0.29930555555555555</v>
      </c>
      <c r="U13" s="274">
        <f>IF(S13=TIME(17,0,0),"",(S13-T12)*24*60)</f>
        <v>29.000000000000018</v>
      </c>
      <c r="V13" s="280">
        <f>(T13-S13)*24*60</f>
        <v>196</v>
      </c>
      <c r="W13" s="13"/>
      <c r="X13" s="13"/>
      <c r="Y13" s="617"/>
      <c r="Z13" s="617"/>
      <c r="AA13" s="11">
        <f t="shared" si="2"/>
        <v>-66.428571428571558</v>
      </c>
      <c r="AB13" s="275">
        <f t="shared" si="19"/>
        <v>0.95571428571428563</v>
      </c>
      <c r="AC13" s="571"/>
    </row>
    <row r="14" spans="1:29" ht="16.5" customHeight="1">
      <c r="A14" s="642" t="s">
        <v>1255</v>
      </c>
      <c r="B14" s="281" t="s">
        <v>1182</v>
      </c>
      <c r="C14" s="636" t="s">
        <v>1041</v>
      </c>
      <c r="D14" s="636"/>
      <c r="E14" s="26">
        <v>54.7</v>
      </c>
      <c r="F14" s="281">
        <v>3956</v>
      </c>
      <c r="G14" s="274">
        <f t="shared" si="20"/>
        <v>216393.2</v>
      </c>
      <c r="H14" s="21" t="s">
        <v>35</v>
      </c>
      <c r="I14" s="279">
        <v>17</v>
      </c>
      <c r="J14" s="23">
        <v>1500</v>
      </c>
      <c r="K14" s="9">
        <f t="shared" ref="K14:K16" si="24">J14/I14</f>
        <v>88.235294117647058</v>
      </c>
      <c r="L14" s="279">
        <v>17</v>
      </c>
      <c r="M14" s="10">
        <f t="shared" ref="M14:M16" si="25">F14/V14*60</f>
        <v>1429.8795180722896</v>
      </c>
      <c r="N14" s="9">
        <f t="shared" si="21"/>
        <v>84.110559886605273</v>
      </c>
      <c r="O14" s="11">
        <f t="shared" ref="O14:O16" si="26">L14-I14</f>
        <v>0</v>
      </c>
      <c r="P14" s="12">
        <f t="shared" ref="P14:P16" si="27">N14-K14</f>
        <v>-4.1247342310417849</v>
      </c>
      <c r="Q14" s="275">
        <f t="shared" ref="Q14:Q21" si="28">N14/K14</f>
        <v>0.95325301204819313</v>
      </c>
      <c r="R14" s="571"/>
      <c r="S14" s="24">
        <v>0.3034722222222222</v>
      </c>
      <c r="T14" s="24">
        <v>0.41874999999999996</v>
      </c>
      <c r="U14" s="274">
        <f t="shared" ref="U14:U16" si="29">IF(S14=TIME(17,0,0),"",(S14-T13)*24*60)</f>
        <v>5.9999999999999787</v>
      </c>
      <c r="V14" s="280">
        <f t="shared" ref="V14:V16" si="30">(T14-S14)*24*60</f>
        <v>165.99999999999997</v>
      </c>
      <c r="W14" s="13"/>
      <c r="X14" s="13"/>
      <c r="Y14" s="617"/>
      <c r="Z14" s="617"/>
      <c r="AA14" s="11">
        <f t="shared" si="2"/>
        <v>-70.120481927710443</v>
      </c>
      <c r="AB14" s="275">
        <f t="shared" si="19"/>
        <v>0.95325301204819302</v>
      </c>
      <c r="AC14" s="571"/>
    </row>
    <row r="15" spans="1:29" ht="16.5" customHeight="1">
      <c r="A15" s="642" t="s">
        <v>172</v>
      </c>
      <c r="B15" s="281" t="s">
        <v>36</v>
      </c>
      <c r="C15" s="636" t="s">
        <v>49</v>
      </c>
      <c r="D15" s="636"/>
      <c r="E15" s="26">
        <v>50.98</v>
      </c>
      <c r="F15" s="281">
        <v>2486</v>
      </c>
      <c r="G15" s="274">
        <f t="shared" si="20"/>
        <v>126736.28</v>
      </c>
      <c r="H15" s="21" t="s">
        <v>35</v>
      </c>
      <c r="I15" s="279">
        <v>16</v>
      </c>
      <c r="J15" s="23">
        <v>2000</v>
      </c>
      <c r="K15" s="9">
        <f t="shared" si="24"/>
        <v>125</v>
      </c>
      <c r="L15" s="279">
        <v>16</v>
      </c>
      <c r="M15" s="10">
        <f t="shared" si="25"/>
        <v>1912.3076923076912</v>
      </c>
      <c r="N15" s="9">
        <f t="shared" si="21"/>
        <v>119.5192307692307</v>
      </c>
      <c r="O15" s="11">
        <f t="shared" si="26"/>
        <v>0</v>
      </c>
      <c r="P15" s="12">
        <f t="shared" si="27"/>
        <v>-5.4807692307692975</v>
      </c>
      <c r="Q15" s="275">
        <f t="shared" si="28"/>
        <v>0.95615384615384558</v>
      </c>
      <c r="R15" s="571"/>
      <c r="S15" s="24">
        <v>0.70833333333333337</v>
      </c>
      <c r="T15" s="24">
        <v>0.76250000000000007</v>
      </c>
      <c r="U15" s="274" t="str">
        <f t="shared" si="29"/>
        <v/>
      </c>
      <c r="V15" s="280">
        <f t="shared" si="30"/>
        <v>78.000000000000043</v>
      </c>
      <c r="W15" s="13"/>
      <c r="X15" s="13"/>
      <c r="Y15" s="617"/>
      <c r="Z15" s="617"/>
      <c r="AA15" s="11">
        <f t="shared" si="2"/>
        <v>-87.692307692308759</v>
      </c>
      <c r="AB15" s="275">
        <f t="shared" si="19"/>
        <v>0.95615384615384558</v>
      </c>
      <c r="AC15" s="571"/>
    </row>
    <row r="16" spans="1:29" ht="16.5" customHeight="1">
      <c r="A16" s="642" t="s">
        <v>172</v>
      </c>
      <c r="B16" s="281" t="s">
        <v>36</v>
      </c>
      <c r="C16" s="636" t="s">
        <v>50</v>
      </c>
      <c r="D16" s="636"/>
      <c r="E16" s="26">
        <v>50.92</v>
      </c>
      <c r="F16" s="281">
        <v>2751</v>
      </c>
      <c r="G16" s="274">
        <f t="shared" si="20"/>
        <v>140080.92000000001</v>
      </c>
      <c r="H16" s="21" t="s">
        <v>35</v>
      </c>
      <c r="I16" s="279">
        <v>15</v>
      </c>
      <c r="J16" s="23">
        <v>2000</v>
      </c>
      <c r="K16" s="9">
        <f t="shared" si="24"/>
        <v>133.33333333333334</v>
      </c>
      <c r="L16" s="279">
        <v>15</v>
      </c>
      <c r="M16" s="10">
        <f t="shared" si="25"/>
        <v>1919.3023255813951</v>
      </c>
      <c r="N16" s="9">
        <f t="shared" si="21"/>
        <v>127.95348837209301</v>
      </c>
      <c r="O16" s="11">
        <f t="shared" si="26"/>
        <v>0</v>
      </c>
      <c r="P16" s="12">
        <f t="shared" si="27"/>
        <v>-5.3798449612403374</v>
      </c>
      <c r="Q16" s="275">
        <f t="shared" si="28"/>
        <v>0.95965116279069751</v>
      </c>
      <c r="R16" s="571"/>
      <c r="S16" s="24">
        <v>0.7680555555555556</v>
      </c>
      <c r="T16" s="24">
        <v>0.82777777777777783</v>
      </c>
      <c r="U16" s="274">
        <f t="shared" si="29"/>
        <v>7.9999999999999716</v>
      </c>
      <c r="V16" s="280">
        <f t="shared" si="30"/>
        <v>86.000000000000014</v>
      </c>
      <c r="W16" s="13"/>
      <c r="X16" s="13"/>
      <c r="Y16" s="617"/>
      <c r="Z16" s="617"/>
      <c r="AA16" s="11">
        <f t="shared" si="2"/>
        <v>-80.697674418604947</v>
      </c>
      <c r="AB16" s="275">
        <f t="shared" si="19"/>
        <v>0.95965116279069751</v>
      </c>
      <c r="AC16" s="571"/>
    </row>
    <row r="17" spans="1:29" ht="16.5" customHeight="1">
      <c r="A17" s="642" t="s">
        <v>172</v>
      </c>
      <c r="B17" s="26" t="s">
        <v>1257</v>
      </c>
      <c r="C17" s="629"/>
      <c r="D17" s="629"/>
      <c r="E17" s="276"/>
      <c r="F17" s="27"/>
      <c r="G17" s="9"/>
      <c r="H17" s="281"/>
      <c r="I17" s="16">
        <v>18.600000000000001</v>
      </c>
      <c r="J17" s="23">
        <v>1700</v>
      </c>
      <c r="K17" s="9">
        <f>J17/I17</f>
        <v>91.397849462365585</v>
      </c>
      <c r="L17" s="16">
        <v>18.600000000000001</v>
      </c>
      <c r="M17" s="10">
        <f>AVERAGE(M12:M16)</f>
        <v>1626.5935882553981</v>
      </c>
      <c r="N17" s="9">
        <f t="shared" si="21"/>
        <v>87.451268185774083</v>
      </c>
      <c r="O17" s="11">
        <f>L17-I17</f>
        <v>0</v>
      </c>
      <c r="P17" s="12">
        <f>N17-K17</f>
        <v>-3.9465812765915018</v>
      </c>
      <c r="Q17" s="275">
        <f t="shared" si="28"/>
        <v>0.956819757797293</v>
      </c>
      <c r="R17" s="571"/>
      <c r="S17" s="24"/>
      <c r="T17" s="24"/>
      <c r="U17" s="274"/>
      <c r="V17" s="280"/>
      <c r="W17" s="9"/>
      <c r="X17" s="9"/>
      <c r="Y17" s="617"/>
      <c r="Z17" s="617"/>
      <c r="AA17" s="11">
        <f t="shared" si="2"/>
        <v>-73.406411744601883</v>
      </c>
      <c r="AB17" s="275">
        <f t="shared" si="19"/>
        <v>0.956819757797293</v>
      </c>
      <c r="AC17" s="571"/>
    </row>
    <row r="18" spans="1:29" ht="15.75" customHeight="1">
      <c r="A18" s="639" t="s">
        <v>430</v>
      </c>
      <c r="B18" s="26" t="s">
        <v>43</v>
      </c>
      <c r="C18" s="636" t="s">
        <v>51</v>
      </c>
      <c r="D18" s="636"/>
      <c r="E18" s="26">
        <v>43.14</v>
      </c>
      <c r="F18" s="281">
        <v>1393</v>
      </c>
      <c r="G18" s="274">
        <f t="shared" ref="G18:G21" si="31">E18*F18</f>
        <v>60094.020000000004</v>
      </c>
      <c r="H18" s="21" t="s">
        <v>35</v>
      </c>
      <c r="I18" s="279">
        <v>17</v>
      </c>
      <c r="J18" s="23">
        <v>2000</v>
      </c>
      <c r="K18" s="9">
        <f t="shared" ref="K18:K22" si="32">J18/I18</f>
        <v>117.64705882352941</v>
      </c>
      <c r="L18" s="279">
        <v>17</v>
      </c>
      <c r="M18" s="10">
        <f t="shared" ref="M18:M21" si="33">F18/V18*60</f>
        <v>1943.7209302325577</v>
      </c>
      <c r="N18" s="9">
        <f t="shared" si="21"/>
        <v>114.33652530779752</v>
      </c>
      <c r="O18" s="11">
        <f t="shared" ref="O18:O21" si="34">L18-I18</f>
        <v>0</v>
      </c>
      <c r="P18" s="12">
        <f t="shared" ref="P18:P21" si="35">N18-K18</f>
        <v>-3.3105335157318905</v>
      </c>
      <c r="Q18" s="275">
        <f t="shared" si="28"/>
        <v>0.97186046511627888</v>
      </c>
      <c r="R18" s="571">
        <f>Q22</f>
        <v>0.95964433492802936</v>
      </c>
      <c r="S18" s="24">
        <v>0.20833333333333334</v>
      </c>
      <c r="T18" s="24">
        <v>0.23819444444444446</v>
      </c>
      <c r="U18" s="274"/>
      <c r="V18" s="280">
        <f>(T18-S18)*24*60</f>
        <v>43.000000000000007</v>
      </c>
      <c r="W18" s="15"/>
      <c r="X18" s="15"/>
      <c r="Y18" s="617"/>
      <c r="Z18" s="617"/>
      <c r="AA18" s="11">
        <f t="shared" si="2"/>
        <v>-56.279069767442252</v>
      </c>
      <c r="AB18" s="275">
        <f t="shared" si="19"/>
        <v>0.97186046511627888</v>
      </c>
      <c r="AC18" s="571">
        <f>AB22</f>
        <v>0.95964433492802936</v>
      </c>
    </row>
    <row r="19" spans="1:29" ht="15.75" customHeight="1">
      <c r="A19" s="640" t="s">
        <v>430</v>
      </c>
      <c r="B19" s="26" t="s">
        <v>36</v>
      </c>
      <c r="C19" s="636" t="s">
        <v>53</v>
      </c>
      <c r="D19" s="636"/>
      <c r="E19" s="26">
        <v>53.68</v>
      </c>
      <c r="F19" s="281">
        <v>1812</v>
      </c>
      <c r="G19" s="274">
        <f t="shared" si="31"/>
        <v>97268.160000000003</v>
      </c>
      <c r="H19" s="21" t="s">
        <v>35</v>
      </c>
      <c r="I19" s="279">
        <v>16</v>
      </c>
      <c r="J19" s="23">
        <v>2000</v>
      </c>
      <c r="K19" s="9">
        <f t="shared" si="32"/>
        <v>125</v>
      </c>
      <c r="L19" s="279">
        <v>16</v>
      </c>
      <c r="M19" s="10">
        <f t="shared" si="33"/>
        <v>1907.3684210526317</v>
      </c>
      <c r="N19" s="9">
        <f t="shared" si="21"/>
        <v>119.21052631578948</v>
      </c>
      <c r="O19" s="11">
        <f t="shared" si="34"/>
        <v>0</v>
      </c>
      <c r="P19" s="12">
        <f t="shared" si="35"/>
        <v>-5.7894736842105203</v>
      </c>
      <c r="Q19" s="275">
        <f t="shared" si="28"/>
        <v>0.9536842105263158</v>
      </c>
      <c r="R19" s="571"/>
      <c r="S19" s="24">
        <v>0.24166666666666667</v>
      </c>
      <c r="T19" s="24">
        <v>0.28125</v>
      </c>
      <c r="U19" s="274">
        <f>IF(S19=TIME(17,0,0),"",(S19-T18)*24*60)</f>
        <v>4.9999999999999822</v>
      </c>
      <c r="V19" s="280">
        <f t="shared" ref="V19:V21" si="36">(T19-S19)*24*60</f>
        <v>57</v>
      </c>
      <c r="W19" s="13"/>
      <c r="X19" s="274"/>
      <c r="Y19" s="617"/>
      <c r="Z19" s="617"/>
      <c r="AA19" s="11">
        <f t="shared" si="2"/>
        <v>-92.631578947368325</v>
      </c>
      <c r="AB19" s="275">
        <f t="shared" si="19"/>
        <v>0.9536842105263158</v>
      </c>
      <c r="AC19" s="571"/>
    </row>
    <row r="20" spans="1:29" ht="15.75" customHeight="1">
      <c r="A20" s="640" t="s">
        <v>1258</v>
      </c>
      <c r="B20" s="26" t="s">
        <v>36</v>
      </c>
      <c r="C20" s="636" t="s">
        <v>52</v>
      </c>
      <c r="D20" s="636"/>
      <c r="E20" s="26">
        <v>57.73</v>
      </c>
      <c r="F20" s="281">
        <v>3010</v>
      </c>
      <c r="G20" s="274">
        <f t="shared" si="31"/>
        <v>173767.3</v>
      </c>
      <c r="H20" s="21" t="s">
        <v>35</v>
      </c>
      <c r="I20" s="279">
        <v>15</v>
      </c>
      <c r="J20" s="23">
        <v>2000</v>
      </c>
      <c r="K20" s="9">
        <f t="shared" si="32"/>
        <v>133.33333333333334</v>
      </c>
      <c r="L20" s="279">
        <v>15</v>
      </c>
      <c r="M20" s="10">
        <f t="shared" si="33"/>
        <v>1921.2765957446813</v>
      </c>
      <c r="N20" s="9">
        <f t="shared" si="21"/>
        <v>128.08510638297875</v>
      </c>
      <c r="O20" s="11">
        <f t="shared" si="34"/>
        <v>0</v>
      </c>
      <c r="P20" s="12">
        <f t="shared" si="35"/>
        <v>-5.2482269503545922</v>
      </c>
      <c r="Q20" s="275">
        <f t="shared" si="28"/>
        <v>0.96063829787234056</v>
      </c>
      <c r="R20" s="571"/>
      <c r="S20" s="24">
        <v>0.28541666666666665</v>
      </c>
      <c r="T20" s="24">
        <v>0.35069444444444442</v>
      </c>
      <c r="U20" s="274">
        <f t="shared" ref="U20:U21" si="37">IF(S20=TIME(17,0,0),"",(S20-T19)*24*60)</f>
        <v>5.9999999999999787</v>
      </c>
      <c r="V20" s="280">
        <f t="shared" si="36"/>
        <v>93.999999999999986</v>
      </c>
      <c r="W20" s="13"/>
      <c r="X20" s="274"/>
      <c r="Y20" s="617"/>
      <c r="Z20" s="617"/>
      <c r="AA20" s="11">
        <f t="shared" si="2"/>
        <v>-78.723404255318655</v>
      </c>
      <c r="AB20" s="275">
        <f t="shared" si="19"/>
        <v>0.96063829787234067</v>
      </c>
      <c r="AC20" s="571"/>
    </row>
    <row r="21" spans="1:29" ht="15.75" customHeight="1">
      <c r="A21" s="640" t="s">
        <v>430</v>
      </c>
      <c r="B21" s="26" t="s">
        <v>36</v>
      </c>
      <c r="C21" s="636" t="s">
        <v>55</v>
      </c>
      <c r="D21" s="636"/>
      <c r="E21" s="26">
        <v>54.09</v>
      </c>
      <c r="F21" s="281">
        <v>2254</v>
      </c>
      <c r="G21" s="274">
        <f t="shared" si="31"/>
        <v>121918.86</v>
      </c>
      <c r="H21" s="21" t="s">
        <v>35</v>
      </c>
      <c r="I21" s="279">
        <v>19</v>
      </c>
      <c r="J21" s="23">
        <v>2000</v>
      </c>
      <c r="K21" s="9">
        <f t="shared" si="32"/>
        <v>105.26315789473684</v>
      </c>
      <c r="L21" s="279">
        <v>19</v>
      </c>
      <c r="M21" s="10">
        <f t="shared" si="33"/>
        <v>1904.7887323943642</v>
      </c>
      <c r="N21" s="9">
        <f t="shared" si="21"/>
        <v>100.25203854707179</v>
      </c>
      <c r="O21" s="11">
        <f t="shared" si="34"/>
        <v>0</v>
      </c>
      <c r="P21" s="12">
        <f t="shared" si="35"/>
        <v>-5.0111193476650442</v>
      </c>
      <c r="Q21" s="275">
        <f t="shared" si="28"/>
        <v>0.9523943661971821</v>
      </c>
      <c r="R21" s="571"/>
      <c r="S21" s="24">
        <v>0.70833333333333337</v>
      </c>
      <c r="T21" s="24">
        <v>0.75763888888888897</v>
      </c>
      <c r="U21" s="274" t="str">
        <f t="shared" si="37"/>
        <v/>
      </c>
      <c r="V21" s="280">
        <f t="shared" si="36"/>
        <v>71.000000000000071</v>
      </c>
      <c r="W21" s="13"/>
      <c r="X21" s="274"/>
      <c r="Y21" s="617"/>
      <c r="Z21" s="617"/>
      <c r="AA21" s="11">
        <f t="shared" si="2"/>
        <v>-95.21126760563584</v>
      </c>
      <c r="AB21" s="275">
        <f t="shared" si="19"/>
        <v>0.9523943661971821</v>
      </c>
      <c r="AC21" s="571"/>
    </row>
    <row r="22" spans="1:29" ht="15.75" customHeight="1">
      <c r="A22" s="640" t="s">
        <v>1258</v>
      </c>
      <c r="B22" s="26" t="s">
        <v>168</v>
      </c>
      <c r="C22" s="629"/>
      <c r="D22" s="629"/>
      <c r="E22" s="276"/>
      <c r="F22" s="281"/>
      <c r="G22" s="274"/>
      <c r="H22" s="281"/>
      <c r="I22" s="16">
        <v>16.75</v>
      </c>
      <c r="J22" s="23">
        <v>2000</v>
      </c>
      <c r="K22" s="9">
        <f t="shared" si="32"/>
        <v>119.40298507462687</v>
      </c>
      <c r="L22" s="16">
        <v>16.75</v>
      </c>
      <c r="M22" s="10">
        <f>AVERAGE(M18:M21)</f>
        <v>1919.2886698560587</v>
      </c>
      <c r="N22" s="9">
        <f>M22/L22</f>
        <v>114.58439820036172</v>
      </c>
      <c r="O22" s="11">
        <f>L22-I22</f>
        <v>0</v>
      </c>
      <c r="P22" s="12">
        <f>N22-K22</f>
        <v>-4.8185868742651508</v>
      </c>
      <c r="Q22" s="275">
        <f>N22/K22</f>
        <v>0.95964433492802936</v>
      </c>
      <c r="R22" s="571"/>
      <c r="S22" s="24"/>
      <c r="T22" s="24"/>
      <c r="U22" s="9"/>
      <c r="V22" s="280"/>
      <c r="W22" s="9"/>
      <c r="X22" s="9"/>
      <c r="Y22" s="617"/>
      <c r="Z22" s="617"/>
      <c r="AA22" s="11">
        <f t="shared" si="2"/>
        <v>-80.711330143941268</v>
      </c>
      <c r="AB22" s="275">
        <f t="shared" si="19"/>
        <v>0.95964433492802936</v>
      </c>
      <c r="AC22" s="571"/>
    </row>
    <row r="23" spans="1:29" ht="15.75" customHeight="1">
      <c r="A23" s="635" t="s">
        <v>1259</v>
      </c>
      <c r="B23" s="26" t="s">
        <v>46</v>
      </c>
      <c r="C23" s="636" t="s">
        <v>60</v>
      </c>
      <c r="D23" s="636"/>
      <c r="E23" s="26">
        <v>26.2</v>
      </c>
      <c r="F23" s="281">
        <v>4858</v>
      </c>
      <c r="G23" s="274">
        <f t="shared" ref="G23:G30" si="38">E23*F23</f>
        <v>127279.59999999999</v>
      </c>
      <c r="H23" s="21" t="s">
        <v>35</v>
      </c>
      <c r="I23" s="279">
        <v>19</v>
      </c>
      <c r="J23" s="23">
        <v>2400</v>
      </c>
      <c r="K23" s="9">
        <f>J23/I23</f>
        <v>126.31578947368421</v>
      </c>
      <c r="L23" s="279">
        <v>19</v>
      </c>
      <c r="M23" s="10">
        <f t="shared" ref="M23:M30" si="39">F23/V23*60</f>
        <v>2295.1181102362207</v>
      </c>
      <c r="N23" s="9">
        <f t="shared" ref="N23:N30" si="40">M23/L23</f>
        <v>120.79569001243267</v>
      </c>
      <c r="O23" s="11">
        <f t="shared" ref="O23:O30" si="41">L23-I23</f>
        <v>0</v>
      </c>
      <c r="P23" s="12">
        <f t="shared" ref="P23:P30" si="42">N23-K23</f>
        <v>-5.5200994612515331</v>
      </c>
      <c r="Q23" s="275">
        <f t="shared" ref="Q23:Q28" si="43">N23/K23</f>
        <v>0.95629921259842532</v>
      </c>
      <c r="R23" s="571">
        <f>Q31</f>
        <v>0.95645833237799538</v>
      </c>
      <c r="S23" s="24">
        <v>8.3333333333333329E-2</v>
      </c>
      <c r="T23" s="24">
        <v>0.17152777777777778</v>
      </c>
      <c r="U23" s="274"/>
      <c r="V23" s="280">
        <f t="shared" ref="V23:V30" si="44">(T23-S23)*24*60</f>
        <v>127</v>
      </c>
      <c r="W23" s="13">
        <f>T23</f>
        <v>0.17152777777777778</v>
      </c>
      <c r="X23" s="13">
        <f>S24</f>
        <v>0.19027777777777777</v>
      </c>
      <c r="Y23" s="617"/>
      <c r="Z23" s="617"/>
      <c r="AA23" s="11">
        <f t="shared" si="2"/>
        <v>-104.88188976377933</v>
      </c>
      <c r="AB23" s="275">
        <f>M23/J23</f>
        <v>0.95629921259842532</v>
      </c>
      <c r="AC23" s="571">
        <f>AB31</f>
        <v>0.95645833237799538</v>
      </c>
    </row>
    <row r="24" spans="1:29" ht="15.75" customHeight="1">
      <c r="A24" s="635" t="s">
        <v>1259</v>
      </c>
      <c r="B24" s="26" t="s">
        <v>46</v>
      </c>
      <c r="C24" s="636" t="s">
        <v>61</v>
      </c>
      <c r="D24" s="636"/>
      <c r="E24" s="26">
        <v>31.29</v>
      </c>
      <c r="F24" s="281">
        <v>5900</v>
      </c>
      <c r="G24" s="274">
        <f t="shared" si="38"/>
        <v>184611</v>
      </c>
      <c r="H24" s="21">
        <v>2</v>
      </c>
      <c r="I24" s="279">
        <v>18</v>
      </c>
      <c r="J24" s="23">
        <v>2400</v>
      </c>
      <c r="K24" s="9">
        <f t="shared" ref="K24:K31" si="45">J24/I24</f>
        <v>133.33333333333334</v>
      </c>
      <c r="L24" s="279">
        <v>18</v>
      </c>
      <c r="M24" s="10">
        <f t="shared" si="39"/>
        <v>2283.8709677419356</v>
      </c>
      <c r="N24" s="9">
        <f t="shared" si="40"/>
        <v>126.88172043010753</v>
      </c>
      <c r="O24" s="11">
        <f t="shared" si="41"/>
        <v>0</v>
      </c>
      <c r="P24" s="12">
        <f t="shared" si="42"/>
        <v>-6.4516129032258078</v>
      </c>
      <c r="Q24" s="275">
        <f t="shared" si="43"/>
        <v>0.95161290322580649</v>
      </c>
      <c r="R24" s="571"/>
      <c r="S24" s="24">
        <v>0.19027777777777777</v>
      </c>
      <c r="T24" s="24">
        <v>0.29791666666666666</v>
      </c>
      <c r="U24" s="274">
        <f>(S24-T23)*24*60</f>
        <v>26.999999999999986</v>
      </c>
      <c r="V24" s="280">
        <f t="shared" si="44"/>
        <v>155</v>
      </c>
      <c r="W24" s="13"/>
      <c r="X24" s="13"/>
      <c r="Y24" s="617"/>
      <c r="Z24" s="617"/>
      <c r="AA24" s="11">
        <f t="shared" si="2"/>
        <v>-116.1290322580644</v>
      </c>
      <c r="AB24" s="275">
        <f t="shared" ref="AB24:AB30" si="46">M24/J24</f>
        <v>0.95161290322580649</v>
      </c>
      <c r="AC24" s="571"/>
    </row>
    <row r="25" spans="1:29" ht="15.75" customHeight="1">
      <c r="A25" s="635" t="s">
        <v>178</v>
      </c>
      <c r="B25" s="26" t="s">
        <v>46</v>
      </c>
      <c r="C25" s="636" t="s">
        <v>59</v>
      </c>
      <c r="D25" s="636"/>
      <c r="E25" s="26">
        <v>26.18</v>
      </c>
      <c r="F25" s="281">
        <v>4054</v>
      </c>
      <c r="G25" s="274">
        <f t="shared" si="38"/>
        <v>106133.72</v>
      </c>
      <c r="H25" s="21" t="s">
        <v>35</v>
      </c>
      <c r="I25" s="279">
        <v>19</v>
      </c>
      <c r="J25" s="23">
        <v>2400</v>
      </c>
      <c r="K25" s="9">
        <f t="shared" si="45"/>
        <v>126.31578947368421</v>
      </c>
      <c r="L25" s="279">
        <v>19</v>
      </c>
      <c r="M25" s="10">
        <f t="shared" si="39"/>
        <v>2294.716981132075</v>
      </c>
      <c r="N25" s="9">
        <f t="shared" si="40"/>
        <v>120.77457795431974</v>
      </c>
      <c r="O25" s="11">
        <f t="shared" si="41"/>
        <v>0</v>
      </c>
      <c r="P25" s="12">
        <f t="shared" si="42"/>
        <v>-5.5412115193644667</v>
      </c>
      <c r="Q25" s="275">
        <f t="shared" si="43"/>
        <v>0.95613207547169798</v>
      </c>
      <c r="R25" s="571"/>
      <c r="S25" s="24">
        <v>0.30208333333333331</v>
      </c>
      <c r="T25" s="24">
        <v>0.37569444444444444</v>
      </c>
      <c r="U25" s="274">
        <f t="shared" ref="U25:U30" si="47">(S25-T24)*24*60</f>
        <v>5.9999999999999787</v>
      </c>
      <c r="V25" s="280">
        <f t="shared" si="44"/>
        <v>106.00000000000003</v>
      </c>
      <c r="W25" s="13"/>
      <c r="X25" s="13"/>
      <c r="Y25" s="617"/>
      <c r="Z25" s="617"/>
      <c r="AA25" s="11">
        <f t="shared" si="2"/>
        <v>-105.28301886792497</v>
      </c>
      <c r="AB25" s="275">
        <f t="shared" si="46"/>
        <v>0.95613207547169798</v>
      </c>
      <c r="AC25" s="571"/>
    </row>
    <row r="26" spans="1:29" ht="15.75" customHeight="1">
      <c r="A26" s="635" t="s">
        <v>178</v>
      </c>
      <c r="B26" s="26" t="s">
        <v>46</v>
      </c>
      <c r="C26" s="636" t="s">
        <v>56</v>
      </c>
      <c r="D26" s="636"/>
      <c r="E26" s="26">
        <v>26.2</v>
      </c>
      <c r="F26" s="281">
        <v>3500</v>
      </c>
      <c r="G26" s="274">
        <f t="shared" si="38"/>
        <v>91700</v>
      </c>
      <c r="H26" s="21">
        <v>2</v>
      </c>
      <c r="I26" s="279">
        <v>20</v>
      </c>
      <c r="J26" s="23">
        <v>2400</v>
      </c>
      <c r="K26" s="9">
        <f t="shared" si="45"/>
        <v>120</v>
      </c>
      <c r="L26" s="279">
        <v>20</v>
      </c>
      <c r="M26" s="10">
        <f t="shared" si="39"/>
        <v>2282.608695652174</v>
      </c>
      <c r="N26" s="9">
        <f t="shared" si="40"/>
        <v>114.1304347826087</v>
      </c>
      <c r="O26" s="11">
        <f t="shared" si="41"/>
        <v>0</v>
      </c>
      <c r="P26" s="12">
        <f t="shared" si="42"/>
        <v>-5.8695652173912976</v>
      </c>
      <c r="Q26" s="275">
        <f t="shared" si="43"/>
        <v>0.95108695652173914</v>
      </c>
      <c r="R26" s="571"/>
      <c r="S26" s="24">
        <v>0.37986111111111109</v>
      </c>
      <c r="T26" s="24">
        <v>0.44374999999999998</v>
      </c>
      <c r="U26" s="274">
        <f t="shared" si="47"/>
        <v>5.9999999999999787</v>
      </c>
      <c r="V26" s="280">
        <f t="shared" si="44"/>
        <v>92</v>
      </c>
      <c r="W26" s="13"/>
      <c r="X26" s="13"/>
      <c r="Y26" s="617"/>
      <c r="Z26" s="617"/>
      <c r="AA26" s="11">
        <f t="shared" si="2"/>
        <v>-117.39130434782601</v>
      </c>
      <c r="AB26" s="275">
        <f t="shared" si="46"/>
        <v>0.95108695652173914</v>
      </c>
      <c r="AC26" s="571"/>
    </row>
    <row r="27" spans="1:29" ht="15.75" customHeight="1">
      <c r="A27" s="635" t="s">
        <v>178</v>
      </c>
      <c r="B27" s="26" t="s">
        <v>46</v>
      </c>
      <c r="C27" s="636" t="s">
        <v>62</v>
      </c>
      <c r="D27" s="636"/>
      <c r="E27" s="26">
        <v>25</v>
      </c>
      <c r="F27" s="281">
        <v>2800</v>
      </c>
      <c r="G27" s="274">
        <f t="shared" si="38"/>
        <v>70000</v>
      </c>
      <c r="H27" s="21">
        <v>2</v>
      </c>
      <c r="I27" s="279">
        <v>15</v>
      </c>
      <c r="J27" s="23">
        <v>2400</v>
      </c>
      <c r="K27" s="9">
        <f t="shared" si="45"/>
        <v>160</v>
      </c>
      <c r="L27" s="279">
        <v>15</v>
      </c>
      <c r="M27" s="10">
        <f t="shared" si="39"/>
        <v>2301.3698630136987</v>
      </c>
      <c r="N27" s="9">
        <f t="shared" si="40"/>
        <v>153.42465753424659</v>
      </c>
      <c r="O27" s="11">
        <f t="shared" si="41"/>
        <v>0</v>
      </c>
      <c r="P27" s="12">
        <f t="shared" si="42"/>
        <v>-6.5753424657534083</v>
      </c>
      <c r="Q27" s="275">
        <f t="shared" si="43"/>
        <v>0.95890410958904115</v>
      </c>
      <c r="R27" s="571"/>
      <c r="S27" s="24">
        <v>0.44791666666666663</v>
      </c>
      <c r="T27" s="24">
        <v>0.49861111111111106</v>
      </c>
      <c r="U27" s="274">
        <f t="shared" si="47"/>
        <v>5.9999999999999787</v>
      </c>
      <c r="V27" s="280">
        <f t="shared" si="44"/>
        <v>72.999999999999986</v>
      </c>
      <c r="W27" s="13">
        <f>T27</f>
        <v>0.49861111111111106</v>
      </c>
      <c r="X27" s="13">
        <f>S28</f>
        <v>0.54027777777777775</v>
      </c>
      <c r="Y27" s="617"/>
      <c r="Z27" s="617"/>
      <c r="AA27" s="11">
        <f t="shared" si="2"/>
        <v>-98.630136986301295</v>
      </c>
      <c r="AB27" s="275">
        <f t="shared" si="46"/>
        <v>0.95890410958904115</v>
      </c>
      <c r="AC27" s="571"/>
    </row>
    <row r="28" spans="1:29" ht="15.75" customHeight="1">
      <c r="A28" s="635" t="s">
        <v>178</v>
      </c>
      <c r="B28" s="26" t="s">
        <v>46</v>
      </c>
      <c r="C28" s="636" t="s">
        <v>61</v>
      </c>
      <c r="D28" s="636"/>
      <c r="E28" s="26">
        <v>31.29</v>
      </c>
      <c r="F28" s="281">
        <v>4213</v>
      </c>
      <c r="G28" s="274">
        <f t="shared" si="38"/>
        <v>131824.76999999999</v>
      </c>
      <c r="H28" s="21" t="s">
        <v>35</v>
      </c>
      <c r="I28" s="279">
        <v>18</v>
      </c>
      <c r="J28" s="23">
        <v>2400</v>
      </c>
      <c r="K28" s="9">
        <f t="shared" si="45"/>
        <v>133.33333333333334</v>
      </c>
      <c r="L28" s="279">
        <v>18</v>
      </c>
      <c r="M28" s="10">
        <f t="shared" si="39"/>
        <v>2298.0000000000014</v>
      </c>
      <c r="N28" s="9">
        <f t="shared" si="40"/>
        <v>127.66666666666674</v>
      </c>
      <c r="O28" s="11">
        <f t="shared" si="41"/>
        <v>0</v>
      </c>
      <c r="P28" s="12">
        <f t="shared" si="42"/>
        <v>-5.6666666666666003</v>
      </c>
      <c r="Q28" s="275">
        <f t="shared" si="43"/>
        <v>0.95750000000000046</v>
      </c>
      <c r="R28" s="571"/>
      <c r="S28" s="24">
        <v>0.54027777777777775</v>
      </c>
      <c r="T28" s="24">
        <v>0.61666666666666659</v>
      </c>
      <c r="U28" s="274">
        <f t="shared" si="47"/>
        <v>60.000000000000028</v>
      </c>
      <c r="V28" s="280">
        <f t="shared" si="44"/>
        <v>109.99999999999993</v>
      </c>
      <c r="W28" s="13"/>
      <c r="X28" s="13"/>
      <c r="Y28" s="617"/>
      <c r="Z28" s="617"/>
      <c r="AA28" s="11">
        <f t="shared" si="2"/>
        <v>-101.99999999999864</v>
      </c>
      <c r="AB28" s="275">
        <f t="shared" si="46"/>
        <v>0.95750000000000057</v>
      </c>
      <c r="AC28" s="571"/>
    </row>
    <row r="29" spans="1:29" ht="15.75" customHeight="1">
      <c r="A29" s="635" t="s">
        <v>178</v>
      </c>
      <c r="B29" s="26" t="s">
        <v>46</v>
      </c>
      <c r="C29" s="636" t="s">
        <v>62</v>
      </c>
      <c r="D29" s="636"/>
      <c r="E29" s="26">
        <v>25</v>
      </c>
      <c r="F29" s="281">
        <v>2051</v>
      </c>
      <c r="G29" s="274">
        <f t="shared" si="38"/>
        <v>51275</v>
      </c>
      <c r="H29" s="21" t="s">
        <v>35</v>
      </c>
      <c r="I29" s="279">
        <v>15</v>
      </c>
      <c r="J29" s="23">
        <v>2400</v>
      </c>
      <c r="K29" s="9">
        <f t="shared" si="45"/>
        <v>160</v>
      </c>
      <c r="L29" s="279">
        <v>15</v>
      </c>
      <c r="M29" s="10">
        <f t="shared" si="39"/>
        <v>2321.8867924528313</v>
      </c>
      <c r="N29" s="9">
        <f t="shared" si="40"/>
        <v>154.79245283018875</v>
      </c>
      <c r="O29" s="11">
        <f t="shared" si="41"/>
        <v>0</v>
      </c>
      <c r="P29" s="12">
        <f t="shared" si="42"/>
        <v>-5.2075471698112494</v>
      </c>
      <c r="Q29" s="275">
        <f>N29/K29</f>
        <v>0.96745283018867967</v>
      </c>
      <c r="R29" s="571"/>
      <c r="S29" s="24">
        <v>0.62152777777777768</v>
      </c>
      <c r="T29" s="24">
        <v>0.65833333333333321</v>
      </c>
      <c r="U29" s="274">
        <f t="shared" si="47"/>
        <v>6.9999999999999751</v>
      </c>
      <c r="V29" s="280">
        <f t="shared" si="44"/>
        <v>52.999999999999972</v>
      </c>
      <c r="W29" s="13"/>
      <c r="X29" s="13"/>
      <c r="Y29" s="617"/>
      <c r="Z29" s="617"/>
      <c r="AA29" s="11">
        <f t="shared" si="2"/>
        <v>-78.113207547168713</v>
      </c>
      <c r="AB29" s="275">
        <f t="shared" si="46"/>
        <v>0.96745283018867967</v>
      </c>
      <c r="AC29" s="571"/>
    </row>
    <row r="30" spans="1:29" ht="15.75" customHeight="1">
      <c r="A30" s="635" t="s">
        <v>1259</v>
      </c>
      <c r="B30" s="26" t="s">
        <v>46</v>
      </c>
      <c r="C30" s="636" t="s">
        <v>56</v>
      </c>
      <c r="D30" s="636"/>
      <c r="E30" s="26">
        <v>26.2</v>
      </c>
      <c r="F30" s="281">
        <v>2134</v>
      </c>
      <c r="G30" s="274">
        <f t="shared" si="38"/>
        <v>55910.799999999996</v>
      </c>
      <c r="H30" s="21" t="s">
        <v>35</v>
      </c>
      <c r="I30" s="279">
        <v>20</v>
      </c>
      <c r="J30" s="23">
        <v>2400</v>
      </c>
      <c r="K30" s="9">
        <f t="shared" si="45"/>
        <v>120</v>
      </c>
      <c r="L30" s="279">
        <v>20</v>
      </c>
      <c r="M30" s="10">
        <f t="shared" si="39"/>
        <v>2286.4285714285734</v>
      </c>
      <c r="N30" s="9">
        <f t="shared" si="40"/>
        <v>114.32142857142867</v>
      </c>
      <c r="O30" s="11">
        <f t="shared" si="41"/>
        <v>0</v>
      </c>
      <c r="P30" s="12">
        <f t="shared" si="42"/>
        <v>-5.6785714285713311</v>
      </c>
      <c r="Q30" s="275">
        <f>N30/K30</f>
        <v>0.95267857142857226</v>
      </c>
      <c r="R30" s="571"/>
      <c r="S30" s="24">
        <v>0.66249999999999987</v>
      </c>
      <c r="T30" s="24">
        <v>0.70138888888888873</v>
      </c>
      <c r="U30" s="274">
        <f t="shared" si="47"/>
        <v>5.9999999999999787</v>
      </c>
      <c r="V30" s="280">
        <f t="shared" si="44"/>
        <v>55.999999999999957</v>
      </c>
      <c r="W30" s="13"/>
      <c r="X30" s="13"/>
      <c r="Y30" s="617"/>
      <c r="Z30" s="617"/>
      <c r="AA30" s="11">
        <f t="shared" si="2"/>
        <v>-113.57142857142662</v>
      </c>
      <c r="AB30" s="275">
        <f t="shared" si="46"/>
        <v>0.95267857142857226</v>
      </c>
      <c r="AC30" s="571"/>
    </row>
    <row r="31" spans="1:29" ht="15.75" customHeight="1">
      <c r="A31" s="635" t="s">
        <v>178</v>
      </c>
      <c r="B31" s="26" t="s">
        <v>1257</v>
      </c>
      <c r="C31" s="629"/>
      <c r="D31" s="629"/>
      <c r="E31" s="276"/>
      <c r="F31" s="281"/>
      <c r="G31" s="274"/>
      <c r="H31" s="281"/>
      <c r="I31" s="16">
        <v>18</v>
      </c>
      <c r="J31" s="23">
        <v>2400</v>
      </c>
      <c r="K31" s="9">
        <f t="shared" si="45"/>
        <v>133.33333333333334</v>
      </c>
      <c r="L31" s="16">
        <v>18</v>
      </c>
      <c r="M31" s="10">
        <f>AVERAGE(M23:M30)</f>
        <v>2295.4999977071889</v>
      </c>
      <c r="N31" s="9">
        <f>M31/L31</f>
        <v>127.52777765039939</v>
      </c>
      <c r="O31" s="11">
        <f>L31-I31</f>
        <v>0</v>
      </c>
      <c r="P31" s="12">
        <f>N31-K31</f>
        <v>-5.8055556829339565</v>
      </c>
      <c r="Q31" s="275">
        <f>N31/K31</f>
        <v>0.95645833237799538</v>
      </c>
      <c r="R31" s="571"/>
      <c r="S31" s="24"/>
      <c r="T31" s="24"/>
      <c r="U31" s="274"/>
      <c r="V31" s="280"/>
      <c r="W31" s="274"/>
      <c r="X31" s="274"/>
      <c r="Y31" s="617"/>
      <c r="Z31" s="617"/>
      <c r="AA31" s="11">
        <f t="shared" si="2"/>
        <v>-104.50000229281113</v>
      </c>
      <c r="AB31" s="275">
        <f>M31/J31</f>
        <v>0.95645833237799538</v>
      </c>
      <c r="AC31" s="571"/>
    </row>
    <row r="32" spans="1:29" ht="15.75" customHeight="1">
      <c r="A32" s="637" t="s">
        <v>1260</v>
      </c>
      <c r="B32" s="26" t="s">
        <v>46</v>
      </c>
      <c r="C32" s="616" t="s">
        <v>63</v>
      </c>
      <c r="D32" s="616"/>
      <c r="E32" s="26">
        <v>26.2</v>
      </c>
      <c r="F32" s="281">
        <v>4300</v>
      </c>
      <c r="G32" s="274">
        <f t="shared" ref="G32:G39" si="48">E32*F32</f>
        <v>112660</v>
      </c>
      <c r="H32" s="21">
        <v>2</v>
      </c>
      <c r="I32" s="279">
        <v>18</v>
      </c>
      <c r="J32" s="23">
        <v>2400</v>
      </c>
      <c r="K32" s="9">
        <f>J32/I32</f>
        <v>133.33333333333334</v>
      </c>
      <c r="L32" s="279">
        <v>18</v>
      </c>
      <c r="M32" s="10">
        <f>F32/V32*60</f>
        <v>2303.5714285714294</v>
      </c>
      <c r="N32" s="9">
        <f>M32/L32</f>
        <v>127.97619047619052</v>
      </c>
      <c r="O32" s="11">
        <f t="shared" ref="O32:O39" si="49">L32-I32</f>
        <v>0</v>
      </c>
      <c r="P32" s="12">
        <f t="shared" ref="P32:P47" si="50">N32-K32</f>
        <v>-5.3571428571428186</v>
      </c>
      <c r="Q32" s="275">
        <f t="shared" ref="Q32:Q44" si="51">N32/K32</f>
        <v>0.95982142857142883</v>
      </c>
      <c r="R32" s="571">
        <f>Q40</f>
        <v>0.95725054791493625</v>
      </c>
      <c r="S32" s="24">
        <v>8.3333333333333329E-2</v>
      </c>
      <c r="T32" s="24">
        <v>0.16111111111111109</v>
      </c>
      <c r="U32" s="274"/>
      <c r="V32" s="280">
        <f t="shared" ref="V32:V39" si="52">(T32-S32)*24*60</f>
        <v>111.99999999999997</v>
      </c>
      <c r="W32" s="15">
        <f>T32</f>
        <v>0.16111111111111109</v>
      </c>
      <c r="X32" s="15">
        <f>S33</f>
        <v>0.18194444444444444</v>
      </c>
      <c r="Y32" s="617"/>
      <c r="Z32" s="617"/>
      <c r="AA32" s="11">
        <f t="shared" si="2"/>
        <v>-96.428571428570649</v>
      </c>
      <c r="AB32" s="275">
        <f>M32/J32</f>
        <v>0.95982142857142894</v>
      </c>
      <c r="AC32" s="571">
        <f>AB40</f>
        <v>0.95725054791493625</v>
      </c>
    </row>
    <row r="33" spans="1:29" ht="15.75" customHeight="1">
      <c r="A33" s="637" t="s">
        <v>181</v>
      </c>
      <c r="B33" s="26" t="s">
        <v>46</v>
      </c>
      <c r="C33" s="616" t="s">
        <v>64</v>
      </c>
      <c r="D33" s="616"/>
      <c r="E33" s="26">
        <v>26.39</v>
      </c>
      <c r="F33" s="281">
        <v>4300</v>
      </c>
      <c r="G33" s="274">
        <f t="shared" si="48"/>
        <v>113477</v>
      </c>
      <c r="H33" s="21">
        <v>2</v>
      </c>
      <c r="I33" s="279">
        <v>19</v>
      </c>
      <c r="J33" s="23">
        <v>2400</v>
      </c>
      <c r="K33" s="9">
        <f t="shared" ref="K33:K46" si="53">J33/I33</f>
        <v>126.31578947368421</v>
      </c>
      <c r="L33" s="279">
        <v>19</v>
      </c>
      <c r="M33" s="10">
        <f t="shared" ref="M33:M39" si="54">F33/V33*60</f>
        <v>2303.5714285714298</v>
      </c>
      <c r="N33" s="9">
        <f t="shared" ref="N33:N39" si="55">M33/L33</f>
        <v>121.24060150375946</v>
      </c>
      <c r="O33" s="11">
        <f t="shared" si="49"/>
        <v>0</v>
      </c>
      <c r="P33" s="12">
        <f t="shared" si="50"/>
        <v>-5.0751879699247411</v>
      </c>
      <c r="Q33" s="275">
        <f t="shared" si="51"/>
        <v>0.95982142857142916</v>
      </c>
      <c r="R33" s="571"/>
      <c r="S33" s="24">
        <v>0.18194444444444444</v>
      </c>
      <c r="T33" s="24">
        <v>0.25972222222222219</v>
      </c>
      <c r="U33" s="274">
        <f>(S33-T32)*24*60</f>
        <v>30.000000000000014</v>
      </c>
      <c r="V33" s="280">
        <f t="shared" si="52"/>
        <v>111.99999999999996</v>
      </c>
      <c r="W33" s="274"/>
      <c r="X33" s="274"/>
      <c r="Y33" s="617"/>
      <c r="Z33" s="617"/>
      <c r="AA33" s="11">
        <f t="shared" si="2"/>
        <v>-96.428571428570194</v>
      </c>
      <c r="AB33" s="275">
        <f t="shared" ref="AB33:AB59" si="56">M33/J33</f>
        <v>0.95982142857142905</v>
      </c>
      <c r="AC33" s="571"/>
    </row>
    <row r="34" spans="1:29">
      <c r="A34" s="638" t="s">
        <v>181</v>
      </c>
      <c r="B34" s="26" t="s">
        <v>46</v>
      </c>
      <c r="C34" s="616" t="s">
        <v>87</v>
      </c>
      <c r="D34" s="616"/>
      <c r="E34" s="26">
        <v>20.52</v>
      </c>
      <c r="F34" s="281">
        <v>5157</v>
      </c>
      <c r="G34" s="274">
        <f t="shared" si="48"/>
        <v>105821.64</v>
      </c>
      <c r="H34" s="21" t="s">
        <v>35</v>
      </c>
      <c r="I34" s="279">
        <v>18</v>
      </c>
      <c r="J34" s="23">
        <v>2400</v>
      </c>
      <c r="K34" s="9">
        <f t="shared" si="53"/>
        <v>133.33333333333334</v>
      </c>
      <c r="L34" s="279">
        <v>18</v>
      </c>
      <c r="M34" s="10">
        <f t="shared" si="54"/>
        <v>2292</v>
      </c>
      <c r="N34" s="9">
        <f t="shared" si="55"/>
        <v>127.33333333333333</v>
      </c>
      <c r="O34" s="11">
        <f t="shared" si="49"/>
        <v>0</v>
      </c>
      <c r="P34" s="12">
        <f t="shared" si="50"/>
        <v>-6.0000000000000142</v>
      </c>
      <c r="Q34" s="275">
        <f t="shared" si="51"/>
        <v>0.95499999999999985</v>
      </c>
      <c r="R34" s="571"/>
      <c r="S34" s="24">
        <v>0.26527777777777772</v>
      </c>
      <c r="T34" s="24">
        <v>0.35902777777777772</v>
      </c>
      <c r="U34" s="274">
        <f t="shared" ref="U34:U39" si="57">(S34-T33)*24*60</f>
        <v>7.9999999999999716</v>
      </c>
      <c r="V34" s="280">
        <f t="shared" si="52"/>
        <v>135</v>
      </c>
      <c r="W34" s="274"/>
      <c r="X34" s="274"/>
      <c r="Y34" s="617"/>
      <c r="Z34" s="617"/>
      <c r="AA34" s="11">
        <f t="shared" si="2"/>
        <v>-108</v>
      </c>
      <c r="AB34" s="275">
        <f t="shared" si="56"/>
        <v>0.95499999999999996</v>
      </c>
      <c r="AC34" s="571"/>
    </row>
    <row r="35" spans="1:29">
      <c r="A35" s="638" t="s">
        <v>181</v>
      </c>
      <c r="B35" s="26" t="s">
        <v>46</v>
      </c>
      <c r="C35" s="616" t="s">
        <v>48</v>
      </c>
      <c r="D35" s="616"/>
      <c r="E35" s="26">
        <v>22.35</v>
      </c>
      <c r="F35" s="281">
        <v>2049</v>
      </c>
      <c r="G35" s="274">
        <f t="shared" si="48"/>
        <v>45795.15</v>
      </c>
      <c r="H35" s="21" t="s">
        <v>35</v>
      </c>
      <c r="I35" s="279">
        <v>16</v>
      </c>
      <c r="J35" s="23">
        <v>2400</v>
      </c>
      <c r="K35" s="9">
        <f t="shared" si="53"/>
        <v>150</v>
      </c>
      <c r="L35" s="279">
        <v>16</v>
      </c>
      <c r="M35" s="10">
        <f t="shared" si="54"/>
        <v>2319.6226415094352</v>
      </c>
      <c r="N35" s="9">
        <f t="shared" si="55"/>
        <v>144.9764150943397</v>
      </c>
      <c r="O35" s="11">
        <f t="shared" si="49"/>
        <v>0</v>
      </c>
      <c r="P35" s="12">
        <f t="shared" si="50"/>
        <v>-5.0235849056603001</v>
      </c>
      <c r="Q35" s="275">
        <f t="shared" si="51"/>
        <v>0.96650943396226463</v>
      </c>
      <c r="R35" s="571"/>
      <c r="S35" s="24">
        <v>0.36249999999999993</v>
      </c>
      <c r="T35" s="24">
        <v>0.39930555555555547</v>
      </c>
      <c r="U35" s="274">
        <f t="shared" si="57"/>
        <v>4.9999999999999822</v>
      </c>
      <c r="V35" s="280">
        <f t="shared" si="52"/>
        <v>52.999999999999972</v>
      </c>
      <c r="W35" s="13"/>
      <c r="X35" s="13"/>
      <c r="Y35" s="617"/>
      <c r="Z35" s="617"/>
      <c r="AA35" s="11">
        <f t="shared" si="2"/>
        <v>-80.377358490564802</v>
      </c>
      <c r="AB35" s="275">
        <f t="shared" si="56"/>
        <v>0.96650943396226463</v>
      </c>
      <c r="AC35" s="571"/>
    </row>
    <row r="36" spans="1:29">
      <c r="A36" s="638" t="s">
        <v>181</v>
      </c>
      <c r="B36" s="26" t="s">
        <v>46</v>
      </c>
      <c r="C36" s="616" t="s">
        <v>65</v>
      </c>
      <c r="D36" s="616"/>
      <c r="E36" s="26">
        <v>24.43</v>
      </c>
      <c r="F36" s="281">
        <v>5400</v>
      </c>
      <c r="G36" s="274">
        <f t="shared" si="48"/>
        <v>131922</v>
      </c>
      <c r="H36" s="21">
        <v>2</v>
      </c>
      <c r="I36" s="279">
        <v>15</v>
      </c>
      <c r="J36" s="23">
        <v>2400</v>
      </c>
      <c r="K36" s="9">
        <f t="shared" si="53"/>
        <v>160</v>
      </c>
      <c r="L36" s="279">
        <v>15</v>
      </c>
      <c r="M36" s="10">
        <f t="shared" si="54"/>
        <v>2297.8723404255325</v>
      </c>
      <c r="N36" s="9">
        <f t="shared" si="55"/>
        <v>153.19148936170217</v>
      </c>
      <c r="O36" s="11">
        <f t="shared" si="49"/>
        <v>0</v>
      </c>
      <c r="P36" s="12">
        <f t="shared" si="50"/>
        <v>-6.8085106382978324</v>
      </c>
      <c r="Q36" s="275">
        <f t="shared" si="51"/>
        <v>0.95744680851063857</v>
      </c>
      <c r="R36" s="571"/>
      <c r="S36" s="24">
        <v>0.40347222222222212</v>
      </c>
      <c r="T36" s="24">
        <v>0.50138888888888877</v>
      </c>
      <c r="U36" s="274">
        <f t="shared" si="57"/>
        <v>5.9999999999999787</v>
      </c>
      <c r="V36" s="280">
        <f t="shared" si="52"/>
        <v>140.99999999999997</v>
      </c>
      <c r="W36" s="13">
        <f>T36</f>
        <v>0.50138888888888877</v>
      </c>
      <c r="X36" s="13">
        <f>S37</f>
        <v>0.54097222222222208</v>
      </c>
      <c r="Y36" s="617"/>
      <c r="Z36" s="617"/>
      <c r="AA36" s="11">
        <f t="shared" si="2"/>
        <v>-102.12765957446754</v>
      </c>
      <c r="AB36" s="275">
        <f t="shared" si="56"/>
        <v>0.95744680851063857</v>
      </c>
      <c r="AC36" s="571"/>
    </row>
    <row r="37" spans="1:29">
      <c r="A37" s="638" t="s">
        <v>181</v>
      </c>
      <c r="B37" s="26" t="s">
        <v>46</v>
      </c>
      <c r="C37" s="616" t="s">
        <v>65</v>
      </c>
      <c r="D37" s="616"/>
      <c r="E37" s="26">
        <v>24.43</v>
      </c>
      <c r="F37" s="281">
        <v>4032</v>
      </c>
      <c r="G37" s="274">
        <f t="shared" si="48"/>
        <v>98501.759999999995</v>
      </c>
      <c r="H37" s="21" t="s">
        <v>35</v>
      </c>
      <c r="I37" s="279">
        <v>15</v>
      </c>
      <c r="J37" s="23">
        <v>2400</v>
      </c>
      <c r="K37" s="9">
        <f t="shared" si="53"/>
        <v>160</v>
      </c>
      <c r="L37" s="279">
        <v>15</v>
      </c>
      <c r="M37" s="10">
        <f t="shared" si="54"/>
        <v>2282.2641509433975</v>
      </c>
      <c r="N37" s="9">
        <f t="shared" si="55"/>
        <v>152.15094339622649</v>
      </c>
      <c r="O37" s="11">
        <f t="shared" si="49"/>
        <v>0</v>
      </c>
      <c r="P37" s="12">
        <f t="shared" si="50"/>
        <v>-7.849056603773505</v>
      </c>
      <c r="Q37" s="275">
        <f t="shared" si="51"/>
        <v>0.95094339622641555</v>
      </c>
      <c r="R37" s="571"/>
      <c r="S37" s="24">
        <v>0.54097222222222208</v>
      </c>
      <c r="T37" s="24">
        <v>0.61458333333333315</v>
      </c>
      <c r="U37" s="274">
        <f t="shared" si="57"/>
        <v>56.999999999999957</v>
      </c>
      <c r="V37" s="280">
        <f t="shared" si="52"/>
        <v>105.99999999999994</v>
      </c>
      <c r="W37" s="13"/>
      <c r="X37" s="13"/>
      <c r="Y37" s="617"/>
      <c r="Z37" s="617"/>
      <c r="AA37" s="11">
        <f t="shared" si="2"/>
        <v>-117.73584905660255</v>
      </c>
      <c r="AB37" s="275">
        <f t="shared" si="56"/>
        <v>0.95094339622641566</v>
      </c>
      <c r="AC37" s="571"/>
    </row>
    <row r="38" spans="1:29">
      <c r="A38" s="638" t="s">
        <v>181</v>
      </c>
      <c r="B38" s="26" t="s">
        <v>46</v>
      </c>
      <c r="C38" s="616" t="s">
        <v>63</v>
      </c>
      <c r="D38" s="616"/>
      <c r="E38" s="26">
        <v>26.2</v>
      </c>
      <c r="F38" s="281">
        <v>3324</v>
      </c>
      <c r="G38" s="274">
        <f t="shared" si="48"/>
        <v>87088.8</v>
      </c>
      <c r="H38" s="21" t="s">
        <v>35</v>
      </c>
      <c r="I38" s="279">
        <v>18</v>
      </c>
      <c r="J38" s="23">
        <v>2400</v>
      </c>
      <c r="K38" s="9">
        <f t="shared" si="53"/>
        <v>133.33333333333334</v>
      </c>
      <c r="L38" s="279">
        <v>18</v>
      </c>
      <c r="M38" s="10">
        <f t="shared" si="54"/>
        <v>2292.4137931034479</v>
      </c>
      <c r="N38" s="9">
        <f t="shared" si="55"/>
        <v>127.35632183908044</v>
      </c>
      <c r="O38" s="11">
        <f t="shared" si="49"/>
        <v>0</v>
      </c>
      <c r="P38" s="12">
        <f t="shared" si="50"/>
        <v>-5.9770114942529062</v>
      </c>
      <c r="Q38" s="275">
        <f t="shared" si="51"/>
        <v>0.95517241379310325</v>
      </c>
      <c r="R38" s="571"/>
      <c r="S38" s="24">
        <v>0.62013888888888868</v>
      </c>
      <c r="T38" s="24">
        <v>0.68055555555555536</v>
      </c>
      <c r="U38" s="274">
        <f t="shared" si="57"/>
        <v>7.9999999999999716</v>
      </c>
      <c r="V38" s="280">
        <f t="shared" si="52"/>
        <v>87.000000000000014</v>
      </c>
      <c r="W38" s="13"/>
      <c r="X38" s="13"/>
      <c r="Y38" s="621"/>
      <c r="Z38" s="622"/>
      <c r="AA38" s="11">
        <f t="shared" si="2"/>
        <v>-107.58620689655208</v>
      </c>
      <c r="AB38" s="275">
        <f t="shared" si="56"/>
        <v>0.95517241379310325</v>
      </c>
      <c r="AC38" s="571"/>
    </row>
    <row r="39" spans="1:29">
      <c r="A39" s="638" t="s">
        <v>181</v>
      </c>
      <c r="B39" s="26" t="s">
        <v>46</v>
      </c>
      <c r="C39" s="616" t="s">
        <v>64</v>
      </c>
      <c r="D39" s="616"/>
      <c r="E39" s="26">
        <v>26.39</v>
      </c>
      <c r="F39" s="281">
        <v>2898</v>
      </c>
      <c r="G39" s="274">
        <f t="shared" si="48"/>
        <v>76478.22</v>
      </c>
      <c r="H39" s="21" t="s">
        <v>35</v>
      </c>
      <c r="I39" s="279">
        <v>19</v>
      </c>
      <c r="J39" s="23">
        <v>2400</v>
      </c>
      <c r="K39" s="9">
        <f t="shared" si="53"/>
        <v>126.31578947368421</v>
      </c>
      <c r="L39" s="279">
        <v>19</v>
      </c>
      <c r="M39" s="10">
        <f t="shared" si="54"/>
        <v>2287.8947368421032</v>
      </c>
      <c r="N39" s="9">
        <f t="shared" si="55"/>
        <v>120.41551246537385</v>
      </c>
      <c r="O39" s="11">
        <f t="shared" si="49"/>
        <v>0</v>
      </c>
      <c r="P39" s="12">
        <f t="shared" si="50"/>
        <v>-5.9002770083103542</v>
      </c>
      <c r="Q39" s="275">
        <f t="shared" si="51"/>
        <v>0.95328947368420969</v>
      </c>
      <c r="R39" s="571"/>
      <c r="S39" s="24">
        <v>0.68611111111111089</v>
      </c>
      <c r="T39" s="24">
        <v>0.73888888888888871</v>
      </c>
      <c r="U39" s="274">
        <f t="shared" si="57"/>
        <v>7.9999999999999716</v>
      </c>
      <c r="V39" s="280">
        <f t="shared" si="52"/>
        <v>76.000000000000057</v>
      </c>
      <c r="W39" s="13"/>
      <c r="X39" s="13"/>
      <c r="Y39" s="621"/>
      <c r="Z39" s="622"/>
      <c r="AA39" s="11">
        <f t="shared" si="2"/>
        <v>-112.10526315789684</v>
      </c>
      <c r="AB39" s="275">
        <f t="shared" si="56"/>
        <v>0.95328947368420969</v>
      </c>
      <c r="AC39" s="571"/>
    </row>
    <row r="40" spans="1:29">
      <c r="A40" s="638" t="s">
        <v>181</v>
      </c>
      <c r="B40" s="27" t="s">
        <v>168</v>
      </c>
      <c r="C40" s="629"/>
      <c r="D40" s="629"/>
      <c r="E40" s="276"/>
      <c r="F40" s="27"/>
      <c r="G40" s="9"/>
      <c r="H40" s="281"/>
      <c r="I40" s="16">
        <v>17.25</v>
      </c>
      <c r="J40" s="23">
        <v>2400</v>
      </c>
      <c r="K40" s="9">
        <f t="shared" si="53"/>
        <v>139.13043478260869</v>
      </c>
      <c r="L40" s="16">
        <v>17.25</v>
      </c>
      <c r="M40" s="10">
        <f>AVERAGE(M32:M39)</f>
        <v>2297.4013149958469</v>
      </c>
      <c r="N40" s="9">
        <f>M40/L40</f>
        <v>133.18268492729547</v>
      </c>
      <c r="O40" s="11">
        <f>L40-I40</f>
        <v>0</v>
      </c>
      <c r="P40" s="12">
        <f t="shared" si="50"/>
        <v>-5.9477498553132193</v>
      </c>
      <c r="Q40" s="275">
        <f t="shared" si="51"/>
        <v>0.95725054791493625</v>
      </c>
      <c r="R40" s="571"/>
      <c r="S40" s="24"/>
      <c r="T40" s="24"/>
      <c r="U40" s="9"/>
      <c r="V40" s="280"/>
      <c r="W40" s="9"/>
      <c r="X40" s="9"/>
      <c r="Y40" s="617"/>
      <c r="Z40" s="617"/>
      <c r="AA40" s="11">
        <f t="shared" si="2"/>
        <v>-102.59868500415314</v>
      </c>
      <c r="AB40" s="275">
        <f t="shared" si="56"/>
        <v>0.95725054791493625</v>
      </c>
      <c r="AC40" s="571"/>
    </row>
    <row r="41" spans="1:29" ht="15.75" customHeight="1">
      <c r="A41" s="630" t="s">
        <v>186</v>
      </c>
      <c r="B41" s="26" t="s">
        <v>67</v>
      </c>
      <c r="C41" s="627" t="s">
        <v>68</v>
      </c>
      <c r="D41" s="628"/>
      <c r="E41" s="26">
        <v>21.13</v>
      </c>
      <c r="F41" s="281">
        <v>5523</v>
      </c>
      <c r="G41" s="274">
        <f t="shared" ref="G41:G46" si="58">E41*F41</f>
        <v>116700.98999999999</v>
      </c>
      <c r="H41" s="21" t="s">
        <v>35</v>
      </c>
      <c r="I41" s="279">
        <v>10</v>
      </c>
      <c r="J41" s="23">
        <v>3000</v>
      </c>
      <c r="K41" s="9">
        <f t="shared" si="53"/>
        <v>300</v>
      </c>
      <c r="L41" s="279">
        <v>10</v>
      </c>
      <c r="M41" s="10">
        <f t="shared" ref="M41:M42" si="59">F41/V41*60</f>
        <v>2856.7241379310344</v>
      </c>
      <c r="N41" s="10">
        <f t="shared" ref="N41:N47" si="60">M41/L41</f>
        <v>285.67241379310343</v>
      </c>
      <c r="O41" s="11">
        <f t="shared" ref="O41:O47" si="61">L41-I41</f>
        <v>0</v>
      </c>
      <c r="P41" s="12">
        <f t="shared" si="50"/>
        <v>-14.327586206896569</v>
      </c>
      <c r="Q41" s="275">
        <f t="shared" si="51"/>
        <v>0.9522413793103448</v>
      </c>
      <c r="R41" s="582">
        <f>Q47</f>
        <v>0.95744110248181147</v>
      </c>
      <c r="S41" s="24">
        <v>8.3333333333333329E-2</v>
      </c>
      <c r="T41" s="24">
        <v>0.16388888888888889</v>
      </c>
      <c r="U41" s="15"/>
      <c r="V41" s="280">
        <f t="shared" ref="V41:V46" si="62">(T41-S41)*24*60</f>
        <v>116.00000000000001</v>
      </c>
      <c r="W41" s="13">
        <f>T41</f>
        <v>0.16388888888888889</v>
      </c>
      <c r="X41" s="13">
        <f>S42</f>
        <v>0.18472222222222223</v>
      </c>
      <c r="Y41" s="621"/>
      <c r="Z41" s="622"/>
      <c r="AA41" s="11">
        <f t="shared" si="2"/>
        <v>-143.27586206896558</v>
      </c>
      <c r="AB41" s="275">
        <f t="shared" si="56"/>
        <v>0.9522413793103448</v>
      </c>
      <c r="AC41" s="582">
        <f>AB47</f>
        <v>0.95744110248181158</v>
      </c>
    </row>
    <row r="42" spans="1:29" ht="15.75" customHeight="1">
      <c r="A42" s="631" t="s">
        <v>186</v>
      </c>
      <c r="B42" s="26" t="s">
        <v>67</v>
      </c>
      <c r="C42" s="627" t="s">
        <v>69</v>
      </c>
      <c r="D42" s="628"/>
      <c r="E42" s="26">
        <v>27.17</v>
      </c>
      <c r="F42" s="281">
        <v>6978</v>
      </c>
      <c r="G42" s="274">
        <f t="shared" si="58"/>
        <v>189592.26</v>
      </c>
      <c r="H42" s="21" t="s">
        <v>35</v>
      </c>
      <c r="I42" s="279">
        <v>10</v>
      </c>
      <c r="J42" s="23">
        <v>3000</v>
      </c>
      <c r="K42" s="9">
        <f t="shared" si="53"/>
        <v>300</v>
      </c>
      <c r="L42" s="279">
        <v>10</v>
      </c>
      <c r="M42" s="10">
        <f t="shared" si="59"/>
        <v>2867.6712328767126</v>
      </c>
      <c r="N42" s="10">
        <f t="shared" si="60"/>
        <v>286.76712328767127</v>
      </c>
      <c r="O42" s="11">
        <f t="shared" si="61"/>
        <v>0</v>
      </c>
      <c r="P42" s="12">
        <f t="shared" si="50"/>
        <v>-13.232876712328732</v>
      </c>
      <c r="Q42" s="275">
        <f t="shared" si="51"/>
        <v>0.95589041095890426</v>
      </c>
      <c r="R42" s="583"/>
      <c r="S42" s="24">
        <v>0.18472222222222223</v>
      </c>
      <c r="T42" s="24">
        <v>0.28611111111111109</v>
      </c>
      <c r="U42" s="274">
        <f>(S42-T41)*24*60</f>
        <v>30.000000000000014</v>
      </c>
      <c r="V42" s="280">
        <f t="shared" si="62"/>
        <v>145.99999999999997</v>
      </c>
      <c r="W42" s="13"/>
      <c r="X42" s="13"/>
      <c r="Y42" s="621"/>
      <c r="Z42" s="622"/>
      <c r="AA42" s="11">
        <f t="shared" si="2"/>
        <v>-132.32876712328743</v>
      </c>
      <c r="AB42" s="275">
        <f t="shared" si="56"/>
        <v>0.95589041095890415</v>
      </c>
      <c r="AC42" s="583"/>
    </row>
    <row r="43" spans="1:29" ht="15.75" customHeight="1">
      <c r="A43" s="631" t="s">
        <v>186</v>
      </c>
      <c r="B43" s="26" t="s">
        <v>67</v>
      </c>
      <c r="C43" s="627" t="s">
        <v>70</v>
      </c>
      <c r="D43" s="628"/>
      <c r="E43" s="26">
        <v>35.119999999999997</v>
      </c>
      <c r="F43" s="281">
        <v>4914</v>
      </c>
      <c r="G43" s="274">
        <f t="shared" si="58"/>
        <v>172579.68</v>
      </c>
      <c r="H43" s="21" t="s">
        <v>35</v>
      </c>
      <c r="I43" s="279">
        <v>10</v>
      </c>
      <c r="J43" s="23">
        <v>3000</v>
      </c>
      <c r="K43" s="9">
        <f t="shared" si="53"/>
        <v>300</v>
      </c>
      <c r="L43" s="279">
        <v>10</v>
      </c>
      <c r="M43" s="10">
        <f>F43/V43*60</f>
        <v>2862.5242718446616</v>
      </c>
      <c r="N43" s="10">
        <f t="shared" si="60"/>
        <v>286.25242718446617</v>
      </c>
      <c r="O43" s="11">
        <f t="shared" si="61"/>
        <v>0</v>
      </c>
      <c r="P43" s="12">
        <f t="shared" si="50"/>
        <v>-13.747572815533829</v>
      </c>
      <c r="Q43" s="275">
        <f t="shared" si="51"/>
        <v>0.95417475728155388</v>
      </c>
      <c r="R43" s="583"/>
      <c r="S43" s="24">
        <v>0.29027777777777775</v>
      </c>
      <c r="T43" s="24">
        <v>0.36180555555555549</v>
      </c>
      <c r="U43" s="274">
        <f t="shared" ref="U43:U46" si="63">(S43-T42)*24*60</f>
        <v>5.9999999999999787</v>
      </c>
      <c r="V43" s="280">
        <f t="shared" si="62"/>
        <v>102.99999999999996</v>
      </c>
      <c r="W43" s="13"/>
      <c r="X43" s="13"/>
      <c r="Y43" s="621"/>
      <c r="Z43" s="622"/>
      <c r="AA43" s="11">
        <f t="shared" si="2"/>
        <v>-137.4757281553384</v>
      </c>
      <c r="AB43" s="275">
        <f t="shared" si="56"/>
        <v>0.95417475728155388</v>
      </c>
      <c r="AC43" s="583"/>
    </row>
    <row r="44" spans="1:29" ht="15.75" customHeight="1">
      <c r="A44" s="631" t="s">
        <v>186</v>
      </c>
      <c r="B44" s="26" t="s">
        <v>67</v>
      </c>
      <c r="C44" s="627" t="s">
        <v>71</v>
      </c>
      <c r="D44" s="628"/>
      <c r="E44" s="26">
        <v>35.869999999999997</v>
      </c>
      <c r="F44" s="281">
        <v>3147</v>
      </c>
      <c r="G44" s="274">
        <f t="shared" si="58"/>
        <v>112882.88999999998</v>
      </c>
      <c r="H44" s="21" t="s">
        <v>35</v>
      </c>
      <c r="I44" s="279">
        <v>10</v>
      </c>
      <c r="J44" s="23">
        <v>3000</v>
      </c>
      <c r="K44" s="9">
        <f t="shared" si="53"/>
        <v>300</v>
      </c>
      <c r="L44" s="279">
        <v>10</v>
      </c>
      <c r="M44" s="10">
        <f t="shared" ref="M44:M46" si="64">F44/V44*60</f>
        <v>2860.909090909091</v>
      </c>
      <c r="N44" s="10">
        <f t="shared" si="60"/>
        <v>286.09090909090912</v>
      </c>
      <c r="O44" s="11">
        <f t="shared" si="61"/>
        <v>0</v>
      </c>
      <c r="P44" s="12">
        <f t="shared" si="50"/>
        <v>-13.909090909090878</v>
      </c>
      <c r="Q44" s="275">
        <f t="shared" si="51"/>
        <v>0.95363636363636373</v>
      </c>
      <c r="R44" s="583"/>
      <c r="S44" s="24">
        <v>0.36736111111111103</v>
      </c>
      <c r="T44" s="24">
        <v>0.41319444444444436</v>
      </c>
      <c r="U44" s="274">
        <f t="shared" si="63"/>
        <v>7.9999999999999716</v>
      </c>
      <c r="V44" s="280">
        <f t="shared" si="62"/>
        <v>66</v>
      </c>
      <c r="W44" s="13"/>
      <c r="X44" s="13"/>
      <c r="Y44" s="621"/>
      <c r="Z44" s="622"/>
      <c r="AA44" s="11">
        <f t="shared" si="2"/>
        <v>-139.09090909090901</v>
      </c>
      <c r="AB44" s="275">
        <f t="shared" si="56"/>
        <v>0.95363636363636362</v>
      </c>
      <c r="AC44" s="583"/>
    </row>
    <row r="45" spans="1:29" ht="15.75" customHeight="1">
      <c r="A45" s="631" t="s">
        <v>186</v>
      </c>
      <c r="B45" s="26" t="s">
        <v>67</v>
      </c>
      <c r="C45" s="627" t="s">
        <v>72</v>
      </c>
      <c r="D45" s="628"/>
      <c r="E45" s="26">
        <v>36.14</v>
      </c>
      <c r="F45" s="281">
        <v>1741</v>
      </c>
      <c r="G45" s="274">
        <f t="shared" si="58"/>
        <v>62919.74</v>
      </c>
      <c r="H45" s="21" t="s">
        <v>35</v>
      </c>
      <c r="I45" s="279">
        <v>8</v>
      </c>
      <c r="J45" s="23">
        <v>3000</v>
      </c>
      <c r="K45" s="9">
        <f t="shared" si="53"/>
        <v>375</v>
      </c>
      <c r="L45" s="279">
        <v>8</v>
      </c>
      <c r="M45" s="10">
        <f t="shared" si="64"/>
        <v>2901.6666666666642</v>
      </c>
      <c r="N45" s="10">
        <f t="shared" si="60"/>
        <v>362.70833333333303</v>
      </c>
      <c r="O45" s="11">
        <f t="shared" si="61"/>
        <v>0</v>
      </c>
      <c r="P45" s="12">
        <f t="shared" si="50"/>
        <v>-12.29166666666697</v>
      </c>
      <c r="Q45" s="275">
        <f>N45/K45</f>
        <v>0.96722222222222143</v>
      </c>
      <c r="R45" s="583"/>
      <c r="S45" s="24">
        <v>0.41805555555555546</v>
      </c>
      <c r="T45" s="24">
        <v>0.44305555555555548</v>
      </c>
      <c r="U45" s="274">
        <f t="shared" si="63"/>
        <v>6.9999999999999751</v>
      </c>
      <c r="V45" s="280">
        <f t="shared" si="62"/>
        <v>36.000000000000028</v>
      </c>
      <c r="W45" s="13"/>
      <c r="X45" s="13"/>
      <c r="Y45" s="621"/>
      <c r="Z45" s="622"/>
      <c r="AA45" s="11">
        <f t="shared" si="2"/>
        <v>-98.333333333335759</v>
      </c>
      <c r="AB45" s="275">
        <f t="shared" si="56"/>
        <v>0.96722222222222143</v>
      </c>
      <c r="AC45" s="583"/>
    </row>
    <row r="46" spans="1:29" ht="15.75" customHeight="1">
      <c r="A46" s="631" t="s">
        <v>186</v>
      </c>
      <c r="B46" s="26" t="s">
        <v>67</v>
      </c>
      <c r="C46" s="627" t="s">
        <v>664</v>
      </c>
      <c r="D46" s="628"/>
      <c r="E46" s="26">
        <v>34.36</v>
      </c>
      <c r="F46" s="281">
        <v>3894</v>
      </c>
      <c r="G46" s="274">
        <f t="shared" si="58"/>
        <v>133797.84</v>
      </c>
      <c r="H46" s="21" t="s">
        <v>35</v>
      </c>
      <c r="I46" s="279">
        <v>10</v>
      </c>
      <c r="J46" s="23">
        <v>3000</v>
      </c>
      <c r="K46" s="9">
        <f t="shared" si="53"/>
        <v>300</v>
      </c>
      <c r="L46" s="279">
        <v>10</v>
      </c>
      <c r="M46" s="10">
        <f t="shared" si="64"/>
        <v>2884.4444444444457</v>
      </c>
      <c r="N46" s="10">
        <f t="shared" si="60"/>
        <v>288.44444444444457</v>
      </c>
      <c r="O46" s="11">
        <f t="shared" si="61"/>
        <v>0</v>
      </c>
      <c r="P46" s="12">
        <f t="shared" si="50"/>
        <v>-11.555555555555429</v>
      </c>
      <c r="Q46" s="275">
        <f t="shared" ref="Q46:Q47" si="65">N46/K46</f>
        <v>0.96148148148148194</v>
      </c>
      <c r="R46" s="583"/>
      <c r="S46" s="24">
        <v>0.44652777777777769</v>
      </c>
      <c r="T46" s="24">
        <v>0.50277777777777766</v>
      </c>
      <c r="U46" s="274">
        <f t="shared" si="63"/>
        <v>4.9999999999999822</v>
      </c>
      <c r="V46" s="280">
        <f t="shared" si="62"/>
        <v>80.999999999999957</v>
      </c>
      <c r="W46" s="13"/>
      <c r="X46" s="13"/>
      <c r="Y46" s="621"/>
      <c r="Z46" s="622"/>
      <c r="AA46" s="11">
        <f t="shared" si="2"/>
        <v>-115.55555555555429</v>
      </c>
      <c r="AB46" s="275">
        <f t="shared" si="56"/>
        <v>0.96148148148148194</v>
      </c>
      <c r="AC46" s="583"/>
    </row>
    <row r="47" spans="1:29" ht="15.75" customHeight="1">
      <c r="A47" s="632" t="s">
        <v>186</v>
      </c>
      <c r="B47" s="26" t="s">
        <v>168</v>
      </c>
      <c r="C47" s="625"/>
      <c r="D47" s="626"/>
      <c r="E47" s="273"/>
      <c r="F47" s="281"/>
      <c r="G47" s="274"/>
      <c r="H47" s="281"/>
      <c r="I47" s="16">
        <v>9.6666666666666661</v>
      </c>
      <c r="J47" s="23">
        <v>3000</v>
      </c>
      <c r="K47" s="9">
        <f>J47/I47</f>
        <v>310.34482758620692</v>
      </c>
      <c r="L47" s="16">
        <v>9.6666666666666661</v>
      </c>
      <c r="M47" s="10">
        <f>AVERAGE(M41:M46)</f>
        <v>2872.3233074454347</v>
      </c>
      <c r="N47" s="9">
        <f t="shared" si="60"/>
        <v>297.13689387366566</v>
      </c>
      <c r="O47" s="11">
        <f t="shared" si="61"/>
        <v>0</v>
      </c>
      <c r="P47" s="12">
        <f t="shared" si="50"/>
        <v>-13.207933712541262</v>
      </c>
      <c r="Q47" s="275">
        <f t="shared" si="65"/>
        <v>0.95744110248181147</v>
      </c>
      <c r="R47" s="584"/>
      <c r="S47" s="24"/>
      <c r="T47" s="24"/>
      <c r="U47" s="274"/>
      <c r="V47" s="280"/>
      <c r="W47" s="13"/>
      <c r="X47" s="13"/>
      <c r="Y47" s="621"/>
      <c r="Z47" s="622"/>
      <c r="AA47" s="11">
        <f t="shared" si="2"/>
        <v>-127.67669255456531</v>
      </c>
      <c r="AB47" s="275">
        <f t="shared" si="56"/>
        <v>0.95744110248181158</v>
      </c>
      <c r="AC47" s="584"/>
    </row>
    <row r="48" spans="1:29" ht="15.75" customHeight="1">
      <c r="A48" s="633" t="s">
        <v>188</v>
      </c>
      <c r="B48" s="26" t="s">
        <v>40</v>
      </c>
      <c r="C48" s="616" t="s">
        <v>73</v>
      </c>
      <c r="D48" s="616"/>
      <c r="E48" s="26">
        <v>46</v>
      </c>
      <c r="F48" s="28">
        <v>3003</v>
      </c>
      <c r="G48" s="274">
        <f t="shared" ref="G48:G53" si="66">E48*F48</f>
        <v>138138</v>
      </c>
      <c r="H48" s="21" t="s">
        <v>35</v>
      </c>
      <c r="I48" s="279">
        <v>17</v>
      </c>
      <c r="J48" s="23">
        <v>2000</v>
      </c>
      <c r="K48" s="9">
        <f t="shared" ref="K48:K53" si="67">J48/I48</f>
        <v>117.64705882352941</v>
      </c>
      <c r="L48" s="279">
        <v>17</v>
      </c>
      <c r="M48" s="10">
        <f t="shared" ref="M48:M53" si="68">F48/V48*60</f>
        <v>1916.8085106382982</v>
      </c>
      <c r="N48" s="10">
        <f>M48/L48</f>
        <v>112.75344180225284</v>
      </c>
      <c r="O48" s="11">
        <f>L48-I48</f>
        <v>0</v>
      </c>
      <c r="P48" s="12">
        <f>N48-K48</f>
        <v>-4.8936170212765688</v>
      </c>
      <c r="Q48" s="275">
        <f>N48/K48</f>
        <v>0.95840425531914919</v>
      </c>
      <c r="R48" s="571">
        <f>Q54</f>
        <v>0.96292684259563244</v>
      </c>
      <c r="S48" s="24">
        <v>0.29166666666666669</v>
      </c>
      <c r="T48" s="24">
        <v>0.35694444444444445</v>
      </c>
      <c r="U48" s="15"/>
      <c r="V48" s="280">
        <f t="shared" ref="V48:V53" si="69">(T48-S48)*24*60</f>
        <v>93.999999999999986</v>
      </c>
      <c r="W48" s="15"/>
      <c r="X48" s="15"/>
      <c r="Y48" s="617"/>
      <c r="Z48" s="617"/>
      <c r="AA48" s="11">
        <f t="shared" si="2"/>
        <v>-83.19148936170177</v>
      </c>
      <c r="AB48" s="275">
        <f t="shared" si="56"/>
        <v>0.95840425531914908</v>
      </c>
      <c r="AC48" s="571">
        <f>AB54</f>
        <v>0.96292684259563244</v>
      </c>
    </row>
    <row r="49" spans="1:29" ht="15.75" customHeight="1">
      <c r="A49" s="633" t="s">
        <v>188</v>
      </c>
      <c r="B49" s="26" t="s">
        <v>36</v>
      </c>
      <c r="C49" s="616" t="s">
        <v>75</v>
      </c>
      <c r="D49" s="616"/>
      <c r="E49" s="26">
        <v>54.09</v>
      </c>
      <c r="F49" s="28">
        <v>886</v>
      </c>
      <c r="G49" s="274">
        <f t="shared" si="66"/>
        <v>47923.740000000005</v>
      </c>
      <c r="H49" s="21" t="s">
        <v>35</v>
      </c>
      <c r="I49" s="279">
        <v>16</v>
      </c>
      <c r="J49" s="23">
        <v>2000</v>
      </c>
      <c r="K49" s="9">
        <f t="shared" si="67"/>
        <v>125</v>
      </c>
      <c r="L49" s="279">
        <v>16</v>
      </c>
      <c r="M49" s="10">
        <f t="shared" si="68"/>
        <v>1968.8888888888898</v>
      </c>
      <c r="N49" s="10">
        <f t="shared" ref="N49:N53" si="70">M49/L49</f>
        <v>123.05555555555561</v>
      </c>
      <c r="O49" s="11">
        <f t="shared" ref="O49:O53" si="71">L49-I49</f>
        <v>0</v>
      </c>
      <c r="P49" s="12">
        <f t="shared" ref="P49:P53" si="72">N49-K49</f>
        <v>-1.944444444444386</v>
      </c>
      <c r="Q49" s="275">
        <f t="shared" ref="Q49:Q53" si="73">N49/K49</f>
        <v>0.9844444444444449</v>
      </c>
      <c r="R49" s="571"/>
      <c r="S49" s="24">
        <v>0.3611111111111111</v>
      </c>
      <c r="T49" s="24">
        <v>0.37986111111111109</v>
      </c>
      <c r="U49" s="274">
        <f>IF(S49=TIME(17,0,0),"",(S49-T48)*24*60)</f>
        <v>5.9999999999999787</v>
      </c>
      <c r="V49" s="280">
        <f t="shared" si="69"/>
        <v>26.999999999999986</v>
      </c>
      <c r="W49" s="13"/>
      <c r="X49" s="13"/>
      <c r="Y49" s="617"/>
      <c r="Z49" s="617"/>
      <c r="AA49" s="11">
        <f t="shared" si="2"/>
        <v>-31.111111111110176</v>
      </c>
      <c r="AB49" s="275">
        <f t="shared" si="56"/>
        <v>0.9844444444444449</v>
      </c>
      <c r="AC49" s="571"/>
    </row>
    <row r="50" spans="1:29" ht="15.75" customHeight="1">
      <c r="A50" s="633" t="s">
        <v>188</v>
      </c>
      <c r="B50" s="26" t="s">
        <v>40</v>
      </c>
      <c r="C50" s="627" t="s">
        <v>74</v>
      </c>
      <c r="D50" s="628"/>
      <c r="E50" s="26">
        <v>46</v>
      </c>
      <c r="F50" s="28">
        <v>3130</v>
      </c>
      <c r="G50" s="274">
        <f t="shared" si="66"/>
        <v>143980</v>
      </c>
      <c r="H50" s="21" t="s">
        <v>35</v>
      </c>
      <c r="I50" s="279">
        <v>17</v>
      </c>
      <c r="J50" s="23">
        <v>2000</v>
      </c>
      <c r="K50" s="9">
        <f t="shared" si="67"/>
        <v>117.64705882352941</v>
      </c>
      <c r="L50" s="279">
        <v>17</v>
      </c>
      <c r="M50" s="10">
        <f t="shared" si="68"/>
        <v>1916.3265306122455</v>
      </c>
      <c r="N50" s="10">
        <f t="shared" si="70"/>
        <v>112.72509003601444</v>
      </c>
      <c r="O50" s="11">
        <f t="shared" si="71"/>
        <v>0</v>
      </c>
      <c r="P50" s="12">
        <f t="shared" si="72"/>
        <v>-4.9219687875149702</v>
      </c>
      <c r="Q50" s="275">
        <f t="shared" si="73"/>
        <v>0.95816326530612272</v>
      </c>
      <c r="R50" s="571"/>
      <c r="S50" s="24">
        <v>0.38402777777777775</v>
      </c>
      <c r="T50" s="24">
        <v>0.45208333333333328</v>
      </c>
      <c r="U50" s="274">
        <f t="shared" ref="U50:U53" si="74">IF(S50=TIME(17,0,0),"",(S50-T49)*24*60)</f>
        <v>5.9999999999999787</v>
      </c>
      <c r="V50" s="280">
        <f t="shared" si="69"/>
        <v>97.999999999999972</v>
      </c>
      <c r="W50" s="13"/>
      <c r="X50" s="13"/>
      <c r="Y50" s="271"/>
      <c r="Z50" s="272"/>
      <c r="AA50" s="11">
        <f t="shared" si="2"/>
        <v>-83.673469387754494</v>
      </c>
      <c r="AB50" s="275">
        <f t="shared" si="56"/>
        <v>0.95816326530612272</v>
      </c>
      <c r="AC50" s="571"/>
    </row>
    <row r="51" spans="1:29" ht="15.75" customHeight="1">
      <c r="A51" s="633" t="s">
        <v>188</v>
      </c>
      <c r="B51" s="26" t="s">
        <v>36</v>
      </c>
      <c r="C51" s="277" t="s">
        <v>76</v>
      </c>
      <c r="D51" s="278"/>
      <c r="E51" s="26">
        <v>55.56</v>
      </c>
      <c r="F51" s="28">
        <v>1979</v>
      </c>
      <c r="G51" s="274">
        <f t="shared" si="66"/>
        <v>109953.24</v>
      </c>
      <c r="H51" s="21" t="s">
        <v>35</v>
      </c>
      <c r="I51" s="279">
        <v>17</v>
      </c>
      <c r="J51" s="23">
        <v>2000</v>
      </c>
      <c r="K51" s="9">
        <f t="shared" si="67"/>
        <v>117.64705882352941</v>
      </c>
      <c r="L51" s="279">
        <v>17</v>
      </c>
      <c r="M51" s="10">
        <f t="shared" si="68"/>
        <v>1915.1612903225825</v>
      </c>
      <c r="N51" s="10">
        <f t="shared" si="70"/>
        <v>112.65654648956368</v>
      </c>
      <c r="O51" s="11">
        <f t="shared" si="71"/>
        <v>0</v>
      </c>
      <c r="P51" s="12">
        <f t="shared" si="72"/>
        <v>-4.9905123339657251</v>
      </c>
      <c r="Q51" s="275">
        <f t="shared" si="73"/>
        <v>0.95758064516129138</v>
      </c>
      <c r="R51" s="571"/>
      <c r="S51" s="24">
        <v>0.70833333333333337</v>
      </c>
      <c r="T51" s="24">
        <v>0.75138888888888888</v>
      </c>
      <c r="U51" s="274" t="str">
        <f t="shared" si="74"/>
        <v/>
      </c>
      <c r="V51" s="280">
        <f t="shared" si="69"/>
        <v>61.999999999999943</v>
      </c>
      <c r="W51" s="13"/>
      <c r="X51" s="13"/>
      <c r="Y51" s="271"/>
      <c r="Z51" s="272"/>
      <c r="AA51" s="11">
        <f t="shared" si="2"/>
        <v>-84.838709677417455</v>
      </c>
      <c r="AB51" s="275">
        <f t="shared" si="56"/>
        <v>0.95758064516129127</v>
      </c>
      <c r="AC51" s="571"/>
    </row>
    <row r="52" spans="1:29" ht="15.75" customHeight="1">
      <c r="A52" s="633" t="s">
        <v>188</v>
      </c>
      <c r="B52" s="26" t="s">
        <v>36</v>
      </c>
      <c r="C52" s="277" t="s">
        <v>77</v>
      </c>
      <c r="D52" s="278"/>
      <c r="E52" s="26">
        <v>55.32</v>
      </c>
      <c r="F52" s="28">
        <v>1571</v>
      </c>
      <c r="G52" s="274">
        <f t="shared" si="66"/>
        <v>86907.72</v>
      </c>
      <c r="H52" s="21" t="s">
        <v>35</v>
      </c>
      <c r="I52" s="279">
        <v>15</v>
      </c>
      <c r="J52" s="23">
        <v>2000</v>
      </c>
      <c r="K52" s="9">
        <f t="shared" si="67"/>
        <v>133.33333333333334</v>
      </c>
      <c r="L52" s="279">
        <v>15</v>
      </c>
      <c r="M52" s="10">
        <f t="shared" si="68"/>
        <v>1923.6734693877556</v>
      </c>
      <c r="N52" s="10">
        <f t="shared" si="70"/>
        <v>128.2448979591837</v>
      </c>
      <c r="O52" s="11">
        <f t="shared" si="71"/>
        <v>0</v>
      </c>
      <c r="P52" s="12">
        <f t="shared" si="72"/>
        <v>-5.0884353741496398</v>
      </c>
      <c r="Q52" s="275">
        <f t="shared" si="73"/>
        <v>0.96183673469387776</v>
      </c>
      <c r="R52" s="571"/>
      <c r="S52" s="24">
        <v>0.75555555555555554</v>
      </c>
      <c r="T52" s="24">
        <v>0.7895833333333333</v>
      </c>
      <c r="U52" s="274">
        <f t="shared" si="74"/>
        <v>5.9999999999999787</v>
      </c>
      <c r="V52" s="280">
        <f t="shared" si="69"/>
        <v>48.999999999999986</v>
      </c>
      <c r="W52" s="13"/>
      <c r="X52" s="13"/>
      <c r="Y52" s="271"/>
      <c r="Z52" s="272"/>
      <c r="AA52" s="11">
        <f t="shared" si="2"/>
        <v>-76.326530612244369</v>
      </c>
      <c r="AB52" s="275">
        <f t="shared" si="56"/>
        <v>0.96183673469387787</v>
      </c>
      <c r="AC52" s="571"/>
    </row>
    <row r="53" spans="1:29" ht="15.75" customHeight="1">
      <c r="A53" s="633" t="s">
        <v>188</v>
      </c>
      <c r="B53" s="26" t="s">
        <v>36</v>
      </c>
      <c r="C53" s="627" t="s">
        <v>78</v>
      </c>
      <c r="D53" s="628"/>
      <c r="E53" s="26">
        <v>57.73</v>
      </c>
      <c r="F53" s="28">
        <v>1194</v>
      </c>
      <c r="G53" s="274">
        <f t="shared" si="66"/>
        <v>68929.62</v>
      </c>
      <c r="H53" s="21" t="s">
        <v>35</v>
      </c>
      <c r="I53" s="279">
        <v>16</v>
      </c>
      <c r="J53" s="23">
        <v>1500</v>
      </c>
      <c r="K53" s="9">
        <f t="shared" si="67"/>
        <v>93.75</v>
      </c>
      <c r="L53" s="279">
        <v>16</v>
      </c>
      <c r="M53" s="10">
        <f t="shared" si="68"/>
        <v>1432.8000000000004</v>
      </c>
      <c r="N53" s="10">
        <f t="shared" si="70"/>
        <v>89.550000000000026</v>
      </c>
      <c r="O53" s="11">
        <f t="shared" si="71"/>
        <v>0</v>
      </c>
      <c r="P53" s="12">
        <f t="shared" si="72"/>
        <v>-4.1999999999999744</v>
      </c>
      <c r="Q53" s="275">
        <f t="shared" si="73"/>
        <v>0.95520000000000027</v>
      </c>
      <c r="R53" s="571"/>
      <c r="S53" s="24">
        <v>0.79374999999999996</v>
      </c>
      <c r="T53" s="24">
        <v>0.82847222222222217</v>
      </c>
      <c r="U53" s="274">
        <f t="shared" si="74"/>
        <v>5.9999999999999787</v>
      </c>
      <c r="V53" s="280">
        <f t="shared" si="69"/>
        <v>49.999999999999986</v>
      </c>
      <c r="W53" s="13"/>
      <c r="X53" s="13"/>
      <c r="Y53" s="621"/>
      <c r="Z53" s="622"/>
      <c r="AA53" s="11">
        <f t="shared" si="2"/>
        <v>-67.199999999999591</v>
      </c>
      <c r="AB53" s="275">
        <f t="shared" si="56"/>
        <v>0.95520000000000027</v>
      </c>
      <c r="AC53" s="571"/>
    </row>
    <row r="54" spans="1:29">
      <c r="A54" s="634" t="s">
        <v>188</v>
      </c>
      <c r="B54" s="26" t="s">
        <v>168</v>
      </c>
      <c r="C54" s="629"/>
      <c r="D54" s="629"/>
      <c r="E54" s="276"/>
      <c r="F54" s="27"/>
      <c r="G54" s="9"/>
      <c r="H54" s="281"/>
      <c r="I54" s="16">
        <v>16.333333333333332</v>
      </c>
      <c r="J54" s="23">
        <v>1916.6666666666667</v>
      </c>
      <c r="K54" s="9">
        <f>J54/I54</f>
        <v>117.34693877551021</v>
      </c>
      <c r="L54" s="16">
        <v>16.333333333333332</v>
      </c>
      <c r="M54" s="10">
        <f>AVERAGE(M48:M53)</f>
        <v>1845.6097816416288</v>
      </c>
      <c r="N54" s="9">
        <f>M54/L54</f>
        <v>112.99651724336503</v>
      </c>
      <c r="O54" s="11">
        <f>L54-I54</f>
        <v>0</v>
      </c>
      <c r="P54" s="12">
        <f>N54-K54</f>
        <v>-4.3504215321451767</v>
      </c>
      <c r="Q54" s="275">
        <f>N54/K54</f>
        <v>0.96292684259563244</v>
      </c>
      <c r="R54" s="571"/>
      <c r="S54" s="25"/>
      <c r="T54" s="24"/>
      <c r="U54" s="9"/>
      <c r="V54" s="280"/>
      <c r="W54" s="9"/>
      <c r="X54" s="9"/>
      <c r="Y54" s="617"/>
      <c r="Z54" s="617"/>
      <c r="AA54" s="11">
        <f t="shared" si="2"/>
        <v>-71.0568850250379</v>
      </c>
      <c r="AB54" s="275">
        <f t="shared" si="56"/>
        <v>0.96292684259563244</v>
      </c>
      <c r="AC54" s="571"/>
    </row>
    <row r="55" spans="1:29" ht="15.75" customHeight="1">
      <c r="A55" s="623" t="s">
        <v>190</v>
      </c>
      <c r="B55" s="281" t="s">
        <v>40</v>
      </c>
      <c r="C55" s="616" t="s">
        <v>82</v>
      </c>
      <c r="D55" s="616"/>
      <c r="E55" s="26">
        <v>26.97</v>
      </c>
      <c r="F55" s="28">
        <v>3282</v>
      </c>
      <c r="G55" s="274">
        <f t="shared" ref="G55:G58" si="75">E55*F55</f>
        <v>88515.54</v>
      </c>
      <c r="H55" s="21" t="s">
        <v>35</v>
      </c>
      <c r="I55" s="279">
        <v>8</v>
      </c>
      <c r="J55" s="23">
        <v>1500</v>
      </c>
      <c r="K55" s="9">
        <f t="shared" ref="K55:K58" si="76">J55/I55</f>
        <v>187.5</v>
      </c>
      <c r="L55" s="279">
        <v>8</v>
      </c>
      <c r="M55" s="10">
        <f t="shared" ref="M55:M58" si="77">F55/V55*60</f>
        <v>1437.372262773722</v>
      </c>
      <c r="N55" s="9">
        <f>M55/L55</f>
        <v>179.67153284671525</v>
      </c>
      <c r="O55" s="11">
        <f t="shared" ref="O55:O58" si="78">L55-I55</f>
        <v>0</v>
      </c>
      <c r="P55" s="12">
        <f t="shared" ref="P55:P58" si="79">N55-K55</f>
        <v>-7.8284671532847483</v>
      </c>
      <c r="Q55" s="275">
        <f>N55/K55</f>
        <v>0.95824817518248129</v>
      </c>
      <c r="R55" s="571">
        <f>Q59</f>
        <v>0.9610643215710194</v>
      </c>
      <c r="S55" s="24">
        <v>0.20833333333333334</v>
      </c>
      <c r="T55" s="24">
        <v>0.30347222222222225</v>
      </c>
      <c r="U55" s="274"/>
      <c r="V55" s="280">
        <f t="shared" ref="V55:V58" si="80">(T55-S55)*24*60</f>
        <v>137.00000000000006</v>
      </c>
      <c r="W55" s="15"/>
      <c r="X55" s="15"/>
      <c r="Y55" s="617"/>
      <c r="Z55" s="617"/>
      <c r="AA55" s="11">
        <f t="shared" si="2"/>
        <v>-62.627737226277986</v>
      </c>
      <c r="AB55" s="275">
        <f t="shared" si="56"/>
        <v>0.95824817518248129</v>
      </c>
      <c r="AC55" s="571">
        <f>AB59</f>
        <v>0.96106432157101929</v>
      </c>
    </row>
    <row r="56" spans="1:29" ht="15.75" customHeight="1">
      <c r="A56" s="623" t="s">
        <v>190</v>
      </c>
      <c r="B56" s="281" t="s">
        <v>67</v>
      </c>
      <c r="C56" s="616" t="s">
        <v>79</v>
      </c>
      <c r="D56" s="616"/>
      <c r="E56" s="26">
        <v>26.78</v>
      </c>
      <c r="F56" s="28">
        <v>2786</v>
      </c>
      <c r="G56" s="274">
        <f t="shared" si="75"/>
        <v>74609.08</v>
      </c>
      <c r="H56" s="21" t="s">
        <v>35</v>
      </c>
      <c r="I56" s="279">
        <v>10</v>
      </c>
      <c r="J56" s="23">
        <v>3000</v>
      </c>
      <c r="K56" s="9">
        <f t="shared" si="76"/>
        <v>300</v>
      </c>
      <c r="L56" s="279">
        <v>10</v>
      </c>
      <c r="M56" s="10">
        <f t="shared" si="77"/>
        <v>2882.0689655172396</v>
      </c>
      <c r="N56" s="9">
        <f t="shared" ref="N56:N58" si="81">M56/L56</f>
        <v>288.20689655172396</v>
      </c>
      <c r="O56" s="11">
        <f t="shared" si="78"/>
        <v>0</v>
      </c>
      <c r="P56" s="12">
        <f t="shared" si="79"/>
        <v>-11.793103448276042</v>
      </c>
      <c r="Q56" s="275">
        <f t="shared" ref="Q56:Q58" si="82">N56/K56</f>
        <v>0.96068965517241323</v>
      </c>
      <c r="R56" s="571"/>
      <c r="S56" s="24">
        <v>0.30694444444444446</v>
      </c>
      <c r="T56" s="24">
        <v>0.34722222222222227</v>
      </c>
      <c r="U56" s="274">
        <f>(S56-T55)*24*60</f>
        <v>4.9999999999999822</v>
      </c>
      <c r="V56" s="280">
        <f t="shared" si="80"/>
        <v>58.000000000000036</v>
      </c>
      <c r="W56" s="274"/>
      <c r="X56" s="274"/>
      <c r="Y56" s="617"/>
      <c r="Z56" s="617"/>
      <c r="AA56" s="11">
        <f t="shared" si="2"/>
        <v>-117.93103448276042</v>
      </c>
      <c r="AB56" s="275">
        <f t="shared" si="56"/>
        <v>0.96068965517241323</v>
      </c>
      <c r="AC56" s="571"/>
    </row>
    <row r="57" spans="1:29" ht="15.75" customHeight="1">
      <c r="A57" s="623" t="s">
        <v>190</v>
      </c>
      <c r="B57" s="281" t="s">
        <v>67</v>
      </c>
      <c r="C57" s="616" t="s">
        <v>83</v>
      </c>
      <c r="D57" s="616"/>
      <c r="E57" s="26">
        <v>35.369999999999997</v>
      </c>
      <c r="F57" s="28">
        <v>1596</v>
      </c>
      <c r="G57" s="274">
        <f t="shared" si="75"/>
        <v>56450.52</v>
      </c>
      <c r="H57" s="21" t="s">
        <v>35</v>
      </c>
      <c r="I57" s="279">
        <v>10</v>
      </c>
      <c r="J57" s="23">
        <v>3000</v>
      </c>
      <c r="K57" s="9">
        <f t="shared" si="76"/>
        <v>300</v>
      </c>
      <c r="L57" s="279">
        <v>10</v>
      </c>
      <c r="M57" s="10">
        <f t="shared" si="77"/>
        <v>2901.8181818181852</v>
      </c>
      <c r="N57" s="9">
        <f t="shared" si="81"/>
        <v>290.18181818181853</v>
      </c>
      <c r="O57" s="11">
        <f t="shared" si="78"/>
        <v>0</v>
      </c>
      <c r="P57" s="12">
        <f t="shared" si="79"/>
        <v>-9.818181818181472</v>
      </c>
      <c r="Q57" s="275">
        <f t="shared" si="82"/>
        <v>0.96727272727272839</v>
      </c>
      <c r="R57" s="571"/>
      <c r="S57" s="24">
        <v>0.35069444444444448</v>
      </c>
      <c r="T57" s="24">
        <v>0.37361111111111112</v>
      </c>
      <c r="U57" s="274">
        <f t="shared" ref="U57:U58" si="83">(S57-T56)*24*60</f>
        <v>4.9999999999999822</v>
      </c>
      <c r="V57" s="280">
        <f t="shared" si="80"/>
        <v>32.999999999999964</v>
      </c>
      <c r="W57" s="274"/>
      <c r="X57" s="274"/>
      <c r="Y57" s="617"/>
      <c r="Z57" s="617"/>
      <c r="AA57" s="11">
        <f t="shared" si="2"/>
        <v>-98.181818181814833</v>
      </c>
      <c r="AB57" s="275">
        <f t="shared" si="56"/>
        <v>0.96727272727272839</v>
      </c>
      <c r="AC57" s="571"/>
    </row>
    <row r="58" spans="1:29" ht="15.75" customHeight="1">
      <c r="A58" s="623" t="s">
        <v>190</v>
      </c>
      <c r="B58" s="281" t="s">
        <v>67</v>
      </c>
      <c r="C58" s="616" t="s">
        <v>666</v>
      </c>
      <c r="D58" s="616"/>
      <c r="E58" s="26">
        <v>37.880000000000003</v>
      </c>
      <c r="F58" s="28">
        <v>5692</v>
      </c>
      <c r="G58" s="274">
        <f t="shared" si="75"/>
        <v>215612.96000000002</v>
      </c>
      <c r="H58" s="21" t="s">
        <v>35</v>
      </c>
      <c r="I58" s="279">
        <v>11</v>
      </c>
      <c r="J58" s="23">
        <v>3000</v>
      </c>
      <c r="K58" s="9">
        <f t="shared" si="76"/>
        <v>272.72727272727275</v>
      </c>
      <c r="L58" s="279">
        <v>11</v>
      </c>
      <c r="M58" s="10">
        <f t="shared" si="77"/>
        <v>2869.9159663865557</v>
      </c>
      <c r="N58" s="9">
        <f t="shared" si="81"/>
        <v>260.90145148968691</v>
      </c>
      <c r="O58" s="11">
        <f t="shared" si="78"/>
        <v>0</v>
      </c>
      <c r="P58" s="12">
        <f t="shared" si="79"/>
        <v>-11.825821237585842</v>
      </c>
      <c r="Q58" s="275">
        <f t="shared" si="82"/>
        <v>0.95663865546218529</v>
      </c>
      <c r="R58" s="571"/>
      <c r="S58" s="24">
        <v>0.37847222222222221</v>
      </c>
      <c r="T58" s="24">
        <v>0.46111111111111108</v>
      </c>
      <c r="U58" s="274">
        <f t="shared" si="83"/>
        <v>6.9999999999999751</v>
      </c>
      <c r="V58" s="280">
        <f t="shared" si="80"/>
        <v>118.99999999999997</v>
      </c>
      <c r="W58" s="274"/>
      <c r="X58" s="274"/>
      <c r="Y58" s="617"/>
      <c r="Z58" s="617"/>
      <c r="AA58" s="11">
        <f t="shared" si="2"/>
        <v>-130.08403361344426</v>
      </c>
      <c r="AB58" s="275">
        <f t="shared" si="56"/>
        <v>0.95663865546218529</v>
      </c>
      <c r="AC58" s="571"/>
    </row>
    <row r="59" spans="1:29">
      <c r="A59" s="624" t="s">
        <v>190</v>
      </c>
      <c r="B59" s="26" t="s">
        <v>168</v>
      </c>
      <c r="C59" s="629"/>
      <c r="D59" s="629"/>
      <c r="E59" s="276"/>
      <c r="F59" s="27"/>
      <c r="G59" s="9"/>
      <c r="H59" s="281"/>
      <c r="I59" s="16">
        <v>9.75</v>
      </c>
      <c r="J59" s="23">
        <v>2625</v>
      </c>
      <c r="K59" s="9">
        <f>J59/I59</f>
        <v>269.23076923076923</v>
      </c>
      <c r="L59" s="16">
        <v>9.75</v>
      </c>
      <c r="M59" s="10">
        <f>AVERAGE(M55:M58)</f>
        <v>2522.7938441239257</v>
      </c>
      <c r="N59" s="9">
        <f>M59/L59</f>
        <v>258.74808657681291</v>
      </c>
      <c r="O59" s="11">
        <f>L59-I59</f>
        <v>0</v>
      </c>
      <c r="P59" s="12">
        <f>N59-K59</f>
        <v>-10.482682653956317</v>
      </c>
      <c r="Q59" s="275">
        <f>N59/K59</f>
        <v>0.9610643215710194</v>
      </c>
      <c r="R59" s="571"/>
      <c r="S59" s="24"/>
      <c r="T59" s="24"/>
      <c r="U59" s="9"/>
      <c r="V59" s="280"/>
      <c r="W59" s="9"/>
      <c r="X59" s="9"/>
      <c r="Y59" s="617"/>
      <c r="Z59" s="617"/>
      <c r="AA59" s="11">
        <f t="shared" si="2"/>
        <v>-102.20615587607426</v>
      </c>
      <c r="AB59" s="275">
        <f t="shared" si="56"/>
        <v>0.96106432157101929</v>
      </c>
      <c r="AC59" s="571"/>
    </row>
    <row r="60" spans="1:29" ht="15.75" customHeight="1">
      <c r="A60" s="618" t="s">
        <v>193</v>
      </c>
      <c r="B60" s="281" t="s">
        <v>46</v>
      </c>
      <c r="C60" s="616" t="s">
        <v>84</v>
      </c>
      <c r="D60" s="616"/>
      <c r="E60" s="26">
        <v>20.2</v>
      </c>
      <c r="F60" s="281">
        <v>2664</v>
      </c>
      <c r="G60" s="274">
        <f t="shared" ref="G60:G68" si="84">E60*F60</f>
        <v>53812.799999999996</v>
      </c>
      <c r="H60" s="21" t="s">
        <v>35</v>
      </c>
      <c r="I60" s="279">
        <v>19</v>
      </c>
      <c r="J60" s="23">
        <v>2400</v>
      </c>
      <c r="K60" s="9">
        <f t="shared" ref="K60:K69" si="85">J60/I60</f>
        <v>126.31578947368421</v>
      </c>
      <c r="L60" s="279">
        <v>19</v>
      </c>
      <c r="M60" s="10">
        <f>F60/V60*60</f>
        <v>2316.5217391304359</v>
      </c>
      <c r="N60" s="9">
        <f t="shared" ref="N60:N68" si="86">M60/L60</f>
        <v>121.92219679633872</v>
      </c>
      <c r="O60" s="11">
        <f t="shared" ref="O60:O68" si="87">L60-I60</f>
        <v>0</v>
      </c>
      <c r="P60" s="12">
        <f t="shared" ref="P60:P68" si="88">N60-K60</f>
        <v>-4.393592677345481</v>
      </c>
      <c r="Q60" s="275">
        <f>N60/K60</f>
        <v>0.96521739130434825</v>
      </c>
      <c r="R60" s="571">
        <f>Q69</f>
        <v>0.95749582705964187</v>
      </c>
      <c r="S60" s="24">
        <v>8.3333333333333329E-2</v>
      </c>
      <c r="T60" s="24">
        <v>0.13124999999999998</v>
      </c>
      <c r="U60" s="15"/>
      <c r="V60" s="280">
        <f t="shared" ref="V60:V68" si="89">(T60-S60)*24*60</f>
        <v>68.999999999999972</v>
      </c>
      <c r="W60" s="13">
        <f>T60</f>
        <v>0.13124999999999998</v>
      </c>
      <c r="X60" s="13">
        <f>S61</f>
        <v>0.14999999999999997</v>
      </c>
      <c r="Y60" s="617"/>
      <c r="Z60" s="617"/>
      <c r="AA60" s="11">
        <f t="shared" si="2"/>
        <v>-83.47826086956411</v>
      </c>
      <c r="AB60" s="275">
        <f>M60/J60</f>
        <v>0.96521739130434825</v>
      </c>
      <c r="AC60" s="571">
        <f>AB69</f>
        <v>0.95749582705964187</v>
      </c>
    </row>
    <row r="61" spans="1:29" ht="15.75" customHeight="1">
      <c r="A61" s="619" t="s">
        <v>1261</v>
      </c>
      <c r="B61" s="281" t="s">
        <v>46</v>
      </c>
      <c r="C61" s="616" t="s">
        <v>85</v>
      </c>
      <c r="D61" s="616"/>
      <c r="E61" s="26">
        <v>19.02</v>
      </c>
      <c r="F61" s="281">
        <v>4300</v>
      </c>
      <c r="G61" s="274">
        <f t="shared" si="84"/>
        <v>81786</v>
      </c>
      <c r="H61" s="21">
        <v>2</v>
      </c>
      <c r="I61" s="279">
        <v>15</v>
      </c>
      <c r="J61" s="23">
        <v>2400</v>
      </c>
      <c r="K61" s="9">
        <f t="shared" si="85"/>
        <v>160</v>
      </c>
      <c r="L61" s="279">
        <v>15</v>
      </c>
      <c r="M61" s="10">
        <f t="shared" ref="M61:M68" si="90">F61/V61*60</f>
        <v>2283.1858407079644</v>
      </c>
      <c r="N61" s="9">
        <f t="shared" si="86"/>
        <v>152.21238938053096</v>
      </c>
      <c r="O61" s="11">
        <f t="shared" si="87"/>
        <v>0</v>
      </c>
      <c r="P61" s="12">
        <f t="shared" si="88"/>
        <v>-7.7876106194690351</v>
      </c>
      <c r="Q61" s="275">
        <f t="shared" ref="Q61:Q69" si="91">N61/K61</f>
        <v>0.95132743362831851</v>
      </c>
      <c r="R61" s="571"/>
      <c r="S61" s="24">
        <v>0.14999999999999997</v>
      </c>
      <c r="T61" s="24">
        <v>0.22847222222222219</v>
      </c>
      <c r="U61" s="274">
        <f>(S61-T60)*24*60</f>
        <v>26.999999999999986</v>
      </c>
      <c r="V61" s="280">
        <f t="shared" si="89"/>
        <v>113</v>
      </c>
      <c r="W61" s="13"/>
      <c r="X61" s="13"/>
      <c r="Y61" s="617"/>
      <c r="Z61" s="617"/>
      <c r="AA61" s="11">
        <f t="shared" si="2"/>
        <v>-116.81415929203558</v>
      </c>
      <c r="AB61" s="275">
        <f t="shared" ref="AB61:AB69" si="92">M61/J61</f>
        <v>0.95132743362831851</v>
      </c>
      <c r="AC61" s="571"/>
    </row>
    <row r="62" spans="1:29" ht="15.75" customHeight="1">
      <c r="A62" s="619" t="s">
        <v>193</v>
      </c>
      <c r="B62" s="281" t="s">
        <v>46</v>
      </c>
      <c r="C62" s="616" t="s">
        <v>88</v>
      </c>
      <c r="D62" s="616"/>
      <c r="E62" s="26">
        <v>24.25</v>
      </c>
      <c r="F62" s="281">
        <v>3704</v>
      </c>
      <c r="G62" s="274">
        <f t="shared" si="84"/>
        <v>89822</v>
      </c>
      <c r="H62" s="21" t="s">
        <v>35</v>
      </c>
      <c r="I62" s="279">
        <v>17</v>
      </c>
      <c r="J62" s="23">
        <v>2400</v>
      </c>
      <c r="K62" s="9">
        <f t="shared" si="85"/>
        <v>141.1764705882353</v>
      </c>
      <c r="L62" s="279">
        <v>17</v>
      </c>
      <c r="M62" s="10">
        <f t="shared" si="90"/>
        <v>2291.1340206185564</v>
      </c>
      <c r="N62" s="9">
        <f t="shared" si="86"/>
        <v>134.77258944815037</v>
      </c>
      <c r="O62" s="11">
        <f t="shared" si="87"/>
        <v>0</v>
      </c>
      <c r="P62" s="12">
        <f t="shared" si="88"/>
        <v>-6.403881140084934</v>
      </c>
      <c r="Q62" s="275">
        <f t="shared" si="91"/>
        <v>0.95463917525773168</v>
      </c>
      <c r="R62" s="571"/>
      <c r="S62" s="24">
        <v>0.23263888888888887</v>
      </c>
      <c r="T62" s="24">
        <v>0.3</v>
      </c>
      <c r="U62" s="274">
        <f t="shared" ref="U62:U68" si="93">(S62-T61)*24*60</f>
        <v>6.0000000000000187</v>
      </c>
      <c r="V62" s="280">
        <f t="shared" si="89"/>
        <v>97.000000000000014</v>
      </c>
      <c r="W62" s="13"/>
      <c r="X62" s="13"/>
      <c r="Y62" s="617"/>
      <c r="Z62" s="617"/>
      <c r="AA62" s="11">
        <f t="shared" si="2"/>
        <v>-108.86597938144359</v>
      </c>
      <c r="AB62" s="275">
        <f t="shared" si="92"/>
        <v>0.95463917525773179</v>
      </c>
      <c r="AC62" s="571"/>
    </row>
    <row r="63" spans="1:29" ht="15.75" customHeight="1">
      <c r="A63" s="619" t="s">
        <v>1261</v>
      </c>
      <c r="B63" s="281" t="s">
        <v>46</v>
      </c>
      <c r="C63" s="616" t="s">
        <v>47</v>
      </c>
      <c r="D63" s="616"/>
      <c r="E63" s="26">
        <v>24.45</v>
      </c>
      <c r="F63" s="281">
        <v>2439</v>
      </c>
      <c r="G63" s="274">
        <f t="shared" si="84"/>
        <v>59633.549999999996</v>
      </c>
      <c r="H63" s="21" t="s">
        <v>35</v>
      </c>
      <c r="I63" s="279">
        <v>20</v>
      </c>
      <c r="J63" s="23">
        <v>2400</v>
      </c>
      <c r="K63" s="9">
        <f t="shared" si="85"/>
        <v>120</v>
      </c>
      <c r="L63" s="279">
        <v>20</v>
      </c>
      <c r="M63" s="10">
        <f t="shared" si="90"/>
        <v>2286.5624999999995</v>
      </c>
      <c r="N63" s="9">
        <f t="shared" si="86"/>
        <v>114.32812499999997</v>
      </c>
      <c r="O63" s="11">
        <f t="shared" si="87"/>
        <v>0</v>
      </c>
      <c r="P63" s="12">
        <f t="shared" si="88"/>
        <v>-5.6718750000000284</v>
      </c>
      <c r="Q63" s="275">
        <f t="shared" si="91"/>
        <v>0.9527343749999998</v>
      </c>
      <c r="R63" s="571"/>
      <c r="S63" s="24">
        <v>0.30416666666666664</v>
      </c>
      <c r="T63" s="24">
        <v>0.34861111111111109</v>
      </c>
      <c r="U63" s="274">
        <f t="shared" si="93"/>
        <v>5.9999999999999787</v>
      </c>
      <c r="V63" s="280">
        <f t="shared" si="89"/>
        <v>64.000000000000014</v>
      </c>
      <c r="W63" s="13"/>
      <c r="X63" s="13"/>
      <c r="Y63" s="617"/>
      <c r="Z63" s="617"/>
      <c r="AA63" s="11">
        <f t="shared" si="2"/>
        <v>-113.43750000000045</v>
      </c>
      <c r="AB63" s="275">
        <f t="shared" si="92"/>
        <v>0.9527343749999998</v>
      </c>
      <c r="AC63" s="571"/>
    </row>
    <row r="64" spans="1:29" ht="15.75" customHeight="1">
      <c r="A64" s="619" t="s">
        <v>1261</v>
      </c>
      <c r="B64" s="281" t="s">
        <v>46</v>
      </c>
      <c r="C64" s="616" t="s">
        <v>66</v>
      </c>
      <c r="D64" s="616"/>
      <c r="E64" s="26">
        <v>24.25</v>
      </c>
      <c r="F64" s="281">
        <v>3300</v>
      </c>
      <c r="G64" s="274">
        <f t="shared" si="84"/>
        <v>80025</v>
      </c>
      <c r="H64" s="21">
        <v>2</v>
      </c>
      <c r="I64" s="279">
        <v>14</v>
      </c>
      <c r="J64" s="23">
        <v>2400</v>
      </c>
      <c r="K64" s="9">
        <f t="shared" si="85"/>
        <v>171.42857142857142</v>
      </c>
      <c r="L64" s="279">
        <v>14</v>
      </c>
      <c r="M64" s="10">
        <f t="shared" si="90"/>
        <v>2302.3255813953483</v>
      </c>
      <c r="N64" s="9">
        <f t="shared" si="86"/>
        <v>164.45182724252487</v>
      </c>
      <c r="O64" s="11">
        <f t="shared" si="87"/>
        <v>0</v>
      </c>
      <c r="P64" s="12">
        <f t="shared" si="88"/>
        <v>-6.9767441860465453</v>
      </c>
      <c r="Q64" s="275">
        <f t="shared" si="91"/>
        <v>0.95930232558139517</v>
      </c>
      <c r="R64" s="571"/>
      <c r="S64" s="24">
        <v>0.35416666666666663</v>
      </c>
      <c r="T64" s="24">
        <v>0.41388888888888886</v>
      </c>
      <c r="U64" s="274">
        <f t="shared" si="93"/>
        <v>7.9999999999999716</v>
      </c>
      <c r="V64" s="280">
        <f t="shared" si="89"/>
        <v>86.000000000000014</v>
      </c>
      <c r="W64" s="13"/>
      <c r="X64" s="13"/>
      <c r="Y64" s="617"/>
      <c r="Z64" s="617"/>
      <c r="AA64" s="11">
        <f t="shared" si="2"/>
        <v>-97.674418604651692</v>
      </c>
      <c r="AB64" s="275">
        <f t="shared" si="92"/>
        <v>0.95930232558139517</v>
      </c>
      <c r="AC64" s="571"/>
    </row>
    <row r="65" spans="1:29" ht="15.75" customHeight="1">
      <c r="A65" s="619" t="s">
        <v>1261</v>
      </c>
      <c r="B65" s="281" t="s">
        <v>46</v>
      </c>
      <c r="C65" s="616" t="s">
        <v>58</v>
      </c>
      <c r="D65" s="616"/>
      <c r="E65" s="26">
        <v>25.98</v>
      </c>
      <c r="F65" s="281">
        <v>1704</v>
      </c>
      <c r="G65" s="274">
        <f t="shared" si="84"/>
        <v>44269.919999999998</v>
      </c>
      <c r="H65" s="21" t="s">
        <v>35</v>
      </c>
      <c r="I65" s="279">
        <v>17</v>
      </c>
      <c r="J65" s="23">
        <v>2400</v>
      </c>
      <c r="K65" s="9">
        <f t="shared" si="85"/>
        <v>141.1764705882353</v>
      </c>
      <c r="L65" s="279">
        <v>17</v>
      </c>
      <c r="M65" s="10">
        <f t="shared" si="90"/>
        <v>2323.6363636363635</v>
      </c>
      <c r="N65" s="9">
        <f t="shared" si="86"/>
        <v>136.68449197860963</v>
      </c>
      <c r="O65" s="11">
        <f t="shared" si="87"/>
        <v>0</v>
      </c>
      <c r="P65" s="12">
        <f t="shared" si="88"/>
        <v>-4.4919786096256757</v>
      </c>
      <c r="Q65" s="275">
        <f t="shared" si="91"/>
        <v>0.96818181818181814</v>
      </c>
      <c r="R65" s="571"/>
      <c r="S65" s="24">
        <v>0.41736111111111107</v>
      </c>
      <c r="T65" s="24">
        <v>0.44791666666666663</v>
      </c>
      <c r="U65" s="274">
        <f t="shared" si="93"/>
        <v>4.9999999999999822</v>
      </c>
      <c r="V65" s="280">
        <f t="shared" si="89"/>
        <v>44</v>
      </c>
      <c r="W65" s="13"/>
      <c r="X65" s="13"/>
      <c r="Y65" s="617"/>
      <c r="Z65" s="617"/>
      <c r="AA65" s="11">
        <f t="shared" si="2"/>
        <v>-76.363636363636488</v>
      </c>
      <c r="AB65" s="275">
        <f t="shared" si="92"/>
        <v>0.96818181818181814</v>
      </c>
      <c r="AC65" s="571"/>
    </row>
    <row r="66" spans="1:29" ht="15.75" customHeight="1">
      <c r="A66" s="619" t="s">
        <v>1261</v>
      </c>
      <c r="B66" s="281" t="s">
        <v>46</v>
      </c>
      <c r="C66" s="616" t="s">
        <v>57</v>
      </c>
      <c r="D66" s="616"/>
      <c r="E66" s="26">
        <v>20.52</v>
      </c>
      <c r="F66" s="281">
        <v>3530</v>
      </c>
      <c r="G66" s="274">
        <f t="shared" si="84"/>
        <v>72435.599999999991</v>
      </c>
      <c r="H66" s="21" t="s">
        <v>35</v>
      </c>
      <c r="I66" s="279">
        <v>18</v>
      </c>
      <c r="J66" s="23">
        <v>2400</v>
      </c>
      <c r="K66" s="9">
        <f t="shared" si="85"/>
        <v>133.33333333333334</v>
      </c>
      <c r="L66" s="279">
        <v>18</v>
      </c>
      <c r="M66" s="10">
        <f t="shared" si="90"/>
        <v>2302.1739130434785</v>
      </c>
      <c r="N66" s="9">
        <f t="shared" si="86"/>
        <v>127.89855072463769</v>
      </c>
      <c r="O66" s="11">
        <f t="shared" si="87"/>
        <v>0</v>
      </c>
      <c r="P66" s="12">
        <f t="shared" si="88"/>
        <v>-5.4347826086956559</v>
      </c>
      <c r="Q66" s="275">
        <f t="shared" si="91"/>
        <v>0.95923913043478259</v>
      </c>
      <c r="R66" s="571"/>
      <c r="S66" s="24">
        <v>0.45208333333333328</v>
      </c>
      <c r="T66" s="24">
        <v>0.51597222222222217</v>
      </c>
      <c r="U66" s="274">
        <f t="shared" si="93"/>
        <v>5.9999999999999787</v>
      </c>
      <c r="V66" s="280">
        <f t="shared" si="89"/>
        <v>92</v>
      </c>
      <c r="W66" s="13">
        <f>T66</f>
        <v>0.51597222222222217</v>
      </c>
      <c r="X66" s="13">
        <f>S67</f>
        <v>0.55694444444444435</v>
      </c>
      <c r="Y66" s="621"/>
      <c r="Z66" s="622"/>
      <c r="AA66" s="11">
        <f t="shared" si="2"/>
        <v>-97.826086956521522</v>
      </c>
      <c r="AB66" s="275">
        <f t="shared" si="92"/>
        <v>0.95923913043478271</v>
      </c>
      <c r="AC66" s="571"/>
    </row>
    <row r="67" spans="1:29" ht="15.75" customHeight="1">
      <c r="A67" s="619" t="s">
        <v>1261</v>
      </c>
      <c r="B67" s="281" t="s">
        <v>46</v>
      </c>
      <c r="C67" s="616" t="s">
        <v>85</v>
      </c>
      <c r="D67" s="616"/>
      <c r="E67" s="26">
        <v>19.02</v>
      </c>
      <c r="F67" s="281">
        <v>6631</v>
      </c>
      <c r="G67" s="274">
        <f t="shared" si="84"/>
        <v>126121.62</v>
      </c>
      <c r="H67" s="21" t="s">
        <v>35</v>
      </c>
      <c r="I67" s="279">
        <v>15</v>
      </c>
      <c r="J67" s="23">
        <v>2400</v>
      </c>
      <c r="K67" s="9">
        <f t="shared" si="85"/>
        <v>160</v>
      </c>
      <c r="L67" s="279">
        <v>15</v>
      </c>
      <c r="M67" s="10">
        <f t="shared" si="90"/>
        <v>2286.5517241379307</v>
      </c>
      <c r="N67" s="9">
        <f t="shared" si="86"/>
        <v>152.43678160919538</v>
      </c>
      <c r="O67" s="11">
        <f t="shared" si="87"/>
        <v>0</v>
      </c>
      <c r="P67" s="12">
        <f t="shared" si="88"/>
        <v>-7.5632183908046215</v>
      </c>
      <c r="Q67" s="275">
        <f t="shared" si="91"/>
        <v>0.95272988505747114</v>
      </c>
      <c r="R67" s="571"/>
      <c r="S67" s="24">
        <v>0.55694444444444435</v>
      </c>
      <c r="T67" s="24">
        <v>0.6777777777777777</v>
      </c>
      <c r="U67" s="274">
        <f t="shared" si="93"/>
        <v>58.99999999999995</v>
      </c>
      <c r="V67" s="280">
        <f t="shared" si="89"/>
        <v>174.00000000000003</v>
      </c>
      <c r="W67" s="13"/>
      <c r="X67" s="13"/>
      <c r="Y67" s="621"/>
      <c r="Z67" s="622"/>
      <c r="AA67" s="11">
        <f t="shared" si="2"/>
        <v>-113.44827586206929</v>
      </c>
      <c r="AB67" s="275">
        <f t="shared" si="92"/>
        <v>0.95272988505747114</v>
      </c>
      <c r="AC67" s="571"/>
    </row>
    <row r="68" spans="1:29" ht="15.75" customHeight="1">
      <c r="A68" s="619" t="s">
        <v>1261</v>
      </c>
      <c r="B68" s="281" t="s">
        <v>46</v>
      </c>
      <c r="C68" s="616" t="s">
        <v>66</v>
      </c>
      <c r="D68" s="616"/>
      <c r="E68" s="26">
        <v>24.25</v>
      </c>
      <c r="F68" s="281">
        <v>2099</v>
      </c>
      <c r="G68" s="274">
        <f t="shared" si="84"/>
        <v>50900.75</v>
      </c>
      <c r="H68" s="21" t="s">
        <v>35</v>
      </c>
      <c r="I68" s="279">
        <v>14</v>
      </c>
      <c r="J68" s="23">
        <v>2400</v>
      </c>
      <c r="K68" s="9">
        <f t="shared" si="85"/>
        <v>171.42857142857142</v>
      </c>
      <c r="L68" s="279">
        <v>14</v>
      </c>
      <c r="M68" s="10">
        <f t="shared" si="90"/>
        <v>2289.8181818181829</v>
      </c>
      <c r="N68" s="9">
        <f t="shared" si="86"/>
        <v>163.55844155844164</v>
      </c>
      <c r="O68" s="11">
        <f t="shared" si="87"/>
        <v>0</v>
      </c>
      <c r="P68" s="12">
        <f t="shared" si="88"/>
        <v>-7.8701298701297731</v>
      </c>
      <c r="Q68" s="275">
        <f t="shared" si="91"/>
        <v>0.95409090909090966</v>
      </c>
      <c r="R68" s="571"/>
      <c r="S68" s="24">
        <v>0.68194444444444435</v>
      </c>
      <c r="T68" s="24">
        <v>0.72013888888888877</v>
      </c>
      <c r="U68" s="274">
        <f t="shared" si="93"/>
        <v>5.9999999999999787</v>
      </c>
      <c r="V68" s="280">
        <f t="shared" si="89"/>
        <v>54.999999999999964</v>
      </c>
      <c r="W68" s="13"/>
      <c r="X68" s="13"/>
      <c r="Y68" s="621"/>
      <c r="Z68" s="622"/>
      <c r="AA68" s="11">
        <f t="shared" si="2"/>
        <v>-110.18181818181711</v>
      </c>
      <c r="AB68" s="275">
        <f t="shared" si="92"/>
        <v>0.95409090909090954</v>
      </c>
      <c r="AC68" s="571"/>
    </row>
    <row r="69" spans="1:29" ht="16.5" customHeight="1">
      <c r="A69" s="620" t="s">
        <v>1261</v>
      </c>
      <c r="B69" s="26" t="s">
        <v>1257</v>
      </c>
      <c r="C69" s="625"/>
      <c r="D69" s="626"/>
      <c r="E69" s="276"/>
      <c r="F69" s="27"/>
      <c r="G69" s="9"/>
      <c r="H69" s="281"/>
      <c r="I69" s="16">
        <v>16.555555555555557</v>
      </c>
      <c r="J69" s="23">
        <v>2400</v>
      </c>
      <c r="K69" s="9">
        <f t="shared" si="85"/>
        <v>144.96644295302013</v>
      </c>
      <c r="L69" s="16">
        <v>16.555555555555557</v>
      </c>
      <c r="M69" s="10">
        <f>AVERAGE(M60:M68)</f>
        <v>2297.9899849431404</v>
      </c>
      <c r="N69" s="9">
        <f>M69/L69</f>
        <v>138.8047641911964</v>
      </c>
      <c r="O69" s="11">
        <f>L69-I69</f>
        <v>0</v>
      </c>
      <c r="P69" s="12">
        <f>N69-K69</f>
        <v>-6.1616787618237367</v>
      </c>
      <c r="Q69" s="275">
        <f t="shared" si="91"/>
        <v>0.95749582705964187</v>
      </c>
      <c r="R69" s="571"/>
      <c r="S69" s="24"/>
      <c r="T69" s="24"/>
      <c r="U69" s="9"/>
      <c r="V69" s="280"/>
      <c r="W69" s="9"/>
      <c r="X69" s="9"/>
      <c r="Y69" s="617"/>
      <c r="Z69" s="617"/>
      <c r="AA69" s="11">
        <f t="shared" ref="AA69" si="94">M69-J69</f>
        <v>-102.01001505685963</v>
      </c>
      <c r="AB69" s="275">
        <f t="shared" si="92"/>
        <v>0.95749582705964187</v>
      </c>
      <c r="AC69" s="571"/>
    </row>
    <row r="70" spans="1:29">
      <c r="D70" s="17"/>
      <c r="E70" s="17"/>
    </row>
  </sheetData>
  <mergeCells count="186">
    <mergeCell ref="S1:X2"/>
    <mergeCell ref="Y1:Z2"/>
    <mergeCell ref="AA1:AC2"/>
    <mergeCell ref="A3:A4"/>
    <mergeCell ref="B3:B4"/>
    <mergeCell ref="C3:D4"/>
    <mergeCell ref="E3:E4"/>
    <mergeCell ref="F3:F4"/>
    <mergeCell ref="G3:G4"/>
    <mergeCell ref="I1:K2"/>
    <mergeCell ref="L1:N2"/>
    <mergeCell ref="O1:R2"/>
    <mergeCell ref="P3:P4"/>
    <mergeCell ref="Q3:Q4"/>
    <mergeCell ref="R3:R4"/>
    <mergeCell ref="S3:T3"/>
    <mergeCell ref="H3:H4"/>
    <mergeCell ref="I3:I4"/>
    <mergeCell ref="J3:J4"/>
    <mergeCell ref="K3:K4"/>
    <mergeCell ref="L3:L4"/>
    <mergeCell ref="M3:M4"/>
    <mergeCell ref="C8:D8"/>
    <mergeCell ref="Y8:Z8"/>
    <mergeCell ref="A9:A11"/>
    <mergeCell ref="C9:D9"/>
    <mergeCell ref="R9:R11"/>
    <mergeCell ref="Y9:Z9"/>
    <mergeCell ref="AC3:AC4"/>
    <mergeCell ref="A5:A8"/>
    <mergeCell ref="C5:D5"/>
    <mergeCell ref="R5:R8"/>
    <mergeCell ref="Y5:Z5"/>
    <mergeCell ref="AC5:AC8"/>
    <mergeCell ref="C6:D6"/>
    <mergeCell ref="Y6:Z6"/>
    <mergeCell ref="C7:D7"/>
    <mergeCell ref="Y7:Z7"/>
    <mergeCell ref="U3:U4"/>
    <mergeCell ref="V3:V4"/>
    <mergeCell ref="W3:X3"/>
    <mergeCell ref="Y3:Z4"/>
    <mergeCell ref="AA3:AA4"/>
    <mergeCell ref="AB3:AB4"/>
    <mergeCell ref="N3:N4"/>
    <mergeCell ref="O3:O4"/>
    <mergeCell ref="AC9:AC11"/>
    <mergeCell ref="C10:D10"/>
    <mergeCell ref="Y10:Z10"/>
    <mergeCell ref="C11:D11"/>
    <mergeCell ref="Y11:Z11"/>
    <mergeCell ref="A12:A17"/>
    <mergeCell ref="C12:D12"/>
    <mergeCell ref="R12:R17"/>
    <mergeCell ref="Y12:Z12"/>
    <mergeCell ref="AC12:AC17"/>
    <mergeCell ref="C16:D16"/>
    <mergeCell ref="Y16:Z16"/>
    <mergeCell ref="C17:D17"/>
    <mergeCell ref="Y17:Z17"/>
    <mergeCell ref="A18:A22"/>
    <mergeCell ref="C18:D18"/>
    <mergeCell ref="R18:R22"/>
    <mergeCell ref="Y18:Z18"/>
    <mergeCell ref="C13:D13"/>
    <mergeCell ref="Y13:Z13"/>
    <mergeCell ref="C14:D14"/>
    <mergeCell ref="Y14:Z14"/>
    <mergeCell ref="C15:D15"/>
    <mergeCell ref="Y15:Z15"/>
    <mergeCell ref="AC23:AC31"/>
    <mergeCell ref="C24:D24"/>
    <mergeCell ref="Y24:Z24"/>
    <mergeCell ref="C25:D25"/>
    <mergeCell ref="Y25:Z25"/>
    <mergeCell ref="C26:D26"/>
    <mergeCell ref="AC18:AC22"/>
    <mergeCell ref="C19:D19"/>
    <mergeCell ref="Y19:Z19"/>
    <mergeCell ref="C20:D20"/>
    <mergeCell ref="Y20:Z20"/>
    <mergeCell ref="C21:D21"/>
    <mergeCell ref="Y21:Z21"/>
    <mergeCell ref="C22:D22"/>
    <mergeCell ref="Y22:Z22"/>
    <mergeCell ref="Y26:Z26"/>
    <mergeCell ref="C27:D27"/>
    <mergeCell ref="Y27:Z27"/>
    <mergeCell ref="C28:D28"/>
    <mergeCell ref="Y28:Z28"/>
    <mergeCell ref="C29:D29"/>
    <mergeCell ref="Y29:Z29"/>
    <mergeCell ref="A23:A31"/>
    <mergeCell ref="C23:D23"/>
    <mergeCell ref="R23:R31"/>
    <mergeCell ref="Y23:Z23"/>
    <mergeCell ref="C30:D30"/>
    <mergeCell ref="Y30:Z30"/>
    <mergeCell ref="C31:D31"/>
    <mergeCell ref="Y31:Z31"/>
    <mergeCell ref="A32:A40"/>
    <mergeCell ref="C32:D32"/>
    <mergeCell ref="R32:R40"/>
    <mergeCell ref="Y32:Z32"/>
    <mergeCell ref="Y37:Z37"/>
    <mergeCell ref="C38:D38"/>
    <mergeCell ref="AC32:AC40"/>
    <mergeCell ref="C33:D33"/>
    <mergeCell ref="Y33:Z33"/>
    <mergeCell ref="C34:D34"/>
    <mergeCell ref="Y34:Z34"/>
    <mergeCell ref="C35:D35"/>
    <mergeCell ref="Y35:Z35"/>
    <mergeCell ref="C36:D36"/>
    <mergeCell ref="Y36:Z36"/>
    <mergeCell ref="C37:D37"/>
    <mergeCell ref="Y38:Z38"/>
    <mergeCell ref="C39:D39"/>
    <mergeCell ref="Y39:Z39"/>
    <mergeCell ref="C40:D40"/>
    <mergeCell ref="Y40:Z40"/>
    <mergeCell ref="A41:A47"/>
    <mergeCell ref="C41:D41"/>
    <mergeCell ref="R41:R47"/>
    <mergeCell ref="Y41:Z41"/>
    <mergeCell ref="Y46:Z46"/>
    <mergeCell ref="C47:D47"/>
    <mergeCell ref="Y47:Z47"/>
    <mergeCell ref="A48:A54"/>
    <mergeCell ref="C48:D48"/>
    <mergeCell ref="R48:R54"/>
    <mergeCell ref="Y48:Z48"/>
    <mergeCell ref="AC41:AC47"/>
    <mergeCell ref="C42:D42"/>
    <mergeCell ref="Y42:Z42"/>
    <mergeCell ref="C43:D43"/>
    <mergeCell ref="Y43:Z43"/>
    <mergeCell ref="C44:D44"/>
    <mergeCell ref="Y44:Z44"/>
    <mergeCell ref="C45:D45"/>
    <mergeCell ref="Y45:Z45"/>
    <mergeCell ref="C46:D46"/>
    <mergeCell ref="AC55:AC59"/>
    <mergeCell ref="C56:D56"/>
    <mergeCell ref="Y56:Z56"/>
    <mergeCell ref="C57:D57"/>
    <mergeCell ref="Y57:Z57"/>
    <mergeCell ref="C58:D58"/>
    <mergeCell ref="AC48:AC54"/>
    <mergeCell ref="C49:D49"/>
    <mergeCell ref="Y49:Z49"/>
    <mergeCell ref="C50:D50"/>
    <mergeCell ref="C53:D53"/>
    <mergeCell ref="Y53:Z53"/>
    <mergeCell ref="C54:D54"/>
    <mergeCell ref="Y54:Z54"/>
    <mergeCell ref="Y58:Z58"/>
    <mergeCell ref="C59:D59"/>
    <mergeCell ref="Y59:Z59"/>
    <mergeCell ref="A60:A69"/>
    <mergeCell ref="C60:D60"/>
    <mergeCell ref="R60:R69"/>
    <mergeCell ref="Y60:Z60"/>
    <mergeCell ref="Y65:Z65"/>
    <mergeCell ref="C66:D66"/>
    <mergeCell ref="Y66:Z66"/>
    <mergeCell ref="A55:A59"/>
    <mergeCell ref="C55:D55"/>
    <mergeCell ref="R55:R59"/>
    <mergeCell ref="Y55:Z55"/>
    <mergeCell ref="C67:D67"/>
    <mergeCell ref="Y67:Z67"/>
    <mergeCell ref="C68:D68"/>
    <mergeCell ref="Y68:Z68"/>
    <mergeCell ref="C69:D69"/>
    <mergeCell ref="Y69:Z69"/>
    <mergeCell ref="AC60:AC69"/>
    <mergeCell ref="C61:D61"/>
    <mergeCell ref="Y61:Z61"/>
    <mergeCell ref="C62:D62"/>
    <mergeCell ref="Y62:Z62"/>
    <mergeCell ref="C63:D63"/>
    <mergeCell ref="Y63:Z63"/>
    <mergeCell ref="C64:D64"/>
    <mergeCell ref="Y64:Z64"/>
    <mergeCell ref="C65:D65"/>
  </mergeCells>
  <phoneticPr fontId="3" type="noConversion"/>
  <conditionalFormatting sqref="O58:O65 O69 O5:O9 O11:O13 O17:O55">
    <cfRule type="cellIs" dxfId="991" priority="51" operator="greaterThan">
      <formula>0</formula>
    </cfRule>
  </conditionalFormatting>
  <conditionalFormatting sqref="P5:P7 P58 AA58 P60:P65 P23:P30 P55 P9 P11:P13 P18:P21 P48:P53 P32:P46 AA5:AA55 AA60:AA69">
    <cfRule type="cellIs" dxfId="990" priority="55" operator="lessThan">
      <formula>0</formula>
    </cfRule>
  </conditionalFormatting>
  <conditionalFormatting sqref="AB58 Q58:Q65 Q69 Q5:Q9 Q11:Q13 Q17:Q55 AB5:AB55 AB60:AB69">
    <cfRule type="cellIs" dxfId="989" priority="52" operator="greaterThan">
      <formula>1</formula>
    </cfRule>
    <cfRule type="cellIs" dxfId="988" priority="53" operator="lessThan">
      <formula>0.8</formula>
    </cfRule>
  </conditionalFormatting>
  <conditionalFormatting sqref="AC12:AC13 R12:R13 AC58 R58:R65 R69 AC5:AC9 R5:R9 AC17:AC55 R17:R55">
    <cfRule type="cellIs" dxfId="987" priority="57" operator="lessThan">
      <formula>0.8</formula>
    </cfRule>
  </conditionalFormatting>
  <conditionalFormatting sqref="AC41">
    <cfRule type="cellIs" dxfId="986" priority="59" operator="lessThan">
      <formula>0.8</formula>
    </cfRule>
  </conditionalFormatting>
  <conditionalFormatting sqref="AC18:AC21">
    <cfRule type="cellIs" dxfId="985" priority="56" operator="lessThan">
      <formula>0.8</formula>
    </cfRule>
  </conditionalFormatting>
  <conditionalFormatting sqref="AC23">
    <cfRule type="cellIs" dxfId="984" priority="58" operator="lessThan">
      <formula>0.8</formula>
    </cfRule>
  </conditionalFormatting>
  <conditionalFormatting sqref="AC32:AC39">
    <cfRule type="cellIs" dxfId="983" priority="54" operator="lessThan">
      <formula>0.8</formula>
    </cfRule>
  </conditionalFormatting>
  <conditionalFormatting sqref="AA59">
    <cfRule type="cellIs" dxfId="982" priority="50" operator="lessThan">
      <formula>0</formula>
    </cfRule>
  </conditionalFormatting>
  <conditionalFormatting sqref="AB59">
    <cfRule type="cellIs" dxfId="981" priority="48" operator="greaterThan">
      <formula>1</formula>
    </cfRule>
    <cfRule type="cellIs" dxfId="980" priority="49" operator="lessThan">
      <formula>0.8</formula>
    </cfRule>
  </conditionalFormatting>
  <conditionalFormatting sqref="O14:O15">
    <cfRule type="cellIs" dxfId="979" priority="43" operator="greaterThan">
      <formula>0</formula>
    </cfRule>
  </conditionalFormatting>
  <conditionalFormatting sqref="P14:P15">
    <cfRule type="cellIs" dxfId="978" priority="46" operator="lessThan">
      <formula>0</formula>
    </cfRule>
  </conditionalFormatting>
  <conditionalFormatting sqref="Q14:Q15">
    <cfRule type="cellIs" dxfId="977" priority="44" operator="greaterThan">
      <formula>1</formula>
    </cfRule>
    <cfRule type="cellIs" dxfId="976" priority="45" operator="lessThan">
      <formula>0.8</formula>
    </cfRule>
  </conditionalFormatting>
  <conditionalFormatting sqref="R14:R15 AC14:AC15">
    <cfRule type="cellIs" dxfId="975" priority="47" operator="lessThan">
      <formula>0.8</formula>
    </cfRule>
  </conditionalFormatting>
  <conditionalFormatting sqref="O10">
    <cfRule type="cellIs" dxfId="974" priority="39" operator="greaterThan">
      <formula>0</formula>
    </cfRule>
  </conditionalFormatting>
  <conditionalFormatting sqref="P10">
    <cfRule type="cellIs" dxfId="973" priority="42" operator="lessThan">
      <formula>0</formula>
    </cfRule>
  </conditionalFormatting>
  <conditionalFormatting sqref="Q10">
    <cfRule type="cellIs" dxfId="972" priority="40" operator="greaterThan">
      <formula>1</formula>
    </cfRule>
    <cfRule type="cellIs" dxfId="971" priority="41" operator="lessThan">
      <formula>0.8</formula>
    </cfRule>
  </conditionalFormatting>
  <conditionalFormatting sqref="O57">
    <cfRule type="cellIs" dxfId="970" priority="34" operator="greaterThan">
      <formula>0</formula>
    </cfRule>
  </conditionalFormatting>
  <conditionalFormatting sqref="P57 AA57">
    <cfRule type="cellIs" dxfId="969" priority="37" operator="lessThan">
      <formula>0</formula>
    </cfRule>
  </conditionalFormatting>
  <conditionalFormatting sqref="Q57 AB57">
    <cfRule type="cellIs" dxfId="968" priority="35" operator="greaterThan">
      <formula>1</formula>
    </cfRule>
    <cfRule type="cellIs" dxfId="967" priority="36" operator="lessThan">
      <formula>0.8</formula>
    </cfRule>
  </conditionalFormatting>
  <conditionalFormatting sqref="R57 AC57">
    <cfRule type="cellIs" dxfId="966" priority="38" operator="lessThan">
      <formula>0.8</formula>
    </cfRule>
  </conditionalFormatting>
  <conditionalFormatting sqref="O66">
    <cfRule type="cellIs" dxfId="965" priority="29" operator="greaterThan">
      <formula>0</formula>
    </cfRule>
  </conditionalFormatting>
  <conditionalFormatting sqref="P66">
    <cfRule type="cellIs" dxfId="964" priority="32" operator="lessThan">
      <formula>0</formula>
    </cfRule>
  </conditionalFormatting>
  <conditionalFormatting sqref="Q66">
    <cfRule type="cellIs" dxfId="963" priority="30" operator="greaterThan">
      <formula>1</formula>
    </cfRule>
    <cfRule type="cellIs" dxfId="962" priority="31" operator="lessThan">
      <formula>0.8</formula>
    </cfRule>
  </conditionalFormatting>
  <conditionalFormatting sqref="R66">
    <cfRule type="cellIs" dxfId="961" priority="33" operator="lessThan">
      <formula>0.8</formula>
    </cfRule>
  </conditionalFormatting>
  <conditionalFormatting sqref="O16">
    <cfRule type="cellIs" dxfId="960" priority="24" operator="greaterThan">
      <formula>0</formula>
    </cfRule>
  </conditionalFormatting>
  <conditionalFormatting sqref="P16">
    <cfRule type="cellIs" dxfId="959" priority="27" operator="lessThan">
      <formula>0</formula>
    </cfRule>
  </conditionalFormatting>
  <conditionalFormatting sqref="Q16">
    <cfRule type="cellIs" dxfId="958" priority="25" operator="greaterThan">
      <formula>1</formula>
    </cfRule>
    <cfRule type="cellIs" dxfId="957" priority="26" operator="lessThan">
      <formula>0.8</formula>
    </cfRule>
  </conditionalFormatting>
  <conditionalFormatting sqref="R16 AC16">
    <cfRule type="cellIs" dxfId="956" priority="28" operator="lessThan">
      <formula>0.8</formula>
    </cfRule>
  </conditionalFormatting>
  <conditionalFormatting sqref="O56">
    <cfRule type="cellIs" dxfId="955" priority="19" operator="greaterThan">
      <formula>0</formula>
    </cfRule>
  </conditionalFormatting>
  <conditionalFormatting sqref="P56 AA56">
    <cfRule type="cellIs" dxfId="954" priority="22" operator="lessThan">
      <formula>0</formula>
    </cfRule>
  </conditionalFormatting>
  <conditionalFormatting sqref="Q56 AB56">
    <cfRule type="cellIs" dxfId="953" priority="20" operator="greaterThan">
      <formula>1</formula>
    </cfRule>
    <cfRule type="cellIs" dxfId="952" priority="21" operator="lessThan">
      <formula>0.8</formula>
    </cfRule>
  </conditionalFormatting>
  <conditionalFormatting sqref="R56 AC56">
    <cfRule type="cellIs" dxfId="951" priority="23" operator="lessThan">
      <formula>0.8</formula>
    </cfRule>
  </conditionalFormatting>
  <conditionalFormatting sqref="P8">
    <cfRule type="cellIs" dxfId="950" priority="18" operator="lessThan">
      <formula>0</formula>
    </cfRule>
  </conditionalFormatting>
  <conditionalFormatting sqref="P17">
    <cfRule type="cellIs" dxfId="949" priority="17" operator="lessThan">
      <formula>0</formula>
    </cfRule>
  </conditionalFormatting>
  <conditionalFormatting sqref="P22">
    <cfRule type="cellIs" dxfId="948" priority="16" operator="lessThan">
      <formula>0</formula>
    </cfRule>
  </conditionalFormatting>
  <conditionalFormatting sqref="P31">
    <cfRule type="cellIs" dxfId="947" priority="15" operator="lessThan">
      <formula>0</formula>
    </cfRule>
  </conditionalFormatting>
  <conditionalFormatting sqref="P47">
    <cfRule type="cellIs" dxfId="946" priority="14" operator="lessThan">
      <formula>0</formula>
    </cfRule>
  </conditionalFormatting>
  <conditionalFormatting sqref="P54">
    <cfRule type="cellIs" dxfId="945" priority="13" operator="lessThan">
      <formula>0</formula>
    </cfRule>
  </conditionalFormatting>
  <conditionalFormatting sqref="P59">
    <cfRule type="cellIs" dxfId="944" priority="12" operator="lessThan">
      <formula>0</formula>
    </cfRule>
  </conditionalFormatting>
  <conditionalFormatting sqref="P69">
    <cfRule type="cellIs" dxfId="943" priority="11" operator="lessThan">
      <formula>0</formula>
    </cfRule>
  </conditionalFormatting>
  <conditionalFormatting sqref="O67">
    <cfRule type="cellIs" dxfId="942" priority="6" operator="greaterThan">
      <formula>0</formula>
    </cfRule>
  </conditionalFormatting>
  <conditionalFormatting sqref="P67">
    <cfRule type="cellIs" dxfId="941" priority="9" operator="lessThan">
      <formula>0</formula>
    </cfRule>
  </conditionalFormatting>
  <conditionalFormatting sqref="Q67">
    <cfRule type="cellIs" dxfId="940" priority="7" operator="greaterThan">
      <formula>1</formula>
    </cfRule>
    <cfRule type="cellIs" dxfId="939" priority="8" operator="lessThan">
      <formula>0.8</formula>
    </cfRule>
  </conditionalFormatting>
  <conditionalFormatting sqref="R67">
    <cfRule type="cellIs" dxfId="938" priority="10" operator="lessThan">
      <formula>0.8</formula>
    </cfRule>
  </conditionalFormatting>
  <conditionalFormatting sqref="O68">
    <cfRule type="cellIs" dxfId="937" priority="1" operator="greaterThan">
      <formula>0</formula>
    </cfRule>
  </conditionalFormatting>
  <conditionalFormatting sqref="P68">
    <cfRule type="cellIs" dxfId="936" priority="4" operator="lessThan">
      <formula>0</formula>
    </cfRule>
  </conditionalFormatting>
  <conditionalFormatting sqref="Q68">
    <cfRule type="cellIs" dxfId="935" priority="2" operator="greaterThan">
      <formula>1</formula>
    </cfRule>
    <cfRule type="cellIs" dxfId="934" priority="3" operator="lessThan">
      <formula>0.8</formula>
    </cfRule>
  </conditionalFormatting>
  <conditionalFormatting sqref="R68">
    <cfRule type="cellIs" dxfId="933" priority="5" operator="lessThan">
      <formula>0.8</formula>
    </cfRule>
  </conditionalFormatting>
  <dataValidations count="1">
    <dataValidation type="list" allowBlank="1" showInputMessage="1" showErrorMessage="1" sqref="Z8 Y5:Z7 Y8:Y58 Z10:Z55 Y59:Z69">
      <formula1>#REF!</formula1>
    </dataValidation>
  </dataValidations>
  <pageMargins left="0" right="0" top="0" bottom="0" header="0" footer="0"/>
  <pageSetup paperSize="9" scale="11" orientation="landscape" horizontalDpi="300" verticalDpi="300" r:id="rId1"/>
</worksheet>
</file>

<file path=xl/worksheets/sheet3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工作表28"/>
  <dimension ref="B1:Q28"/>
  <sheetViews>
    <sheetView zoomScale="85" zoomScaleNormal="85" workbookViewId="0">
      <selection activeCell="G8" sqref="G8:H8"/>
    </sheetView>
  </sheetViews>
  <sheetFormatPr defaultColWidth="8.75" defaultRowHeight="15.75"/>
  <cols>
    <col min="1" max="1" width="8.75" style="30"/>
    <col min="2" max="2" width="17.875" style="30" customWidth="1"/>
    <col min="3" max="3" width="9.25" style="37" customWidth="1"/>
    <col min="4" max="13" width="12.625" style="30" customWidth="1"/>
    <col min="14" max="14" width="11" style="30" bestFit="1" customWidth="1"/>
    <col min="15" max="15" width="17.75" style="30" bestFit="1" customWidth="1"/>
    <col min="16" max="16" width="12.25" style="30" bestFit="1" customWidth="1"/>
    <col min="17" max="22" width="9.25" style="30" customWidth="1"/>
    <col min="23" max="23" width="10.75" style="30" customWidth="1"/>
    <col min="24" max="24" width="11" style="30" customWidth="1"/>
    <col min="25" max="16384" width="8.75" style="30"/>
  </cols>
  <sheetData>
    <row r="1" spans="2:17" ht="27.75" customHeight="1">
      <c r="B1" s="552" t="s">
        <v>1110</v>
      </c>
      <c r="C1" s="552"/>
      <c r="D1" s="552"/>
      <c r="E1" s="552"/>
      <c r="F1" s="552"/>
      <c r="G1" s="552"/>
      <c r="H1" s="552"/>
      <c r="I1" s="552"/>
      <c r="J1" s="552"/>
      <c r="K1" s="29"/>
      <c r="L1" s="29"/>
      <c r="M1" s="29"/>
      <c r="N1" s="29"/>
      <c r="O1" s="29"/>
      <c r="P1" s="29"/>
    </row>
    <row r="2" spans="2:17" ht="27.75" customHeight="1">
      <c r="B2" s="553"/>
      <c r="C2" s="553"/>
      <c r="D2" s="553"/>
      <c r="E2" s="553"/>
      <c r="F2" s="553"/>
      <c r="G2" s="553"/>
      <c r="H2" s="553"/>
      <c r="I2" s="553"/>
      <c r="J2" s="553"/>
      <c r="K2" s="31"/>
      <c r="L2" s="31"/>
      <c r="M2" s="31"/>
      <c r="N2" s="29"/>
      <c r="O2" s="29"/>
      <c r="P2" s="29"/>
    </row>
    <row r="3" spans="2:17" ht="46.5" customHeight="1">
      <c r="B3" s="32" t="s">
        <v>1111</v>
      </c>
      <c r="C3" s="554" t="str">
        <f>TEXT('1015 4度C'!A2,"yyyy.mm.ddaaaa")</f>
        <v>2025.10.15星期三</v>
      </c>
      <c r="D3" s="555"/>
      <c r="E3" s="32" t="s">
        <v>1112</v>
      </c>
      <c r="F3" s="556">
        <f>'1015 4度C'!D1</f>
        <v>196362</v>
      </c>
      <c r="G3" s="557"/>
      <c r="H3" s="32" t="s">
        <v>1113</v>
      </c>
      <c r="I3" s="558">
        <f>'1015 4度C'!F1</f>
        <v>6403368.7299999977</v>
      </c>
      <c r="J3" s="559"/>
      <c r="K3" s="33"/>
      <c r="L3" s="34"/>
      <c r="M3" s="35"/>
      <c r="N3" s="35"/>
    </row>
    <row r="4" spans="2:17" ht="28.5" customHeight="1">
      <c r="B4" s="560" t="s">
        <v>1114</v>
      </c>
      <c r="C4" s="542" t="s">
        <v>755</v>
      </c>
      <c r="D4" s="543"/>
      <c r="E4" s="563" t="s">
        <v>1115</v>
      </c>
      <c r="F4" s="564"/>
      <c r="G4" s="563" t="s">
        <v>1116</v>
      </c>
      <c r="H4" s="564"/>
      <c r="I4" s="563" t="s">
        <v>1117</v>
      </c>
      <c r="J4" s="564"/>
      <c r="L4" s="35"/>
      <c r="M4" s="35"/>
      <c r="N4" s="35"/>
    </row>
    <row r="5" spans="2:17" ht="28.5" customHeight="1">
      <c r="B5" s="561"/>
      <c r="C5" s="542" t="s">
        <v>1118</v>
      </c>
      <c r="D5" s="543"/>
      <c r="E5" s="542" t="s">
        <v>120</v>
      </c>
      <c r="F5" s="543"/>
      <c r="G5" s="544" t="s">
        <v>1119</v>
      </c>
      <c r="H5" s="545"/>
      <c r="I5" s="546" t="s">
        <v>1120</v>
      </c>
      <c r="J5" s="547"/>
      <c r="K5" s="35"/>
      <c r="L5" s="35"/>
      <c r="M5" s="35"/>
      <c r="N5" s="35"/>
    </row>
    <row r="6" spans="2:17" ht="28.5" customHeight="1">
      <c r="B6" s="561"/>
      <c r="C6" s="542" t="s">
        <v>92</v>
      </c>
      <c r="D6" s="543"/>
      <c r="E6" s="548">
        <f>AVERAGE(D13:M13)</f>
        <v>153.9633453558518</v>
      </c>
      <c r="F6" s="549">
        <f>AVERAGE(D27:O27,D13:J13)</f>
        <v>160.0863999923418</v>
      </c>
      <c r="G6" s="550">
        <f>AVERAGE(D13:J13)</f>
        <v>160.0863999923418</v>
      </c>
      <c r="H6" s="551"/>
      <c r="I6" s="550">
        <f>AVERAGE(K13:M13)</f>
        <v>139.6762178707084</v>
      </c>
      <c r="J6" s="551"/>
      <c r="K6" s="35"/>
      <c r="L6" s="35"/>
      <c r="M6" s="35"/>
      <c r="N6" s="35"/>
    </row>
    <row r="7" spans="2:17" ht="28.5" customHeight="1">
      <c r="B7" s="561"/>
      <c r="C7" s="532" t="s">
        <v>93</v>
      </c>
      <c r="D7" s="533"/>
      <c r="E7" s="534">
        <f>AVERAGE(D14:M14)</f>
        <v>147.3611196506362</v>
      </c>
      <c r="F7" s="535">
        <f>AVERAGE(D28:O28,D14:J14)</f>
        <v>153.2670940843139</v>
      </c>
      <c r="G7" s="536">
        <f>AVERAGE(D14:J14)</f>
        <v>153.2670940843139</v>
      </c>
      <c r="H7" s="537"/>
      <c r="I7" s="536">
        <f>AVERAGE(K14:M14)</f>
        <v>133.58051263872153</v>
      </c>
      <c r="J7" s="537"/>
      <c r="K7" s="35"/>
      <c r="L7" s="35"/>
      <c r="M7" s="35"/>
      <c r="N7" s="35"/>
    </row>
    <row r="8" spans="2:17" ht="28.5" customHeight="1">
      <c r="B8" s="562"/>
      <c r="C8" s="532" t="s">
        <v>94</v>
      </c>
      <c r="D8" s="533"/>
      <c r="E8" s="538">
        <f>AVERAGE(D15:M15)</f>
        <v>0.95693985231192735</v>
      </c>
      <c r="F8" s="539">
        <f>AVERAGE(D15:J15,D29:O29)</f>
        <v>0.95718581444964845</v>
      </c>
      <c r="G8" s="540">
        <f>AVERAGE(D15:J15)</f>
        <v>0.95718581444964845</v>
      </c>
      <c r="H8" s="541"/>
      <c r="I8" s="540">
        <f>AVERAGE(K15:M15)</f>
        <v>0.95636594065724434</v>
      </c>
      <c r="J8" s="541"/>
      <c r="K8" s="36" t="s">
        <v>1121</v>
      </c>
      <c r="L8" s="35"/>
      <c r="M8" s="35"/>
      <c r="N8" s="35"/>
    </row>
    <row r="9" spans="2:17" ht="28.5" customHeight="1" thickBot="1">
      <c r="H9" s="38"/>
      <c r="N9" s="35"/>
      <c r="O9" s="35"/>
      <c r="P9" s="35"/>
      <c r="Q9" s="35"/>
    </row>
    <row r="10" spans="2:17" ht="30" customHeight="1">
      <c r="B10" s="515" t="s">
        <v>123</v>
      </c>
      <c r="C10" s="516"/>
      <c r="D10" s="517" t="s">
        <v>1122</v>
      </c>
      <c r="E10" s="518"/>
      <c r="F10" s="518"/>
      <c r="G10" s="518"/>
      <c r="H10" s="518"/>
      <c r="I10" s="518"/>
      <c r="J10" s="519"/>
      <c r="K10" s="520" t="s">
        <v>1123</v>
      </c>
      <c r="L10" s="521"/>
      <c r="M10" s="522"/>
      <c r="P10" s="39"/>
      <c r="Q10" s="39"/>
    </row>
    <row r="11" spans="2:17" ht="17.25" customHeight="1">
      <c r="B11" s="523" t="s">
        <v>1124</v>
      </c>
      <c r="C11" s="524"/>
      <c r="D11" s="40">
        <v>1</v>
      </c>
      <c r="E11" s="41">
        <v>2</v>
      </c>
      <c r="F11" s="41">
        <v>3</v>
      </c>
      <c r="G11" s="41">
        <v>4</v>
      </c>
      <c r="H11" s="41">
        <v>5</v>
      </c>
      <c r="I11" s="41">
        <v>6</v>
      </c>
      <c r="J11" s="42">
        <v>7</v>
      </c>
      <c r="K11" s="40">
        <v>1</v>
      </c>
      <c r="L11" s="41">
        <v>2</v>
      </c>
      <c r="M11" s="42">
        <v>3</v>
      </c>
      <c r="P11" s="39"/>
      <c r="Q11" s="39"/>
    </row>
    <row r="12" spans="2:17" ht="34.15" customHeight="1">
      <c r="B12" s="525"/>
      <c r="C12" s="526"/>
      <c r="D12" s="43" t="s">
        <v>96</v>
      </c>
      <c r="E12" s="44" t="s">
        <v>97</v>
      </c>
      <c r="F12" s="44" t="s">
        <v>98</v>
      </c>
      <c r="G12" s="44" t="s">
        <v>99</v>
      </c>
      <c r="H12" s="44" t="s">
        <v>100</v>
      </c>
      <c r="I12" s="44" t="s">
        <v>101</v>
      </c>
      <c r="J12" s="45" t="s">
        <v>102</v>
      </c>
      <c r="K12" s="43" t="s">
        <v>103</v>
      </c>
      <c r="L12" s="44" t="s">
        <v>104</v>
      </c>
      <c r="M12" s="45" t="s">
        <v>105</v>
      </c>
    </row>
    <row r="13" spans="2:17" ht="40.15" customHeight="1">
      <c r="B13" s="527" t="s">
        <v>1125</v>
      </c>
      <c r="C13" s="46" t="s">
        <v>1126</v>
      </c>
      <c r="D13" s="47">
        <f>SUMIFS('1015 4度C'!$K:$K,'1015 4度C'!$A:$A,"新豐6線",'1015 4度C'!$B:$B,"平均")</f>
        <v>125</v>
      </c>
      <c r="E13" s="48">
        <f>SUMIFS('1015 4度C'!$K:$K,'1015 4度C'!$A:$A,"新豐2線",'1015 4度C'!$B:$B,"平均")</f>
        <v>81.081081081081081</v>
      </c>
      <c r="F13" s="49">
        <f>SUMIFS('1015 4度C'!$K:$K,'1015 4度C'!$A:$A,"新豐5線",'1015 4度C'!$B:$B,"平均")</f>
        <v>98.198198198198199</v>
      </c>
      <c r="G13" s="49">
        <f>SUMIFS('1015 4度C'!$K:$K,'1015 4度C'!$A:$A,"新豐7線",'1015 4度C'!$B:$B,"平均")</f>
        <v>119.40298507462687</v>
      </c>
      <c r="H13" s="49">
        <f>SUMIFS('1015 4度C'!$K:$K,'1015 4度C'!$A:$A,"新豐3線",'1015 4度C'!$B:$B,"平均")</f>
        <v>310.34482758620692</v>
      </c>
      <c r="I13" s="49">
        <f>SUMIFS('1015 4度C'!$K:$K,'1015 4度C'!$A:$A,"新豐1線",'1015 4度C'!$B:$B,"平均")</f>
        <v>117.34693877551021</v>
      </c>
      <c r="J13" s="50">
        <f>SUMIFS('1015 4度C'!$K:$K,'1015 4度C'!$A:$A,"新豐10線",'1015 4度C'!$B:$B,"平均")</f>
        <v>269.23076923076923</v>
      </c>
      <c r="K13" s="51">
        <f>SUMIFS('1015 4度C'!$K:$K,'1015 4度C'!$A:$A,"新豐8線",'1015 4度C'!$B:$B,"平均")</f>
        <v>133.33333333333334</v>
      </c>
      <c r="L13" s="52">
        <f>SUMIFS('1015 4度C'!$K:$K,'1015 4度C'!$A:$A,"新豐9線",'1015 4度C'!$B:$B,"平均")</f>
        <v>139.13043478260869</v>
      </c>
      <c r="M13" s="50">
        <f>SUMIFS('1015 4度C'!$K:$K,'1015 4度C'!$A:$A,"新豐4線",'1015 4度C'!$B:$B,"平均")</f>
        <v>146.56488549618319</v>
      </c>
    </row>
    <row r="14" spans="2:17" ht="39.6" customHeight="1">
      <c r="B14" s="528"/>
      <c r="C14" s="53" t="s">
        <v>1127</v>
      </c>
      <c r="D14" s="54">
        <f>SUMIFS('1015 4度C'!$N:$N,'1015 4度C'!$A:$A,"新豐6線",'1015 4度C'!$B:$B,"平均")</f>
        <v>119.83878522323782</v>
      </c>
      <c r="E14" s="55">
        <f>SUMIFS('1015 4度C'!$N:$N,'1015 4度C'!$A:$A,"新豐2線",'1015 4度C'!$B:$B,"平均")</f>
        <v>77.542852827909087</v>
      </c>
      <c r="F14" s="55">
        <f>SUMIFS('1015 4度C'!$N:$N,'1015 4度C'!$A:$A,"新豐5線",'1015 4度C'!$B:$B,"平均")</f>
        <v>93.803240834090559</v>
      </c>
      <c r="G14" s="55">
        <f>SUMIFS('1015 4度C'!$N:$N,'1015 4度C'!$A:$A,"新豐7線",'1015 4度C'!$B:$B,"平均")</f>
        <v>114.41748972290414</v>
      </c>
      <c r="H14" s="55">
        <f>SUMIFS('1015 4度C'!$N:$N,'1015 4度C'!$A:$A,"新豐3線",'1015 4度C'!$B:$B,"平均")</f>
        <v>296.33800889729451</v>
      </c>
      <c r="I14" s="55">
        <f>SUMIFS('1015 4度C'!$N:$N,'1015 4度C'!$A:$A,"新豐1線",'1015 4度C'!$B:$B,"平均")</f>
        <v>112.14540948270786</v>
      </c>
      <c r="J14" s="56">
        <f>SUMIFS('1015 4度C'!$N:$N,'1015 4度C'!$A:$A,"新豐10線",'1015 4度C'!$B:$B,"平均")</f>
        <v>258.7838716020533</v>
      </c>
      <c r="K14" s="57">
        <f>SUMIFS('1015 4度C'!$N:$N,'1015 4度C'!$A:$A,"新豐8線",'1015 4度C'!$B:$B,"平均")</f>
        <v>127.62408746062222</v>
      </c>
      <c r="L14" s="58">
        <f>SUMIFS('1015 4度C'!$N:$N,'1015 4度C'!$A:$A,"新豐9線",'1015 4度C'!$B:$B,"平均")</f>
        <v>132.91765397880289</v>
      </c>
      <c r="M14" s="56">
        <f>SUMIFS('1015 4度C'!$N:$N,'1015 4度C'!$A:$A,"新豐4線",'1015 4度C'!$B:$B,"平均")</f>
        <v>140.19979647673946</v>
      </c>
    </row>
    <row r="15" spans="2:17" ht="40.15" customHeight="1">
      <c r="B15" s="529"/>
      <c r="C15" s="59" t="s">
        <v>129</v>
      </c>
      <c r="D15" s="60">
        <f t="shared" ref="D15:M15" si="0">D14/D13</f>
        <v>0.95871028178590256</v>
      </c>
      <c r="E15" s="61">
        <f t="shared" si="0"/>
        <v>0.95636185154421205</v>
      </c>
      <c r="F15" s="61">
        <f t="shared" si="0"/>
        <v>0.95524401216367449</v>
      </c>
      <c r="G15" s="61">
        <f t="shared" si="0"/>
        <v>0.95824647642932215</v>
      </c>
      <c r="H15" s="61">
        <f t="shared" si="0"/>
        <v>0.95486691755794895</v>
      </c>
      <c r="I15" s="61">
        <f t="shared" si="0"/>
        <v>0.95567392428742348</v>
      </c>
      <c r="J15" s="62">
        <f t="shared" si="0"/>
        <v>0.96119723737905516</v>
      </c>
      <c r="K15" s="60">
        <f t="shared" si="0"/>
        <v>0.95718065595466661</v>
      </c>
      <c r="L15" s="61">
        <f t="shared" si="0"/>
        <v>0.95534563797264582</v>
      </c>
      <c r="M15" s="62">
        <f t="shared" si="0"/>
        <v>0.95657152804442036</v>
      </c>
    </row>
    <row r="16" spans="2:17" ht="17.25" customHeight="1">
      <c r="B16" s="530" t="s">
        <v>1128</v>
      </c>
      <c r="C16" s="63" t="s">
        <v>1129</v>
      </c>
      <c r="D16" s="64">
        <f>VLOOKUP("新豐6線",'1015 4度C'!$A:$T,19,0)</f>
        <v>0.70833333333333337</v>
      </c>
      <c r="E16" s="24">
        <f>VLOOKUP("新豐2線",'1015 4度C'!$A:$T,19,0)</f>
        <v>0.20833333333333334</v>
      </c>
      <c r="F16" s="24">
        <f>VLOOKUP("新豐5線",'1015 4度C'!$A:$T,19,0)</f>
        <v>8.3333333333333329E-2</v>
      </c>
      <c r="G16" s="24">
        <f>VLOOKUP("新豐7線",'1015 4度C'!$A:$T,19,0)</f>
        <v>0.20833333333333334</v>
      </c>
      <c r="H16" s="24">
        <f>VLOOKUP("新豐3線",'1015 4度C'!$A:$T,19,0)</f>
        <v>8.3333333333333329E-2</v>
      </c>
      <c r="I16" s="24">
        <f>VLOOKUP("新豐1線",'1015 4度C'!$A:$T,19,0)</f>
        <v>0.29166666666666669</v>
      </c>
      <c r="J16" s="65">
        <f>VLOOKUP("新豐10線",'1015 4度C'!$A:$T,19,0)</f>
        <v>0.20833333333333334</v>
      </c>
      <c r="K16" s="66">
        <f>VLOOKUP("新豐8線",'1015 4度C'!$A:$T,19,0)</f>
        <v>8.3333333333333329E-2</v>
      </c>
      <c r="L16" s="67">
        <f>VLOOKUP("新豐9線",'1015 4度C'!$A:$T,19,0)</f>
        <v>8.3333333333333329E-2</v>
      </c>
      <c r="M16" s="68">
        <f>VLOOKUP("新豐4線",'1015 4度C'!$A:$T,19,0)</f>
        <v>8.3333333333333329E-2</v>
      </c>
    </row>
    <row r="17" spans="2:13" ht="17.25" customHeight="1">
      <c r="B17" s="531"/>
      <c r="C17" s="63" t="s">
        <v>1130</v>
      </c>
      <c r="D17" s="66">
        <f>LOOKUP(2,1/(('1015 4度C'!$A:$A="新豐6線")*('1015 4度C'!$T:$T&lt;&gt;"")),'1015 4度C'!$T:$T)</f>
        <v>0.82916666666666672</v>
      </c>
      <c r="E17" s="24">
        <f>LOOKUP(2,1/(('1015 4度C'!$A:$A="新豐2線")*('1015 4度C'!$T:$T&lt;&gt;"")),'1015 4度C'!$T:$T)</f>
        <v>0.52222222222222225</v>
      </c>
      <c r="F17" s="24">
        <f>LOOKUP(2,1/(('1015 4度C'!$A:$A="新豐5線")*('1015 4度C'!$T:$T&lt;&gt;"")),'1015 4度C'!$T:$T)</f>
        <v>0.84652777777777777</v>
      </c>
      <c r="G17" s="24">
        <f>LOOKUP(2,1/(('1015 4度C'!$A:$A="新豐7線")*('1015 4度C'!$T:$T&lt;&gt;"")),'1015 4度C'!$T:$T)</f>
        <v>0.76736111111111116</v>
      </c>
      <c r="H17" s="24">
        <f>LOOKUP(2,1/(('1015 4度C'!$A:$A="新豐3線")*('1015 4度C'!$T:$T&lt;&gt;"")),'1015 4度C'!$T:$T)</f>
        <v>0.5229166666666667</v>
      </c>
      <c r="I17" s="24">
        <f>LOOKUP(2,1/(('1015 4度C'!$A:$A="新豐1線")*('1015 4度C'!$T:$T&lt;&gt;"")),'1015 4度C'!$T:$T)</f>
        <v>0.85069444444444442</v>
      </c>
      <c r="J17" s="65">
        <f>LOOKUP(2,1/(('1015 4度C'!$A:$A="新豐10線")*('1015 4度C'!$T:$T&lt;&gt;"")),'1015 4度C'!$T:$T)</f>
        <v>0.47499999999999998</v>
      </c>
      <c r="K17" s="64">
        <f>LOOKUP(2,1/(('1015 4度C'!$A:$A="新豐8線")*('1015 4度C'!$T:$T&lt;&gt;"")),'1015 4度C'!$T:$T)</f>
        <v>0.74444444444444424</v>
      </c>
      <c r="L17" s="24">
        <f>LOOKUP(2,1/(('1015 4度C'!$A:$A="新豐9線")*('1015 4度C'!$T:$T&lt;&gt;"")),'1015 4度C'!$T:$T)</f>
        <v>0.7847222222222221</v>
      </c>
      <c r="M17" s="65">
        <f>LOOKUP(2,1/(('1015 4度C'!$A:$A="新豐4線")*('1015 4度C'!$T:$T&lt;&gt;"")),'1015 4度C'!$T:$T)</f>
        <v>0.70069444444444429</v>
      </c>
    </row>
    <row r="18" spans="2:13" ht="17.25" customHeight="1">
      <c r="B18" s="509" t="s">
        <v>1131</v>
      </c>
      <c r="C18" s="510"/>
      <c r="D18" s="69">
        <f>SUMIFS('1015 4度C'!$I:$I,'1015 4度C'!$A:$A,"新豐6線",'1015 4度C'!$B:$B,"平均")</f>
        <v>16</v>
      </c>
      <c r="E18" s="70">
        <f>SUMIFS('1015 4度C'!$I:$I,'1015 4度C'!$A:$A,"新豐2線",'1015 4度C'!$B:$B,"平均")</f>
        <v>18.5</v>
      </c>
      <c r="F18" s="70">
        <f>SUMIFS('1015 4度C'!$I:$I,'1015 4度C'!$A:$A,"新豐5線",'1015 4度C'!$B:$B,"平均")</f>
        <v>18.5</v>
      </c>
      <c r="G18" s="70">
        <f>SUMIFS('1015 4度C'!$I:$I,'1015 4度C'!$A:$A,"新豐7線",'1015 4度C'!$B:$B,"平均")</f>
        <v>16.75</v>
      </c>
      <c r="H18" s="70">
        <f>SUMIFS('1015 4度C'!$I:$I,'1015 4度C'!$A:$A,"新豐3線",'1015 4度C'!$B:$B,"平均")</f>
        <v>9.6666666666666661</v>
      </c>
      <c r="I18" s="70">
        <f>SUMIFS('1015 4度C'!$I:$I,'1015 4度C'!$A:$A,"新豐1線",'1015 4度C'!$B:$B,"平均")</f>
        <v>16.333333333333332</v>
      </c>
      <c r="J18" s="71">
        <f>SUMIFS('1015 4度C'!$I:$I,'1015 4度C'!$A:$A,"新豐10線",'1015 4度C'!$B:$B,"平均")</f>
        <v>9.75</v>
      </c>
      <c r="K18" s="69">
        <f>SUMIFS('1015 4度C'!$I:$I,'1015 4度C'!$A:$A,"新豐8線",'1015 4度C'!$B:$B,"平均")</f>
        <v>18</v>
      </c>
      <c r="L18" s="70">
        <f>SUMIFS('1015 4度C'!$I:$I,'1015 4度C'!$A:$A,"新豐9線",'1015 4度C'!$B:$B,"平均")</f>
        <v>17.25</v>
      </c>
      <c r="M18" s="71">
        <f>SUMIFS('1015 4度C'!$I:$I,'1015 4度C'!$A:$A,"新豐4線",'1015 4度C'!$B:$B,"平均")</f>
        <v>16.375</v>
      </c>
    </row>
    <row r="19" spans="2:13" ht="17.25" customHeight="1">
      <c r="B19" s="509" t="s">
        <v>1132</v>
      </c>
      <c r="C19" s="510"/>
      <c r="D19" s="72" t="s">
        <v>109</v>
      </c>
      <c r="E19" s="73" t="s">
        <v>110</v>
      </c>
      <c r="F19" s="73" t="s">
        <v>1133</v>
      </c>
      <c r="G19" s="73" t="s">
        <v>135</v>
      </c>
      <c r="H19" s="73" t="s">
        <v>111</v>
      </c>
      <c r="I19" s="73" t="s">
        <v>109</v>
      </c>
      <c r="J19" s="74" t="s">
        <v>111</v>
      </c>
      <c r="K19" s="72" t="s">
        <v>1134</v>
      </c>
      <c r="L19" s="73" t="s">
        <v>1135</v>
      </c>
      <c r="M19" s="74" t="s">
        <v>1136</v>
      </c>
    </row>
    <row r="20" spans="2:13" ht="17.25" customHeight="1">
      <c r="B20" s="509" t="s">
        <v>1137</v>
      </c>
      <c r="C20" s="510"/>
      <c r="D20" s="72"/>
      <c r="E20" s="73"/>
      <c r="F20" s="73" t="s">
        <v>1138</v>
      </c>
      <c r="G20" s="73" t="s">
        <v>109</v>
      </c>
      <c r="H20" s="73"/>
      <c r="I20" s="73"/>
      <c r="J20" s="74"/>
      <c r="K20" s="72"/>
      <c r="L20" s="73"/>
      <c r="M20" s="74"/>
    </row>
    <row r="21" spans="2:13" ht="17.25" customHeight="1" thickBot="1">
      <c r="B21" s="511" t="s">
        <v>1139</v>
      </c>
      <c r="C21" s="512"/>
      <c r="D21" s="75"/>
      <c r="E21" s="76" t="s">
        <v>1140</v>
      </c>
      <c r="F21" s="513" t="s">
        <v>1141</v>
      </c>
      <c r="G21" s="514"/>
      <c r="H21" s="76" t="s">
        <v>1142</v>
      </c>
      <c r="I21" s="76" t="s">
        <v>1143</v>
      </c>
      <c r="J21" s="77" t="s">
        <v>1144</v>
      </c>
      <c r="K21" s="78"/>
      <c r="L21" s="76"/>
      <c r="M21" s="77"/>
    </row>
    <row r="22" spans="2:13" ht="17.25" customHeight="1"/>
    <row r="23" spans="2:13" ht="17.25" customHeight="1"/>
    <row r="24" spans="2:13" ht="17.25" customHeight="1"/>
    <row r="25" spans="2:13" ht="37.5" customHeight="1"/>
    <row r="26" spans="2:13" ht="35.25" customHeight="1"/>
    <row r="27" spans="2:13" ht="35.25" customHeight="1"/>
    <row r="28" spans="2:13" ht="39.75" customHeight="1"/>
  </sheetData>
  <mergeCells count="36">
    <mergeCell ref="B1:J2"/>
    <mergeCell ref="C3:D3"/>
    <mergeCell ref="F3:G3"/>
    <mergeCell ref="I3:J3"/>
    <mergeCell ref="B4:B8"/>
    <mergeCell ref="C4:D4"/>
    <mergeCell ref="E4:F4"/>
    <mergeCell ref="G4:H4"/>
    <mergeCell ref="I4:J4"/>
    <mergeCell ref="C5:D5"/>
    <mergeCell ref="E5:F5"/>
    <mergeCell ref="G5:H5"/>
    <mergeCell ref="I5:J5"/>
    <mergeCell ref="C6:D6"/>
    <mergeCell ref="E6:F6"/>
    <mergeCell ref="G6:H6"/>
    <mergeCell ref="I6:J6"/>
    <mergeCell ref="B16:B17"/>
    <mergeCell ref="C7:D7"/>
    <mergeCell ref="E7:F7"/>
    <mergeCell ref="G7:H7"/>
    <mergeCell ref="I7:J7"/>
    <mergeCell ref="C8:D8"/>
    <mergeCell ref="E8:F8"/>
    <mergeCell ref="G8:H8"/>
    <mergeCell ref="I8:J8"/>
    <mergeCell ref="B10:C10"/>
    <mergeCell ref="D10:J10"/>
    <mergeCell ref="B20:C20"/>
    <mergeCell ref="B21:C21"/>
    <mergeCell ref="F21:G21"/>
    <mergeCell ref="K10:M10"/>
    <mergeCell ref="B11:C12"/>
    <mergeCell ref="B13:B15"/>
    <mergeCell ref="B18:C18"/>
    <mergeCell ref="B19:C19"/>
  </mergeCells>
  <phoneticPr fontId="3" type="noConversion"/>
  <conditionalFormatting sqref="D15:M15">
    <cfRule type="cellIs" dxfId="932" priority="1" operator="lessThan">
      <formula>0.8</formula>
    </cfRule>
  </conditionalFormatting>
  <pageMargins left="0.7" right="0.7" top="0.75" bottom="0.75" header="0.3" footer="0.3"/>
  <pageSetup paperSize="9" orientation="portrait" horizontalDpi="300" verticalDpi="300" r:id="rId1"/>
</worksheet>
</file>

<file path=xl/worksheets/sheet3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工作表29">
    <pageSetUpPr fitToPage="1"/>
  </sheetPr>
  <dimension ref="A1:AC70"/>
  <sheetViews>
    <sheetView zoomScale="80" zoomScaleNormal="80" workbookViewId="0">
      <pane ySplit="4" topLeftCell="A5" activePane="bottomLeft" state="frozen"/>
      <selection activeCell="G8" sqref="G8:H8"/>
      <selection pane="bottomLeft" activeCell="T6" sqref="T6"/>
    </sheetView>
  </sheetViews>
  <sheetFormatPr defaultColWidth="8" defaultRowHeight="15.75"/>
  <cols>
    <col min="1" max="1" width="15.125" style="5" customWidth="1"/>
    <col min="2" max="2" width="19.375" style="5" customWidth="1"/>
    <col min="3" max="3" width="15.25" style="5" customWidth="1"/>
    <col min="4" max="4" width="17.5" style="5" customWidth="1"/>
    <col min="5" max="5" width="7.5" style="5" bestFit="1" customWidth="1"/>
    <col min="6" max="6" width="14.375" style="5" bestFit="1" customWidth="1"/>
    <col min="7" max="7" width="14.375" style="5" customWidth="1"/>
    <col min="8" max="8" width="8" style="5" customWidth="1"/>
    <col min="9" max="9" width="5.875" style="5" customWidth="1"/>
    <col min="10" max="10" width="10.625" style="5" customWidth="1"/>
    <col min="11" max="11" width="14.625" style="5" customWidth="1"/>
    <col min="12" max="12" width="7.25" style="5" bestFit="1" customWidth="1"/>
    <col min="13" max="13" width="8" style="5" customWidth="1"/>
    <col min="14" max="14" width="12" style="5" customWidth="1"/>
    <col min="15" max="15" width="6" style="5" customWidth="1"/>
    <col min="16" max="16" width="9.25" style="5" customWidth="1"/>
    <col min="17" max="17" width="11.5" style="5" customWidth="1"/>
    <col min="18" max="18" width="8.5" style="5" customWidth="1"/>
    <col min="19" max="19" width="10.125" style="22" bestFit="1" customWidth="1"/>
    <col min="20" max="20" width="7.625" style="22" bestFit="1" customWidth="1"/>
    <col min="21" max="21" width="10.25" style="5" bestFit="1" customWidth="1"/>
    <col min="22" max="22" width="8.75" style="18" customWidth="1"/>
    <col min="23" max="23" width="7.375" style="5" customWidth="1"/>
    <col min="24" max="24" width="6.875" style="5" bestFit="1" customWidth="1"/>
    <col min="25" max="25" width="12.75" style="5" customWidth="1"/>
    <col min="26" max="26" width="18.875" style="5" customWidth="1"/>
    <col min="27" max="27" width="13.125" style="5" bestFit="1" customWidth="1"/>
    <col min="28" max="28" width="10.375" style="5" customWidth="1"/>
    <col min="29" max="29" width="9.375" style="5" customWidth="1"/>
    <col min="30" max="30" width="8" style="5"/>
    <col min="31" max="31" width="24.625" style="5" bestFit="1" customWidth="1"/>
    <col min="32" max="16384" width="8" style="5"/>
  </cols>
  <sheetData>
    <row r="1" spans="1:29" ht="26.25" customHeight="1">
      <c r="A1" s="1" t="s">
        <v>1145</v>
      </c>
      <c r="B1" s="1"/>
      <c r="C1" s="2" t="s">
        <v>1146</v>
      </c>
      <c r="D1" s="3">
        <f>SUM(F5:F69)</f>
        <v>196362</v>
      </c>
      <c r="E1" s="262" t="s">
        <v>1147</v>
      </c>
      <c r="F1" s="1">
        <f>SUM(G5:G69)</f>
        <v>6403368.7299999977</v>
      </c>
      <c r="G1" s="1" t="s">
        <v>1148</v>
      </c>
      <c r="H1" s="4">
        <f>L8+L11+L48+L55+L18+L60+L32+L41+L23+L69</f>
        <v>157.125</v>
      </c>
      <c r="I1" s="652" t="s">
        <v>1149</v>
      </c>
      <c r="J1" s="652"/>
      <c r="K1" s="652"/>
      <c r="L1" s="652" t="s">
        <v>1150</v>
      </c>
      <c r="M1" s="652"/>
      <c r="N1" s="652"/>
      <c r="O1" s="652" t="s">
        <v>1151</v>
      </c>
      <c r="P1" s="652"/>
      <c r="Q1" s="652"/>
      <c r="R1" s="652"/>
      <c r="S1" s="652" t="s">
        <v>1152</v>
      </c>
      <c r="T1" s="652"/>
      <c r="U1" s="652"/>
      <c r="V1" s="652"/>
      <c r="W1" s="652"/>
      <c r="X1" s="652"/>
      <c r="Y1" s="652" t="s">
        <v>1153</v>
      </c>
      <c r="Z1" s="652"/>
      <c r="AA1" s="652" t="s">
        <v>1154</v>
      </c>
      <c r="AB1" s="653"/>
      <c r="AC1" s="653"/>
    </row>
    <row r="2" spans="1:29" ht="26.25" customHeight="1">
      <c r="A2" s="19">
        <v>45945</v>
      </c>
      <c r="B2" s="20" t="s">
        <v>34</v>
      </c>
      <c r="C2" s="2" t="s">
        <v>1155</v>
      </c>
      <c r="D2" s="6">
        <f>AVERAGE(N8,N11,N48,N55,N18,N60,N23,N32,N41,N69)</f>
        <v>147.36111965063617</v>
      </c>
      <c r="E2" s="7" t="s">
        <v>2</v>
      </c>
      <c r="F2" s="8">
        <f>F1/D1</f>
        <v>32.610019912202958</v>
      </c>
      <c r="G2" s="1" t="s">
        <v>1156</v>
      </c>
      <c r="H2" s="270">
        <f>COUNT(H5:H69)</f>
        <v>8</v>
      </c>
      <c r="I2" s="652"/>
      <c r="J2" s="652"/>
      <c r="K2" s="652"/>
      <c r="L2" s="652"/>
      <c r="M2" s="652"/>
      <c r="N2" s="652"/>
      <c r="O2" s="652"/>
      <c r="P2" s="652"/>
      <c r="Q2" s="652"/>
      <c r="R2" s="652"/>
      <c r="S2" s="652"/>
      <c r="T2" s="652"/>
      <c r="U2" s="652"/>
      <c r="V2" s="652"/>
      <c r="W2" s="652"/>
      <c r="X2" s="652"/>
      <c r="Y2" s="652"/>
      <c r="Z2" s="652"/>
      <c r="AA2" s="653"/>
      <c r="AB2" s="653"/>
      <c r="AC2" s="653"/>
    </row>
    <row r="3" spans="1:29" ht="23.25" customHeight="1">
      <c r="A3" s="617" t="s">
        <v>1157</v>
      </c>
      <c r="B3" s="617" t="s">
        <v>1158</v>
      </c>
      <c r="C3" s="617" t="s">
        <v>1159</v>
      </c>
      <c r="D3" s="617"/>
      <c r="E3" s="654" t="s">
        <v>1160</v>
      </c>
      <c r="F3" s="617" t="s">
        <v>1161</v>
      </c>
      <c r="G3" s="654" t="s">
        <v>1162</v>
      </c>
      <c r="H3" s="646" t="s">
        <v>1163</v>
      </c>
      <c r="I3" s="645" t="s">
        <v>1164</v>
      </c>
      <c r="J3" s="649" t="s">
        <v>1165</v>
      </c>
      <c r="K3" s="651" t="s">
        <v>1155</v>
      </c>
      <c r="L3" s="645" t="s">
        <v>1164</v>
      </c>
      <c r="M3" s="649" t="s">
        <v>1165</v>
      </c>
      <c r="N3" s="651" t="s">
        <v>1155</v>
      </c>
      <c r="O3" s="645" t="s">
        <v>1164</v>
      </c>
      <c r="P3" s="651" t="s">
        <v>1155</v>
      </c>
      <c r="Q3" s="650" t="s">
        <v>1166</v>
      </c>
      <c r="R3" s="633" t="s">
        <v>1167</v>
      </c>
      <c r="S3" s="656" t="s">
        <v>14</v>
      </c>
      <c r="T3" s="656"/>
      <c r="U3" s="646" t="s">
        <v>15</v>
      </c>
      <c r="V3" s="646" t="s">
        <v>1168</v>
      </c>
      <c r="W3" s="617" t="s">
        <v>1169</v>
      </c>
      <c r="X3" s="617"/>
      <c r="Y3" s="647" t="s">
        <v>1170</v>
      </c>
      <c r="Z3" s="648"/>
      <c r="AA3" s="649" t="s">
        <v>1165</v>
      </c>
      <c r="AB3" s="650" t="s">
        <v>1171</v>
      </c>
      <c r="AC3" s="633" t="s">
        <v>1167</v>
      </c>
    </row>
    <row r="4" spans="1:29">
      <c r="A4" s="617"/>
      <c r="B4" s="617"/>
      <c r="C4" s="617"/>
      <c r="D4" s="617"/>
      <c r="E4" s="655"/>
      <c r="F4" s="617"/>
      <c r="G4" s="655"/>
      <c r="H4" s="646"/>
      <c r="I4" s="645"/>
      <c r="J4" s="649"/>
      <c r="K4" s="651"/>
      <c r="L4" s="645"/>
      <c r="M4" s="649"/>
      <c r="N4" s="651"/>
      <c r="O4" s="645"/>
      <c r="P4" s="651"/>
      <c r="Q4" s="650"/>
      <c r="R4" s="633"/>
      <c r="S4" s="269" t="s">
        <v>18</v>
      </c>
      <c r="T4" s="269" t="s">
        <v>19</v>
      </c>
      <c r="U4" s="646"/>
      <c r="V4" s="646"/>
      <c r="W4" s="262" t="s">
        <v>1172</v>
      </c>
      <c r="X4" s="262" t="s">
        <v>1173</v>
      </c>
      <c r="Y4" s="648"/>
      <c r="Z4" s="648"/>
      <c r="AA4" s="649"/>
      <c r="AB4" s="650"/>
      <c r="AC4" s="633"/>
    </row>
    <row r="5" spans="1:29">
      <c r="A5" s="644" t="s">
        <v>1174</v>
      </c>
      <c r="B5" s="26" t="s">
        <v>36</v>
      </c>
      <c r="C5" s="601" t="s">
        <v>37</v>
      </c>
      <c r="D5" s="601"/>
      <c r="E5" s="26">
        <v>46.93</v>
      </c>
      <c r="F5" s="269">
        <v>987</v>
      </c>
      <c r="G5" s="262">
        <f>E5*F5</f>
        <v>46319.909999999996</v>
      </c>
      <c r="H5" s="21" t="s">
        <v>35</v>
      </c>
      <c r="I5" s="267">
        <v>16</v>
      </c>
      <c r="J5" s="23">
        <v>2000</v>
      </c>
      <c r="K5" s="9">
        <f>J5/I5</f>
        <v>125</v>
      </c>
      <c r="L5" s="267">
        <v>16</v>
      </c>
      <c r="M5" s="10">
        <f>F5/V5*60</f>
        <v>1910.3225806451583</v>
      </c>
      <c r="N5" s="9">
        <f>M5/L5</f>
        <v>119.39516129032239</v>
      </c>
      <c r="O5" s="11">
        <f t="shared" ref="O5:O7" si="0">L5-I5</f>
        <v>0</v>
      </c>
      <c r="P5" s="12">
        <f t="shared" ref="P5:P7" si="1">N5-K5</f>
        <v>-5.6048387096776082</v>
      </c>
      <c r="Q5" s="263">
        <f>N5/K5</f>
        <v>0.95516129032257913</v>
      </c>
      <c r="R5" s="571">
        <f>Q8</f>
        <v>0.95871028178590256</v>
      </c>
      <c r="S5" s="24">
        <v>0.70833333333333337</v>
      </c>
      <c r="T5" s="24">
        <v>0.72986111111111118</v>
      </c>
      <c r="U5" s="262"/>
      <c r="V5" s="268">
        <f>(T5-S5)*24*60</f>
        <v>31.00000000000005</v>
      </c>
      <c r="W5" s="13"/>
      <c r="X5" s="14"/>
      <c r="Y5" s="617"/>
      <c r="Z5" s="617"/>
      <c r="AA5" s="11">
        <f t="shared" ref="AA5:AA68" si="2">M5-J5</f>
        <v>-89.677419354841732</v>
      </c>
      <c r="AB5" s="263">
        <f t="shared" ref="AB5:AB7" si="3">M5/J5</f>
        <v>0.95516129032257913</v>
      </c>
      <c r="AC5" s="571">
        <f>AB8</f>
        <v>0.95871028178590256</v>
      </c>
    </row>
    <row r="6" spans="1:29">
      <c r="A6" s="645" t="s">
        <v>1175</v>
      </c>
      <c r="B6" s="26" t="s">
        <v>36</v>
      </c>
      <c r="C6" s="601" t="s">
        <v>38</v>
      </c>
      <c r="D6" s="601"/>
      <c r="E6" s="26">
        <v>50.49</v>
      </c>
      <c r="F6" s="269">
        <v>2248</v>
      </c>
      <c r="G6" s="262">
        <f t="shared" ref="G6:G7" si="4">E6*F6</f>
        <v>113501.52</v>
      </c>
      <c r="H6" s="21" t="s">
        <v>35</v>
      </c>
      <c r="I6" s="267">
        <v>15</v>
      </c>
      <c r="J6" s="23">
        <v>2000</v>
      </c>
      <c r="K6" s="9">
        <f t="shared" ref="K6:K7" si="5">J6/I6</f>
        <v>133.33333333333334</v>
      </c>
      <c r="L6" s="267">
        <v>15</v>
      </c>
      <c r="M6" s="10">
        <f>F6/V6*60</f>
        <v>1926.8571428571406</v>
      </c>
      <c r="N6" s="9">
        <f t="shared" ref="N6:N7" si="6">M6/L6</f>
        <v>128.45714285714271</v>
      </c>
      <c r="O6" s="11">
        <f t="shared" si="0"/>
        <v>0</v>
      </c>
      <c r="P6" s="12">
        <f t="shared" si="1"/>
        <v>-4.8761904761906294</v>
      </c>
      <c r="Q6" s="263">
        <f t="shared" ref="Q6:Q7" si="7">N6/K6</f>
        <v>0.9634285714285703</v>
      </c>
      <c r="R6" s="571"/>
      <c r="S6" s="24">
        <v>0.73472222222222228</v>
      </c>
      <c r="T6" s="24">
        <v>0.78333333333333344</v>
      </c>
      <c r="U6" s="262">
        <f>IF(S6=TIME(17,0,0),"",(S6-T5)*24*60)</f>
        <v>6.9999999999999751</v>
      </c>
      <c r="V6" s="268">
        <f>(T6-S6)*24*60</f>
        <v>70.000000000000071</v>
      </c>
      <c r="W6" s="13"/>
      <c r="X6" s="13"/>
      <c r="Y6" s="617"/>
      <c r="Z6" s="617"/>
      <c r="AA6" s="11">
        <f t="shared" si="2"/>
        <v>-73.142857142859384</v>
      </c>
      <c r="AB6" s="263">
        <f t="shared" si="3"/>
        <v>0.9634285714285703</v>
      </c>
      <c r="AC6" s="571"/>
    </row>
    <row r="7" spans="1:29">
      <c r="A7" s="645" t="s">
        <v>1174</v>
      </c>
      <c r="B7" s="26" t="s">
        <v>36</v>
      </c>
      <c r="C7" s="594" t="s">
        <v>39</v>
      </c>
      <c r="D7" s="595"/>
      <c r="E7" s="26">
        <v>50.67</v>
      </c>
      <c r="F7" s="269">
        <v>1947</v>
      </c>
      <c r="G7" s="262">
        <f t="shared" si="4"/>
        <v>98654.49</v>
      </c>
      <c r="H7" s="21" t="s">
        <v>35</v>
      </c>
      <c r="I7" s="267">
        <v>17</v>
      </c>
      <c r="J7" s="23">
        <v>2000</v>
      </c>
      <c r="K7" s="9">
        <f t="shared" si="5"/>
        <v>117.64705882352941</v>
      </c>
      <c r="L7" s="267">
        <v>17</v>
      </c>
      <c r="M7" s="10">
        <f t="shared" ref="M7" si="8">F7/V7*60</f>
        <v>1915.0819672131165</v>
      </c>
      <c r="N7" s="9">
        <f t="shared" si="6"/>
        <v>112.65188042430097</v>
      </c>
      <c r="O7" s="11">
        <f t="shared" si="0"/>
        <v>0</v>
      </c>
      <c r="P7" s="12">
        <f t="shared" si="1"/>
        <v>-4.9951783992284362</v>
      </c>
      <c r="Q7" s="263">
        <f t="shared" si="7"/>
        <v>0.95754098360655826</v>
      </c>
      <c r="R7" s="571"/>
      <c r="S7" s="24">
        <v>0.78680555555555565</v>
      </c>
      <c r="T7" s="24">
        <v>0.82916666666666672</v>
      </c>
      <c r="U7" s="262">
        <f t="shared" ref="U7" si="9">IF(S7=TIME(17,0,0),"",(S7-T6)*24*60)</f>
        <v>4.9999999999999822</v>
      </c>
      <c r="V7" s="268">
        <f t="shared" ref="V7" si="10">(T7-S7)*24*60</f>
        <v>60.999999999999943</v>
      </c>
      <c r="W7" s="13"/>
      <c r="X7" s="13"/>
      <c r="Y7" s="621"/>
      <c r="Z7" s="622"/>
      <c r="AA7" s="11">
        <f t="shared" si="2"/>
        <v>-84.918032786883487</v>
      </c>
      <c r="AB7" s="263">
        <f t="shared" si="3"/>
        <v>0.95754098360655826</v>
      </c>
      <c r="AC7" s="571"/>
    </row>
    <row r="8" spans="1:29">
      <c r="A8" s="645" t="s">
        <v>1174</v>
      </c>
      <c r="B8" s="26" t="s">
        <v>1176</v>
      </c>
      <c r="C8" s="629"/>
      <c r="D8" s="629"/>
      <c r="E8" s="264"/>
      <c r="F8" s="27"/>
      <c r="G8" s="9"/>
      <c r="H8" s="269"/>
      <c r="I8" s="16">
        <v>16</v>
      </c>
      <c r="J8" s="23">
        <v>2000</v>
      </c>
      <c r="K8" s="9">
        <f>J8/I8</f>
        <v>125</v>
      </c>
      <c r="L8" s="16">
        <v>16</v>
      </c>
      <c r="M8" s="10">
        <f>AVERAGE(M5:M7)</f>
        <v>1917.4205635718051</v>
      </c>
      <c r="N8" s="9">
        <f>M8/L8</f>
        <v>119.83878522323782</v>
      </c>
      <c r="O8" s="11">
        <f>L8-I8</f>
        <v>0</v>
      </c>
      <c r="P8" s="12">
        <f>N8-K8</f>
        <v>-5.1612147767621792</v>
      </c>
      <c r="Q8" s="263">
        <f>N8/K8</f>
        <v>0.95871028178590256</v>
      </c>
      <c r="R8" s="571"/>
      <c r="S8" s="24"/>
      <c r="T8" s="24"/>
      <c r="U8" s="262"/>
      <c r="V8" s="268"/>
      <c r="W8" s="9"/>
      <c r="X8" s="9"/>
      <c r="Y8" s="617"/>
      <c r="Z8" s="617"/>
      <c r="AA8" s="11">
        <f t="shared" si="2"/>
        <v>-82.579436428194867</v>
      </c>
      <c r="AB8" s="263">
        <f>M8/J8</f>
        <v>0.95871028178590256</v>
      </c>
      <c r="AC8" s="571"/>
    </row>
    <row r="9" spans="1:29" ht="15.75" customHeight="1">
      <c r="A9" s="643" t="s">
        <v>1178</v>
      </c>
      <c r="B9" s="26" t="s">
        <v>40</v>
      </c>
      <c r="C9" s="594" t="s">
        <v>42</v>
      </c>
      <c r="D9" s="595"/>
      <c r="E9" s="26">
        <v>39.36</v>
      </c>
      <c r="F9" s="269">
        <v>2946</v>
      </c>
      <c r="G9" s="262">
        <f t="shared" ref="G9:G10" si="11">E9*F9</f>
        <v>115954.56</v>
      </c>
      <c r="H9" s="21" t="s">
        <v>35</v>
      </c>
      <c r="I9" s="267">
        <v>20</v>
      </c>
      <c r="J9" s="23">
        <v>1500</v>
      </c>
      <c r="K9" s="9">
        <f t="shared" ref="K9:K10" si="12">J9/I9</f>
        <v>75</v>
      </c>
      <c r="L9" s="267">
        <v>20</v>
      </c>
      <c r="M9" s="10">
        <f t="shared" ref="M9:M10" si="13">F9/V9*60</f>
        <v>1437.0731707317075</v>
      </c>
      <c r="N9" s="9">
        <f t="shared" ref="N9:N10" si="14">M9/L9</f>
        <v>71.853658536585371</v>
      </c>
      <c r="O9" s="11">
        <f t="shared" ref="O9:O10" si="15">L9-I9</f>
        <v>0</v>
      </c>
      <c r="P9" s="12">
        <f>N9-K9</f>
        <v>-3.1463414634146289</v>
      </c>
      <c r="Q9" s="263">
        <f>N9/K9</f>
        <v>0.95804878048780495</v>
      </c>
      <c r="R9" s="571">
        <f>Q11</f>
        <v>0.95636185154421205</v>
      </c>
      <c r="S9" s="24">
        <v>0.20833333333333334</v>
      </c>
      <c r="T9" s="24">
        <v>0.29375000000000001</v>
      </c>
      <c r="U9" s="262"/>
      <c r="V9" s="268">
        <f t="shared" ref="V9:V10" si="16">(T9-S9)*24*60</f>
        <v>122.99999999999999</v>
      </c>
      <c r="W9" s="13"/>
      <c r="X9" s="13"/>
      <c r="Y9" s="617"/>
      <c r="Z9" s="617"/>
      <c r="AA9" s="11">
        <f t="shared" si="2"/>
        <v>-62.926829268292522</v>
      </c>
      <c r="AB9" s="263">
        <f>M9/J9</f>
        <v>0.95804878048780495</v>
      </c>
      <c r="AC9" s="571">
        <f>AB11</f>
        <v>0.95636185154421205</v>
      </c>
    </row>
    <row r="10" spans="1:29" ht="15.75" customHeight="1">
      <c r="A10" s="643" t="s">
        <v>1177</v>
      </c>
      <c r="B10" s="26" t="s">
        <v>40</v>
      </c>
      <c r="C10" s="594" t="s">
        <v>41</v>
      </c>
      <c r="D10" s="595"/>
      <c r="E10" s="26">
        <v>39.799999999999997</v>
      </c>
      <c r="F10" s="269">
        <v>7709</v>
      </c>
      <c r="G10" s="262">
        <f t="shared" si="11"/>
        <v>306818.19999999995</v>
      </c>
      <c r="H10" s="21" t="s">
        <v>35</v>
      </c>
      <c r="I10" s="267">
        <v>17</v>
      </c>
      <c r="J10" s="23">
        <v>1500</v>
      </c>
      <c r="K10" s="9">
        <f t="shared" si="12"/>
        <v>88.235294117647058</v>
      </c>
      <c r="L10" s="267">
        <v>17</v>
      </c>
      <c r="M10" s="10">
        <f t="shared" si="13"/>
        <v>1432.0123839009286</v>
      </c>
      <c r="N10" s="9">
        <f t="shared" si="14"/>
        <v>84.236022582407571</v>
      </c>
      <c r="O10" s="11">
        <f t="shared" si="15"/>
        <v>0</v>
      </c>
      <c r="P10" s="12">
        <f t="shared" ref="P10" si="17">N10-K10</f>
        <v>-3.9992715352394868</v>
      </c>
      <c r="Q10" s="263">
        <f t="shared" ref="Q10" si="18">N10/K10</f>
        <v>0.95467492260061915</v>
      </c>
      <c r="R10" s="571"/>
      <c r="S10" s="24">
        <v>0.29791666666666666</v>
      </c>
      <c r="T10" s="24">
        <v>0.52222222222222225</v>
      </c>
      <c r="U10" s="262">
        <f>IF(S10=TIME(17,0,0),"",(S10-T9)*24*60)</f>
        <v>5.9999999999999787</v>
      </c>
      <c r="V10" s="268">
        <f t="shared" si="16"/>
        <v>323.00000000000006</v>
      </c>
      <c r="W10" s="13"/>
      <c r="X10" s="13"/>
      <c r="Y10" s="617"/>
      <c r="Z10" s="617"/>
      <c r="AA10" s="11">
        <f t="shared" si="2"/>
        <v>-67.987616099071374</v>
      </c>
      <c r="AB10" s="263">
        <f t="shared" ref="AB10:AB23" si="19">M10/J10</f>
        <v>0.95467492260061904</v>
      </c>
      <c r="AC10" s="571"/>
    </row>
    <row r="11" spans="1:29" ht="16.5" customHeight="1">
      <c r="A11" s="643" t="s">
        <v>1179</v>
      </c>
      <c r="B11" s="26" t="s">
        <v>1180</v>
      </c>
      <c r="C11" s="629"/>
      <c r="D11" s="629"/>
      <c r="E11" s="264"/>
      <c r="F11" s="23"/>
      <c r="G11" s="10"/>
      <c r="H11" s="269"/>
      <c r="I11" s="16">
        <v>18.5</v>
      </c>
      <c r="J11" s="23">
        <v>1500</v>
      </c>
      <c r="K11" s="9">
        <f>J11/I11</f>
        <v>81.081081081081081</v>
      </c>
      <c r="L11" s="16">
        <v>18.5</v>
      </c>
      <c r="M11" s="10">
        <f>AVERAGE(M9:M10)</f>
        <v>1434.5427773163181</v>
      </c>
      <c r="N11" s="9">
        <f>M11/L11</f>
        <v>77.542852827909087</v>
      </c>
      <c r="O11" s="11">
        <f>L11-I11</f>
        <v>0</v>
      </c>
      <c r="P11" s="12">
        <f>N11-K11</f>
        <v>-3.5382282531719937</v>
      </c>
      <c r="Q11" s="263">
        <f>N11/K11</f>
        <v>0.95636185154421205</v>
      </c>
      <c r="R11" s="571"/>
      <c r="S11" s="24"/>
      <c r="T11" s="24"/>
      <c r="U11" s="9"/>
      <c r="V11" s="268"/>
      <c r="W11" s="9"/>
      <c r="X11" s="9"/>
      <c r="Y11" s="617"/>
      <c r="Z11" s="617"/>
      <c r="AA11" s="11">
        <f t="shared" si="2"/>
        <v>-65.457222683681948</v>
      </c>
      <c r="AB11" s="263">
        <f t="shared" si="19"/>
        <v>0.95636185154421205</v>
      </c>
      <c r="AC11" s="571"/>
    </row>
    <row r="12" spans="1:29" ht="16.5" customHeight="1">
      <c r="A12" s="641" t="s">
        <v>1181</v>
      </c>
      <c r="B12" s="269" t="s">
        <v>43</v>
      </c>
      <c r="C12" s="636" t="s">
        <v>44</v>
      </c>
      <c r="D12" s="636"/>
      <c r="E12" s="26">
        <v>41</v>
      </c>
      <c r="F12" s="269">
        <v>2248</v>
      </c>
      <c r="G12" s="262">
        <f t="shared" ref="G12:G17" si="20">E12*F12</f>
        <v>92168</v>
      </c>
      <c r="H12" s="21" t="s">
        <v>35</v>
      </c>
      <c r="I12" s="267">
        <v>26</v>
      </c>
      <c r="J12" s="23">
        <v>1500</v>
      </c>
      <c r="K12" s="9">
        <f>J12/I12</f>
        <v>57.692307692307693</v>
      </c>
      <c r="L12" s="267">
        <v>26</v>
      </c>
      <c r="M12" s="10">
        <f>F12/V12*60</f>
        <v>1434.8936170212764</v>
      </c>
      <c r="N12" s="9">
        <f t="shared" ref="N12:N22" si="21">M12/L12</f>
        <v>55.188216039279865</v>
      </c>
      <c r="O12" s="11">
        <f t="shared" ref="O12" si="22">L12-I12</f>
        <v>0</v>
      </c>
      <c r="P12" s="12">
        <f t="shared" ref="P12" si="23">N12-K12</f>
        <v>-2.5040916530278281</v>
      </c>
      <c r="Q12" s="263">
        <f>N12/K12</f>
        <v>0.95659574468085096</v>
      </c>
      <c r="R12" s="571">
        <f>Q18</f>
        <v>0.95524401216367449</v>
      </c>
      <c r="S12" s="24">
        <v>8.3333333333333329E-2</v>
      </c>
      <c r="T12" s="24">
        <v>0.14861111111111111</v>
      </c>
      <c r="U12" s="262"/>
      <c r="V12" s="268">
        <f>(T12-S12)*24*60</f>
        <v>94.000000000000014</v>
      </c>
      <c r="W12" s="13">
        <f>T12</f>
        <v>0.14861111111111111</v>
      </c>
      <c r="X12" s="13">
        <f>S13</f>
        <v>0.16666666666666666</v>
      </c>
      <c r="Y12" s="617"/>
      <c r="Z12" s="617"/>
      <c r="AA12" s="11">
        <f t="shared" si="2"/>
        <v>-65.106382978723559</v>
      </c>
      <c r="AB12" s="263">
        <f t="shared" si="19"/>
        <v>0.95659574468085096</v>
      </c>
      <c r="AC12" s="571">
        <f>AB18</f>
        <v>0.95524401216367449</v>
      </c>
    </row>
    <row r="13" spans="1:29" ht="16.5" customHeight="1">
      <c r="A13" s="642" t="s">
        <v>174</v>
      </c>
      <c r="B13" s="269" t="s">
        <v>40</v>
      </c>
      <c r="C13" s="636" t="s">
        <v>45</v>
      </c>
      <c r="D13" s="636"/>
      <c r="E13" s="26">
        <v>39.619999999999997</v>
      </c>
      <c r="F13" s="269">
        <v>4975</v>
      </c>
      <c r="G13" s="262">
        <f t="shared" si="20"/>
        <v>197109.5</v>
      </c>
      <c r="H13" s="21" t="s">
        <v>35</v>
      </c>
      <c r="I13" s="267">
        <v>19</v>
      </c>
      <c r="J13" s="23">
        <v>1500</v>
      </c>
      <c r="K13" s="9">
        <f>J13/I13</f>
        <v>78.94736842105263</v>
      </c>
      <c r="L13" s="267">
        <v>19</v>
      </c>
      <c r="M13" s="10">
        <f>F13/V13*60</f>
        <v>1428.2296650717703</v>
      </c>
      <c r="N13" s="9">
        <f t="shared" si="21"/>
        <v>75.169982372198433</v>
      </c>
      <c r="O13" s="11">
        <f>L13-I13</f>
        <v>0</v>
      </c>
      <c r="P13" s="12">
        <f>N13-K13</f>
        <v>-3.777386048854197</v>
      </c>
      <c r="Q13" s="263">
        <f>N13/K13</f>
        <v>0.95215311004784686</v>
      </c>
      <c r="R13" s="571"/>
      <c r="S13" s="24">
        <v>0.16666666666666666</v>
      </c>
      <c r="T13" s="24">
        <v>0.31180555555555556</v>
      </c>
      <c r="U13" s="262">
        <f>IF(S13=TIME(17,0,0),"",(S13-T12)*24*60)</f>
        <v>25.999999999999986</v>
      </c>
      <c r="V13" s="268">
        <f>(T13-S13)*24*60</f>
        <v>209</v>
      </c>
      <c r="W13" s="13"/>
      <c r="X13" s="13"/>
      <c r="Y13" s="617"/>
      <c r="Z13" s="617"/>
      <c r="AA13" s="11">
        <f t="shared" si="2"/>
        <v>-71.770334928229659</v>
      </c>
      <c r="AB13" s="263">
        <f t="shared" si="19"/>
        <v>0.95215311004784686</v>
      </c>
      <c r="AC13" s="571"/>
    </row>
    <row r="14" spans="1:29" ht="16.5" customHeight="1">
      <c r="A14" s="642" t="s">
        <v>174</v>
      </c>
      <c r="B14" s="269" t="s">
        <v>46</v>
      </c>
      <c r="C14" s="636" t="s">
        <v>57</v>
      </c>
      <c r="D14" s="636"/>
      <c r="E14" s="26">
        <v>20.52</v>
      </c>
      <c r="F14" s="269">
        <v>3622</v>
      </c>
      <c r="G14" s="262">
        <f t="shared" si="20"/>
        <v>74323.44</v>
      </c>
      <c r="H14" s="21" t="s">
        <v>35</v>
      </c>
      <c r="I14" s="267">
        <v>18</v>
      </c>
      <c r="J14" s="23">
        <v>2400</v>
      </c>
      <c r="K14" s="9">
        <f t="shared" ref="K14:K17" si="24">J14/I14</f>
        <v>133.33333333333334</v>
      </c>
      <c r="L14" s="267">
        <v>18</v>
      </c>
      <c r="M14" s="10">
        <f t="shared" ref="M14:M16" si="25">F14/V14*60</f>
        <v>2287.5789473684213</v>
      </c>
      <c r="N14" s="9">
        <f t="shared" si="21"/>
        <v>127.08771929824563</v>
      </c>
      <c r="O14" s="11">
        <f t="shared" ref="O14:O17" si="26">L14-I14</f>
        <v>0</v>
      </c>
      <c r="P14" s="12">
        <f t="shared" ref="P14:P17" si="27">N14-K14</f>
        <v>-6.2456140350877121</v>
      </c>
      <c r="Q14" s="263">
        <f t="shared" ref="Q14:Q22" si="28">N14/K14</f>
        <v>0.9531578947368422</v>
      </c>
      <c r="R14" s="571"/>
      <c r="S14" s="24">
        <v>0.31527777777777777</v>
      </c>
      <c r="T14" s="24">
        <v>0.38124999999999998</v>
      </c>
      <c r="U14" s="262">
        <f t="shared" ref="U14:U17" si="29">IF(S14=TIME(17,0,0),"",(S14-T13)*24*60)</f>
        <v>4.9999999999999822</v>
      </c>
      <c r="V14" s="268">
        <f t="shared" ref="V14:V17" si="30">(T14-S14)*24*60</f>
        <v>94.999999999999986</v>
      </c>
      <c r="W14" s="13"/>
      <c r="X14" s="13"/>
      <c r="Y14" s="617"/>
      <c r="Z14" s="617"/>
      <c r="AA14" s="11">
        <f t="shared" si="2"/>
        <v>-112.42105263157873</v>
      </c>
      <c r="AB14" s="263">
        <f t="shared" si="19"/>
        <v>0.9531578947368422</v>
      </c>
      <c r="AC14" s="571"/>
    </row>
    <row r="15" spans="1:29" ht="16.5" customHeight="1">
      <c r="A15" s="642" t="s">
        <v>174</v>
      </c>
      <c r="B15" s="269" t="s">
        <v>1182</v>
      </c>
      <c r="C15" s="636" t="s">
        <v>1041</v>
      </c>
      <c r="D15" s="636"/>
      <c r="E15" s="26">
        <v>54.7</v>
      </c>
      <c r="F15" s="269">
        <v>4110</v>
      </c>
      <c r="G15" s="262">
        <f t="shared" si="20"/>
        <v>224817</v>
      </c>
      <c r="H15" s="21" t="s">
        <v>35</v>
      </c>
      <c r="I15" s="267">
        <v>17</v>
      </c>
      <c r="J15" s="23">
        <v>1500</v>
      </c>
      <c r="K15" s="9">
        <f t="shared" si="24"/>
        <v>88.235294117647058</v>
      </c>
      <c r="L15" s="267">
        <v>17</v>
      </c>
      <c r="M15" s="10">
        <f t="shared" si="25"/>
        <v>1433.7209302325577</v>
      </c>
      <c r="N15" s="9">
        <f t="shared" si="21"/>
        <v>84.336525307797515</v>
      </c>
      <c r="O15" s="11">
        <f t="shared" si="26"/>
        <v>0</v>
      </c>
      <c r="P15" s="12">
        <f t="shared" si="27"/>
        <v>-3.8987688098495425</v>
      </c>
      <c r="Q15" s="263">
        <f t="shared" si="28"/>
        <v>0.95581395348837184</v>
      </c>
      <c r="R15" s="571"/>
      <c r="S15" s="24">
        <v>0.38541666666666663</v>
      </c>
      <c r="T15" s="24">
        <v>0.50486111111111109</v>
      </c>
      <c r="U15" s="262">
        <f t="shared" si="29"/>
        <v>5.9999999999999787</v>
      </c>
      <c r="V15" s="268">
        <f t="shared" si="30"/>
        <v>172.00000000000003</v>
      </c>
      <c r="W15" s="13"/>
      <c r="X15" s="13"/>
      <c r="Y15" s="617"/>
      <c r="Z15" s="617"/>
      <c r="AA15" s="11">
        <f t="shared" si="2"/>
        <v>-66.279069767442252</v>
      </c>
      <c r="AB15" s="263">
        <f t="shared" si="19"/>
        <v>0.95581395348837184</v>
      </c>
      <c r="AC15" s="571"/>
    </row>
    <row r="16" spans="1:29" ht="16.5" customHeight="1">
      <c r="A16" s="642" t="s">
        <v>174</v>
      </c>
      <c r="B16" s="269" t="s">
        <v>36</v>
      </c>
      <c r="C16" s="636" t="s">
        <v>49</v>
      </c>
      <c r="D16" s="636"/>
      <c r="E16" s="26">
        <v>50.98</v>
      </c>
      <c r="F16" s="269">
        <v>2927</v>
      </c>
      <c r="G16" s="262">
        <f t="shared" si="20"/>
        <v>149218.46</v>
      </c>
      <c r="H16" s="21" t="s">
        <v>35</v>
      </c>
      <c r="I16" s="267">
        <v>16</v>
      </c>
      <c r="J16" s="23">
        <v>2000</v>
      </c>
      <c r="K16" s="9">
        <f t="shared" si="24"/>
        <v>125</v>
      </c>
      <c r="L16" s="267">
        <v>16</v>
      </c>
      <c r="M16" s="10">
        <f t="shared" si="25"/>
        <v>1908.9130434782608</v>
      </c>
      <c r="N16" s="9">
        <f t="shared" si="21"/>
        <v>119.3070652173913</v>
      </c>
      <c r="O16" s="11">
        <f t="shared" si="26"/>
        <v>0</v>
      </c>
      <c r="P16" s="12">
        <f t="shared" si="27"/>
        <v>-5.6929347826087024</v>
      </c>
      <c r="Q16" s="263">
        <f t="shared" si="28"/>
        <v>0.95445652173913043</v>
      </c>
      <c r="R16" s="571"/>
      <c r="S16" s="24">
        <v>0.70833333333333337</v>
      </c>
      <c r="T16" s="24">
        <v>0.77222222222222225</v>
      </c>
      <c r="U16" s="262" t="str">
        <f t="shared" si="29"/>
        <v/>
      </c>
      <c r="V16" s="268">
        <f t="shared" si="30"/>
        <v>92</v>
      </c>
      <c r="W16" s="13"/>
      <c r="X16" s="13"/>
      <c r="Y16" s="617"/>
      <c r="Z16" s="617"/>
      <c r="AA16" s="11">
        <f t="shared" si="2"/>
        <v>-91.086956521739239</v>
      </c>
      <c r="AB16" s="263">
        <f t="shared" si="19"/>
        <v>0.95445652173913043</v>
      </c>
      <c r="AC16" s="571"/>
    </row>
    <row r="17" spans="1:29" ht="16.5" customHeight="1">
      <c r="A17" s="642" t="s">
        <v>174</v>
      </c>
      <c r="B17" s="269" t="s">
        <v>36</v>
      </c>
      <c r="C17" s="658" t="s">
        <v>50</v>
      </c>
      <c r="D17" s="659"/>
      <c r="E17" s="26">
        <v>50.92</v>
      </c>
      <c r="F17" s="269">
        <v>3262</v>
      </c>
      <c r="G17" s="262">
        <f t="shared" si="20"/>
        <v>166101.04</v>
      </c>
      <c r="H17" s="21" t="s">
        <v>35</v>
      </c>
      <c r="I17" s="267">
        <v>15</v>
      </c>
      <c r="J17" s="23">
        <v>2000</v>
      </c>
      <c r="K17" s="9">
        <f t="shared" si="24"/>
        <v>133.33333333333334</v>
      </c>
      <c r="L17" s="267">
        <v>15</v>
      </c>
      <c r="M17" s="10">
        <f>F17/V17*60</f>
        <v>1918.8235294117655</v>
      </c>
      <c r="N17" s="9">
        <f t="shared" si="21"/>
        <v>127.92156862745104</v>
      </c>
      <c r="O17" s="11">
        <f t="shared" si="26"/>
        <v>0</v>
      </c>
      <c r="P17" s="12">
        <f t="shared" si="27"/>
        <v>-5.4117647058823053</v>
      </c>
      <c r="Q17" s="263">
        <f t="shared" si="28"/>
        <v>0.95941176470588274</v>
      </c>
      <c r="R17" s="571"/>
      <c r="S17" s="24">
        <v>0.77569444444444446</v>
      </c>
      <c r="T17" s="24">
        <v>0.84652777777777777</v>
      </c>
      <c r="U17" s="262">
        <f t="shared" si="29"/>
        <v>4.9999999999999822</v>
      </c>
      <c r="V17" s="268">
        <f t="shared" si="30"/>
        <v>101.99999999999996</v>
      </c>
      <c r="W17" s="13"/>
      <c r="X17" s="13"/>
      <c r="Y17" s="621"/>
      <c r="Z17" s="622"/>
      <c r="AA17" s="11">
        <f t="shared" si="2"/>
        <v>-81.176470588234451</v>
      </c>
      <c r="AB17" s="263">
        <f t="shared" si="19"/>
        <v>0.95941176470588274</v>
      </c>
      <c r="AC17" s="571"/>
    </row>
    <row r="18" spans="1:29" ht="16.5" customHeight="1">
      <c r="A18" s="642" t="s">
        <v>174</v>
      </c>
      <c r="B18" s="26" t="s">
        <v>192</v>
      </c>
      <c r="C18" s="629"/>
      <c r="D18" s="629"/>
      <c r="E18" s="264"/>
      <c r="F18" s="27"/>
      <c r="G18" s="9"/>
      <c r="H18" s="269"/>
      <c r="I18" s="16">
        <v>18.5</v>
      </c>
      <c r="J18" s="23">
        <v>1816.6666666666667</v>
      </c>
      <c r="K18" s="9">
        <f>J18/I18</f>
        <v>98.198198198198199</v>
      </c>
      <c r="L18" s="16">
        <v>18.5</v>
      </c>
      <c r="M18" s="10">
        <f>AVERAGE(M12:M17)</f>
        <v>1735.3599554306754</v>
      </c>
      <c r="N18" s="9">
        <f t="shared" si="21"/>
        <v>93.803240834090559</v>
      </c>
      <c r="O18" s="11">
        <f>L18-I18</f>
        <v>0</v>
      </c>
      <c r="P18" s="12">
        <f>N18-K18</f>
        <v>-4.3949573641076398</v>
      </c>
      <c r="Q18" s="263">
        <f t="shared" si="28"/>
        <v>0.95524401216367449</v>
      </c>
      <c r="R18" s="571"/>
      <c r="S18" s="24"/>
      <c r="T18" s="24"/>
      <c r="U18" s="262"/>
      <c r="V18" s="268"/>
      <c r="W18" s="9"/>
      <c r="X18" s="9"/>
      <c r="Y18" s="617"/>
      <c r="Z18" s="617"/>
      <c r="AA18" s="11">
        <f t="shared" si="2"/>
        <v>-81.306711235991315</v>
      </c>
      <c r="AB18" s="263">
        <f t="shared" si="19"/>
        <v>0.95524401216367449</v>
      </c>
      <c r="AC18" s="571"/>
    </row>
    <row r="19" spans="1:29" ht="15.75" customHeight="1">
      <c r="A19" s="639" t="s">
        <v>1183</v>
      </c>
      <c r="B19" s="26" t="s">
        <v>43</v>
      </c>
      <c r="C19" s="636" t="s">
        <v>51</v>
      </c>
      <c r="D19" s="636"/>
      <c r="E19" s="26">
        <v>43.14</v>
      </c>
      <c r="F19" s="269">
        <v>1469</v>
      </c>
      <c r="G19" s="262">
        <f t="shared" ref="G19:G22" si="31">E19*F19</f>
        <v>63372.66</v>
      </c>
      <c r="H19" s="21" t="s">
        <v>35</v>
      </c>
      <c r="I19" s="267">
        <v>17</v>
      </c>
      <c r="J19" s="23">
        <v>2000</v>
      </c>
      <c r="K19" s="9">
        <f t="shared" ref="K19:K23" si="32">J19/I19</f>
        <v>117.64705882352941</v>
      </c>
      <c r="L19" s="267">
        <v>17</v>
      </c>
      <c r="M19" s="10">
        <f t="shared" ref="M19:M22" si="33">F19/V19*60</f>
        <v>1916.0869565217392</v>
      </c>
      <c r="N19" s="9">
        <f t="shared" si="21"/>
        <v>112.71099744245525</v>
      </c>
      <c r="O19" s="11">
        <f t="shared" ref="O19:O22" si="34">L19-I19</f>
        <v>0</v>
      </c>
      <c r="P19" s="12">
        <f t="shared" ref="P19:P22" si="35">N19-K19</f>
        <v>-4.936061381074154</v>
      </c>
      <c r="Q19" s="263">
        <f t="shared" si="28"/>
        <v>0.95804347826086966</v>
      </c>
      <c r="R19" s="571">
        <f>Q23</f>
        <v>0.95824647642932215</v>
      </c>
      <c r="S19" s="24">
        <v>0.20833333333333334</v>
      </c>
      <c r="T19" s="24">
        <v>0.24027777777777778</v>
      </c>
      <c r="U19" s="262"/>
      <c r="V19" s="268">
        <f>(T19-S19)*24*60</f>
        <v>46</v>
      </c>
      <c r="W19" s="15"/>
      <c r="X19" s="15"/>
      <c r="Y19" s="617"/>
      <c r="Z19" s="617"/>
      <c r="AA19" s="11">
        <f t="shared" si="2"/>
        <v>-83.913043478260761</v>
      </c>
      <c r="AB19" s="263">
        <f t="shared" si="19"/>
        <v>0.95804347826086966</v>
      </c>
      <c r="AC19" s="571">
        <f>AB23</f>
        <v>0.95824647642932215</v>
      </c>
    </row>
    <row r="20" spans="1:29" ht="15.75" customHeight="1">
      <c r="A20" s="640" t="s">
        <v>1183</v>
      </c>
      <c r="B20" s="26" t="s">
        <v>36</v>
      </c>
      <c r="C20" s="636" t="s">
        <v>53</v>
      </c>
      <c r="D20" s="636"/>
      <c r="E20" s="26">
        <v>53.68</v>
      </c>
      <c r="F20" s="269">
        <v>2015</v>
      </c>
      <c r="G20" s="262">
        <f t="shared" si="31"/>
        <v>108165.2</v>
      </c>
      <c r="H20" s="21" t="s">
        <v>35</v>
      </c>
      <c r="I20" s="267">
        <v>16</v>
      </c>
      <c r="J20" s="23">
        <v>2000</v>
      </c>
      <c r="K20" s="9">
        <f t="shared" si="32"/>
        <v>125</v>
      </c>
      <c r="L20" s="267">
        <v>16</v>
      </c>
      <c r="M20" s="10">
        <f t="shared" si="33"/>
        <v>1919.0476190476186</v>
      </c>
      <c r="N20" s="9">
        <f t="shared" si="21"/>
        <v>119.94047619047616</v>
      </c>
      <c r="O20" s="11">
        <f t="shared" si="34"/>
        <v>0</v>
      </c>
      <c r="P20" s="12">
        <f t="shared" si="35"/>
        <v>-5.0595238095238386</v>
      </c>
      <c r="Q20" s="263">
        <f t="shared" si="28"/>
        <v>0.95952380952380933</v>
      </c>
      <c r="R20" s="571"/>
      <c r="S20" s="24">
        <v>0.24583333333333335</v>
      </c>
      <c r="T20" s="24">
        <v>0.28958333333333336</v>
      </c>
      <c r="U20" s="262">
        <f>IF(S20=TIME(17,0,0),"",(S20-T19)*24*60)</f>
        <v>8.0000000000000107</v>
      </c>
      <c r="V20" s="268">
        <f t="shared" ref="V20:V22" si="36">(T20-S20)*24*60</f>
        <v>63.000000000000014</v>
      </c>
      <c r="W20" s="13"/>
      <c r="X20" s="262"/>
      <c r="Y20" s="617"/>
      <c r="Z20" s="617"/>
      <c r="AA20" s="11">
        <f t="shared" si="2"/>
        <v>-80.952380952381418</v>
      </c>
      <c r="AB20" s="263">
        <f t="shared" si="19"/>
        <v>0.95952380952380933</v>
      </c>
      <c r="AC20" s="571"/>
    </row>
    <row r="21" spans="1:29" ht="15.75" customHeight="1">
      <c r="A21" s="640" t="s">
        <v>1184</v>
      </c>
      <c r="B21" s="26" t="s">
        <v>36</v>
      </c>
      <c r="C21" s="636" t="s">
        <v>52</v>
      </c>
      <c r="D21" s="636"/>
      <c r="E21" s="26">
        <v>57.73</v>
      </c>
      <c r="F21" s="269">
        <v>3273</v>
      </c>
      <c r="G21" s="262">
        <f t="shared" si="31"/>
        <v>188950.28999999998</v>
      </c>
      <c r="H21" s="21" t="s">
        <v>35</v>
      </c>
      <c r="I21" s="267">
        <v>15</v>
      </c>
      <c r="J21" s="23">
        <v>2000</v>
      </c>
      <c r="K21" s="9">
        <f t="shared" si="32"/>
        <v>133.33333333333334</v>
      </c>
      <c r="L21" s="267">
        <v>15</v>
      </c>
      <c r="M21" s="10">
        <f t="shared" si="33"/>
        <v>1906.6019417475723</v>
      </c>
      <c r="N21" s="9">
        <f t="shared" si="21"/>
        <v>127.10679611650481</v>
      </c>
      <c r="O21" s="11">
        <f t="shared" si="34"/>
        <v>0</v>
      </c>
      <c r="P21" s="12">
        <f t="shared" si="35"/>
        <v>-6.2265372168285325</v>
      </c>
      <c r="Q21" s="263">
        <f t="shared" si="28"/>
        <v>0.95330097087378596</v>
      </c>
      <c r="R21" s="571"/>
      <c r="S21" s="24">
        <v>0.29305555555555557</v>
      </c>
      <c r="T21" s="24">
        <v>0.36458333333333337</v>
      </c>
      <c r="U21" s="262">
        <f t="shared" ref="U21:U22" si="37">IF(S21=TIME(17,0,0),"",(S21-T20)*24*60)</f>
        <v>4.9999999999999822</v>
      </c>
      <c r="V21" s="268">
        <f t="shared" si="36"/>
        <v>103.00000000000003</v>
      </c>
      <c r="W21" s="13"/>
      <c r="X21" s="262"/>
      <c r="Y21" s="617"/>
      <c r="Z21" s="617"/>
      <c r="AA21" s="11">
        <f t="shared" si="2"/>
        <v>-93.398058252427745</v>
      </c>
      <c r="AB21" s="263">
        <f t="shared" si="19"/>
        <v>0.95330097087378618</v>
      </c>
      <c r="AC21" s="571"/>
    </row>
    <row r="22" spans="1:29" ht="15.75" customHeight="1">
      <c r="A22" s="640" t="s">
        <v>1183</v>
      </c>
      <c r="B22" s="26" t="s">
        <v>36</v>
      </c>
      <c r="C22" s="636" t="s">
        <v>55</v>
      </c>
      <c r="D22" s="636"/>
      <c r="E22" s="26">
        <v>54.09</v>
      </c>
      <c r="F22" s="269">
        <v>2726</v>
      </c>
      <c r="G22" s="262">
        <f t="shared" si="31"/>
        <v>147449.34</v>
      </c>
      <c r="H22" s="21" t="s">
        <v>35</v>
      </c>
      <c r="I22" s="267">
        <v>19</v>
      </c>
      <c r="J22" s="23">
        <v>2000</v>
      </c>
      <c r="K22" s="9">
        <f t="shared" si="32"/>
        <v>105.26315789473684</v>
      </c>
      <c r="L22" s="267">
        <v>19</v>
      </c>
      <c r="M22" s="10">
        <f t="shared" si="33"/>
        <v>1924.2352941176466</v>
      </c>
      <c r="N22" s="9">
        <f t="shared" si="21"/>
        <v>101.27554179566562</v>
      </c>
      <c r="O22" s="11">
        <f t="shared" si="34"/>
        <v>0</v>
      </c>
      <c r="P22" s="12">
        <f t="shared" si="35"/>
        <v>-3.9876160990712179</v>
      </c>
      <c r="Q22" s="263">
        <f t="shared" si="28"/>
        <v>0.96211764705882341</v>
      </c>
      <c r="R22" s="571"/>
      <c r="S22" s="24">
        <v>0.70833333333333337</v>
      </c>
      <c r="T22" s="24">
        <v>0.76736111111111116</v>
      </c>
      <c r="U22" s="262" t="str">
        <f t="shared" si="37"/>
        <v/>
      </c>
      <c r="V22" s="268">
        <f t="shared" si="36"/>
        <v>85.000000000000014</v>
      </c>
      <c r="W22" s="13"/>
      <c r="X22" s="262"/>
      <c r="Y22" s="617"/>
      <c r="Z22" s="617"/>
      <c r="AA22" s="11">
        <f t="shared" si="2"/>
        <v>-75.764705882353383</v>
      </c>
      <c r="AB22" s="263">
        <f t="shared" si="19"/>
        <v>0.9621176470588233</v>
      </c>
      <c r="AC22" s="571"/>
    </row>
    <row r="23" spans="1:29" ht="15.75" customHeight="1">
      <c r="A23" s="640" t="s">
        <v>1183</v>
      </c>
      <c r="B23" s="26" t="s">
        <v>192</v>
      </c>
      <c r="C23" s="629"/>
      <c r="D23" s="629"/>
      <c r="E23" s="264"/>
      <c r="F23" s="269"/>
      <c r="G23" s="262"/>
      <c r="H23" s="269"/>
      <c r="I23" s="16">
        <v>16.75</v>
      </c>
      <c r="J23" s="23">
        <v>2000</v>
      </c>
      <c r="K23" s="9">
        <f t="shared" si="32"/>
        <v>119.40298507462687</v>
      </c>
      <c r="L23" s="16">
        <v>16.75</v>
      </c>
      <c r="M23" s="10">
        <f>AVERAGE(M19:M22)</f>
        <v>1916.4929528586442</v>
      </c>
      <c r="N23" s="9">
        <f>M23/L23</f>
        <v>114.41748972290414</v>
      </c>
      <c r="O23" s="11">
        <f>L23-I23</f>
        <v>0</v>
      </c>
      <c r="P23" s="12">
        <f>N23-K23</f>
        <v>-4.9854953517227329</v>
      </c>
      <c r="Q23" s="263">
        <f>N23/K23</f>
        <v>0.95824647642932215</v>
      </c>
      <c r="R23" s="571"/>
      <c r="S23" s="24"/>
      <c r="T23" s="24"/>
      <c r="U23" s="9"/>
      <c r="V23" s="268"/>
      <c r="W23" s="9"/>
      <c r="X23" s="9"/>
      <c r="Y23" s="617"/>
      <c r="Z23" s="617"/>
      <c r="AA23" s="11">
        <f t="shared" si="2"/>
        <v>-83.50704714135577</v>
      </c>
      <c r="AB23" s="263">
        <f t="shared" si="19"/>
        <v>0.95824647642932215</v>
      </c>
      <c r="AC23" s="571"/>
    </row>
    <row r="24" spans="1:29" ht="15.75" customHeight="1">
      <c r="A24" s="635" t="s">
        <v>1185</v>
      </c>
      <c r="B24" s="26" t="s">
        <v>46</v>
      </c>
      <c r="C24" s="636" t="s">
        <v>60</v>
      </c>
      <c r="D24" s="636"/>
      <c r="E24" s="26">
        <v>26.2</v>
      </c>
      <c r="F24" s="269">
        <v>5130</v>
      </c>
      <c r="G24" s="262">
        <f t="shared" ref="G24:G31" si="38">E24*F24</f>
        <v>134406</v>
      </c>
      <c r="H24" s="21" t="s">
        <v>35</v>
      </c>
      <c r="I24" s="267">
        <v>19</v>
      </c>
      <c r="J24" s="23">
        <v>2400</v>
      </c>
      <c r="K24" s="9">
        <f>J24/I24</f>
        <v>126.31578947368421</v>
      </c>
      <c r="L24" s="267">
        <v>19</v>
      </c>
      <c r="M24" s="10">
        <f t="shared" ref="M24:M31" si="39">F24/V24*60</f>
        <v>2297.0149253731347</v>
      </c>
      <c r="N24" s="9">
        <f t="shared" ref="N24:N31" si="40">M24/L24</f>
        <v>120.89552238805972</v>
      </c>
      <c r="O24" s="11">
        <f t="shared" ref="O24:O31" si="41">L24-I24</f>
        <v>0</v>
      </c>
      <c r="P24" s="12">
        <f t="shared" ref="P24:P31" si="42">N24-K24</f>
        <v>-5.4202670856244879</v>
      </c>
      <c r="Q24" s="263">
        <f t="shared" ref="Q24:Q29" si="43">N24/K24</f>
        <v>0.9570895522388061</v>
      </c>
      <c r="R24" s="571">
        <f>Q32</f>
        <v>0.95718065595466661</v>
      </c>
      <c r="S24" s="24">
        <v>8.3333333333333329E-2</v>
      </c>
      <c r="T24" s="24">
        <v>0.17638888888888887</v>
      </c>
      <c r="U24" s="262"/>
      <c r="V24" s="268">
        <f t="shared" ref="V24:V31" si="44">(T24-S24)*24*60</f>
        <v>133.99999999999997</v>
      </c>
      <c r="W24" s="13">
        <f>T24</f>
        <v>0.17638888888888887</v>
      </c>
      <c r="X24" s="13">
        <f>S25</f>
        <v>0.19652777777777777</v>
      </c>
      <c r="Y24" s="617"/>
      <c r="Z24" s="617"/>
      <c r="AA24" s="11">
        <f t="shared" si="2"/>
        <v>-102.9850746268653</v>
      </c>
      <c r="AB24" s="263">
        <f>M24/J24</f>
        <v>0.9570895522388061</v>
      </c>
      <c r="AC24" s="571">
        <f>AB32</f>
        <v>0.95718065595466673</v>
      </c>
    </row>
    <row r="25" spans="1:29" ht="15.75" customHeight="1">
      <c r="A25" s="635" t="s">
        <v>1186</v>
      </c>
      <c r="B25" s="26" t="s">
        <v>46</v>
      </c>
      <c r="C25" s="636" t="s">
        <v>61</v>
      </c>
      <c r="D25" s="636"/>
      <c r="E25" s="26">
        <v>31.29</v>
      </c>
      <c r="F25" s="269">
        <v>5000</v>
      </c>
      <c r="G25" s="262">
        <f t="shared" si="38"/>
        <v>156450</v>
      </c>
      <c r="H25" s="21">
        <v>2</v>
      </c>
      <c r="I25" s="267">
        <v>18</v>
      </c>
      <c r="J25" s="23">
        <v>2400</v>
      </c>
      <c r="K25" s="9">
        <f t="shared" ref="K25:K32" si="45">J25/I25</f>
        <v>133.33333333333334</v>
      </c>
      <c r="L25" s="267">
        <v>18</v>
      </c>
      <c r="M25" s="10">
        <f t="shared" si="39"/>
        <v>2290.0763358778631</v>
      </c>
      <c r="N25" s="9">
        <f t="shared" si="40"/>
        <v>127.22646310432573</v>
      </c>
      <c r="O25" s="11">
        <f t="shared" si="41"/>
        <v>0</v>
      </c>
      <c r="P25" s="12">
        <f t="shared" si="42"/>
        <v>-6.1068702290076118</v>
      </c>
      <c r="Q25" s="263">
        <f t="shared" si="43"/>
        <v>0.95419847328244289</v>
      </c>
      <c r="R25" s="571"/>
      <c r="S25" s="24">
        <v>0.19652777777777777</v>
      </c>
      <c r="T25" s="24">
        <v>0.28749999999999998</v>
      </c>
      <c r="U25" s="262">
        <f>(S25-T24)*24*60</f>
        <v>29.000000000000018</v>
      </c>
      <c r="V25" s="268">
        <f t="shared" si="44"/>
        <v>130.99999999999997</v>
      </c>
      <c r="W25" s="13"/>
      <c r="X25" s="13"/>
      <c r="Y25" s="617"/>
      <c r="Z25" s="617"/>
      <c r="AA25" s="11">
        <f t="shared" si="2"/>
        <v>-109.92366412213687</v>
      </c>
      <c r="AB25" s="263">
        <f t="shared" ref="AB25:AB31" si="46">M25/J25</f>
        <v>0.954198473282443</v>
      </c>
      <c r="AC25" s="571"/>
    </row>
    <row r="26" spans="1:29" ht="15.75" customHeight="1">
      <c r="A26" s="635" t="s">
        <v>1186</v>
      </c>
      <c r="B26" s="26" t="s">
        <v>46</v>
      </c>
      <c r="C26" s="636" t="s">
        <v>59</v>
      </c>
      <c r="D26" s="636"/>
      <c r="E26" s="26">
        <v>26.18</v>
      </c>
      <c r="F26" s="269">
        <v>4304</v>
      </c>
      <c r="G26" s="262">
        <f t="shared" si="38"/>
        <v>112678.72</v>
      </c>
      <c r="H26" s="21" t="s">
        <v>35</v>
      </c>
      <c r="I26" s="267">
        <v>19</v>
      </c>
      <c r="J26" s="23">
        <v>2400</v>
      </c>
      <c r="K26" s="9">
        <f t="shared" si="45"/>
        <v>126.31578947368421</v>
      </c>
      <c r="L26" s="267">
        <v>19</v>
      </c>
      <c r="M26" s="10">
        <f t="shared" si="39"/>
        <v>2285.3097345132742</v>
      </c>
      <c r="N26" s="9">
        <f t="shared" si="40"/>
        <v>120.27945971122496</v>
      </c>
      <c r="O26" s="11">
        <f t="shared" si="41"/>
        <v>0</v>
      </c>
      <c r="P26" s="12">
        <f t="shared" si="42"/>
        <v>-6.0363297624592462</v>
      </c>
      <c r="Q26" s="263">
        <f t="shared" si="43"/>
        <v>0.95221238938053099</v>
      </c>
      <c r="R26" s="571"/>
      <c r="S26" s="24">
        <v>0.29166666666666663</v>
      </c>
      <c r="T26" s="24">
        <v>0.37013888888888885</v>
      </c>
      <c r="U26" s="262">
        <f t="shared" ref="U26:U31" si="47">(S26-T25)*24*60</f>
        <v>5.9999999999999787</v>
      </c>
      <c r="V26" s="268">
        <f t="shared" si="44"/>
        <v>113</v>
      </c>
      <c r="W26" s="13"/>
      <c r="X26" s="13"/>
      <c r="Y26" s="617"/>
      <c r="Z26" s="617"/>
      <c r="AA26" s="11">
        <f t="shared" si="2"/>
        <v>-114.69026548672582</v>
      </c>
      <c r="AB26" s="263">
        <f t="shared" si="46"/>
        <v>0.95221238938053088</v>
      </c>
      <c r="AC26" s="571"/>
    </row>
    <row r="27" spans="1:29" ht="15.75" customHeight="1">
      <c r="A27" s="635" t="s">
        <v>1185</v>
      </c>
      <c r="B27" s="26" t="s">
        <v>46</v>
      </c>
      <c r="C27" s="636" t="s">
        <v>56</v>
      </c>
      <c r="D27" s="636"/>
      <c r="E27" s="26">
        <v>26.2</v>
      </c>
      <c r="F27" s="269">
        <v>3500</v>
      </c>
      <c r="G27" s="262">
        <f t="shared" si="38"/>
        <v>91700</v>
      </c>
      <c r="H27" s="21">
        <v>2</v>
      </c>
      <c r="I27" s="267">
        <v>20</v>
      </c>
      <c r="J27" s="23">
        <v>2400</v>
      </c>
      <c r="K27" s="9">
        <f t="shared" si="45"/>
        <v>120</v>
      </c>
      <c r="L27" s="267">
        <v>20</v>
      </c>
      <c r="M27" s="10">
        <f t="shared" si="39"/>
        <v>2307.6923076923076</v>
      </c>
      <c r="N27" s="9">
        <f t="shared" si="40"/>
        <v>115.38461538461539</v>
      </c>
      <c r="O27" s="11">
        <f t="shared" si="41"/>
        <v>0</v>
      </c>
      <c r="P27" s="12">
        <f t="shared" si="42"/>
        <v>-4.6153846153846132</v>
      </c>
      <c r="Q27" s="263">
        <f t="shared" si="43"/>
        <v>0.96153846153846156</v>
      </c>
      <c r="R27" s="571"/>
      <c r="S27" s="24">
        <v>0.37499999999999994</v>
      </c>
      <c r="T27" s="24">
        <v>0.43819444444444439</v>
      </c>
      <c r="U27" s="262">
        <f t="shared" si="47"/>
        <v>6.9999999999999751</v>
      </c>
      <c r="V27" s="268">
        <f t="shared" si="44"/>
        <v>91</v>
      </c>
      <c r="W27" s="13"/>
      <c r="X27" s="13"/>
      <c r="Y27" s="617"/>
      <c r="Z27" s="617"/>
      <c r="AA27" s="11">
        <f t="shared" si="2"/>
        <v>-92.307692307692378</v>
      </c>
      <c r="AB27" s="263">
        <f t="shared" si="46"/>
        <v>0.96153846153846156</v>
      </c>
      <c r="AC27" s="571"/>
    </row>
    <row r="28" spans="1:29" ht="15.75" customHeight="1">
      <c r="A28" s="635" t="s">
        <v>1186</v>
      </c>
      <c r="B28" s="26" t="s">
        <v>46</v>
      </c>
      <c r="C28" s="636" t="s">
        <v>62</v>
      </c>
      <c r="D28" s="636"/>
      <c r="E28" s="26">
        <v>25</v>
      </c>
      <c r="F28" s="269">
        <v>2800</v>
      </c>
      <c r="G28" s="262">
        <f t="shared" si="38"/>
        <v>70000</v>
      </c>
      <c r="H28" s="21">
        <v>2</v>
      </c>
      <c r="I28" s="267">
        <v>15</v>
      </c>
      <c r="J28" s="23">
        <v>2400</v>
      </c>
      <c r="K28" s="9">
        <f t="shared" si="45"/>
        <v>160</v>
      </c>
      <c r="L28" s="267">
        <v>15</v>
      </c>
      <c r="M28" s="10">
        <f t="shared" si="39"/>
        <v>2301.3698630136987</v>
      </c>
      <c r="N28" s="9">
        <f t="shared" si="40"/>
        <v>153.42465753424659</v>
      </c>
      <c r="O28" s="11">
        <f t="shared" si="41"/>
        <v>0</v>
      </c>
      <c r="P28" s="12">
        <f t="shared" si="42"/>
        <v>-6.5753424657534083</v>
      </c>
      <c r="Q28" s="263">
        <f t="shared" si="43"/>
        <v>0.95890410958904115</v>
      </c>
      <c r="R28" s="571"/>
      <c r="S28" s="24">
        <v>0.44305555555555548</v>
      </c>
      <c r="T28" s="24">
        <v>0.49374999999999991</v>
      </c>
      <c r="U28" s="262">
        <f t="shared" si="47"/>
        <v>6.9999999999999751</v>
      </c>
      <c r="V28" s="268">
        <f t="shared" si="44"/>
        <v>72.999999999999986</v>
      </c>
      <c r="W28" s="13">
        <f>T28</f>
        <v>0.49374999999999991</v>
      </c>
      <c r="X28" s="13">
        <f>S29</f>
        <v>0.53402777777777766</v>
      </c>
      <c r="Y28" s="617"/>
      <c r="Z28" s="617"/>
      <c r="AA28" s="11">
        <f t="shared" si="2"/>
        <v>-98.630136986301295</v>
      </c>
      <c r="AB28" s="263">
        <f t="shared" si="46"/>
        <v>0.95890410958904115</v>
      </c>
      <c r="AC28" s="571"/>
    </row>
    <row r="29" spans="1:29" ht="15.75" customHeight="1">
      <c r="A29" s="635" t="s">
        <v>1185</v>
      </c>
      <c r="B29" s="26" t="s">
        <v>46</v>
      </c>
      <c r="C29" s="636" t="s">
        <v>61</v>
      </c>
      <c r="D29" s="636"/>
      <c r="E29" s="26">
        <v>31.29</v>
      </c>
      <c r="F29" s="269">
        <v>5993</v>
      </c>
      <c r="G29" s="262">
        <f t="shared" si="38"/>
        <v>187520.97</v>
      </c>
      <c r="H29" s="21" t="s">
        <v>35</v>
      </c>
      <c r="I29" s="267">
        <v>18</v>
      </c>
      <c r="J29" s="23">
        <v>2400</v>
      </c>
      <c r="K29" s="9">
        <f t="shared" si="45"/>
        <v>133.33333333333334</v>
      </c>
      <c r="L29" s="267">
        <v>18</v>
      </c>
      <c r="M29" s="10">
        <f t="shared" si="39"/>
        <v>2290.3184713375781</v>
      </c>
      <c r="N29" s="9">
        <f t="shared" si="40"/>
        <v>127.23991507430989</v>
      </c>
      <c r="O29" s="11">
        <f t="shared" si="41"/>
        <v>0</v>
      </c>
      <c r="P29" s="12">
        <f t="shared" si="42"/>
        <v>-6.0934182590234514</v>
      </c>
      <c r="Q29" s="263">
        <f t="shared" si="43"/>
        <v>0.9542993630573241</v>
      </c>
      <c r="R29" s="571"/>
      <c r="S29" s="24">
        <v>0.53402777777777766</v>
      </c>
      <c r="T29" s="24">
        <v>0.64305555555555549</v>
      </c>
      <c r="U29" s="262">
        <f t="shared" si="47"/>
        <v>57.999999999999957</v>
      </c>
      <c r="V29" s="268">
        <f t="shared" si="44"/>
        <v>157.00000000000009</v>
      </c>
      <c r="W29" s="13"/>
      <c r="X29" s="13"/>
      <c r="Y29" s="617"/>
      <c r="Z29" s="617"/>
      <c r="AA29" s="11">
        <f t="shared" si="2"/>
        <v>-109.6815286624219</v>
      </c>
      <c r="AB29" s="263">
        <f t="shared" si="46"/>
        <v>0.95429936305732421</v>
      </c>
      <c r="AC29" s="571"/>
    </row>
    <row r="30" spans="1:29" ht="15.75" customHeight="1">
      <c r="A30" s="635" t="s">
        <v>1186</v>
      </c>
      <c r="B30" s="26" t="s">
        <v>46</v>
      </c>
      <c r="C30" s="636" t="s">
        <v>62</v>
      </c>
      <c r="D30" s="636"/>
      <c r="E30" s="26">
        <v>25</v>
      </c>
      <c r="F30" s="269">
        <v>2415</v>
      </c>
      <c r="G30" s="262">
        <f t="shared" si="38"/>
        <v>60375</v>
      </c>
      <c r="H30" s="21" t="s">
        <v>35</v>
      </c>
      <c r="I30" s="267">
        <v>15</v>
      </c>
      <c r="J30" s="23">
        <v>2400</v>
      </c>
      <c r="K30" s="9">
        <f t="shared" si="45"/>
        <v>160</v>
      </c>
      <c r="L30" s="267">
        <v>15</v>
      </c>
      <c r="M30" s="10">
        <f t="shared" si="39"/>
        <v>2300.0000000000023</v>
      </c>
      <c r="N30" s="9">
        <f t="shared" si="40"/>
        <v>153.33333333333348</v>
      </c>
      <c r="O30" s="11">
        <f t="shared" si="41"/>
        <v>0</v>
      </c>
      <c r="P30" s="12">
        <f t="shared" si="42"/>
        <v>-6.6666666666665151</v>
      </c>
      <c r="Q30" s="263">
        <f>N30/K30</f>
        <v>0.95833333333333426</v>
      </c>
      <c r="R30" s="571"/>
      <c r="S30" s="24">
        <v>0.64791666666666659</v>
      </c>
      <c r="T30" s="24">
        <v>0.69166666666666654</v>
      </c>
      <c r="U30" s="262">
        <f t="shared" si="47"/>
        <v>6.9999999999999751</v>
      </c>
      <c r="V30" s="268">
        <f t="shared" si="44"/>
        <v>62.999999999999936</v>
      </c>
      <c r="W30" s="13"/>
      <c r="X30" s="13"/>
      <c r="Y30" s="617"/>
      <c r="Z30" s="617"/>
      <c r="AA30" s="11">
        <f t="shared" si="2"/>
        <v>-99.999999999997726</v>
      </c>
      <c r="AB30" s="263">
        <f t="shared" si="46"/>
        <v>0.95833333333333426</v>
      </c>
      <c r="AC30" s="571"/>
    </row>
    <row r="31" spans="1:29" ht="15.75" customHeight="1">
      <c r="A31" s="635" t="s">
        <v>1185</v>
      </c>
      <c r="B31" s="26" t="s">
        <v>46</v>
      </c>
      <c r="C31" s="636" t="s">
        <v>56</v>
      </c>
      <c r="D31" s="636"/>
      <c r="E31" s="26">
        <v>26.2</v>
      </c>
      <c r="F31" s="269">
        <v>2652</v>
      </c>
      <c r="G31" s="262">
        <f t="shared" si="38"/>
        <v>69482.399999999994</v>
      </c>
      <c r="H31" s="21" t="s">
        <v>35</v>
      </c>
      <c r="I31" s="267">
        <v>20</v>
      </c>
      <c r="J31" s="23">
        <v>2400</v>
      </c>
      <c r="K31" s="9">
        <f t="shared" si="45"/>
        <v>120</v>
      </c>
      <c r="L31" s="267">
        <v>20</v>
      </c>
      <c r="M31" s="10">
        <f t="shared" si="39"/>
        <v>2306.0869565217417</v>
      </c>
      <c r="N31" s="9">
        <f t="shared" si="40"/>
        <v>115.30434782608708</v>
      </c>
      <c r="O31" s="11">
        <f t="shared" si="41"/>
        <v>0</v>
      </c>
      <c r="P31" s="12">
        <f t="shared" si="42"/>
        <v>-4.6956521739129187</v>
      </c>
      <c r="Q31" s="263">
        <f>N31/K31</f>
        <v>0.96086956521739231</v>
      </c>
      <c r="R31" s="571"/>
      <c r="S31" s="24">
        <v>0.69652777777777763</v>
      </c>
      <c r="T31" s="24">
        <v>0.74444444444444424</v>
      </c>
      <c r="U31" s="262">
        <f t="shared" si="47"/>
        <v>6.9999999999999751</v>
      </c>
      <c r="V31" s="268">
        <f t="shared" si="44"/>
        <v>68.999999999999915</v>
      </c>
      <c r="W31" s="13"/>
      <c r="X31" s="13"/>
      <c r="Y31" s="617"/>
      <c r="Z31" s="617"/>
      <c r="AA31" s="11">
        <f t="shared" si="2"/>
        <v>-93.91304347825826</v>
      </c>
      <c r="AB31" s="263">
        <f t="shared" si="46"/>
        <v>0.96086956521739242</v>
      </c>
      <c r="AC31" s="571"/>
    </row>
    <row r="32" spans="1:29" ht="15.75" customHeight="1">
      <c r="A32" s="635" t="s">
        <v>1185</v>
      </c>
      <c r="B32" s="26" t="s">
        <v>192</v>
      </c>
      <c r="C32" s="629"/>
      <c r="D32" s="629"/>
      <c r="E32" s="264"/>
      <c r="F32" s="269"/>
      <c r="G32" s="262"/>
      <c r="H32" s="269"/>
      <c r="I32" s="16">
        <v>18</v>
      </c>
      <c r="J32" s="23">
        <v>2400</v>
      </c>
      <c r="K32" s="9">
        <f t="shared" si="45"/>
        <v>133.33333333333334</v>
      </c>
      <c r="L32" s="16">
        <v>18</v>
      </c>
      <c r="M32" s="10">
        <f>AVERAGE(M24:M31)</f>
        <v>2297.2335742912001</v>
      </c>
      <c r="N32" s="9">
        <f>M32/L32</f>
        <v>127.62408746062222</v>
      </c>
      <c r="O32" s="11">
        <f>L32-I32</f>
        <v>0</v>
      </c>
      <c r="P32" s="12">
        <f>N32-K32</f>
        <v>-5.7092458727111222</v>
      </c>
      <c r="Q32" s="263">
        <f>N32/K32</f>
        <v>0.95718065595466661</v>
      </c>
      <c r="R32" s="571"/>
      <c r="S32" s="24"/>
      <c r="T32" s="24"/>
      <c r="U32" s="262"/>
      <c r="V32" s="268"/>
      <c r="W32" s="262"/>
      <c r="X32" s="262"/>
      <c r="Y32" s="617"/>
      <c r="Z32" s="617"/>
      <c r="AA32" s="11">
        <f t="shared" si="2"/>
        <v>-102.76642570879994</v>
      </c>
      <c r="AB32" s="263">
        <f>M32/J32</f>
        <v>0.95718065595466673</v>
      </c>
      <c r="AC32" s="571"/>
    </row>
    <row r="33" spans="1:29" ht="15.75" customHeight="1">
      <c r="A33" s="637" t="s">
        <v>1187</v>
      </c>
      <c r="B33" s="26" t="s">
        <v>46</v>
      </c>
      <c r="C33" s="616" t="s">
        <v>63</v>
      </c>
      <c r="D33" s="616"/>
      <c r="E33" s="26">
        <v>26.2</v>
      </c>
      <c r="F33" s="269">
        <v>4800</v>
      </c>
      <c r="G33" s="262">
        <f t="shared" ref="G33:G40" si="48">E33*F33</f>
        <v>125760</v>
      </c>
      <c r="H33" s="21">
        <v>2</v>
      </c>
      <c r="I33" s="267">
        <v>18</v>
      </c>
      <c r="J33" s="23">
        <v>2400</v>
      </c>
      <c r="K33" s="9">
        <f>J33/I33</f>
        <v>133.33333333333334</v>
      </c>
      <c r="L33" s="267">
        <v>18</v>
      </c>
      <c r="M33" s="10">
        <f>F33/V33*60</f>
        <v>2285.7142857142858</v>
      </c>
      <c r="N33" s="9">
        <f>M33/L33</f>
        <v>126.98412698412699</v>
      </c>
      <c r="O33" s="11">
        <f t="shared" ref="O33:O40" si="49">L33-I33</f>
        <v>0</v>
      </c>
      <c r="P33" s="12">
        <f t="shared" ref="P33:P48" si="50">N33-K33</f>
        <v>-6.3492063492063551</v>
      </c>
      <c r="Q33" s="263">
        <f t="shared" ref="Q33:Q45" si="51">N33/K33</f>
        <v>0.95238095238095233</v>
      </c>
      <c r="R33" s="571">
        <f>Q41</f>
        <v>0.95534563797264582</v>
      </c>
      <c r="S33" s="24">
        <v>8.3333333333333329E-2</v>
      </c>
      <c r="T33" s="24">
        <v>0.17083333333333334</v>
      </c>
      <c r="U33" s="262"/>
      <c r="V33" s="268">
        <f t="shared" ref="V33:V40" si="52">(T33-S33)*24*60</f>
        <v>126</v>
      </c>
      <c r="W33" s="15">
        <f>T33</f>
        <v>0.17083333333333334</v>
      </c>
      <c r="X33" s="15">
        <f>S34</f>
        <v>0.18819444444444441</v>
      </c>
      <c r="Y33" s="617"/>
      <c r="Z33" s="617"/>
      <c r="AA33" s="11">
        <f t="shared" si="2"/>
        <v>-114.28571428571422</v>
      </c>
      <c r="AB33" s="263">
        <f>M33/J33</f>
        <v>0.95238095238095244</v>
      </c>
      <c r="AC33" s="571">
        <f>AB41</f>
        <v>0.95534563797264582</v>
      </c>
    </row>
    <row r="34" spans="1:29" ht="15.75" customHeight="1">
      <c r="A34" s="637" t="s">
        <v>1187</v>
      </c>
      <c r="B34" s="26" t="s">
        <v>46</v>
      </c>
      <c r="C34" s="616" t="s">
        <v>64</v>
      </c>
      <c r="D34" s="616"/>
      <c r="E34" s="26">
        <v>26.39</v>
      </c>
      <c r="F34" s="269">
        <v>4700</v>
      </c>
      <c r="G34" s="262">
        <f t="shared" si="48"/>
        <v>124033</v>
      </c>
      <c r="H34" s="21">
        <v>2</v>
      </c>
      <c r="I34" s="267">
        <v>19</v>
      </c>
      <c r="J34" s="23">
        <v>2400</v>
      </c>
      <c r="K34" s="9">
        <f t="shared" ref="K34:K47" si="53">J34/I34</f>
        <v>126.31578947368421</v>
      </c>
      <c r="L34" s="267">
        <v>19</v>
      </c>
      <c r="M34" s="10">
        <f t="shared" ref="M34:M40" si="54">F34/V34*60</f>
        <v>2292.6829268292686</v>
      </c>
      <c r="N34" s="9">
        <f t="shared" ref="N34:N40" si="55">M34/L34</f>
        <v>120.66752246469835</v>
      </c>
      <c r="O34" s="11">
        <f t="shared" si="49"/>
        <v>0</v>
      </c>
      <c r="P34" s="12">
        <f t="shared" si="50"/>
        <v>-5.6482670089858544</v>
      </c>
      <c r="Q34" s="263">
        <f t="shared" si="51"/>
        <v>0.9552845528455286</v>
      </c>
      <c r="R34" s="571"/>
      <c r="S34" s="24">
        <v>0.18819444444444441</v>
      </c>
      <c r="T34" s="24">
        <v>0.27361111111111108</v>
      </c>
      <c r="U34" s="262">
        <f>(S34-T33)*24*60</f>
        <v>24.99999999999995</v>
      </c>
      <c r="V34" s="268">
        <f t="shared" si="52"/>
        <v>122.99999999999999</v>
      </c>
      <c r="W34" s="262"/>
      <c r="X34" s="262"/>
      <c r="Y34" s="617"/>
      <c r="Z34" s="617"/>
      <c r="AA34" s="11">
        <f t="shared" si="2"/>
        <v>-107.31707317073142</v>
      </c>
      <c r="AB34" s="263">
        <f t="shared" ref="AB34:AB60" si="56">M34/J34</f>
        <v>0.9552845528455286</v>
      </c>
      <c r="AC34" s="571"/>
    </row>
    <row r="35" spans="1:29">
      <c r="A35" s="638" t="s">
        <v>1187</v>
      </c>
      <c r="B35" s="26" t="s">
        <v>46</v>
      </c>
      <c r="C35" s="616" t="s">
        <v>87</v>
      </c>
      <c r="D35" s="616"/>
      <c r="E35" s="26">
        <v>20.52</v>
      </c>
      <c r="F35" s="269">
        <v>5592</v>
      </c>
      <c r="G35" s="262">
        <f t="shared" si="48"/>
        <v>114747.84</v>
      </c>
      <c r="H35" s="21" t="s">
        <v>35</v>
      </c>
      <c r="I35" s="267">
        <v>18</v>
      </c>
      <c r="J35" s="23">
        <v>2400</v>
      </c>
      <c r="K35" s="9">
        <f t="shared" si="53"/>
        <v>133.33333333333334</v>
      </c>
      <c r="L35" s="267">
        <v>18</v>
      </c>
      <c r="M35" s="10">
        <f t="shared" si="54"/>
        <v>2282.4489795918362</v>
      </c>
      <c r="N35" s="9">
        <f t="shared" si="55"/>
        <v>126.80272108843535</v>
      </c>
      <c r="O35" s="11">
        <f t="shared" si="49"/>
        <v>0</v>
      </c>
      <c r="P35" s="12">
        <f t="shared" si="50"/>
        <v>-6.5306122448979949</v>
      </c>
      <c r="Q35" s="263">
        <f t="shared" si="51"/>
        <v>0.95102040816326505</v>
      </c>
      <c r="R35" s="571"/>
      <c r="S35" s="24">
        <v>0.27916666666666662</v>
      </c>
      <c r="T35" s="24">
        <v>0.38124999999999998</v>
      </c>
      <c r="U35" s="262">
        <f t="shared" ref="U35:U40" si="57">(S35-T34)*24*60</f>
        <v>7.9999999999999716</v>
      </c>
      <c r="V35" s="268">
        <f t="shared" si="52"/>
        <v>147.00000000000003</v>
      </c>
      <c r="W35" s="262"/>
      <c r="X35" s="262"/>
      <c r="Y35" s="617"/>
      <c r="Z35" s="617"/>
      <c r="AA35" s="11">
        <f t="shared" si="2"/>
        <v>-117.55102040816382</v>
      </c>
      <c r="AB35" s="263">
        <f t="shared" si="56"/>
        <v>0.95102040816326505</v>
      </c>
      <c r="AC35" s="571"/>
    </row>
    <row r="36" spans="1:29">
      <c r="A36" s="638" t="s">
        <v>1187</v>
      </c>
      <c r="B36" s="26" t="s">
        <v>46</v>
      </c>
      <c r="C36" s="616" t="s">
        <v>48</v>
      </c>
      <c r="D36" s="616"/>
      <c r="E36" s="26">
        <v>22.35</v>
      </c>
      <c r="F36" s="269">
        <v>2150</v>
      </c>
      <c r="G36" s="262">
        <f t="shared" si="48"/>
        <v>48052.5</v>
      </c>
      <c r="H36" s="21" t="s">
        <v>35</v>
      </c>
      <c r="I36" s="267">
        <v>16</v>
      </c>
      <c r="J36" s="23">
        <v>2400</v>
      </c>
      <c r="K36" s="9">
        <f t="shared" si="53"/>
        <v>150</v>
      </c>
      <c r="L36" s="267">
        <v>16</v>
      </c>
      <c r="M36" s="10">
        <f t="shared" si="54"/>
        <v>2303.5714285714303</v>
      </c>
      <c r="N36" s="9">
        <f t="shared" si="55"/>
        <v>143.97321428571439</v>
      </c>
      <c r="O36" s="11">
        <f t="shared" si="49"/>
        <v>0</v>
      </c>
      <c r="P36" s="12">
        <f t="shared" si="50"/>
        <v>-6.0267857142856087</v>
      </c>
      <c r="Q36" s="263">
        <f t="shared" si="51"/>
        <v>0.95982142857142927</v>
      </c>
      <c r="R36" s="571"/>
      <c r="S36" s="24">
        <v>0.38611111111111107</v>
      </c>
      <c r="T36" s="24">
        <v>0.42499999999999993</v>
      </c>
      <c r="U36" s="262">
        <f t="shared" si="57"/>
        <v>6.9999999999999751</v>
      </c>
      <c r="V36" s="268">
        <f t="shared" si="52"/>
        <v>55.999999999999957</v>
      </c>
      <c r="W36" s="13"/>
      <c r="X36" s="13"/>
      <c r="Y36" s="617"/>
      <c r="Z36" s="617"/>
      <c r="AA36" s="11">
        <f t="shared" si="2"/>
        <v>-96.42857142856974</v>
      </c>
      <c r="AB36" s="263">
        <f t="shared" si="56"/>
        <v>0.95982142857142927</v>
      </c>
      <c r="AC36" s="571"/>
    </row>
    <row r="37" spans="1:29">
      <c r="A37" s="638" t="s">
        <v>1188</v>
      </c>
      <c r="B37" s="26" t="s">
        <v>46</v>
      </c>
      <c r="C37" s="616" t="s">
        <v>65</v>
      </c>
      <c r="D37" s="616"/>
      <c r="E37" s="26">
        <v>24.43</v>
      </c>
      <c r="F37" s="269">
        <v>5000</v>
      </c>
      <c r="G37" s="262">
        <f t="shared" si="48"/>
        <v>122150</v>
      </c>
      <c r="H37" s="21">
        <v>2</v>
      </c>
      <c r="I37" s="267">
        <v>15</v>
      </c>
      <c r="J37" s="23">
        <v>2400</v>
      </c>
      <c r="K37" s="9">
        <f t="shared" si="53"/>
        <v>160</v>
      </c>
      <c r="L37" s="267">
        <v>15</v>
      </c>
      <c r="M37" s="10">
        <f t="shared" si="54"/>
        <v>2290.0763358778627</v>
      </c>
      <c r="N37" s="9">
        <f t="shared" si="55"/>
        <v>152.67175572519085</v>
      </c>
      <c r="O37" s="11">
        <f t="shared" si="49"/>
        <v>0</v>
      </c>
      <c r="P37" s="12">
        <f t="shared" si="50"/>
        <v>-7.3282442748091512</v>
      </c>
      <c r="Q37" s="263">
        <f t="shared" si="51"/>
        <v>0.95419847328244278</v>
      </c>
      <c r="R37" s="571"/>
      <c r="S37" s="24">
        <v>0.42986111111111103</v>
      </c>
      <c r="T37" s="24">
        <v>0.52083333333333326</v>
      </c>
      <c r="U37" s="262">
        <f t="shared" si="57"/>
        <v>6.9999999999999751</v>
      </c>
      <c r="V37" s="268">
        <f t="shared" si="52"/>
        <v>131</v>
      </c>
      <c r="W37" s="13">
        <f>T37</f>
        <v>0.52083333333333326</v>
      </c>
      <c r="X37" s="13">
        <f>S38</f>
        <v>0.56041666666666656</v>
      </c>
      <c r="Y37" s="617"/>
      <c r="Z37" s="617"/>
      <c r="AA37" s="11">
        <f t="shared" si="2"/>
        <v>-109.92366412213732</v>
      </c>
      <c r="AB37" s="263">
        <f t="shared" si="56"/>
        <v>0.95419847328244278</v>
      </c>
      <c r="AC37" s="571"/>
    </row>
    <row r="38" spans="1:29">
      <c r="A38" s="638" t="s">
        <v>1187</v>
      </c>
      <c r="B38" s="26" t="s">
        <v>46</v>
      </c>
      <c r="C38" s="616" t="s">
        <v>65</v>
      </c>
      <c r="D38" s="616"/>
      <c r="E38" s="26">
        <v>24.43</v>
      </c>
      <c r="F38" s="269">
        <v>5043</v>
      </c>
      <c r="G38" s="262">
        <f t="shared" si="48"/>
        <v>123200.49</v>
      </c>
      <c r="H38" s="21" t="s">
        <v>35</v>
      </c>
      <c r="I38" s="267">
        <v>15</v>
      </c>
      <c r="J38" s="23">
        <v>2400</v>
      </c>
      <c r="K38" s="9">
        <f t="shared" si="53"/>
        <v>160</v>
      </c>
      <c r="L38" s="267">
        <v>15</v>
      </c>
      <c r="M38" s="10">
        <f t="shared" si="54"/>
        <v>2292.272727272727</v>
      </c>
      <c r="N38" s="9">
        <f t="shared" si="55"/>
        <v>152.81818181818181</v>
      </c>
      <c r="O38" s="11">
        <f t="shared" si="49"/>
        <v>0</v>
      </c>
      <c r="P38" s="12">
        <f t="shared" si="50"/>
        <v>-7.181818181818187</v>
      </c>
      <c r="Q38" s="263">
        <f t="shared" si="51"/>
        <v>0.95511363636363633</v>
      </c>
      <c r="R38" s="571"/>
      <c r="S38" s="24">
        <v>0.56041666666666656</v>
      </c>
      <c r="T38" s="24">
        <v>0.65208333333333324</v>
      </c>
      <c r="U38" s="262">
        <f t="shared" si="57"/>
        <v>56.999999999999957</v>
      </c>
      <c r="V38" s="268">
        <f t="shared" si="52"/>
        <v>132</v>
      </c>
      <c r="W38" s="13"/>
      <c r="X38" s="13"/>
      <c r="Y38" s="617"/>
      <c r="Z38" s="617"/>
      <c r="AA38" s="11">
        <f t="shared" si="2"/>
        <v>-107.72727272727298</v>
      </c>
      <c r="AB38" s="263">
        <f t="shared" si="56"/>
        <v>0.95511363636363622</v>
      </c>
      <c r="AC38" s="571"/>
    </row>
    <row r="39" spans="1:29">
      <c r="A39" s="638" t="s">
        <v>1187</v>
      </c>
      <c r="B39" s="26" t="s">
        <v>46</v>
      </c>
      <c r="C39" s="616" t="s">
        <v>63</v>
      </c>
      <c r="D39" s="616"/>
      <c r="E39" s="26">
        <v>26.2</v>
      </c>
      <c r="F39" s="269">
        <v>3505</v>
      </c>
      <c r="G39" s="262">
        <f t="shared" si="48"/>
        <v>91831</v>
      </c>
      <c r="H39" s="21" t="s">
        <v>35</v>
      </c>
      <c r="I39" s="267">
        <v>18</v>
      </c>
      <c r="J39" s="23">
        <v>2400</v>
      </c>
      <c r="K39" s="9">
        <f t="shared" si="53"/>
        <v>133.33333333333334</v>
      </c>
      <c r="L39" s="267">
        <v>18</v>
      </c>
      <c r="M39" s="10">
        <f t="shared" si="54"/>
        <v>2285.8695652173915</v>
      </c>
      <c r="N39" s="9">
        <f t="shared" si="55"/>
        <v>126.99275362318842</v>
      </c>
      <c r="O39" s="11">
        <f t="shared" si="49"/>
        <v>0</v>
      </c>
      <c r="P39" s="12">
        <f t="shared" si="50"/>
        <v>-6.3405797101449224</v>
      </c>
      <c r="Q39" s="263">
        <f t="shared" si="51"/>
        <v>0.95244565217391308</v>
      </c>
      <c r="R39" s="571"/>
      <c r="S39" s="24">
        <v>0.65694444444444433</v>
      </c>
      <c r="T39" s="24">
        <v>0.72083333333333321</v>
      </c>
      <c r="U39" s="262">
        <f t="shared" si="57"/>
        <v>6.9999999999999751</v>
      </c>
      <c r="V39" s="268">
        <f t="shared" si="52"/>
        <v>92</v>
      </c>
      <c r="W39" s="13"/>
      <c r="X39" s="13"/>
      <c r="Y39" s="621"/>
      <c r="Z39" s="622"/>
      <c r="AA39" s="11">
        <f t="shared" si="2"/>
        <v>-114.13043478260852</v>
      </c>
      <c r="AB39" s="263">
        <f t="shared" si="56"/>
        <v>0.95244565217391308</v>
      </c>
      <c r="AC39" s="571"/>
    </row>
    <row r="40" spans="1:29">
      <c r="A40" s="638" t="s">
        <v>1188</v>
      </c>
      <c r="B40" s="26" t="s">
        <v>46</v>
      </c>
      <c r="C40" s="616" t="s">
        <v>64</v>
      </c>
      <c r="D40" s="616"/>
      <c r="E40" s="26">
        <v>26.39</v>
      </c>
      <c r="F40" s="269">
        <v>3234</v>
      </c>
      <c r="G40" s="262">
        <f t="shared" si="48"/>
        <v>85345.26</v>
      </c>
      <c r="H40" s="21" t="s">
        <v>35</v>
      </c>
      <c r="I40" s="267">
        <v>19</v>
      </c>
      <c r="J40" s="23">
        <v>2400</v>
      </c>
      <c r="K40" s="9">
        <f t="shared" si="53"/>
        <v>126.31578947368421</v>
      </c>
      <c r="L40" s="267">
        <v>19</v>
      </c>
      <c r="M40" s="10">
        <f t="shared" si="54"/>
        <v>2309.9999999999991</v>
      </c>
      <c r="N40" s="9">
        <f t="shared" si="55"/>
        <v>121.578947368421</v>
      </c>
      <c r="O40" s="11">
        <f t="shared" si="49"/>
        <v>0</v>
      </c>
      <c r="P40" s="12">
        <f t="shared" si="50"/>
        <v>-4.7368421052632073</v>
      </c>
      <c r="Q40" s="263">
        <f t="shared" si="51"/>
        <v>0.96249999999999958</v>
      </c>
      <c r="R40" s="571"/>
      <c r="S40" s="24">
        <v>0.72638888888888875</v>
      </c>
      <c r="T40" s="24">
        <v>0.7847222222222221</v>
      </c>
      <c r="U40" s="262">
        <f t="shared" si="57"/>
        <v>7.9999999999999716</v>
      </c>
      <c r="V40" s="268">
        <f t="shared" si="52"/>
        <v>84.000000000000028</v>
      </c>
      <c r="W40" s="13"/>
      <c r="X40" s="13"/>
      <c r="Y40" s="621"/>
      <c r="Z40" s="622"/>
      <c r="AA40" s="11">
        <f t="shared" si="2"/>
        <v>-90.000000000000909</v>
      </c>
      <c r="AB40" s="263">
        <f t="shared" si="56"/>
        <v>0.96249999999999958</v>
      </c>
      <c r="AC40" s="571"/>
    </row>
    <row r="41" spans="1:29">
      <c r="A41" s="638" t="s">
        <v>1188</v>
      </c>
      <c r="B41" s="27" t="s">
        <v>192</v>
      </c>
      <c r="C41" s="629"/>
      <c r="D41" s="629"/>
      <c r="E41" s="264"/>
      <c r="F41" s="27"/>
      <c r="G41" s="9"/>
      <c r="H41" s="269"/>
      <c r="I41" s="16">
        <v>17.25</v>
      </c>
      <c r="J41" s="23">
        <v>2400</v>
      </c>
      <c r="K41" s="9">
        <f t="shared" si="53"/>
        <v>139.13043478260869</v>
      </c>
      <c r="L41" s="16">
        <v>17.25</v>
      </c>
      <c r="M41" s="10">
        <f>AVERAGE(M33:M40)</f>
        <v>2292.82953113435</v>
      </c>
      <c r="N41" s="9">
        <f>M41/L41</f>
        <v>132.91765397880289</v>
      </c>
      <c r="O41" s="11">
        <f>L41-I41</f>
        <v>0</v>
      </c>
      <c r="P41" s="12">
        <f t="shared" si="50"/>
        <v>-6.2127808038057992</v>
      </c>
      <c r="Q41" s="263">
        <f t="shared" si="51"/>
        <v>0.95534563797264582</v>
      </c>
      <c r="R41" s="571"/>
      <c r="S41" s="24"/>
      <c r="T41" s="24"/>
      <c r="U41" s="9"/>
      <c r="V41" s="268"/>
      <c r="W41" s="9"/>
      <c r="X41" s="9"/>
      <c r="Y41" s="617"/>
      <c r="Z41" s="617"/>
      <c r="AA41" s="11">
        <f t="shared" si="2"/>
        <v>-107.17046886565004</v>
      </c>
      <c r="AB41" s="263">
        <f t="shared" si="56"/>
        <v>0.95534563797264582</v>
      </c>
      <c r="AC41" s="571"/>
    </row>
    <row r="42" spans="1:29" ht="15.75" customHeight="1">
      <c r="A42" s="630" t="s">
        <v>733</v>
      </c>
      <c r="B42" s="26" t="s">
        <v>67</v>
      </c>
      <c r="C42" s="627" t="s">
        <v>68</v>
      </c>
      <c r="D42" s="628"/>
      <c r="E42" s="26">
        <v>21.13</v>
      </c>
      <c r="F42" s="269">
        <v>5928</v>
      </c>
      <c r="G42" s="262">
        <f t="shared" ref="G42:G47" si="58">E42*F42</f>
        <v>125258.64</v>
      </c>
      <c r="H42" s="21" t="s">
        <v>35</v>
      </c>
      <c r="I42" s="267">
        <v>10</v>
      </c>
      <c r="J42" s="23">
        <v>3000</v>
      </c>
      <c r="K42" s="9">
        <f t="shared" si="53"/>
        <v>300</v>
      </c>
      <c r="L42" s="267">
        <v>10</v>
      </c>
      <c r="M42" s="10">
        <f t="shared" ref="M42:M43" si="59">F42/V42*60</f>
        <v>2868.3870967741932</v>
      </c>
      <c r="N42" s="10">
        <f t="shared" ref="N42:N48" si="60">M42/L42</f>
        <v>286.83870967741933</v>
      </c>
      <c r="O42" s="11">
        <f t="shared" ref="O42:O48" si="61">L42-I42</f>
        <v>0</v>
      </c>
      <c r="P42" s="12">
        <f t="shared" si="50"/>
        <v>-13.161290322580669</v>
      </c>
      <c r="Q42" s="263">
        <f t="shared" si="51"/>
        <v>0.95612903225806445</v>
      </c>
      <c r="R42" s="582">
        <f>Q48</f>
        <v>0.95486691755794895</v>
      </c>
      <c r="S42" s="24">
        <v>8.3333333333333329E-2</v>
      </c>
      <c r="T42" s="24">
        <v>0.16944444444444445</v>
      </c>
      <c r="U42" s="15"/>
      <c r="V42" s="268">
        <f t="shared" ref="V42:V47" si="62">(T42-S42)*24*60</f>
        <v>124.00000000000001</v>
      </c>
      <c r="W42" s="13">
        <f>T42</f>
        <v>0.16944444444444445</v>
      </c>
      <c r="X42" s="13">
        <f>S43</f>
        <v>0.1902777777777778</v>
      </c>
      <c r="Y42" s="621"/>
      <c r="Z42" s="622"/>
      <c r="AA42" s="11">
        <f t="shared" si="2"/>
        <v>-131.6129032258068</v>
      </c>
      <c r="AB42" s="263">
        <f t="shared" si="56"/>
        <v>0.95612903225806445</v>
      </c>
      <c r="AC42" s="582">
        <f>AB48</f>
        <v>0.95486691755794895</v>
      </c>
    </row>
    <row r="43" spans="1:29" ht="15.75" customHeight="1">
      <c r="A43" s="631" t="s">
        <v>1189</v>
      </c>
      <c r="B43" s="26" t="s">
        <v>67</v>
      </c>
      <c r="C43" s="627" t="s">
        <v>69</v>
      </c>
      <c r="D43" s="628"/>
      <c r="E43" s="26">
        <v>27.17</v>
      </c>
      <c r="F43" s="269">
        <v>7421</v>
      </c>
      <c r="G43" s="262">
        <f t="shared" si="58"/>
        <v>201628.57</v>
      </c>
      <c r="H43" s="21" t="s">
        <v>35</v>
      </c>
      <c r="I43" s="267">
        <v>10</v>
      </c>
      <c r="J43" s="23">
        <v>3000</v>
      </c>
      <c r="K43" s="9">
        <f t="shared" si="53"/>
        <v>300</v>
      </c>
      <c r="L43" s="267">
        <v>10</v>
      </c>
      <c r="M43" s="10">
        <f t="shared" si="59"/>
        <v>2854.2307692307686</v>
      </c>
      <c r="N43" s="10">
        <f t="shared" si="60"/>
        <v>285.42307692307685</v>
      </c>
      <c r="O43" s="11">
        <f t="shared" si="61"/>
        <v>0</v>
      </c>
      <c r="P43" s="12">
        <f t="shared" si="50"/>
        <v>-14.576923076923151</v>
      </c>
      <c r="Q43" s="263">
        <f t="shared" si="51"/>
        <v>0.95141025641025612</v>
      </c>
      <c r="R43" s="583"/>
      <c r="S43" s="24">
        <v>0.1902777777777778</v>
      </c>
      <c r="T43" s="24">
        <v>0.29861111111111116</v>
      </c>
      <c r="U43" s="262">
        <f>(S43-T42)*24*60</f>
        <v>30.000000000000014</v>
      </c>
      <c r="V43" s="268">
        <f t="shared" si="62"/>
        <v>156.00000000000003</v>
      </c>
      <c r="W43" s="13"/>
      <c r="X43" s="13"/>
      <c r="Y43" s="621"/>
      <c r="Z43" s="622"/>
      <c r="AA43" s="11">
        <f t="shared" si="2"/>
        <v>-145.7692307692314</v>
      </c>
      <c r="AB43" s="263">
        <f t="shared" si="56"/>
        <v>0.95141025641025623</v>
      </c>
      <c r="AC43" s="583"/>
    </row>
    <row r="44" spans="1:29" ht="15.75" customHeight="1">
      <c r="A44" s="631" t="s">
        <v>1189</v>
      </c>
      <c r="B44" s="26" t="s">
        <v>67</v>
      </c>
      <c r="C44" s="627" t="s">
        <v>70</v>
      </c>
      <c r="D44" s="628"/>
      <c r="E44" s="26">
        <v>35.119999999999997</v>
      </c>
      <c r="F44" s="269">
        <v>5187</v>
      </c>
      <c r="G44" s="262">
        <f t="shared" si="58"/>
        <v>182167.43999999997</v>
      </c>
      <c r="H44" s="21" t="s">
        <v>35</v>
      </c>
      <c r="I44" s="267">
        <v>10</v>
      </c>
      <c r="J44" s="23">
        <v>3000</v>
      </c>
      <c r="K44" s="9">
        <f t="shared" si="53"/>
        <v>300</v>
      </c>
      <c r="L44" s="267">
        <v>10</v>
      </c>
      <c r="M44" s="10">
        <f>F44/V44*60</f>
        <v>2855.229357798165</v>
      </c>
      <c r="N44" s="10">
        <f t="shared" si="60"/>
        <v>285.52293577981652</v>
      </c>
      <c r="O44" s="11">
        <f t="shared" si="61"/>
        <v>0</v>
      </c>
      <c r="P44" s="12">
        <f t="shared" si="50"/>
        <v>-14.477064220183479</v>
      </c>
      <c r="Q44" s="263">
        <f t="shared" si="51"/>
        <v>0.95174311926605504</v>
      </c>
      <c r="R44" s="583"/>
      <c r="S44" s="24">
        <v>0.30277777777777781</v>
      </c>
      <c r="T44" s="24">
        <v>0.37847222222222227</v>
      </c>
      <c r="U44" s="262">
        <f t="shared" ref="U44:U47" si="63">(S44-T43)*24*60</f>
        <v>5.9999999999999787</v>
      </c>
      <c r="V44" s="268">
        <f t="shared" si="62"/>
        <v>109.00000000000001</v>
      </c>
      <c r="W44" s="13"/>
      <c r="X44" s="13"/>
      <c r="Y44" s="621"/>
      <c r="Z44" s="622"/>
      <c r="AA44" s="11">
        <f t="shared" si="2"/>
        <v>-144.77064220183502</v>
      </c>
      <c r="AB44" s="263">
        <f t="shared" si="56"/>
        <v>0.95174311926605504</v>
      </c>
      <c r="AC44" s="583"/>
    </row>
    <row r="45" spans="1:29" ht="15.75" customHeight="1">
      <c r="A45" s="631" t="s">
        <v>1189</v>
      </c>
      <c r="B45" s="26" t="s">
        <v>67</v>
      </c>
      <c r="C45" s="627" t="s">
        <v>71</v>
      </c>
      <c r="D45" s="628"/>
      <c r="E45" s="26">
        <v>35.869999999999997</v>
      </c>
      <c r="F45" s="269">
        <v>3306</v>
      </c>
      <c r="G45" s="262">
        <f t="shared" si="58"/>
        <v>118586.21999999999</v>
      </c>
      <c r="H45" s="21" t="s">
        <v>35</v>
      </c>
      <c r="I45" s="267">
        <v>10</v>
      </c>
      <c r="J45" s="23">
        <v>3000</v>
      </c>
      <c r="K45" s="9">
        <f t="shared" si="53"/>
        <v>300</v>
      </c>
      <c r="L45" s="267">
        <v>10</v>
      </c>
      <c r="M45" s="10">
        <f t="shared" ref="M45:M47" si="64">F45/V45*60</f>
        <v>2874.782608695652</v>
      </c>
      <c r="N45" s="10">
        <f t="shared" si="60"/>
        <v>287.47826086956519</v>
      </c>
      <c r="O45" s="11">
        <f t="shared" si="61"/>
        <v>0</v>
      </c>
      <c r="P45" s="12">
        <f t="shared" si="50"/>
        <v>-12.52173913043481</v>
      </c>
      <c r="Q45" s="263">
        <f t="shared" si="51"/>
        <v>0.95826086956521728</v>
      </c>
      <c r="R45" s="583"/>
      <c r="S45" s="24">
        <v>0.38333333333333336</v>
      </c>
      <c r="T45" s="24">
        <v>0.43125000000000002</v>
      </c>
      <c r="U45" s="262">
        <f t="shared" si="63"/>
        <v>6.9999999999999751</v>
      </c>
      <c r="V45" s="268">
        <f t="shared" si="62"/>
        <v>69</v>
      </c>
      <c r="W45" s="13"/>
      <c r="X45" s="13"/>
      <c r="Y45" s="621"/>
      <c r="Z45" s="622"/>
      <c r="AA45" s="11">
        <f t="shared" si="2"/>
        <v>-125.21739130434798</v>
      </c>
      <c r="AB45" s="263">
        <f t="shared" si="56"/>
        <v>0.95826086956521739</v>
      </c>
      <c r="AC45" s="583"/>
    </row>
    <row r="46" spans="1:29" ht="15.75" customHeight="1">
      <c r="A46" s="631" t="s">
        <v>733</v>
      </c>
      <c r="B46" s="26" t="s">
        <v>67</v>
      </c>
      <c r="C46" s="627" t="s">
        <v>72</v>
      </c>
      <c r="D46" s="628"/>
      <c r="E46" s="26">
        <v>36.14</v>
      </c>
      <c r="F46" s="269">
        <v>1918</v>
      </c>
      <c r="G46" s="262">
        <f t="shared" si="58"/>
        <v>69316.52</v>
      </c>
      <c r="H46" s="21" t="s">
        <v>35</v>
      </c>
      <c r="I46" s="267">
        <v>8</v>
      </c>
      <c r="J46" s="23">
        <v>3000</v>
      </c>
      <c r="K46" s="9">
        <f t="shared" si="53"/>
        <v>375</v>
      </c>
      <c r="L46" s="267">
        <v>8</v>
      </c>
      <c r="M46" s="10">
        <f t="shared" si="64"/>
        <v>2876.9999999999991</v>
      </c>
      <c r="N46" s="10">
        <f t="shared" si="60"/>
        <v>359.62499999999989</v>
      </c>
      <c r="O46" s="11">
        <f t="shared" si="61"/>
        <v>0</v>
      </c>
      <c r="P46" s="12">
        <f t="shared" si="50"/>
        <v>-15.375000000000114</v>
      </c>
      <c r="Q46" s="263">
        <f>N46/K46</f>
        <v>0.95899999999999974</v>
      </c>
      <c r="R46" s="583"/>
      <c r="S46" s="24">
        <v>0.43541666666666667</v>
      </c>
      <c r="T46" s="24">
        <v>0.46319444444444446</v>
      </c>
      <c r="U46" s="262">
        <f t="shared" si="63"/>
        <v>5.9999999999999787</v>
      </c>
      <c r="V46" s="268">
        <f t="shared" si="62"/>
        <v>40.000000000000014</v>
      </c>
      <c r="W46" s="13"/>
      <c r="X46" s="13"/>
      <c r="Y46" s="621"/>
      <c r="Z46" s="622"/>
      <c r="AA46" s="11">
        <f t="shared" si="2"/>
        <v>-123.00000000000091</v>
      </c>
      <c r="AB46" s="263">
        <f t="shared" si="56"/>
        <v>0.95899999999999974</v>
      </c>
      <c r="AC46" s="583"/>
    </row>
    <row r="47" spans="1:29" ht="15.75" customHeight="1">
      <c r="A47" s="631" t="s">
        <v>733</v>
      </c>
      <c r="B47" s="26" t="s">
        <v>67</v>
      </c>
      <c r="C47" s="627" t="s">
        <v>664</v>
      </c>
      <c r="D47" s="628"/>
      <c r="E47" s="26">
        <v>34.36</v>
      </c>
      <c r="F47" s="269">
        <v>3763</v>
      </c>
      <c r="G47" s="262">
        <f t="shared" si="58"/>
        <v>129296.68</v>
      </c>
      <c r="H47" s="21" t="s">
        <v>35</v>
      </c>
      <c r="I47" s="267">
        <v>10</v>
      </c>
      <c r="J47" s="23">
        <v>3000</v>
      </c>
      <c r="K47" s="9">
        <f t="shared" si="53"/>
        <v>300</v>
      </c>
      <c r="L47" s="267">
        <v>10</v>
      </c>
      <c r="M47" s="10">
        <f t="shared" si="64"/>
        <v>2857.974683544302</v>
      </c>
      <c r="N47" s="10">
        <f t="shared" si="60"/>
        <v>285.79746835443018</v>
      </c>
      <c r="O47" s="11">
        <f t="shared" si="61"/>
        <v>0</v>
      </c>
      <c r="P47" s="12">
        <f t="shared" si="50"/>
        <v>-14.20253164556982</v>
      </c>
      <c r="Q47" s="263">
        <f t="shared" ref="Q47:Q48" si="65">N47/K47</f>
        <v>0.95265822784810061</v>
      </c>
      <c r="R47" s="583"/>
      <c r="S47" s="24">
        <v>0.46805555555555556</v>
      </c>
      <c r="T47" s="24">
        <v>0.5229166666666667</v>
      </c>
      <c r="U47" s="262">
        <f t="shared" si="63"/>
        <v>6.9999999999999751</v>
      </c>
      <c r="V47" s="268">
        <f t="shared" si="62"/>
        <v>79.000000000000043</v>
      </c>
      <c r="W47" s="13"/>
      <c r="X47" s="13"/>
      <c r="Y47" s="621"/>
      <c r="Z47" s="622"/>
      <c r="AA47" s="11">
        <f t="shared" si="2"/>
        <v>-142.02531645569798</v>
      </c>
      <c r="AB47" s="263">
        <f t="shared" si="56"/>
        <v>0.95265822784810072</v>
      </c>
      <c r="AC47" s="583"/>
    </row>
    <row r="48" spans="1:29" ht="15.75" customHeight="1">
      <c r="A48" s="632" t="s">
        <v>733</v>
      </c>
      <c r="B48" s="26" t="s">
        <v>192</v>
      </c>
      <c r="C48" s="625"/>
      <c r="D48" s="626"/>
      <c r="E48" s="261"/>
      <c r="F48" s="269"/>
      <c r="G48" s="262"/>
      <c r="H48" s="269"/>
      <c r="I48" s="16">
        <v>9.6666666666666661</v>
      </c>
      <c r="J48" s="23">
        <v>3000</v>
      </c>
      <c r="K48" s="9">
        <f>J48/I48</f>
        <v>310.34482758620692</v>
      </c>
      <c r="L48" s="16">
        <v>9.6666666666666661</v>
      </c>
      <c r="M48" s="10">
        <f>AVERAGE(M42:M47)</f>
        <v>2864.6007526738467</v>
      </c>
      <c r="N48" s="9">
        <f t="shared" si="60"/>
        <v>296.33800889729451</v>
      </c>
      <c r="O48" s="11">
        <f t="shared" si="61"/>
        <v>0</v>
      </c>
      <c r="P48" s="12">
        <f t="shared" si="50"/>
        <v>-14.006818688912404</v>
      </c>
      <c r="Q48" s="263">
        <f t="shared" si="65"/>
        <v>0.95486691755794895</v>
      </c>
      <c r="R48" s="584"/>
      <c r="S48" s="24"/>
      <c r="T48" s="24"/>
      <c r="U48" s="262"/>
      <c r="V48" s="268"/>
      <c r="W48" s="13"/>
      <c r="X48" s="13"/>
      <c r="Y48" s="621"/>
      <c r="Z48" s="622"/>
      <c r="AA48" s="11">
        <f t="shared" si="2"/>
        <v>-135.39924732615327</v>
      </c>
      <c r="AB48" s="263">
        <f t="shared" si="56"/>
        <v>0.95486691755794895</v>
      </c>
      <c r="AC48" s="584"/>
    </row>
    <row r="49" spans="1:29" ht="15.75" customHeight="1">
      <c r="A49" s="633" t="s">
        <v>739</v>
      </c>
      <c r="B49" s="26" t="s">
        <v>40</v>
      </c>
      <c r="C49" s="616" t="s">
        <v>73</v>
      </c>
      <c r="D49" s="616"/>
      <c r="E49" s="26">
        <v>46</v>
      </c>
      <c r="F49" s="28">
        <v>3246</v>
      </c>
      <c r="G49" s="262">
        <f t="shared" ref="G49:G54" si="66">E49*F49</f>
        <v>149316</v>
      </c>
      <c r="H49" s="21" t="s">
        <v>35</v>
      </c>
      <c r="I49" s="267">
        <v>17</v>
      </c>
      <c r="J49" s="23">
        <v>2000</v>
      </c>
      <c r="K49" s="9">
        <f t="shared" ref="K49:K54" si="67">J49/I49</f>
        <v>117.64705882352941</v>
      </c>
      <c r="L49" s="267">
        <v>17</v>
      </c>
      <c r="M49" s="10">
        <f t="shared" ref="M49:M54" si="68">F49/V49*60</f>
        <v>1909.4117647058815</v>
      </c>
      <c r="N49" s="10">
        <f>M49/L49</f>
        <v>112.31833910034597</v>
      </c>
      <c r="O49" s="11">
        <f>L49-I49</f>
        <v>0</v>
      </c>
      <c r="P49" s="12">
        <f>N49-K49</f>
        <v>-5.3287197231834398</v>
      </c>
      <c r="Q49" s="263">
        <f>N49/K49</f>
        <v>0.95470588235294074</v>
      </c>
      <c r="R49" s="571">
        <f>Q55</f>
        <v>0.95567392428742348</v>
      </c>
      <c r="S49" s="24">
        <v>0.29166666666666669</v>
      </c>
      <c r="T49" s="24">
        <v>0.36250000000000004</v>
      </c>
      <c r="U49" s="15"/>
      <c r="V49" s="268">
        <f t="shared" ref="V49:V54" si="69">(T49-S49)*24*60</f>
        <v>102.00000000000004</v>
      </c>
      <c r="W49" s="15"/>
      <c r="X49" s="15"/>
      <c r="Y49" s="617"/>
      <c r="Z49" s="617"/>
      <c r="AA49" s="11">
        <f t="shared" si="2"/>
        <v>-90.588235294118476</v>
      </c>
      <c r="AB49" s="263">
        <f t="shared" si="56"/>
        <v>0.95470588235294074</v>
      </c>
      <c r="AC49" s="571">
        <f>AB55</f>
        <v>0.95567392428742348</v>
      </c>
    </row>
    <row r="50" spans="1:29" ht="15.75" customHeight="1">
      <c r="A50" s="633" t="s">
        <v>1190</v>
      </c>
      <c r="B50" s="26" t="s">
        <v>36</v>
      </c>
      <c r="C50" s="616" t="s">
        <v>75</v>
      </c>
      <c r="D50" s="616"/>
      <c r="E50" s="26">
        <v>54.09</v>
      </c>
      <c r="F50" s="28">
        <v>988</v>
      </c>
      <c r="G50" s="262">
        <f t="shared" si="66"/>
        <v>53440.920000000006</v>
      </c>
      <c r="H50" s="21" t="s">
        <v>35</v>
      </c>
      <c r="I50" s="267">
        <v>16</v>
      </c>
      <c r="J50" s="23">
        <v>2000</v>
      </c>
      <c r="K50" s="9">
        <f t="shared" si="67"/>
        <v>125</v>
      </c>
      <c r="L50" s="267">
        <v>16</v>
      </c>
      <c r="M50" s="10">
        <f t="shared" si="68"/>
        <v>1912.2580645161308</v>
      </c>
      <c r="N50" s="10">
        <f t="shared" ref="N50:N54" si="70">M50/L50</f>
        <v>119.51612903225818</v>
      </c>
      <c r="O50" s="11">
        <f t="shared" ref="O50:O54" si="71">L50-I50</f>
        <v>0</v>
      </c>
      <c r="P50" s="12">
        <f t="shared" ref="P50:P54" si="72">N50-K50</f>
        <v>-5.4838709677418223</v>
      </c>
      <c r="Q50" s="263">
        <f t="shared" ref="Q50:Q54" si="73">N50/K50</f>
        <v>0.95612903225806545</v>
      </c>
      <c r="R50" s="571"/>
      <c r="S50" s="24">
        <v>0.3666666666666667</v>
      </c>
      <c r="T50" s="24">
        <v>0.38819444444444445</v>
      </c>
      <c r="U50" s="262">
        <f>IF(S50=TIME(17,0,0),"",(S50-T49)*24*60)</f>
        <v>5.9999999999999787</v>
      </c>
      <c r="V50" s="268">
        <f t="shared" si="69"/>
        <v>30.999999999999972</v>
      </c>
      <c r="W50" s="13"/>
      <c r="X50" s="13"/>
      <c r="Y50" s="617"/>
      <c r="Z50" s="617"/>
      <c r="AA50" s="11">
        <f t="shared" si="2"/>
        <v>-87.741935483869156</v>
      </c>
      <c r="AB50" s="263">
        <f t="shared" si="56"/>
        <v>0.95612903225806545</v>
      </c>
      <c r="AC50" s="571"/>
    </row>
    <row r="51" spans="1:29" ht="15.75" customHeight="1">
      <c r="A51" s="633" t="s">
        <v>739</v>
      </c>
      <c r="B51" s="26" t="s">
        <v>40</v>
      </c>
      <c r="C51" s="627" t="s">
        <v>74</v>
      </c>
      <c r="D51" s="628"/>
      <c r="E51" s="26">
        <v>46</v>
      </c>
      <c r="F51" s="28">
        <v>3346</v>
      </c>
      <c r="G51" s="262">
        <f t="shared" si="66"/>
        <v>153916</v>
      </c>
      <c r="H51" s="21" t="s">
        <v>35</v>
      </c>
      <c r="I51" s="267">
        <v>17</v>
      </c>
      <c r="J51" s="23">
        <v>2000</v>
      </c>
      <c r="K51" s="9">
        <f t="shared" si="67"/>
        <v>117.64705882352941</v>
      </c>
      <c r="L51" s="267">
        <v>17</v>
      </c>
      <c r="M51" s="10">
        <f t="shared" si="68"/>
        <v>1911.9999999999993</v>
      </c>
      <c r="N51" s="10">
        <f t="shared" si="70"/>
        <v>112.47058823529407</v>
      </c>
      <c r="O51" s="11">
        <f t="shared" si="71"/>
        <v>0</v>
      </c>
      <c r="P51" s="12">
        <f t="shared" si="72"/>
        <v>-5.1764705882353326</v>
      </c>
      <c r="Q51" s="263">
        <f t="shared" si="73"/>
        <v>0.95599999999999963</v>
      </c>
      <c r="R51" s="571"/>
      <c r="S51" s="24">
        <v>0.39374999999999999</v>
      </c>
      <c r="T51" s="24">
        <v>0.46666666666666667</v>
      </c>
      <c r="U51" s="262">
        <f t="shared" ref="U51:U54" si="74">IF(S51=TIME(17,0,0),"",(S51-T50)*24*60)</f>
        <v>7.9999999999999716</v>
      </c>
      <c r="V51" s="268">
        <f t="shared" si="69"/>
        <v>105.00000000000003</v>
      </c>
      <c r="W51" s="13"/>
      <c r="X51" s="13"/>
      <c r="Y51" s="259"/>
      <c r="Z51" s="260"/>
      <c r="AA51" s="11">
        <f t="shared" si="2"/>
        <v>-88.000000000000682</v>
      </c>
      <c r="AB51" s="263">
        <f t="shared" si="56"/>
        <v>0.95599999999999963</v>
      </c>
      <c r="AC51" s="571"/>
    </row>
    <row r="52" spans="1:29" ht="15.75" customHeight="1">
      <c r="A52" s="633" t="s">
        <v>1190</v>
      </c>
      <c r="B52" s="26" t="s">
        <v>36</v>
      </c>
      <c r="C52" s="265" t="s">
        <v>76</v>
      </c>
      <c r="D52" s="266"/>
      <c r="E52" s="26">
        <v>55.56</v>
      </c>
      <c r="F52" s="28">
        <v>2289</v>
      </c>
      <c r="G52" s="262">
        <f t="shared" si="66"/>
        <v>127176.84000000001</v>
      </c>
      <c r="H52" s="21" t="s">
        <v>35</v>
      </c>
      <c r="I52" s="267">
        <v>17</v>
      </c>
      <c r="J52" s="23">
        <v>2000</v>
      </c>
      <c r="K52" s="9">
        <f t="shared" si="67"/>
        <v>117.64705882352941</v>
      </c>
      <c r="L52" s="267">
        <v>17</v>
      </c>
      <c r="M52" s="10">
        <f t="shared" si="68"/>
        <v>1907.4999999999986</v>
      </c>
      <c r="N52" s="10">
        <f t="shared" si="70"/>
        <v>112.2058823529411</v>
      </c>
      <c r="O52" s="11">
        <f t="shared" si="71"/>
        <v>0</v>
      </c>
      <c r="P52" s="12">
        <f t="shared" si="72"/>
        <v>-5.441176470588303</v>
      </c>
      <c r="Q52" s="263">
        <f t="shared" si="73"/>
        <v>0.95374999999999943</v>
      </c>
      <c r="R52" s="571"/>
      <c r="S52" s="24">
        <v>0.70833333333333337</v>
      </c>
      <c r="T52" s="24">
        <v>0.75833333333333341</v>
      </c>
      <c r="U52" s="262" t="str">
        <f t="shared" si="74"/>
        <v/>
      </c>
      <c r="V52" s="268">
        <f t="shared" si="69"/>
        <v>72.000000000000057</v>
      </c>
      <c r="W52" s="13"/>
      <c r="X52" s="13"/>
      <c r="Y52" s="259"/>
      <c r="Z52" s="260"/>
      <c r="AA52" s="11">
        <f t="shared" si="2"/>
        <v>-92.500000000001364</v>
      </c>
      <c r="AB52" s="263">
        <f t="shared" si="56"/>
        <v>0.95374999999999932</v>
      </c>
      <c r="AC52" s="571"/>
    </row>
    <row r="53" spans="1:29" ht="15.75" customHeight="1">
      <c r="A53" s="633" t="s">
        <v>1190</v>
      </c>
      <c r="B53" s="26" t="s">
        <v>36</v>
      </c>
      <c r="C53" s="265" t="s">
        <v>77</v>
      </c>
      <c r="D53" s="266"/>
      <c r="E53" s="26">
        <v>55.32</v>
      </c>
      <c r="F53" s="28">
        <v>1885</v>
      </c>
      <c r="G53" s="262">
        <f t="shared" si="66"/>
        <v>104278.2</v>
      </c>
      <c r="H53" s="21" t="s">
        <v>35</v>
      </c>
      <c r="I53" s="267">
        <v>15</v>
      </c>
      <c r="J53" s="23">
        <v>2000</v>
      </c>
      <c r="K53" s="9">
        <f t="shared" si="67"/>
        <v>133.33333333333334</v>
      </c>
      <c r="L53" s="267">
        <v>15</v>
      </c>
      <c r="M53" s="10">
        <f t="shared" si="68"/>
        <v>1916.9491525423743</v>
      </c>
      <c r="N53" s="10">
        <f t="shared" si="70"/>
        <v>127.79661016949163</v>
      </c>
      <c r="O53" s="11">
        <f t="shared" si="71"/>
        <v>0</v>
      </c>
      <c r="P53" s="12">
        <f t="shared" si="72"/>
        <v>-5.5367231638417138</v>
      </c>
      <c r="Q53" s="263">
        <f t="shared" si="73"/>
        <v>0.95847457627118715</v>
      </c>
      <c r="R53" s="571"/>
      <c r="S53" s="24">
        <v>0.76250000000000007</v>
      </c>
      <c r="T53" s="24">
        <v>0.80347222222222225</v>
      </c>
      <c r="U53" s="262">
        <f t="shared" si="74"/>
        <v>5.9999999999999787</v>
      </c>
      <c r="V53" s="268">
        <f t="shared" si="69"/>
        <v>58.99999999999995</v>
      </c>
      <c r="W53" s="13"/>
      <c r="X53" s="13"/>
      <c r="Y53" s="259"/>
      <c r="Z53" s="260"/>
      <c r="AA53" s="11">
        <f t="shared" si="2"/>
        <v>-83.05084745762565</v>
      </c>
      <c r="AB53" s="263">
        <f t="shared" si="56"/>
        <v>0.95847457627118715</v>
      </c>
      <c r="AC53" s="571"/>
    </row>
    <row r="54" spans="1:29" ht="15.75" customHeight="1">
      <c r="A54" s="633" t="s">
        <v>739</v>
      </c>
      <c r="B54" s="26" t="s">
        <v>36</v>
      </c>
      <c r="C54" s="627" t="s">
        <v>78</v>
      </c>
      <c r="D54" s="628"/>
      <c r="E54" s="26">
        <v>57.73</v>
      </c>
      <c r="F54" s="28">
        <v>1456</v>
      </c>
      <c r="G54" s="262">
        <f t="shared" si="66"/>
        <v>84054.87999999999</v>
      </c>
      <c r="H54" s="21" t="s">
        <v>35</v>
      </c>
      <c r="I54" s="267">
        <v>16</v>
      </c>
      <c r="J54" s="23">
        <v>1500</v>
      </c>
      <c r="K54" s="9">
        <f t="shared" si="67"/>
        <v>93.75</v>
      </c>
      <c r="L54" s="267">
        <v>16</v>
      </c>
      <c r="M54" s="10">
        <f t="shared" si="68"/>
        <v>1432.131147540985</v>
      </c>
      <c r="N54" s="10">
        <f t="shared" si="70"/>
        <v>89.508196721311563</v>
      </c>
      <c r="O54" s="11">
        <f t="shared" si="71"/>
        <v>0</v>
      </c>
      <c r="P54" s="12">
        <f t="shared" si="72"/>
        <v>-4.2418032786884368</v>
      </c>
      <c r="Q54" s="263">
        <f t="shared" si="73"/>
        <v>0.95475409836065672</v>
      </c>
      <c r="R54" s="571"/>
      <c r="S54" s="24">
        <v>0.80833333333333335</v>
      </c>
      <c r="T54" s="24">
        <v>0.85069444444444442</v>
      </c>
      <c r="U54" s="262">
        <f t="shared" si="74"/>
        <v>6.9999999999999751</v>
      </c>
      <c r="V54" s="268">
        <f t="shared" si="69"/>
        <v>60.999999999999943</v>
      </c>
      <c r="W54" s="13"/>
      <c r="X54" s="13"/>
      <c r="Y54" s="621"/>
      <c r="Z54" s="622"/>
      <c r="AA54" s="11">
        <f t="shared" si="2"/>
        <v>-67.868852459014988</v>
      </c>
      <c r="AB54" s="263">
        <f t="shared" si="56"/>
        <v>0.95475409836065672</v>
      </c>
      <c r="AC54" s="571"/>
    </row>
    <row r="55" spans="1:29">
      <c r="A55" s="634" t="s">
        <v>739</v>
      </c>
      <c r="B55" s="26" t="s">
        <v>192</v>
      </c>
      <c r="C55" s="629"/>
      <c r="D55" s="629"/>
      <c r="E55" s="264"/>
      <c r="F55" s="27"/>
      <c r="G55" s="9"/>
      <c r="H55" s="269"/>
      <c r="I55" s="16">
        <v>16.333333333333332</v>
      </c>
      <c r="J55" s="23">
        <v>1916.6666666666667</v>
      </c>
      <c r="K55" s="9">
        <f>J55/I55</f>
        <v>117.34693877551021</v>
      </c>
      <c r="L55" s="16">
        <v>16.333333333333332</v>
      </c>
      <c r="M55" s="10">
        <f>AVERAGE(M49:M54)</f>
        <v>1831.7083548842284</v>
      </c>
      <c r="N55" s="9">
        <f>M55/L55</f>
        <v>112.14540948270786</v>
      </c>
      <c r="O55" s="11">
        <f>L55-I55</f>
        <v>0</v>
      </c>
      <c r="P55" s="12">
        <f>N55-K55</f>
        <v>-5.2015292928023484</v>
      </c>
      <c r="Q55" s="263">
        <f>N55/K55</f>
        <v>0.95567392428742348</v>
      </c>
      <c r="R55" s="571"/>
      <c r="S55" s="25"/>
      <c r="T55" s="24"/>
      <c r="U55" s="9"/>
      <c r="V55" s="268"/>
      <c r="W55" s="9"/>
      <c r="X55" s="9"/>
      <c r="Y55" s="617"/>
      <c r="Z55" s="617"/>
      <c r="AA55" s="11">
        <f t="shared" si="2"/>
        <v>-84.958311782438386</v>
      </c>
      <c r="AB55" s="263">
        <f t="shared" si="56"/>
        <v>0.95567392428742348</v>
      </c>
      <c r="AC55" s="571"/>
    </row>
    <row r="56" spans="1:29" ht="15.75" customHeight="1">
      <c r="A56" s="623" t="s">
        <v>1192</v>
      </c>
      <c r="B56" s="269" t="s">
        <v>40</v>
      </c>
      <c r="C56" s="616" t="s">
        <v>82</v>
      </c>
      <c r="D56" s="616"/>
      <c r="E56" s="26">
        <v>26.97</v>
      </c>
      <c r="F56" s="28">
        <v>3529</v>
      </c>
      <c r="G56" s="262">
        <f t="shared" ref="G56:G59" si="75">E56*F56</f>
        <v>95177.12999999999</v>
      </c>
      <c r="H56" s="21" t="s">
        <v>35</v>
      </c>
      <c r="I56" s="267">
        <v>8</v>
      </c>
      <c r="J56" s="23">
        <v>1500</v>
      </c>
      <c r="K56" s="9">
        <f t="shared" ref="K56:K59" si="76">J56/I56</f>
        <v>187.5</v>
      </c>
      <c r="L56" s="267">
        <v>8</v>
      </c>
      <c r="M56" s="10">
        <f t="shared" ref="M56:M59" si="77">F56/V56*60</f>
        <v>1430.6756756756756</v>
      </c>
      <c r="N56" s="9">
        <f>M56/L56</f>
        <v>178.83445945945945</v>
      </c>
      <c r="O56" s="11">
        <f t="shared" ref="O56:O59" si="78">L56-I56</f>
        <v>0</v>
      </c>
      <c r="P56" s="12">
        <f t="shared" ref="P56:P59" si="79">N56-K56</f>
        <v>-8.6655405405405475</v>
      </c>
      <c r="Q56" s="263">
        <f>N56/K56</f>
        <v>0.9537837837837837</v>
      </c>
      <c r="R56" s="571">
        <f>Q60</f>
        <v>0.96119723737905516</v>
      </c>
      <c r="S56" s="24">
        <v>0.20833333333333334</v>
      </c>
      <c r="T56" s="24">
        <v>0.31111111111111112</v>
      </c>
      <c r="U56" s="262"/>
      <c r="V56" s="268">
        <f t="shared" ref="V56:V59" si="80">(T56-S56)*24*60</f>
        <v>148</v>
      </c>
      <c r="W56" s="15"/>
      <c r="X56" s="15"/>
      <c r="Y56" s="617"/>
      <c r="Z56" s="617"/>
      <c r="AA56" s="11">
        <f t="shared" si="2"/>
        <v>-69.32432432432438</v>
      </c>
      <c r="AB56" s="263">
        <f t="shared" si="56"/>
        <v>0.9537837837837837</v>
      </c>
      <c r="AC56" s="571">
        <f>AB60</f>
        <v>0.96119723737905516</v>
      </c>
    </row>
    <row r="57" spans="1:29" ht="15.75" customHeight="1">
      <c r="A57" s="623" t="s">
        <v>1191</v>
      </c>
      <c r="B57" s="269" t="s">
        <v>67</v>
      </c>
      <c r="C57" s="616" t="s">
        <v>79</v>
      </c>
      <c r="D57" s="616"/>
      <c r="E57" s="26">
        <v>26.78</v>
      </c>
      <c r="F57" s="28">
        <v>3017</v>
      </c>
      <c r="G57" s="262">
        <f t="shared" si="75"/>
        <v>80795.260000000009</v>
      </c>
      <c r="H57" s="21" t="s">
        <v>35</v>
      </c>
      <c r="I57" s="267">
        <v>10</v>
      </c>
      <c r="J57" s="23">
        <v>3000</v>
      </c>
      <c r="K57" s="9">
        <f t="shared" si="76"/>
        <v>300</v>
      </c>
      <c r="L57" s="267">
        <v>10</v>
      </c>
      <c r="M57" s="10">
        <f t="shared" si="77"/>
        <v>2873.3333333333326</v>
      </c>
      <c r="N57" s="9">
        <f t="shared" ref="N57:N59" si="81">M57/L57</f>
        <v>287.33333333333326</v>
      </c>
      <c r="O57" s="11">
        <f t="shared" si="78"/>
        <v>0</v>
      </c>
      <c r="P57" s="12">
        <f t="shared" si="79"/>
        <v>-12.666666666666742</v>
      </c>
      <c r="Q57" s="263">
        <f t="shared" ref="Q57:Q59" si="82">N57/K57</f>
        <v>0.95777777777777751</v>
      </c>
      <c r="R57" s="571"/>
      <c r="S57" s="24">
        <v>0.31527777777777777</v>
      </c>
      <c r="T57" s="24">
        <v>0.35902777777777778</v>
      </c>
      <c r="U57" s="262">
        <f>(S57-T56)*24*60</f>
        <v>5.9999999999999787</v>
      </c>
      <c r="V57" s="268">
        <f t="shared" si="80"/>
        <v>63.000000000000014</v>
      </c>
      <c r="W57" s="262"/>
      <c r="X57" s="262"/>
      <c r="Y57" s="617"/>
      <c r="Z57" s="617"/>
      <c r="AA57" s="11">
        <f t="shared" si="2"/>
        <v>-126.66666666666742</v>
      </c>
      <c r="AB57" s="263">
        <f t="shared" si="56"/>
        <v>0.95777777777777751</v>
      </c>
      <c r="AC57" s="571"/>
    </row>
    <row r="58" spans="1:29" ht="15.75" customHeight="1">
      <c r="A58" s="623" t="s">
        <v>1192</v>
      </c>
      <c r="B58" s="269" t="s">
        <v>67</v>
      </c>
      <c r="C58" s="616" t="s">
        <v>83</v>
      </c>
      <c r="D58" s="616"/>
      <c r="E58" s="26">
        <v>35.369999999999997</v>
      </c>
      <c r="F58" s="28">
        <v>1701</v>
      </c>
      <c r="G58" s="262">
        <f t="shared" si="75"/>
        <v>60164.369999999995</v>
      </c>
      <c r="H58" s="21" t="s">
        <v>35</v>
      </c>
      <c r="I58" s="267">
        <v>10</v>
      </c>
      <c r="J58" s="23">
        <v>3000</v>
      </c>
      <c r="K58" s="9">
        <f t="shared" si="76"/>
        <v>300</v>
      </c>
      <c r="L58" s="267">
        <v>10</v>
      </c>
      <c r="M58" s="10">
        <f t="shared" si="77"/>
        <v>2915.9999999999973</v>
      </c>
      <c r="N58" s="9">
        <f t="shared" si="81"/>
        <v>291.59999999999974</v>
      </c>
      <c r="O58" s="11">
        <f t="shared" si="78"/>
        <v>0</v>
      </c>
      <c r="P58" s="12">
        <f t="shared" si="79"/>
        <v>-8.4000000000002615</v>
      </c>
      <c r="Q58" s="263">
        <f t="shared" si="82"/>
        <v>0.97199999999999909</v>
      </c>
      <c r="R58" s="571"/>
      <c r="S58" s="24">
        <v>0.36319444444444443</v>
      </c>
      <c r="T58" s="24">
        <v>0.38750000000000001</v>
      </c>
      <c r="U58" s="262">
        <f t="shared" ref="U58:U59" si="83">(S58-T57)*24*60</f>
        <v>5.9999999999999787</v>
      </c>
      <c r="V58" s="268">
        <f t="shared" si="80"/>
        <v>35.000000000000036</v>
      </c>
      <c r="W58" s="262"/>
      <c r="X58" s="262"/>
      <c r="Y58" s="617"/>
      <c r="Z58" s="617"/>
      <c r="AA58" s="11">
        <f t="shared" si="2"/>
        <v>-84.000000000002728</v>
      </c>
      <c r="AB58" s="263">
        <f t="shared" si="56"/>
        <v>0.97199999999999909</v>
      </c>
      <c r="AC58" s="571"/>
    </row>
    <row r="59" spans="1:29" ht="15.75" customHeight="1">
      <c r="A59" s="623" t="s">
        <v>1192</v>
      </c>
      <c r="B59" s="269" t="s">
        <v>67</v>
      </c>
      <c r="C59" s="616" t="s">
        <v>666</v>
      </c>
      <c r="D59" s="616"/>
      <c r="E59" s="26">
        <v>37.880000000000003</v>
      </c>
      <c r="F59" s="28">
        <v>5793</v>
      </c>
      <c r="G59" s="262">
        <f t="shared" si="75"/>
        <v>219438.84000000003</v>
      </c>
      <c r="H59" s="21" t="s">
        <v>35</v>
      </c>
      <c r="I59" s="267">
        <v>11</v>
      </c>
      <c r="J59" s="23">
        <v>3000</v>
      </c>
      <c r="K59" s="9">
        <f t="shared" si="76"/>
        <v>272.72727272727275</v>
      </c>
      <c r="L59" s="267">
        <v>11</v>
      </c>
      <c r="M59" s="10">
        <f t="shared" si="77"/>
        <v>2872.5619834710751</v>
      </c>
      <c r="N59" s="9">
        <f t="shared" si="81"/>
        <v>261.14199849737048</v>
      </c>
      <c r="O59" s="11">
        <f t="shared" si="78"/>
        <v>0</v>
      </c>
      <c r="P59" s="12">
        <f t="shared" si="79"/>
        <v>-11.585274229902268</v>
      </c>
      <c r="Q59" s="263">
        <f t="shared" si="82"/>
        <v>0.95752066115702505</v>
      </c>
      <c r="R59" s="571"/>
      <c r="S59" s="24">
        <v>0.39097222222222222</v>
      </c>
      <c r="T59" s="24">
        <v>0.47499999999999998</v>
      </c>
      <c r="U59" s="262">
        <f t="shared" si="83"/>
        <v>4.9999999999999822</v>
      </c>
      <c r="V59" s="268">
        <f t="shared" si="80"/>
        <v>120.99999999999997</v>
      </c>
      <c r="W59" s="262"/>
      <c r="X59" s="262"/>
      <c r="Y59" s="617"/>
      <c r="Z59" s="617"/>
      <c r="AA59" s="11">
        <f t="shared" si="2"/>
        <v>-127.43801652892489</v>
      </c>
      <c r="AB59" s="263">
        <f t="shared" si="56"/>
        <v>0.95752066115702505</v>
      </c>
      <c r="AC59" s="571"/>
    </row>
    <row r="60" spans="1:29">
      <c r="A60" s="624" t="s">
        <v>1192</v>
      </c>
      <c r="B60" s="26" t="s">
        <v>192</v>
      </c>
      <c r="C60" s="629"/>
      <c r="D60" s="629"/>
      <c r="E60" s="264"/>
      <c r="F60" s="27"/>
      <c r="G60" s="9"/>
      <c r="H60" s="269"/>
      <c r="I60" s="16">
        <v>9.75</v>
      </c>
      <c r="J60" s="23">
        <v>2625</v>
      </c>
      <c r="K60" s="9">
        <f>J60/I60</f>
        <v>269.23076923076923</v>
      </c>
      <c r="L60" s="16">
        <v>9.75</v>
      </c>
      <c r="M60" s="10">
        <f>AVERAGE(M56:M59)</f>
        <v>2523.1427481200199</v>
      </c>
      <c r="N60" s="9">
        <f>M60/L60</f>
        <v>258.7838716020533</v>
      </c>
      <c r="O60" s="11">
        <f>L60-I60</f>
        <v>0</v>
      </c>
      <c r="P60" s="12">
        <f>N60-K60</f>
        <v>-10.446897628715931</v>
      </c>
      <c r="Q60" s="263">
        <f>N60/K60</f>
        <v>0.96119723737905516</v>
      </c>
      <c r="R60" s="571"/>
      <c r="S60" s="24"/>
      <c r="T60" s="24"/>
      <c r="U60" s="9"/>
      <c r="V60" s="268"/>
      <c r="W60" s="9"/>
      <c r="X60" s="9"/>
      <c r="Y60" s="617"/>
      <c r="Z60" s="617"/>
      <c r="AA60" s="11">
        <f t="shared" si="2"/>
        <v>-101.85725187998014</v>
      </c>
      <c r="AB60" s="263">
        <f t="shared" si="56"/>
        <v>0.96119723737905516</v>
      </c>
      <c r="AC60" s="571"/>
    </row>
    <row r="61" spans="1:29" ht="15.75" customHeight="1">
      <c r="A61" s="618" t="s">
        <v>748</v>
      </c>
      <c r="B61" s="269" t="s">
        <v>46</v>
      </c>
      <c r="C61" s="616" t="s">
        <v>84</v>
      </c>
      <c r="D61" s="616"/>
      <c r="E61" s="26">
        <v>20.2</v>
      </c>
      <c r="F61" s="269">
        <v>3383</v>
      </c>
      <c r="G61" s="262">
        <f t="shared" ref="G61:G68" si="84">E61*F61</f>
        <v>68336.599999999991</v>
      </c>
      <c r="H61" s="21" t="s">
        <v>35</v>
      </c>
      <c r="I61" s="267">
        <v>19</v>
      </c>
      <c r="J61" s="23">
        <v>2400</v>
      </c>
      <c r="K61" s="9">
        <f t="shared" ref="K61:K69" si="85">J61/I61</f>
        <v>126.31578947368421</v>
      </c>
      <c r="L61" s="267">
        <v>19</v>
      </c>
      <c r="M61" s="10">
        <f>F61/V61*60</f>
        <v>2306.5909090909095</v>
      </c>
      <c r="N61" s="9">
        <f t="shared" ref="N61:N68" si="86">M61/L61</f>
        <v>121.3995215311005</v>
      </c>
      <c r="O61" s="11">
        <f t="shared" ref="O61:O68" si="87">L61-I61</f>
        <v>0</v>
      </c>
      <c r="P61" s="12">
        <f t="shared" ref="P61:P68" si="88">N61-K61</f>
        <v>-4.9162679425837013</v>
      </c>
      <c r="Q61" s="263">
        <f>N61/K61</f>
        <v>0.96107954545454566</v>
      </c>
      <c r="R61" s="571">
        <f>Q69</f>
        <v>0.95657152804442036</v>
      </c>
      <c r="S61" s="24">
        <v>8.3333333333333329E-2</v>
      </c>
      <c r="T61" s="24">
        <v>0.14444444444444443</v>
      </c>
      <c r="U61" s="15"/>
      <c r="V61" s="268">
        <f t="shared" ref="V61:V68" si="89">(T61-S61)*24*60</f>
        <v>87.999999999999986</v>
      </c>
      <c r="W61" s="13">
        <f>T61</f>
        <v>0.14444444444444443</v>
      </c>
      <c r="X61" s="13">
        <f>S62</f>
        <v>0.16249999999999998</v>
      </c>
      <c r="Y61" s="617"/>
      <c r="Z61" s="617"/>
      <c r="AA61" s="11">
        <f t="shared" si="2"/>
        <v>-93.409090909090537</v>
      </c>
      <c r="AB61" s="263">
        <f>M61/J61</f>
        <v>0.96107954545454566</v>
      </c>
      <c r="AC61" s="571">
        <f>AB69</f>
        <v>0.95657152804442036</v>
      </c>
    </row>
    <row r="62" spans="1:29" ht="15.75" customHeight="1">
      <c r="A62" s="619" t="s">
        <v>748</v>
      </c>
      <c r="B62" s="269" t="s">
        <v>46</v>
      </c>
      <c r="C62" s="616" t="s">
        <v>85</v>
      </c>
      <c r="D62" s="616"/>
      <c r="E62" s="26">
        <v>19.02</v>
      </c>
      <c r="F62" s="269">
        <v>5600</v>
      </c>
      <c r="G62" s="262">
        <f t="shared" si="84"/>
        <v>106512</v>
      </c>
      <c r="H62" s="21">
        <v>2</v>
      </c>
      <c r="I62" s="267">
        <v>15</v>
      </c>
      <c r="J62" s="23">
        <v>2400</v>
      </c>
      <c r="K62" s="9">
        <f t="shared" si="85"/>
        <v>160</v>
      </c>
      <c r="L62" s="267">
        <v>15</v>
      </c>
      <c r="M62" s="10">
        <f t="shared" ref="M62:M68" si="90">F62/V62*60</f>
        <v>2285.7142857142853</v>
      </c>
      <c r="N62" s="9">
        <f t="shared" si="86"/>
        <v>152.38095238095235</v>
      </c>
      <c r="O62" s="11">
        <f t="shared" si="87"/>
        <v>0</v>
      </c>
      <c r="P62" s="12">
        <f t="shared" si="88"/>
        <v>-7.6190476190476488</v>
      </c>
      <c r="Q62" s="263">
        <f t="shared" ref="Q62:Q69" si="91">N62/K62</f>
        <v>0.95238095238095222</v>
      </c>
      <c r="R62" s="571"/>
      <c r="S62" s="24">
        <v>0.16249999999999998</v>
      </c>
      <c r="T62" s="24">
        <v>0.26458333333333334</v>
      </c>
      <c r="U62" s="262">
        <f>(S62-T61)*24*60</f>
        <v>25.999999999999986</v>
      </c>
      <c r="V62" s="268">
        <f t="shared" si="89"/>
        <v>147.00000000000003</v>
      </c>
      <c r="W62" s="13"/>
      <c r="X62" s="13"/>
      <c r="Y62" s="617"/>
      <c r="Z62" s="617"/>
      <c r="AA62" s="11">
        <f t="shared" si="2"/>
        <v>-114.28571428571468</v>
      </c>
      <c r="AB62" s="263">
        <f t="shared" ref="AB62:AB69" si="92">M62/J62</f>
        <v>0.95238095238095222</v>
      </c>
      <c r="AC62" s="571"/>
    </row>
    <row r="63" spans="1:29" ht="15.75" customHeight="1">
      <c r="A63" s="619" t="s">
        <v>1193</v>
      </c>
      <c r="B63" s="269" t="s">
        <v>46</v>
      </c>
      <c r="C63" s="616" t="s">
        <v>88</v>
      </c>
      <c r="D63" s="616"/>
      <c r="E63" s="26">
        <v>24.25</v>
      </c>
      <c r="F63" s="269">
        <v>3790</v>
      </c>
      <c r="G63" s="262">
        <f t="shared" si="84"/>
        <v>91907.5</v>
      </c>
      <c r="H63" s="21" t="s">
        <v>35</v>
      </c>
      <c r="I63" s="267">
        <v>17</v>
      </c>
      <c r="J63" s="23">
        <v>2400</v>
      </c>
      <c r="K63" s="9">
        <f t="shared" si="85"/>
        <v>141.1764705882353</v>
      </c>
      <c r="L63" s="267">
        <v>17</v>
      </c>
      <c r="M63" s="10">
        <f t="shared" si="90"/>
        <v>2296.9696969696975</v>
      </c>
      <c r="N63" s="9">
        <f t="shared" si="86"/>
        <v>135.11586452762927</v>
      </c>
      <c r="O63" s="11">
        <f t="shared" si="87"/>
        <v>0</v>
      </c>
      <c r="P63" s="12">
        <f t="shared" si="88"/>
        <v>-6.0606060606060339</v>
      </c>
      <c r="Q63" s="263">
        <f t="shared" si="91"/>
        <v>0.95707070707070729</v>
      </c>
      <c r="R63" s="571"/>
      <c r="S63" s="24">
        <v>0.26874999999999999</v>
      </c>
      <c r="T63" s="24">
        <v>0.33749999999999997</v>
      </c>
      <c r="U63" s="262">
        <f t="shared" ref="U63:U68" si="93">(S63-T62)*24*60</f>
        <v>5.9999999999999787</v>
      </c>
      <c r="V63" s="268">
        <f t="shared" si="89"/>
        <v>98.999999999999972</v>
      </c>
      <c r="W63" s="13"/>
      <c r="X63" s="13"/>
      <c r="Y63" s="617"/>
      <c r="Z63" s="617"/>
      <c r="AA63" s="11">
        <f t="shared" si="2"/>
        <v>-103.03030303030255</v>
      </c>
      <c r="AB63" s="263">
        <f t="shared" si="92"/>
        <v>0.95707070707070729</v>
      </c>
      <c r="AC63" s="571"/>
    </row>
    <row r="64" spans="1:29" ht="15.75" customHeight="1">
      <c r="A64" s="619" t="s">
        <v>1193</v>
      </c>
      <c r="B64" s="269" t="s">
        <v>46</v>
      </c>
      <c r="C64" s="616" t="s">
        <v>47</v>
      </c>
      <c r="D64" s="616"/>
      <c r="E64" s="26">
        <v>24.45</v>
      </c>
      <c r="F64" s="269">
        <v>2618</v>
      </c>
      <c r="G64" s="262">
        <f t="shared" si="84"/>
        <v>64010.1</v>
      </c>
      <c r="H64" s="21" t="s">
        <v>35</v>
      </c>
      <c r="I64" s="267">
        <v>20</v>
      </c>
      <c r="J64" s="23">
        <v>2400</v>
      </c>
      <c r="K64" s="9">
        <f t="shared" si="85"/>
        <v>120</v>
      </c>
      <c r="L64" s="267">
        <v>20</v>
      </c>
      <c r="M64" s="10">
        <f t="shared" si="90"/>
        <v>2310</v>
      </c>
      <c r="N64" s="9">
        <f t="shared" si="86"/>
        <v>115.5</v>
      </c>
      <c r="O64" s="11">
        <f t="shared" si="87"/>
        <v>0</v>
      </c>
      <c r="P64" s="12">
        <f t="shared" si="88"/>
        <v>-4.5</v>
      </c>
      <c r="Q64" s="263">
        <f t="shared" si="91"/>
        <v>0.96250000000000002</v>
      </c>
      <c r="R64" s="571"/>
      <c r="S64" s="24">
        <v>0.3430555555555555</v>
      </c>
      <c r="T64" s="24">
        <v>0.39027777777777772</v>
      </c>
      <c r="U64" s="262">
        <f t="shared" si="93"/>
        <v>7.9999999999999716</v>
      </c>
      <c r="V64" s="268">
        <f t="shared" si="89"/>
        <v>68</v>
      </c>
      <c r="W64" s="13"/>
      <c r="X64" s="13"/>
      <c r="Y64" s="617"/>
      <c r="Z64" s="617"/>
      <c r="AA64" s="11">
        <f t="shared" si="2"/>
        <v>-90</v>
      </c>
      <c r="AB64" s="263">
        <f t="shared" si="92"/>
        <v>0.96250000000000002</v>
      </c>
      <c r="AC64" s="571"/>
    </row>
    <row r="65" spans="1:29" ht="15.75" customHeight="1">
      <c r="A65" s="619" t="s">
        <v>1193</v>
      </c>
      <c r="B65" s="269" t="s">
        <v>46</v>
      </c>
      <c r="C65" s="616" t="s">
        <v>66</v>
      </c>
      <c r="D65" s="616"/>
      <c r="E65" s="26">
        <v>24.25</v>
      </c>
      <c r="F65" s="269">
        <v>3600</v>
      </c>
      <c r="G65" s="262">
        <f t="shared" si="84"/>
        <v>87300</v>
      </c>
      <c r="H65" s="21">
        <v>2</v>
      </c>
      <c r="I65" s="267">
        <v>14</v>
      </c>
      <c r="J65" s="23">
        <v>2400</v>
      </c>
      <c r="K65" s="9">
        <f t="shared" si="85"/>
        <v>171.42857142857142</v>
      </c>
      <c r="L65" s="267">
        <v>14</v>
      </c>
      <c r="M65" s="10">
        <f t="shared" si="90"/>
        <v>2297.872340425532</v>
      </c>
      <c r="N65" s="9">
        <f t="shared" si="86"/>
        <v>164.13373860182372</v>
      </c>
      <c r="O65" s="11">
        <f t="shared" si="87"/>
        <v>0</v>
      </c>
      <c r="P65" s="12">
        <f t="shared" si="88"/>
        <v>-7.2948328267476938</v>
      </c>
      <c r="Q65" s="263">
        <f t="shared" si="91"/>
        <v>0.95744680851063846</v>
      </c>
      <c r="R65" s="571"/>
      <c r="S65" s="24">
        <v>0.39513888888888882</v>
      </c>
      <c r="T65" s="24">
        <v>0.46041666666666659</v>
      </c>
      <c r="U65" s="262">
        <f t="shared" si="93"/>
        <v>6.9999999999999751</v>
      </c>
      <c r="V65" s="268">
        <f t="shared" si="89"/>
        <v>93.999999999999986</v>
      </c>
      <c r="W65" s="13"/>
      <c r="X65" s="13"/>
      <c r="Y65" s="617"/>
      <c r="Z65" s="617"/>
      <c r="AA65" s="11">
        <f t="shared" si="2"/>
        <v>-102.127659574468</v>
      </c>
      <c r="AB65" s="263">
        <f t="shared" si="92"/>
        <v>0.95744680851063835</v>
      </c>
      <c r="AC65" s="571"/>
    </row>
    <row r="66" spans="1:29" ht="15.75" customHeight="1">
      <c r="A66" s="619" t="s">
        <v>1193</v>
      </c>
      <c r="B66" s="269" t="s">
        <v>46</v>
      </c>
      <c r="C66" s="616" t="s">
        <v>58</v>
      </c>
      <c r="D66" s="616"/>
      <c r="E66" s="26">
        <v>25.98</v>
      </c>
      <c r="F66" s="269">
        <v>1789</v>
      </c>
      <c r="G66" s="262">
        <f t="shared" si="84"/>
        <v>46478.22</v>
      </c>
      <c r="H66" s="21" t="s">
        <v>35</v>
      </c>
      <c r="I66" s="267">
        <v>17</v>
      </c>
      <c r="J66" s="23">
        <v>2400</v>
      </c>
      <c r="K66" s="9">
        <f t="shared" si="85"/>
        <v>141.1764705882353</v>
      </c>
      <c r="L66" s="267">
        <v>17</v>
      </c>
      <c r="M66" s="10">
        <f t="shared" si="90"/>
        <v>2283.8297872340431</v>
      </c>
      <c r="N66" s="9">
        <f t="shared" si="86"/>
        <v>134.34292866082606</v>
      </c>
      <c r="O66" s="11">
        <f t="shared" si="87"/>
        <v>0</v>
      </c>
      <c r="P66" s="12">
        <f t="shared" si="88"/>
        <v>-6.833541927409243</v>
      </c>
      <c r="Q66" s="263">
        <f t="shared" si="91"/>
        <v>0.95159574468085117</v>
      </c>
      <c r="R66" s="571"/>
      <c r="S66" s="24">
        <v>0.46597222222222212</v>
      </c>
      <c r="T66" s="24">
        <v>0.49861111111111101</v>
      </c>
      <c r="U66" s="262">
        <f t="shared" si="93"/>
        <v>7.9999999999999716</v>
      </c>
      <c r="V66" s="268">
        <f t="shared" si="89"/>
        <v>46.999999999999993</v>
      </c>
      <c r="W66" s="13">
        <f>T66</f>
        <v>0.49861111111111101</v>
      </c>
      <c r="X66" s="13">
        <f>S67</f>
        <v>0.54027777777777763</v>
      </c>
      <c r="Y66" s="617"/>
      <c r="Z66" s="617"/>
      <c r="AA66" s="11">
        <f t="shared" si="2"/>
        <v>-116.17021276595688</v>
      </c>
      <c r="AB66" s="263">
        <f t="shared" si="92"/>
        <v>0.95159574468085129</v>
      </c>
      <c r="AC66" s="571"/>
    </row>
    <row r="67" spans="1:29" ht="15.75" customHeight="1">
      <c r="A67" s="619" t="s">
        <v>748</v>
      </c>
      <c r="B67" s="269" t="s">
        <v>46</v>
      </c>
      <c r="C67" s="616" t="s">
        <v>85</v>
      </c>
      <c r="D67" s="616"/>
      <c r="E67" s="26">
        <v>19.02</v>
      </c>
      <c r="F67" s="269">
        <v>6238</v>
      </c>
      <c r="G67" s="262">
        <f t="shared" si="84"/>
        <v>118646.76</v>
      </c>
      <c r="H67" s="21" t="s">
        <v>35</v>
      </c>
      <c r="I67" s="267">
        <v>15</v>
      </c>
      <c r="J67" s="23">
        <v>2400</v>
      </c>
      <c r="K67" s="9">
        <f t="shared" si="85"/>
        <v>160</v>
      </c>
      <c r="L67" s="267">
        <v>15</v>
      </c>
      <c r="M67" s="10">
        <f t="shared" si="90"/>
        <v>2296.1963190184042</v>
      </c>
      <c r="N67" s="9">
        <f t="shared" si="86"/>
        <v>153.07975460122694</v>
      </c>
      <c r="O67" s="11">
        <f t="shared" si="87"/>
        <v>0</v>
      </c>
      <c r="P67" s="12">
        <f t="shared" si="88"/>
        <v>-6.9202453987730621</v>
      </c>
      <c r="Q67" s="263">
        <f t="shared" si="91"/>
        <v>0.95674846625766841</v>
      </c>
      <c r="R67" s="571"/>
      <c r="S67" s="24">
        <v>0.54027777777777763</v>
      </c>
      <c r="T67" s="24">
        <v>0.65347222222222212</v>
      </c>
      <c r="U67" s="262">
        <f t="shared" si="93"/>
        <v>59.999999999999943</v>
      </c>
      <c r="V67" s="268">
        <f t="shared" si="89"/>
        <v>163.00000000000006</v>
      </c>
      <c r="W67" s="13"/>
      <c r="X67" s="13"/>
      <c r="Y67" s="621"/>
      <c r="Z67" s="622"/>
      <c r="AA67" s="11">
        <f t="shared" si="2"/>
        <v>-103.80368098159579</v>
      </c>
      <c r="AB67" s="263">
        <f t="shared" si="92"/>
        <v>0.95674846625766841</v>
      </c>
      <c r="AC67" s="571"/>
    </row>
    <row r="68" spans="1:29" ht="15.75" customHeight="1">
      <c r="A68" s="619" t="s">
        <v>748</v>
      </c>
      <c r="B68" s="269" t="s">
        <v>46</v>
      </c>
      <c r="C68" s="616" t="s">
        <v>66</v>
      </c>
      <c r="D68" s="616"/>
      <c r="E68" s="26">
        <v>24.25</v>
      </c>
      <c r="F68" s="269">
        <v>2289</v>
      </c>
      <c r="G68" s="262">
        <f t="shared" si="84"/>
        <v>55508.25</v>
      </c>
      <c r="H68" s="21" t="s">
        <v>35</v>
      </c>
      <c r="I68" s="267">
        <v>14</v>
      </c>
      <c r="J68" s="23">
        <v>2400</v>
      </c>
      <c r="K68" s="9">
        <f t="shared" si="85"/>
        <v>171.42857142857142</v>
      </c>
      <c r="L68" s="267">
        <v>14</v>
      </c>
      <c r="M68" s="10">
        <f t="shared" si="90"/>
        <v>2289.0000000000018</v>
      </c>
      <c r="N68" s="9">
        <f t="shared" si="86"/>
        <v>163.50000000000014</v>
      </c>
      <c r="O68" s="11">
        <f t="shared" si="87"/>
        <v>0</v>
      </c>
      <c r="P68" s="12">
        <f t="shared" si="88"/>
        <v>-7.9285714285712743</v>
      </c>
      <c r="Q68" s="263">
        <f t="shared" si="91"/>
        <v>0.95375000000000087</v>
      </c>
      <c r="R68" s="571"/>
      <c r="S68" s="24">
        <v>0.65902777777777766</v>
      </c>
      <c r="T68" s="24">
        <v>0.70069444444444429</v>
      </c>
      <c r="U68" s="262">
        <f t="shared" si="93"/>
        <v>7.9999999999999716</v>
      </c>
      <c r="V68" s="268">
        <f t="shared" si="89"/>
        <v>59.999999999999943</v>
      </c>
      <c r="W68" s="13"/>
      <c r="X68" s="13"/>
      <c r="Y68" s="621"/>
      <c r="Z68" s="622"/>
      <c r="AA68" s="11">
        <f t="shared" si="2"/>
        <v>-110.99999999999818</v>
      </c>
      <c r="AB68" s="263">
        <f t="shared" si="92"/>
        <v>0.95375000000000076</v>
      </c>
      <c r="AC68" s="571"/>
    </row>
    <row r="69" spans="1:29" ht="16.5" customHeight="1">
      <c r="A69" s="620" t="s">
        <v>748</v>
      </c>
      <c r="B69" s="26" t="s">
        <v>1194</v>
      </c>
      <c r="C69" s="625"/>
      <c r="D69" s="626"/>
      <c r="E69" s="264"/>
      <c r="F69" s="27"/>
      <c r="G69" s="9"/>
      <c r="H69" s="269"/>
      <c r="I69" s="16">
        <v>16.375</v>
      </c>
      <c r="J69" s="23">
        <v>2400</v>
      </c>
      <c r="K69" s="9">
        <f t="shared" si="85"/>
        <v>146.56488549618319</v>
      </c>
      <c r="L69" s="16">
        <v>16.375</v>
      </c>
      <c r="M69" s="10">
        <f>AVERAGE(M61:M68)</f>
        <v>2295.7716673066088</v>
      </c>
      <c r="N69" s="9">
        <f>M69/L69</f>
        <v>140.19979647673946</v>
      </c>
      <c r="O69" s="11">
        <f>L69-I69</f>
        <v>0</v>
      </c>
      <c r="P69" s="12">
        <f>N69-K69</f>
        <v>-6.3650890194437295</v>
      </c>
      <c r="Q69" s="263">
        <f t="shared" si="91"/>
        <v>0.95657152804442036</v>
      </c>
      <c r="R69" s="571"/>
      <c r="S69" s="24"/>
      <c r="T69" s="24"/>
      <c r="U69" s="9"/>
      <c r="V69" s="268"/>
      <c r="W69" s="9"/>
      <c r="X69" s="9"/>
      <c r="Y69" s="617"/>
      <c r="Z69" s="617"/>
      <c r="AA69" s="11">
        <f t="shared" ref="AA69" si="94">M69-J69</f>
        <v>-104.22833269339117</v>
      </c>
      <c r="AB69" s="263">
        <f t="shared" si="92"/>
        <v>0.95657152804442036</v>
      </c>
      <c r="AC69" s="571"/>
    </row>
    <row r="70" spans="1:29">
      <c r="D70" s="17"/>
      <c r="E70" s="17"/>
    </row>
  </sheetData>
  <mergeCells count="186">
    <mergeCell ref="I1:K2"/>
    <mergeCell ref="L1:N2"/>
    <mergeCell ref="O1:R2"/>
    <mergeCell ref="S1:X2"/>
    <mergeCell ref="Y1:Z2"/>
    <mergeCell ref="AA1:AC2"/>
    <mergeCell ref="J3:J4"/>
    <mergeCell ref="K3:K4"/>
    <mergeCell ref="L3:L4"/>
    <mergeCell ref="M3:M4"/>
    <mergeCell ref="P3:P4"/>
    <mergeCell ref="Q3:Q4"/>
    <mergeCell ref="R3:R4"/>
    <mergeCell ref="S3:T3"/>
    <mergeCell ref="A3:A4"/>
    <mergeCell ref="B3:B4"/>
    <mergeCell ref="C3:D4"/>
    <mergeCell ref="E3:E4"/>
    <mergeCell ref="F3:F4"/>
    <mergeCell ref="G3:G4"/>
    <mergeCell ref="AC3:AC4"/>
    <mergeCell ref="A5:A8"/>
    <mergeCell ref="C5:D5"/>
    <mergeCell ref="R5:R8"/>
    <mergeCell ref="Y5:Z5"/>
    <mergeCell ref="AC5:AC8"/>
    <mergeCell ref="C6:D6"/>
    <mergeCell ref="Y6:Z6"/>
    <mergeCell ref="C7:D7"/>
    <mergeCell ref="Y7:Z7"/>
    <mergeCell ref="U3:U4"/>
    <mergeCell ref="V3:V4"/>
    <mergeCell ref="W3:X3"/>
    <mergeCell ref="Y3:Z4"/>
    <mergeCell ref="AA3:AA4"/>
    <mergeCell ref="AB3:AB4"/>
    <mergeCell ref="N3:N4"/>
    <mergeCell ref="O3:O4"/>
    <mergeCell ref="H3:H4"/>
    <mergeCell ref="I3:I4"/>
    <mergeCell ref="A12:A18"/>
    <mergeCell ref="C12:D12"/>
    <mergeCell ref="R12:R18"/>
    <mergeCell ref="Y12:Z12"/>
    <mergeCell ref="AC12:AC18"/>
    <mergeCell ref="C8:D8"/>
    <mergeCell ref="Y8:Z8"/>
    <mergeCell ref="A9:A11"/>
    <mergeCell ref="C9:D9"/>
    <mergeCell ref="R9:R11"/>
    <mergeCell ref="Y9:Z9"/>
    <mergeCell ref="C13:D13"/>
    <mergeCell ref="Y13:Z13"/>
    <mergeCell ref="C14:D14"/>
    <mergeCell ref="Y14:Z14"/>
    <mergeCell ref="C15:D15"/>
    <mergeCell ref="Y15:Z15"/>
    <mergeCell ref="AC9:AC11"/>
    <mergeCell ref="C10:D10"/>
    <mergeCell ref="Y10:Z10"/>
    <mergeCell ref="C11:D11"/>
    <mergeCell ref="Y11:Z11"/>
    <mergeCell ref="AC19:AC23"/>
    <mergeCell ref="C20:D20"/>
    <mergeCell ref="Y20:Z20"/>
    <mergeCell ref="C21:D21"/>
    <mergeCell ref="Y21:Z21"/>
    <mergeCell ref="C22:D22"/>
    <mergeCell ref="C16:D16"/>
    <mergeCell ref="Y16:Z16"/>
    <mergeCell ref="C17:D17"/>
    <mergeCell ref="Y17:Z17"/>
    <mergeCell ref="C18:D18"/>
    <mergeCell ref="Y18:Z18"/>
    <mergeCell ref="Y22:Z22"/>
    <mergeCell ref="C23:D23"/>
    <mergeCell ref="Y23:Z23"/>
    <mergeCell ref="A24:A32"/>
    <mergeCell ref="C24:D24"/>
    <mergeCell ref="R24:R32"/>
    <mergeCell ref="Y24:Z24"/>
    <mergeCell ref="Y29:Z29"/>
    <mergeCell ref="C30:D30"/>
    <mergeCell ref="Y30:Z30"/>
    <mergeCell ref="A19:A23"/>
    <mergeCell ref="C19:D19"/>
    <mergeCell ref="R19:R23"/>
    <mergeCell ref="Y19:Z19"/>
    <mergeCell ref="AC24:AC32"/>
    <mergeCell ref="C25:D25"/>
    <mergeCell ref="Y25:Z25"/>
    <mergeCell ref="C26:D26"/>
    <mergeCell ref="Y26:Z26"/>
    <mergeCell ref="C27:D27"/>
    <mergeCell ref="Y27:Z27"/>
    <mergeCell ref="C28:D28"/>
    <mergeCell ref="Y28:Z28"/>
    <mergeCell ref="C29:D29"/>
    <mergeCell ref="C31:D31"/>
    <mergeCell ref="Y31:Z31"/>
    <mergeCell ref="C32:D32"/>
    <mergeCell ref="Y32:Z32"/>
    <mergeCell ref="A33:A41"/>
    <mergeCell ref="C33:D33"/>
    <mergeCell ref="R33:R41"/>
    <mergeCell ref="Y33:Z33"/>
    <mergeCell ref="Y38:Z38"/>
    <mergeCell ref="C39:D39"/>
    <mergeCell ref="AC33:AC41"/>
    <mergeCell ref="C34:D34"/>
    <mergeCell ref="Y34:Z34"/>
    <mergeCell ref="C35:D35"/>
    <mergeCell ref="Y35:Z35"/>
    <mergeCell ref="C36:D36"/>
    <mergeCell ref="Y36:Z36"/>
    <mergeCell ref="C37:D37"/>
    <mergeCell ref="Y37:Z37"/>
    <mergeCell ref="C38:D38"/>
    <mergeCell ref="Y39:Z39"/>
    <mergeCell ref="C40:D40"/>
    <mergeCell ref="Y40:Z40"/>
    <mergeCell ref="C41:D41"/>
    <mergeCell ref="Y41:Z41"/>
    <mergeCell ref="A42:A48"/>
    <mergeCell ref="C42:D42"/>
    <mergeCell ref="R42:R48"/>
    <mergeCell ref="Y42:Z42"/>
    <mergeCell ref="Y47:Z47"/>
    <mergeCell ref="C48:D48"/>
    <mergeCell ref="Y48:Z48"/>
    <mergeCell ref="A49:A55"/>
    <mergeCell ref="C49:D49"/>
    <mergeCell ref="R49:R55"/>
    <mergeCell ref="Y49:Z49"/>
    <mergeCell ref="AC42:AC48"/>
    <mergeCell ref="C43:D43"/>
    <mergeCell ref="Y43:Z43"/>
    <mergeCell ref="C44:D44"/>
    <mergeCell ref="Y44:Z44"/>
    <mergeCell ref="C45:D45"/>
    <mergeCell ref="Y45:Z45"/>
    <mergeCell ref="C46:D46"/>
    <mergeCell ref="Y46:Z46"/>
    <mergeCell ref="C47:D47"/>
    <mergeCell ref="AC56:AC60"/>
    <mergeCell ref="C57:D57"/>
    <mergeCell ref="Y57:Z57"/>
    <mergeCell ref="C58:D58"/>
    <mergeCell ref="Y58:Z58"/>
    <mergeCell ref="C59:D59"/>
    <mergeCell ref="AC49:AC55"/>
    <mergeCell ref="C50:D50"/>
    <mergeCell ref="Y50:Z50"/>
    <mergeCell ref="C51:D51"/>
    <mergeCell ref="C54:D54"/>
    <mergeCell ref="Y54:Z54"/>
    <mergeCell ref="C55:D55"/>
    <mergeCell ref="Y55:Z55"/>
    <mergeCell ref="Y59:Z59"/>
    <mergeCell ref="C60:D60"/>
    <mergeCell ref="Y60:Z60"/>
    <mergeCell ref="A61:A69"/>
    <mergeCell ref="C61:D61"/>
    <mergeCell ref="R61:R69"/>
    <mergeCell ref="Y61:Z61"/>
    <mergeCell ref="Y66:Z66"/>
    <mergeCell ref="C67:D67"/>
    <mergeCell ref="Y67:Z67"/>
    <mergeCell ref="A56:A60"/>
    <mergeCell ref="C56:D56"/>
    <mergeCell ref="R56:R60"/>
    <mergeCell ref="Y56:Z56"/>
    <mergeCell ref="C68:D68"/>
    <mergeCell ref="Y68:Z68"/>
    <mergeCell ref="C69:D69"/>
    <mergeCell ref="Y69:Z69"/>
    <mergeCell ref="AC61:AC69"/>
    <mergeCell ref="C62:D62"/>
    <mergeCell ref="Y62:Z62"/>
    <mergeCell ref="C63:D63"/>
    <mergeCell ref="Y63:Z63"/>
    <mergeCell ref="C64:D64"/>
    <mergeCell ref="Y64:Z64"/>
    <mergeCell ref="C65:D65"/>
    <mergeCell ref="Y65:Z65"/>
    <mergeCell ref="C66:D66"/>
  </mergeCells>
  <phoneticPr fontId="3" type="noConversion"/>
  <conditionalFormatting sqref="O59:O66 O69 O5:O9 O11:O13 O18:O56">
    <cfRule type="cellIs" dxfId="931" priority="46" operator="greaterThan">
      <formula>0</formula>
    </cfRule>
  </conditionalFormatting>
  <conditionalFormatting sqref="P5:P7 P59 AA59 P61:P66 P24:P31 P56 P9 P11:P13 P19:P22 P49:P54 P33:P47 AA5:AA56 AA61:AA69">
    <cfRule type="cellIs" dxfId="930" priority="50" operator="lessThan">
      <formula>0</formula>
    </cfRule>
  </conditionalFormatting>
  <conditionalFormatting sqref="AB59 Q59:Q66 Q69 Q5:Q9 Q11:Q13 Q18:Q56 AB5:AB56 AB61:AB69">
    <cfRule type="cellIs" dxfId="929" priority="47" operator="greaterThan">
      <formula>1</formula>
    </cfRule>
    <cfRule type="cellIs" dxfId="928" priority="48" operator="lessThan">
      <formula>0.8</formula>
    </cfRule>
  </conditionalFormatting>
  <conditionalFormatting sqref="AC12:AC13 R12:R13 AC59 R59:R66 R69 AC5:AC9 R5:R9 AC18:AC56 R18:R56">
    <cfRule type="cellIs" dxfId="927" priority="52" operator="lessThan">
      <formula>0.8</formula>
    </cfRule>
  </conditionalFormatting>
  <conditionalFormatting sqref="AC42">
    <cfRule type="cellIs" dxfId="926" priority="54" operator="lessThan">
      <formula>0.8</formula>
    </cfRule>
  </conditionalFormatting>
  <conditionalFormatting sqref="AC19:AC22">
    <cfRule type="cellIs" dxfId="925" priority="51" operator="lessThan">
      <formula>0.8</formula>
    </cfRule>
  </conditionalFormatting>
  <conditionalFormatting sqref="AC24">
    <cfRule type="cellIs" dxfId="924" priority="53" operator="lessThan">
      <formula>0.8</formula>
    </cfRule>
  </conditionalFormatting>
  <conditionalFormatting sqref="AC33:AC40">
    <cfRule type="cellIs" dxfId="923" priority="49" operator="lessThan">
      <formula>0.8</formula>
    </cfRule>
  </conditionalFormatting>
  <conditionalFormatting sqref="AA60">
    <cfRule type="cellIs" dxfId="922" priority="45" operator="lessThan">
      <formula>0</formula>
    </cfRule>
  </conditionalFormatting>
  <conditionalFormatting sqref="AB60">
    <cfRule type="cellIs" dxfId="921" priority="43" operator="greaterThan">
      <formula>1</formula>
    </cfRule>
    <cfRule type="cellIs" dxfId="920" priority="44" operator="lessThan">
      <formula>0.8</formula>
    </cfRule>
  </conditionalFormatting>
  <conditionalFormatting sqref="O14:O15">
    <cfRule type="cellIs" dxfId="919" priority="38" operator="greaterThan">
      <formula>0</formula>
    </cfRule>
  </conditionalFormatting>
  <conditionalFormatting sqref="P14:P15">
    <cfRule type="cellIs" dxfId="918" priority="41" operator="lessThan">
      <formula>0</formula>
    </cfRule>
  </conditionalFormatting>
  <conditionalFormatting sqref="Q14:Q15">
    <cfRule type="cellIs" dxfId="917" priority="39" operator="greaterThan">
      <formula>1</formula>
    </cfRule>
    <cfRule type="cellIs" dxfId="916" priority="40" operator="lessThan">
      <formula>0.8</formula>
    </cfRule>
  </conditionalFormatting>
  <conditionalFormatting sqref="R14:R15 AC14:AC15">
    <cfRule type="cellIs" dxfId="915" priority="42" operator="lessThan">
      <formula>0.8</formula>
    </cfRule>
  </conditionalFormatting>
  <conditionalFormatting sqref="O10">
    <cfRule type="cellIs" dxfId="914" priority="34" operator="greaterThan">
      <formula>0</formula>
    </cfRule>
  </conditionalFormatting>
  <conditionalFormatting sqref="P10">
    <cfRule type="cellIs" dxfId="913" priority="37" operator="lessThan">
      <formula>0</formula>
    </cfRule>
  </conditionalFormatting>
  <conditionalFormatting sqref="Q10">
    <cfRule type="cellIs" dxfId="912" priority="35" operator="greaterThan">
      <formula>1</formula>
    </cfRule>
    <cfRule type="cellIs" dxfId="911" priority="36" operator="lessThan">
      <formula>0.8</formula>
    </cfRule>
  </conditionalFormatting>
  <conditionalFormatting sqref="O58">
    <cfRule type="cellIs" dxfId="910" priority="29" operator="greaterThan">
      <formula>0</formula>
    </cfRule>
  </conditionalFormatting>
  <conditionalFormatting sqref="P58 AA58">
    <cfRule type="cellIs" dxfId="909" priority="32" operator="lessThan">
      <formula>0</formula>
    </cfRule>
  </conditionalFormatting>
  <conditionalFormatting sqref="Q58 AB58">
    <cfRule type="cellIs" dxfId="908" priority="30" operator="greaterThan">
      <formula>1</formula>
    </cfRule>
    <cfRule type="cellIs" dxfId="907" priority="31" operator="lessThan">
      <formula>0.8</formula>
    </cfRule>
  </conditionalFormatting>
  <conditionalFormatting sqref="R58 AC58">
    <cfRule type="cellIs" dxfId="906" priority="33" operator="lessThan">
      <formula>0.8</formula>
    </cfRule>
  </conditionalFormatting>
  <conditionalFormatting sqref="O67">
    <cfRule type="cellIs" dxfId="905" priority="24" operator="greaterThan">
      <formula>0</formula>
    </cfRule>
  </conditionalFormatting>
  <conditionalFormatting sqref="P67">
    <cfRule type="cellIs" dxfId="904" priority="27" operator="lessThan">
      <formula>0</formula>
    </cfRule>
  </conditionalFormatting>
  <conditionalFormatting sqref="Q67">
    <cfRule type="cellIs" dxfId="903" priority="25" operator="greaterThan">
      <formula>1</formula>
    </cfRule>
    <cfRule type="cellIs" dxfId="902" priority="26" operator="lessThan">
      <formula>0.8</formula>
    </cfRule>
  </conditionalFormatting>
  <conditionalFormatting sqref="R67">
    <cfRule type="cellIs" dxfId="901" priority="28" operator="lessThan">
      <formula>0.8</formula>
    </cfRule>
  </conditionalFormatting>
  <conditionalFormatting sqref="O16:O17">
    <cfRule type="cellIs" dxfId="900" priority="19" operator="greaterThan">
      <formula>0</formula>
    </cfRule>
  </conditionalFormatting>
  <conditionalFormatting sqref="P16:P17">
    <cfRule type="cellIs" dxfId="899" priority="22" operator="lessThan">
      <formula>0</formula>
    </cfRule>
  </conditionalFormatting>
  <conditionalFormatting sqref="Q16:Q17">
    <cfRule type="cellIs" dxfId="898" priority="20" operator="greaterThan">
      <formula>1</formula>
    </cfRule>
    <cfRule type="cellIs" dxfId="897" priority="21" operator="lessThan">
      <formula>0.8</formula>
    </cfRule>
  </conditionalFormatting>
  <conditionalFormatting sqref="R16:R17 AC16:AC17">
    <cfRule type="cellIs" dxfId="896" priority="23" operator="lessThan">
      <formula>0.8</formula>
    </cfRule>
  </conditionalFormatting>
  <conditionalFormatting sqref="O57">
    <cfRule type="cellIs" dxfId="895" priority="14" operator="greaterThan">
      <formula>0</formula>
    </cfRule>
  </conditionalFormatting>
  <conditionalFormatting sqref="P57 AA57">
    <cfRule type="cellIs" dxfId="894" priority="17" operator="lessThan">
      <formula>0</formula>
    </cfRule>
  </conditionalFormatting>
  <conditionalFormatting sqref="Q57 AB57">
    <cfRule type="cellIs" dxfId="893" priority="15" operator="greaterThan">
      <formula>1</formula>
    </cfRule>
    <cfRule type="cellIs" dxfId="892" priority="16" operator="lessThan">
      <formula>0.8</formula>
    </cfRule>
  </conditionalFormatting>
  <conditionalFormatting sqref="R57 AC57">
    <cfRule type="cellIs" dxfId="891" priority="18" operator="lessThan">
      <formula>0.8</formula>
    </cfRule>
  </conditionalFormatting>
  <conditionalFormatting sqref="P8">
    <cfRule type="cellIs" dxfId="890" priority="13" operator="lessThan">
      <formula>0</formula>
    </cfRule>
  </conditionalFormatting>
  <conditionalFormatting sqref="P18">
    <cfRule type="cellIs" dxfId="889" priority="12" operator="lessThan">
      <formula>0</formula>
    </cfRule>
  </conditionalFormatting>
  <conditionalFormatting sqref="P23">
    <cfRule type="cellIs" dxfId="888" priority="11" operator="lessThan">
      <formula>0</formula>
    </cfRule>
  </conditionalFormatting>
  <conditionalFormatting sqref="P32">
    <cfRule type="cellIs" dxfId="887" priority="10" operator="lessThan">
      <formula>0</formula>
    </cfRule>
  </conditionalFormatting>
  <conditionalFormatting sqref="P48">
    <cfRule type="cellIs" dxfId="886" priority="9" operator="lessThan">
      <formula>0</formula>
    </cfRule>
  </conditionalFormatting>
  <conditionalFormatting sqref="P55">
    <cfRule type="cellIs" dxfId="885" priority="8" operator="lessThan">
      <formula>0</formula>
    </cfRule>
  </conditionalFormatting>
  <conditionalFormatting sqref="P60">
    <cfRule type="cellIs" dxfId="884" priority="7" operator="lessThan">
      <formula>0</formula>
    </cfRule>
  </conditionalFormatting>
  <conditionalFormatting sqref="P69">
    <cfRule type="cellIs" dxfId="883" priority="6" operator="lessThan">
      <formula>0</formula>
    </cfRule>
  </conditionalFormatting>
  <conditionalFormatting sqref="O68">
    <cfRule type="cellIs" dxfId="882" priority="1" operator="greaterThan">
      <formula>0</formula>
    </cfRule>
  </conditionalFormatting>
  <conditionalFormatting sqref="P68">
    <cfRule type="cellIs" dxfId="881" priority="4" operator="lessThan">
      <formula>0</formula>
    </cfRule>
  </conditionalFormatting>
  <conditionalFormatting sqref="Q68">
    <cfRule type="cellIs" dxfId="880" priority="2" operator="greaterThan">
      <formula>1</formula>
    </cfRule>
    <cfRule type="cellIs" dxfId="879" priority="3" operator="lessThan">
      <formula>0.8</formula>
    </cfRule>
  </conditionalFormatting>
  <conditionalFormatting sqref="R68">
    <cfRule type="cellIs" dxfId="878" priority="5" operator="lessThan">
      <formula>0.8</formula>
    </cfRule>
  </conditionalFormatting>
  <dataValidations count="1">
    <dataValidation type="list" allowBlank="1" showInputMessage="1" showErrorMessage="1" sqref="Z8 Y5:Z7 Y8:Y59 Z10:Z56 Y60:Z69">
      <formula1>#REF!</formula1>
    </dataValidation>
  </dataValidations>
  <pageMargins left="0" right="0" top="0" bottom="0" header="0" footer="0"/>
  <pageSetup paperSize="9" scale="11" orientation="landscape" horizontalDpi="300" verticalDpi="300" r:id="rId1"/>
</worksheet>
</file>

<file path=xl/worksheets/sheet3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工作表30"/>
  <dimension ref="B1:Q28"/>
  <sheetViews>
    <sheetView zoomScale="85" zoomScaleNormal="85" workbookViewId="0">
      <selection activeCell="I3" sqref="I3:J3"/>
    </sheetView>
  </sheetViews>
  <sheetFormatPr defaultColWidth="8.75" defaultRowHeight="15.75"/>
  <cols>
    <col min="1" max="1" width="8.75" style="30"/>
    <col min="2" max="2" width="17.875" style="30" customWidth="1"/>
    <col min="3" max="3" width="9.25" style="37" customWidth="1"/>
    <col min="4" max="13" width="12.625" style="30" customWidth="1"/>
    <col min="14" max="14" width="11" style="30" bestFit="1" customWidth="1"/>
    <col min="15" max="15" width="17.75" style="30" bestFit="1" customWidth="1"/>
    <col min="16" max="16" width="12.25" style="30" bestFit="1" customWidth="1"/>
    <col min="17" max="22" width="9.25" style="30" customWidth="1"/>
    <col min="23" max="23" width="10.75" style="30" customWidth="1"/>
    <col min="24" max="24" width="11" style="30" customWidth="1"/>
    <col min="25" max="16384" width="8.75" style="30"/>
  </cols>
  <sheetData>
    <row r="1" spans="2:17" ht="27.75" customHeight="1">
      <c r="B1" s="552" t="s">
        <v>1042</v>
      </c>
      <c r="C1" s="552"/>
      <c r="D1" s="552"/>
      <c r="E1" s="552"/>
      <c r="F1" s="552"/>
      <c r="G1" s="552"/>
      <c r="H1" s="552"/>
      <c r="I1" s="552"/>
      <c r="J1" s="552"/>
      <c r="K1" s="29"/>
      <c r="L1" s="29"/>
      <c r="M1" s="29"/>
      <c r="N1" s="29"/>
      <c r="O1" s="29"/>
      <c r="P1" s="29"/>
    </row>
    <row r="2" spans="2:17" ht="27.75" customHeight="1">
      <c r="B2" s="553"/>
      <c r="C2" s="553"/>
      <c r="D2" s="553"/>
      <c r="E2" s="553"/>
      <c r="F2" s="553"/>
      <c r="G2" s="553"/>
      <c r="H2" s="553"/>
      <c r="I2" s="553"/>
      <c r="J2" s="553"/>
      <c r="K2" s="31"/>
      <c r="L2" s="31"/>
      <c r="M2" s="31"/>
      <c r="N2" s="29"/>
      <c r="O2" s="29"/>
      <c r="P2" s="29"/>
    </row>
    <row r="3" spans="2:17" ht="46.5" customHeight="1">
      <c r="B3" s="32" t="s">
        <v>1043</v>
      </c>
      <c r="C3" s="554" t="str">
        <f>TEXT('1014 4度C'!A2,"yyyy.mm.ddaaaa")</f>
        <v>2025.10.14星期二</v>
      </c>
      <c r="D3" s="555"/>
      <c r="E3" s="32" t="s">
        <v>1044</v>
      </c>
      <c r="F3" s="556">
        <f>'1014 4度C'!D1</f>
        <v>194481</v>
      </c>
      <c r="G3" s="557"/>
      <c r="H3" s="32" t="s">
        <v>1045</v>
      </c>
      <c r="I3" s="558">
        <f>'1014 4度C'!F1</f>
        <v>6391262.9300000006</v>
      </c>
      <c r="J3" s="559"/>
      <c r="K3" s="33"/>
      <c r="L3" s="34"/>
      <c r="M3" s="35"/>
      <c r="N3" s="35"/>
    </row>
    <row r="4" spans="2:17" ht="28.5" customHeight="1">
      <c r="B4" s="560" t="s">
        <v>1046</v>
      </c>
      <c r="C4" s="542" t="s">
        <v>1047</v>
      </c>
      <c r="D4" s="543"/>
      <c r="E4" s="563" t="s">
        <v>1048</v>
      </c>
      <c r="F4" s="564"/>
      <c r="G4" s="563" t="s">
        <v>1049</v>
      </c>
      <c r="H4" s="564"/>
      <c r="I4" s="563" t="s">
        <v>1050</v>
      </c>
      <c r="J4" s="564"/>
      <c r="L4" s="35"/>
      <c r="M4" s="35"/>
      <c r="N4" s="35"/>
    </row>
    <row r="5" spans="2:17" ht="28.5" customHeight="1">
      <c r="B5" s="561"/>
      <c r="C5" s="542" t="s">
        <v>1051</v>
      </c>
      <c r="D5" s="543"/>
      <c r="E5" s="542" t="s">
        <v>1052</v>
      </c>
      <c r="F5" s="543"/>
      <c r="G5" s="544" t="s">
        <v>1053</v>
      </c>
      <c r="H5" s="545"/>
      <c r="I5" s="546" t="s">
        <v>1054</v>
      </c>
      <c r="J5" s="547"/>
      <c r="K5" s="35"/>
      <c r="L5" s="35"/>
      <c r="M5" s="35"/>
      <c r="N5" s="35"/>
    </row>
    <row r="6" spans="2:17" ht="28.5" customHeight="1">
      <c r="B6" s="561"/>
      <c r="C6" s="542" t="s">
        <v>92</v>
      </c>
      <c r="D6" s="543"/>
      <c r="E6" s="548">
        <f>AVERAGE(D13:M13)</f>
        <v>154.17839911929266</v>
      </c>
      <c r="F6" s="549">
        <f>AVERAGE(D27:O27,D13:J13)</f>
        <v>160.0863999923418</v>
      </c>
      <c r="G6" s="550">
        <f>AVERAGE(D13:J13)</f>
        <v>160.0863999923418</v>
      </c>
      <c r="H6" s="551"/>
      <c r="I6" s="550">
        <f>AVERAGE(K13:M13)</f>
        <v>140.39306374884458</v>
      </c>
      <c r="J6" s="551"/>
      <c r="K6" s="35"/>
      <c r="L6" s="35"/>
      <c r="M6" s="35"/>
      <c r="N6" s="35"/>
    </row>
    <row r="7" spans="2:17" ht="28.5" customHeight="1">
      <c r="B7" s="561"/>
      <c r="C7" s="532" t="s">
        <v>93</v>
      </c>
      <c r="D7" s="533"/>
      <c r="E7" s="534">
        <f>AVERAGE(D14:M14)</f>
        <v>147.73654994406442</v>
      </c>
      <c r="F7" s="535">
        <f>AVERAGE(D28:O28,D14:J14)</f>
        <v>153.48702818511359</v>
      </c>
      <c r="G7" s="536">
        <f>AVERAGE(D14:J14)</f>
        <v>153.48702818511359</v>
      </c>
      <c r="H7" s="537"/>
      <c r="I7" s="536">
        <f>AVERAGE(K14:M14)</f>
        <v>134.31876738161637</v>
      </c>
      <c r="J7" s="537"/>
      <c r="K7" s="35"/>
      <c r="L7" s="35"/>
      <c r="M7" s="35"/>
      <c r="N7" s="35"/>
    </row>
    <row r="8" spans="2:17" ht="28.5" customHeight="1">
      <c r="B8" s="562"/>
      <c r="C8" s="532" t="s">
        <v>94</v>
      </c>
      <c r="D8" s="533"/>
      <c r="E8" s="538">
        <f>AVERAGE(D15:M15)</f>
        <v>0.95786291445818428</v>
      </c>
      <c r="F8" s="539">
        <f>AVERAGE(D15:J15,D29:O29)</f>
        <v>0.95834906677210518</v>
      </c>
      <c r="G8" s="540">
        <f>AVERAGE(D15:J15)</f>
        <v>0.95834906677210518</v>
      </c>
      <c r="H8" s="541"/>
      <c r="I8" s="540">
        <f>AVERAGE(K15:M15)</f>
        <v>0.95672855905903553</v>
      </c>
      <c r="J8" s="541"/>
      <c r="K8" s="36" t="s">
        <v>1055</v>
      </c>
      <c r="L8" s="35"/>
      <c r="M8" s="35"/>
      <c r="N8" s="35"/>
    </row>
    <row r="9" spans="2:17" ht="28.5" customHeight="1" thickBot="1">
      <c r="H9" s="38"/>
      <c r="N9" s="35"/>
      <c r="O9" s="35"/>
      <c r="P9" s="35"/>
      <c r="Q9" s="35"/>
    </row>
    <row r="10" spans="2:17" ht="30" customHeight="1">
      <c r="B10" s="515" t="s">
        <v>1056</v>
      </c>
      <c r="C10" s="516"/>
      <c r="D10" s="517" t="s">
        <v>1057</v>
      </c>
      <c r="E10" s="518"/>
      <c r="F10" s="518"/>
      <c r="G10" s="518"/>
      <c r="H10" s="518"/>
      <c r="I10" s="518"/>
      <c r="J10" s="519"/>
      <c r="K10" s="520" t="s">
        <v>1058</v>
      </c>
      <c r="L10" s="521"/>
      <c r="M10" s="522"/>
      <c r="P10" s="39"/>
      <c r="Q10" s="39"/>
    </row>
    <row r="11" spans="2:17" ht="17.25" customHeight="1">
      <c r="B11" s="523" t="s">
        <v>1059</v>
      </c>
      <c r="C11" s="524"/>
      <c r="D11" s="40">
        <v>1</v>
      </c>
      <c r="E11" s="41">
        <v>2</v>
      </c>
      <c r="F11" s="41">
        <v>3</v>
      </c>
      <c r="G11" s="41">
        <v>4</v>
      </c>
      <c r="H11" s="41">
        <v>5</v>
      </c>
      <c r="I11" s="41">
        <v>6</v>
      </c>
      <c r="J11" s="42">
        <v>7</v>
      </c>
      <c r="K11" s="40">
        <v>1</v>
      </c>
      <c r="L11" s="41">
        <v>2</v>
      </c>
      <c r="M11" s="42">
        <v>3</v>
      </c>
      <c r="P11" s="39"/>
      <c r="Q11" s="39"/>
    </row>
    <row r="12" spans="2:17" ht="34.15" customHeight="1">
      <c r="B12" s="525"/>
      <c r="C12" s="526"/>
      <c r="D12" s="43" t="s">
        <v>96</v>
      </c>
      <c r="E12" s="44" t="s">
        <v>97</v>
      </c>
      <c r="F12" s="44" t="s">
        <v>98</v>
      </c>
      <c r="G12" s="44" t="s">
        <v>99</v>
      </c>
      <c r="H12" s="44" t="s">
        <v>100</v>
      </c>
      <c r="I12" s="44" t="s">
        <v>101</v>
      </c>
      <c r="J12" s="45" t="s">
        <v>102</v>
      </c>
      <c r="K12" s="43" t="s">
        <v>103</v>
      </c>
      <c r="L12" s="44" t="s">
        <v>104</v>
      </c>
      <c r="M12" s="45" t="s">
        <v>105</v>
      </c>
    </row>
    <row r="13" spans="2:17" ht="40.15" customHeight="1">
      <c r="B13" s="527" t="s">
        <v>1060</v>
      </c>
      <c r="C13" s="46" t="s">
        <v>1061</v>
      </c>
      <c r="D13" s="47">
        <f>SUMIFS('1014 4度C'!$K:$K,'1014 4度C'!$A:$A,"新豐6線",'1014 4度C'!$B:$B,"平均")</f>
        <v>125</v>
      </c>
      <c r="E13" s="48">
        <f>SUMIFS('1014 4度C'!$K:$K,'1014 4度C'!$A:$A,"新豐2線",'1014 4度C'!$B:$B,"平均")</f>
        <v>81.081081081081081</v>
      </c>
      <c r="F13" s="49">
        <f>SUMIFS('1014 4度C'!$K:$K,'1014 4度C'!$A:$A,"新豐5線",'1014 4度C'!$B:$B,"平均")</f>
        <v>98.198198198198199</v>
      </c>
      <c r="G13" s="49">
        <f>SUMIFS('1014 4度C'!$K:$K,'1014 4度C'!$A:$A,"新豐7線",'1014 4度C'!$B:$B,"平均")</f>
        <v>119.40298507462687</v>
      </c>
      <c r="H13" s="49">
        <f>SUMIFS('1014 4度C'!$K:$K,'1014 4度C'!$A:$A,"新豐3線",'1014 4度C'!$B:$B,"平均")</f>
        <v>310.34482758620692</v>
      </c>
      <c r="I13" s="49">
        <f>SUMIFS('1014 4度C'!$K:$K,'1014 4度C'!$A:$A,"新豐1線",'1014 4度C'!$B:$B,"平均")</f>
        <v>117.34693877551021</v>
      </c>
      <c r="J13" s="50">
        <f>SUMIFS('1014 4度C'!$K:$K,'1014 4度C'!$A:$A,"新豐10線",'1014 4度C'!$B:$B,"平均")</f>
        <v>269.23076923076923</v>
      </c>
      <c r="K13" s="51">
        <f>SUMIFS('1014 4度C'!$K:$K,'1014 4度C'!$A:$A,"新豐8線",'1014 4度C'!$B:$B,"平均")</f>
        <v>135.48387096774192</v>
      </c>
      <c r="L13" s="52">
        <f>SUMIFS('1014 4度C'!$K:$K,'1014 4度C'!$A:$A,"新豐9線",'1014 4度C'!$B:$B,"平均")</f>
        <v>139.13043478260869</v>
      </c>
      <c r="M13" s="50">
        <f>SUMIFS('1014 4度C'!$K:$K,'1014 4度C'!$A:$A,"新豐4線",'1014 4度C'!$B:$B,"平均")</f>
        <v>146.56488549618319</v>
      </c>
    </row>
    <row r="14" spans="2:17" ht="39.6" customHeight="1">
      <c r="B14" s="528"/>
      <c r="C14" s="53" t="s">
        <v>1062</v>
      </c>
      <c r="D14" s="54">
        <f>SUMIFS('1014 4度C'!$N:$N,'1014 4度C'!$A:$A,"新豐6線",'1014 4度C'!$B:$B,"平均")</f>
        <v>119.94997436773748</v>
      </c>
      <c r="E14" s="55">
        <f>SUMIFS('1014 4度C'!$N:$N,'1014 4度C'!$A:$A,"新豐2線",'1014 4度C'!$B:$B,"平均")</f>
        <v>77.440115518744562</v>
      </c>
      <c r="F14" s="55">
        <f>SUMIFS('1014 4度C'!$N:$N,'1014 4度C'!$A:$A,"新豐5線",'1014 4度C'!$B:$B,"平均")</f>
        <v>93.911020674071366</v>
      </c>
      <c r="G14" s="55">
        <f>SUMIFS('1014 4度C'!$N:$N,'1014 4度C'!$A:$A,"新豐7線",'1014 4度C'!$B:$B,"平均")</f>
        <v>114.20969685732825</v>
      </c>
      <c r="H14" s="55">
        <f>SUMIFS('1014 4度C'!$N:$N,'1014 4度C'!$A:$A,"新豐3線",'1014 4度C'!$B:$B,"平均")</f>
        <v>296.99213077682089</v>
      </c>
      <c r="I14" s="55">
        <f>SUMIFS('1014 4度C'!$N:$N,'1014 4度C'!$A:$A,"新豐1線",'1014 4度C'!$B:$B,"平均")</f>
        <v>112.8581643387122</v>
      </c>
      <c r="J14" s="56">
        <f>SUMIFS('1014 4度C'!$N:$N,'1014 4度C'!$A:$A,"新豐10線",'1014 4度C'!$B:$B,"平均")</f>
        <v>259.0480947623804</v>
      </c>
      <c r="K14" s="57">
        <f>SUMIFS('1014 4度C'!$N:$N,'1014 4度C'!$A:$A,"新豐8線",'1014 4度C'!$B:$B,"平均")</f>
        <v>129.69274917950284</v>
      </c>
      <c r="L14" s="58">
        <f>SUMIFS('1014 4度C'!$N:$N,'1014 4度C'!$A:$A,"新豐9線",'1014 4度C'!$B:$B,"平均")</f>
        <v>132.96060729211834</v>
      </c>
      <c r="M14" s="56">
        <f>SUMIFS('1014 4度C'!$N:$N,'1014 4度C'!$A:$A,"新豐4線",'1014 4度C'!$B:$B,"平均")</f>
        <v>140.3029456732279</v>
      </c>
    </row>
    <row r="15" spans="2:17" ht="40.15" customHeight="1">
      <c r="B15" s="529"/>
      <c r="C15" s="59" t="s">
        <v>1063</v>
      </c>
      <c r="D15" s="60">
        <f t="shared" ref="D15:M15" si="0">D14/D13</f>
        <v>0.95959979494189984</v>
      </c>
      <c r="E15" s="61">
        <f t="shared" si="0"/>
        <v>0.95509475806451627</v>
      </c>
      <c r="F15" s="61">
        <f t="shared" si="0"/>
        <v>0.95634158668091029</v>
      </c>
      <c r="G15" s="61">
        <f t="shared" si="0"/>
        <v>0.95650621118012413</v>
      </c>
      <c r="H15" s="61">
        <f t="shared" si="0"/>
        <v>0.95697464361420059</v>
      </c>
      <c r="I15" s="61">
        <f t="shared" si="0"/>
        <v>0.96174783523424301</v>
      </c>
      <c r="J15" s="62">
        <f t="shared" si="0"/>
        <v>0.96217863768884149</v>
      </c>
      <c r="K15" s="60">
        <f t="shared" si="0"/>
        <v>0.95725600584871151</v>
      </c>
      <c r="L15" s="61">
        <f t="shared" si="0"/>
        <v>0.95565436491210065</v>
      </c>
      <c r="M15" s="62">
        <f t="shared" si="0"/>
        <v>0.95727530641629455</v>
      </c>
    </row>
    <row r="16" spans="2:17" ht="17.25" customHeight="1">
      <c r="B16" s="530" t="s">
        <v>1064</v>
      </c>
      <c r="C16" s="63" t="s">
        <v>1065</v>
      </c>
      <c r="D16" s="64">
        <f>VLOOKUP("新豐6線",'1014 4度C'!$A:$T,19,0)</f>
        <v>0.70833333333333337</v>
      </c>
      <c r="E16" s="24">
        <f>VLOOKUP("新豐2線",'1014 4度C'!$A:$T,19,0)</f>
        <v>0.20833333333333334</v>
      </c>
      <c r="F16" s="24">
        <f>VLOOKUP("新豐5線",'1014 4度C'!$A:$T,19,0)</f>
        <v>8.3333333333333329E-2</v>
      </c>
      <c r="G16" s="24">
        <f>VLOOKUP("新豐7線",'1014 4度C'!$A:$T,19,0)</f>
        <v>0.20833333333333334</v>
      </c>
      <c r="H16" s="24">
        <f>VLOOKUP("新豐3線",'1014 4度C'!$A:$T,19,0)</f>
        <v>8.3333333333333329E-2</v>
      </c>
      <c r="I16" s="24">
        <f>VLOOKUP("新豐1線",'1014 4度C'!$A:$T,19,0)</f>
        <v>0.29166666666666669</v>
      </c>
      <c r="J16" s="65">
        <f>VLOOKUP("新豐10線",'1014 4度C'!$A:$T,19,0)</f>
        <v>0.20833333333333334</v>
      </c>
      <c r="K16" s="66">
        <f>VLOOKUP("新豐8線",'1014 4度C'!$A:$T,19,0)</f>
        <v>8.3333333333333329E-2</v>
      </c>
      <c r="L16" s="67">
        <f>VLOOKUP("新豐9線",'1014 4度C'!$A:$T,19,0)</f>
        <v>8.3333333333333329E-2</v>
      </c>
      <c r="M16" s="68">
        <f>VLOOKUP("新豐4線",'1014 4度C'!$A:$T,19,0)</f>
        <v>8.3333333333333329E-2</v>
      </c>
    </row>
    <row r="17" spans="2:13" ht="17.25" customHeight="1">
      <c r="B17" s="531"/>
      <c r="C17" s="63" t="s">
        <v>1066</v>
      </c>
      <c r="D17" s="66">
        <f>LOOKUP(2,1/(('1014 4度C'!$A:$A="新豐6線")*('1014 4度C'!$T:$T&lt;&gt;"")),'1014 4度C'!$T:$T)</f>
        <v>0.83958333333333335</v>
      </c>
      <c r="E17" s="24">
        <f>LOOKUP(2,1/(('1014 4度C'!$A:$A="新豐2線")*('1014 4度C'!$T:$T&lt;&gt;"")),'1014 4度C'!$T:$T)</f>
        <v>0.52222222222222214</v>
      </c>
      <c r="F17" s="24">
        <f>LOOKUP(2,1/(('1014 4度C'!$A:$A="新豐5線")*('1014 4度C'!$T:$T&lt;&gt;"")),'1014 4度C'!$T:$T)</f>
        <v>0.85555555555555551</v>
      </c>
      <c r="G17" s="24">
        <f>LOOKUP(2,1/(('1014 4度C'!$A:$A="新豐7線")*('1014 4度C'!$T:$T&lt;&gt;"")),'1014 4度C'!$T:$T)</f>
        <v>0.77083333333333337</v>
      </c>
      <c r="H17" s="24">
        <f>LOOKUP(2,1/(('1014 4度C'!$A:$A="新豐3線")*('1014 4度C'!$T:$T&lt;&gt;"")),'1014 4度C'!$T:$T)</f>
        <v>0.50555555555555554</v>
      </c>
      <c r="I17" s="24">
        <f>LOOKUP(2,1/(('1014 4度C'!$A:$A="新豐1線")*('1014 4度C'!$T:$T&lt;&gt;"")),'1014 4度C'!$T:$T)</f>
        <v>0.86041666666666661</v>
      </c>
      <c r="J17" s="65">
        <f>LOOKUP(2,1/(('1014 4度C'!$A:$A="新豐10線")*('1014 4度C'!$T:$T&lt;&gt;"")),'1014 4度C'!$T:$T)</f>
        <v>0.46666666666666667</v>
      </c>
      <c r="K17" s="64">
        <f>LOOKUP(2,1/(('1014 4度C'!$A:$A="新豐8線")*('1014 4度C'!$T:$T&lt;&gt;"")),'1014 4度C'!$T:$T)</f>
        <v>0.72569444444444442</v>
      </c>
      <c r="L17" s="24">
        <f>LOOKUP(2,1/(('1014 4度C'!$A:$A="新豐9線")*('1014 4度C'!$T:$T&lt;&gt;"")),'1014 4度C'!$T:$T)</f>
        <v>0.76805555555555538</v>
      </c>
      <c r="M17" s="65">
        <f>LOOKUP(2,1/(('1014 4度C'!$A:$A="新豐4線")*('1014 4度C'!$T:$T&lt;&gt;"")),'1014 4度C'!$T:$T)</f>
        <v>0.68888888888888877</v>
      </c>
    </row>
    <row r="18" spans="2:13" ht="17.25" customHeight="1">
      <c r="B18" s="509" t="s">
        <v>1067</v>
      </c>
      <c r="C18" s="510"/>
      <c r="D18" s="69">
        <f>SUMIFS('1014 4度C'!$I:$I,'1014 4度C'!$A:$A,"新豐6線",'1014 4度C'!$B:$B,"平均")</f>
        <v>16</v>
      </c>
      <c r="E18" s="70">
        <f>SUMIFS('1014 4度C'!$I:$I,'1014 4度C'!$A:$A,"新豐2線",'1014 4度C'!$B:$B,"平均")</f>
        <v>18.5</v>
      </c>
      <c r="F18" s="70">
        <f>SUMIFS('1014 4度C'!$I:$I,'1014 4度C'!$A:$A,"新豐5線",'1014 4度C'!$B:$B,"平均")</f>
        <v>18.5</v>
      </c>
      <c r="G18" s="70">
        <f>SUMIFS('1014 4度C'!$I:$I,'1014 4度C'!$A:$A,"新豐7線",'1014 4度C'!$B:$B,"平均")</f>
        <v>16.75</v>
      </c>
      <c r="H18" s="70">
        <f>SUMIFS('1014 4度C'!$I:$I,'1014 4度C'!$A:$A,"新豐3線",'1014 4度C'!$B:$B,"平均")</f>
        <v>9.6666666666666661</v>
      </c>
      <c r="I18" s="70">
        <f>SUMIFS('1014 4度C'!$I:$I,'1014 4度C'!$A:$A,"新豐1線",'1014 4度C'!$B:$B,"平均")</f>
        <v>16.333333333333332</v>
      </c>
      <c r="J18" s="71">
        <f>SUMIFS('1014 4度C'!$I:$I,'1014 4度C'!$A:$A,"新豐10線",'1014 4度C'!$B:$B,"平均")</f>
        <v>9.75</v>
      </c>
      <c r="K18" s="69">
        <f>SUMIFS('1014 4度C'!$I:$I,'1014 4度C'!$A:$A,"新豐8線",'1014 4度C'!$B:$B,"平均")</f>
        <v>17.714285714285715</v>
      </c>
      <c r="L18" s="70">
        <f>SUMIFS('1014 4度C'!$I:$I,'1014 4度C'!$A:$A,"新豐9線",'1014 4度C'!$B:$B,"平均")</f>
        <v>17.25</v>
      </c>
      <c r="M18" s="71">
        <f>SUMIFS('1014 4度C'!$I:$I,'1014 4度C'!$A:$A,"新豐4線",'1014 4度C'!$B:$B,"平均")</f>
        <v>16.375</v>
      </c>
    </row>
    <row r="19" spans="2:13" ht="17.25" customHeight="1">
      <c r="B19" s="509" t="s">
        <v>1068</v>
      </c>
      <c r="C19" s="510"/>
      <c r="D19" s="72" t="s">
        <v>109</v>
      </c>
      <c r="E19" s="73" t="s">
        <v>110</v>
      </c>
      <c r="F19" s="73" t="s">
        <v>1069</v>
      </c>
      <c r="G19" s="73" t="s">
        <v>1070</v>
      </c>
      <c r="H19" s="73" t="s">
        <v>111</v>
      </c>
      <c r="I19" s="73" t="s">
        <v>109</v>
      </c>
      <c r="J19" s="74" t="s">
        <v>111</v>
      </c>
      <c r="K19" s="72" t="s">
        <v>298</v>
      </c>
      <c r="L19" s="73" t="s">
        <v>1071</v>
      </c>
      <c r="M19" s="74" t="s">
        <v>1071</v>
      </c>
    </row>
    <row r="20" spans="2:13" ht="17.25" customHeight="1">
      <c r="B20" s="509" t="s">
        <v>1072</v>
      </c>
      <c r="C20" s="510"/>
      <c r="D20" s="72"/>
      <c r="E20" s="73"/>
      <c r="F20" s="73" t="s">
        <v>1073</v>
      </c>
      <c r="G20" s="73" t="s">
        <v>109</v>
      </c>
      <c r="H20" s="73"/>
      <c r="I20" s="73"/>
      <c r="J20" s="74"/>
      <c r="K20" s="72"/>
      <c r="L20" s="73"/>
      <c r="M20" s="74"/>
    </row>
    <row r="21" spans="2:13" ht="17.25" customHeight="1" thickBot="1">
      <c r="B21" s="511" t="s">
        <v>1074</v>
      </c>
      <c r="C21" s="512"/>
      <c r="D21" s="75"/>
      <c r="E21" s="76" t="s">
        <v>230</v>
      </c>
      <c r="F21" s="513" t="s">
        <v>1075</v>
      </c>
      <c r="G21" s="514"/>
      <c r="H21" s="76" t="s">
        <v>1076</v>
      </c>
      <c r="I21" s="76" t="s">
        <v>1077</v>
      </c>
      <c r="J21" s="77" t="s">
        <v>473</v>
      </c>
      <c r="K21" s="78"/>
      <c r="L21" s="76"/>
      <c r="M21" s="77"/>
    </row>
    <row r="22" spans="2:13" ht="17.25" customHeight="1"/>
    <row r="23" spans="2:13" ht="17.25" customHeight="1"/>
    <row r="24" spans="2:13" ht="17.25" customHeight="1"/>
    <row r="25" spans="2:13" ht="37.5" customHeight="1"/>
    <row r="26" spans="2:13" ht="35.25" customHeight="1"/>
    <row r="27" spans="2:13" ht="35.25" customHeight="1"/>
    <row r="28" spans="2:13" ht="39.75" customHeight="1"/>
  </sheetData>
  <mergeCells count="36">
    <mergeCell ref="B1:J2"/>
    <mergeCell ref="C3:D3"/>
    <mergeCell ref="F3:G3"/>
    <mergeCell ref="I3:J3"/>
    <mergeCell ref="B4:B8"/>
    <mergeCell ref="C4:D4"/>
    <mergeCell ref="E4:F4"/>
    <mergeCell ref="G4:H4"/>
    <mergeCell ref="I4:J4"/>
    <mergeCell ref="C5:D5"/>
    <mergeCell ref="E5:F5"/>
    <mergeCell ref="G5:H5"/>
    <mergeCell ref="I5:J5"/>
    <mergeCell ref="C6:D6"/>
    <mergeCell ref="E6:F6"/>
    <mergeCell ref="G6:H6"/>
    <mergeCell ref="I6:J6"/>
    <mergeCell ref="B16:B17"/>
    <mergeCell ref="C7:D7"/>
    <mergeCell ref="E7:F7"/>
    <mergeCell ref="G7:H7"/>
    <mergeCell ref="I7:J7"/>
    <mergeCell ref="C8:D8"/>
    <mergeCell ref="E8:F8"/>
    <mergeCell ref="G8:H8"/>
    <mergeCell ref="I8:J8"/>
    <mergeCell ref="B10:C10"/>
    <mergeCell ref="D10:J10"/>
    <mergeCell ref="B20:C20"/>
    <mergeCell ref="B21:C21"/>
    <mergeCell ref="F21:G21"/>
    <mergeCell ref="K10:M10"/>
    <mergeCell ref="B11:C12"/>
    <mergeCell ref="B13:B15"/>
    <mergeCell ref="B18:C18"/>
    <mergeCell ref="B19:C19"/>
  </mergeCells>
  <phoneticPr fontId="3" type="noConversion"/>
  <conditionalFormatting sqref="D15:M15">
    <cfRule type="cellIs" dxfId="877" priority="1" operator="lessThan">
      <formula>0.8</formula>
    </cfRule>
  </conditionalFormatting>
  <pageMargins left="0.7" right="0.7" top="0.75" bottom="0.75" header="0.3" footer="0.3"/>
  <pageSetup paperSize="9" orientation="portrait" horizontalDpi="300" verticalDpi="300" r:id="rId1"/>
</worksheet>
</file>

<file path=xl/worksheets/sheet3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工作表136">
    <pageSetUpPr fitToPage="1"/>
  </sheetPr>
  <dimension ref="A1:AC69"/>
  <sheetViews>
    <sheetView zoomScale="80" zoomScaleNormal="80" workbookViewId="0">
      <pane ySplit="4" topLeftCell="A8" activePane="bottomLeft" state="frozen"/>
      <selection sqref="A1:XFD1048576"/>
      <selection pane="bottomLeft" activeCell="B16" sqref="B16"/>
    </sheetView>
  </sheetViews>
  <sheetFormatPr defaultColWidth="8" defaultRowHeight="15.75"/>
  <cols>
    <col min="1" max="1" width="15.125" style="5" customWidth="1"/>
    <col min="2" max="2" width="19.375" style="5" customWidth="1"/>
    <col min="3" max="3" width="15.25" style="5" customWidth="1"/>
    <col min="4" max="4" width="17.5" style="5" customWidth="1"/>
    <col min="5" max="5" width="7.5" style="5" bestFit="1" customWidth="1"/>
    <col min="6" max="6" width="14.375" style="5" bestFit="1" customWidth="1"/>
    <col min="7" max="7" width="14.375" style="5" customWidth="1"/>
    <col min="8" max="8" width="8" style="5" customWidth="1"/>
    <col min="9" max="9" width="5.875" style="5" customWidth="1"/>
    <col min="10" max="10" width="10.625" style="5" customWidth="1"/>
    <col min="11" max="11" width="14.625" style="5" customWidth="1"/>
    <col min="12" max="12" width="7.25" style="5" bestFit="1" customWidth="1"/>
    <col min="13" max="13" width="8" style="5" customWidth="1"/>
    <col min="14" max="14" width="12" style="5" customWidth="1"/>
    <col min="15" max="15" width="6" style="5" customWidth="1"/>
    <col min="16" max="16" width="9.25" style="5" customWidth="1"/>
    <col min="17" max="17" width="11.5" style="5" customWidth="1"/>
    <col min="18" max="18" width="8.5" style="5" customWidth="1"/>
    <col min="19" max="19" width="10.125" style="22" bestFit="1" customWidth="1"/>
    <col min="20" max="20" width="7.625" style="22" bestFit="1" customWidth="1"/>
    <col min="21" max="21" width="10.25" style="5" bestFit="1" customWidth="1"/>
    <col min="22" max="22" width="8.75" style="18" customWidth="1"/>
    <col min="23" max="23" width="7.375" style="5" customWidth="1"/>
    <col min="24" max="24" width="6.875" style="5" bestFit="1" customWidth="1"/>
    <col min="25" max="25" width="12.75" style="5" customWidth="1"/>
    <col min="26" max="26" width="18.875" style="5" customWidth="1"/>
    <col min="27" max="27" width="13.125" style="5" bestFit="1" customWidth="1"/>
    <col min="28" max="28" width="10.375" style="5" customWidth="1"/>
    <col min="29" max="29" width="9.375" style="5" customWidth="1"/>
    <col min="30" max="30" width="8" style="5"/>
    <col min="31" max="31" width="24.625" style="5" bestFit="1" customWidth="1"/>
    <col min="32" max="16384" width="8" style="5"/>
  </cols>
  <sheetData>
    <row r="1" spans="1:29" ht="26.25" customHeight="1">
      <c r="A1" s="1" t="s">
        <v>1078</v>
      </c>
      <c r="B1" s="1"/>
      <c r="C1" s="2" t="s">
        <v>1079</v>
      </c>
      <c r="D1" s="3">
        <f>SUM(F5:F68)</f>
        <v>194481</v>
      </c>
      <c r="E1" s="250" t="s">
        <v>1080</v>
      </c>
      <c r="F1" s="1">
        <f>SUM(G5:G68)</f>
        <v>6391262.9300000006</v>
      </c>
      <c r="G1" s="1" t="s">
        <v>1081</v>
      </c>
      <c r="H1" s="4">
        <f>L8+L11+L47+L54+L18+L59+L31+L40+L23+L68</f>
        <v>156.83928571428572</v>
      </c>
      <c r="I1" s="652" t="s">
        <v>1082</v>
      </c>
      <c r="J1" s="652"/>
      <c r="K1" s="652"/>
      <c r="L1" s="652" t="s">
        <v>1083</v>
      </c>
      <c r="M1" s="652"/>
      <c r="N1" s="652"/>
      <c r="O1" s="652" t="s">
        <v>1084</v>
      </c>
      <c r="P1" s="652"/>
      <c r="Q1" s="652"/>
      <c r="R1" s="652"/>
      <c r="S1" s="652" t="s">
        <v>1085</v>
      </c>
      <c r="T1" s="652"/>
      <c r="U1" s="652"/>
      <c r="V1" s="652"/>
      <c r="W1" s="652"/>
      <c r="X1" s="652"/>
      <c r="Y1" s="652" t="s">
        <v>1086</v>
      </c>
      <c r="Z1" s="652"/>
      <c r="AA1" s="652" t="s">
        <v>1087</v>
      </c>
      <c r="AB1" s="653"/>
      <c r="AC1" s="653"/>
    </row>
    <row r="2" spans="1:29" ht="26.25" customHeight="1">
      <c r="A2" s="19">
        <v>45944</v>
      </c>
      <c r="B2" s="20" t="s">
        <v>613</v>
      </c>
      <c r="C2" s="2" t="s">
        <v>1088</v>
      </c>
      <c r="D2" s="6">
        <f>AVERAGE(N8,N11,N47,N54,N18,N59,N23,N31,N40,N68)</f>
        <v>147.73654994406442</v>
      </c>
      <c r="E2" s="7" t="s">
        <v>2</v>
      </c>
      <c r="F2" s="8">
        <f>F1/D1</f>
        <v>32.863173934728849</v>
      </c>
      <c r="G2" s="1" t="s">
        <v>615</v>
      </c>
      <c r="H2" s="258">
        <f>COUNT(H5:H68)</f>
        <v>7</v>
      </c>
      <c r="I2" s="652"/>
      <c r="J2" s="652"/>
      <c r="K2" s="652"/>
      <c r="L2" s="652"/>
      <c r="M2" s="652"/>
      <c r="N2" s="652"/>
      <c r="O2" s="652"/>
      <c r="P2" s="652"/>
      <c r="Q2" s="652"/>
      <c r="R2" s="652"/>
      <c r="S2" s="652"/>
      <c r="T2" s="652"/>
      <c r="U2" s="652"/>
      <c r="V2" s="652"/>
      <c r="W2" s="652"/>
      <c r="X2" s="652"/>
      <c r="Y2" s="652"/>
      <c r="Z2" s="652"/>
      <c r="AA2" s="653"/>
      <c r="AB2" s="653"/>
      <c r="AC2" s="653"/>
    </row>
    <row r="3" spans="1:29" ht="23.25" customHeight="1">
      <c r="A3" s="617" t="s">
        <v>1089</v>
      </c>
      <c r="B3" s="617" t="s">
        <v>1090</v>
      </c>
      <c r="C3" s="617" t="s">
        <v>1091</v>
      </c>
      <c r="D3" s="617"/>
      <c r="E3" s="654" t="s">
        <v>1092</v>
      </c>
      <c r="F3" s="617" t="s">
        <v>1093</v>
      </c>
      <c r="G3" s="654" t="s">
        <v>1094</v>
      </c>
      <c r="H3" s="646" t="s">
        <v>9</v>
      </c>
      <c r="I3" s="645" t="s">
        <v>1095</v>
      </c>
      <c r="J3" s="649" t="s">
        <v>11</v>
      </c>
      <c r="K3" s="651" t="s">
        <v>1088</v>
      </c>
      <c r="L3" s="645" t="s">
        <v>10</v>
      </c>
      <c r="M3" s="649" t="s">
        <v>1096</v>
      </c>
      <c r="N3" s="651" t="s">
        <v>1088</v>
      </c>
      <c r="O3" s="645" t="s">
        <v>10</v>
      </c>
      <c r="P3" s="651" t="s">
        <v>1088</v>
      </c>
      <c r="Q3" s="650" t="s">
        <v>12</v>
      </c>
      <c r="R3" s="633" t="s">
        <v>1097</v>
      </c>
      <c r="S3" s="656" t="s">
        <v>14</v>
      </c>
      <c r="T3" s="656"/>
      <c r="U3" s="646" t="s">
        <v>15</v>
      </c>
      <c r="V3" s="646" t="s">
        <v>1098</v>
      </c>
      <c r="W3" s="617" t="s">
        <v>1099</v>
      </c>
      <c r="X3" s="617"/>
      <c r="Y3" s="647" t="s">
        <v>1100</v>
      </c>
      <c r="Z3" s="648"/>
      <c r="AA3" s="649" t="s">
        <v>1101</v>
      </c>
      <c r="AB3" s="650" t="s">
        <v>1102</v>
      </c>
      <c r="AC3" s="633" t="s">
        <v>1103</v>
      </c>
    </row>
    <row r="4" spans="1:29">
      <c r="A4" s="617"/>
      <c r="B4" s="617"/>
      <c r="C4" s="617"/>
      <c r="D4" s="617"/>
      <c r="E4" s="655"/>
      <c r="F4" s="617"/>
      <c r="G4" s="655"/>
      <c r="H4" s="646"/>
      <c r="I4" s="645"/>
      <c r="J4" s="649"/>
      <c r="K4" s="651"/>
      <c r="L4" s="645"/>
      <c r="M4" s="649"/>
      <c r="N4" s="651"/>
      <c r="O4" s="645"/>
      <c r="P4" s="651"/>
      <c r="Q4" s="650"/>
      <c r="R4" s="633"/>
      <c r="S4" s="257" t="s">
        <v>18</v>
      </c>
      <c r="T4" s="257" t="s">
        <v>19</v>
      </c>
      <c r="U4" s="646"/>
      <c r="V4" s="646"/>
      <c r="W4" s="250" t="s">
        <v>1104</v>
      </c>
      <c r="X4" s="250" t="s">
        <v>1105</v>
      </c>
      <c r="Y4" s="648"/>
      <c r="Z4" s="648"/>
      <c r="AA4" s="649"/>
      <c r="AB4" s="650"/>
      <c r="AC4" s="633"/>
    </row>
    <row r="5" spans="1:29">
      <c r="A5" s="644" t="s">
        <v>1106</v>
      </c>
      <c r="B5" s="26" t="s">
        <v>36</v>
      </c>
      <c r="C5" s="601" t="s">
        <v>37</v>
      </c>
      <c r="D5" s="601"/>
      <c r="E5" s="26">
        <v>46.93</v>
      </c>
      <c r="F5" s="257">
        <v>1124</v>
      </c>
      <c r="G5" s="250">
        <f>E5*F5</f>
        <v>52749.32</v>
      </c>
      <c r="H5" s="21" t="s">
        <v>35</v>
      </c>
      <c r="I5" s="255">
        <v>16</v>
      </c>
      <c r="J5" s="23">
        <v>2000</v>
      </c>
      <c r="K5" s="9">
        <f>J5/I5</f>
        <v>125</v>
      </c>
      <c r="L5" s="255">
        <v>16</v>
      </c>
      <c r="M5" s="10">
        <f>F5/V5*60</f>
        <v>1926.8571428571406</v>
      </c>
      <c r="N5" s="9">
        <f>M5/L5</f>
        <v>120.42857142857129</v>
      </c>
      <c r="O5" s="11">
        <f t="shared" ref="O5:O7" si="0">L5-I5</f>
        <v>0</v>
      </c>
      <c r="P5" s="12">
        <f t="shared" ref="P5:P7" si="1">N5-K5</f>
        <v>-4.5714285714287115</v>
      </c>
      <c r="Q5" s="251">
        <f>N5/K5</f>
        <v>0.9634285714285703</v>
      </c>
      <c r="R5" s="571">
        <f>Q8</f>
        <v>0.95959979494189984</v>
      </c>
      <c r="S5" s="24">
        <v>0.70833333333333337</v>
      </c>
      <c r="T5" s="24">
        <v>0.73263888888888895</v>
      </c>
      <c r="U5" s="250"/>
      <c r="V5" s="256">
        <f>(T5-S5)*24*60</f>
        <v>35.000000000000036</v>
      </c>
      <c r="W5" s="13"/>
      <c r="X5" s="14"/>
      <c r="Y5" s="617"/>
      <c r="Z5" s="617"/>
      <c r="AA5" s="11">
        <f t="shared" ref="AA5:AA68" si="2">M5-J5</f>
        <v>-73.142857142859384</v>
      </c>
      <c r="AB5" s="251">
        <f t="shared" ref="AB5:AB7" si="3">M5/J5</f>
        <v>0.9634285714285703</v>
      </c>
      <c r="AC5" s="571">
        <f>AB8</f>
        <v>0.95959979494189984</v>
      </c>
    </row>
    <row r="6" spans="1:29">
      <c r="A6" s="645" t="s">
        <v>21</v>
      </c>
      <c r="B6" s="26" t="s">
        <v>36</v>
      </c>
      <c r="C6" s="601" t="s">
        <v>38</v>
      </c>
      <c r="D6" s="601"/>
      <c r="E6" s="26">
        <v>50.49</v>
      </c>
      <c r="F6" s="257">
        <v>2441</v>
      </c>
      <c r="G6" s="250">
        <f t="shared" ref="G6:G7" si="4">E6*F6</f>
        <v>123246.09000000001</v>
      </c>
      <c r="H6" s="21" t="s">
        <v>35</v>
      </c>
      <c r="I6" s="255">
        <v>15</v>
      </c>
      <c r="J6" s="23">
        <v>2000</v>
      </c>
      <c r="K6" s="9">
        <f t="shared" ref="K6:K7" si="5">J6/I6</f>
        <v>133.33333333333334</v>
      </c>
      <c r="L6" s="255">
        <v>15</v>
      </c>
      <c r="M6" s="10">
        <f>F6/V6*60</f>
        <v>1927.1052631578932</v>
      </c>
      <c r="N6" s="9">
        <f t="shared" ref="N6:N7" si="6">M6/L6</f>
        <v>128.47368421052622</v>
      </c>
      <c r="O6" s="11">
        <f t="shared" si="0"/>
        <v>0</v>
      </c>
      <c r="P6" s="12">
        <f t="shared" si="1"/>
        <v>-4.8596491228071272</v>
      </c>
      <c r="Q6" s="251">
        <f t="shared" ref="Q6:Q7" si="7">N6/K6</f>
        <v>0.96355263157894655</v>
      </c>
      <c r="R6" s="571"/>
      <c r="S6" s="24">
        <v>0.7368055555555556</v>
      </c>
      <c r="T6" s="24">
        <v>0.78958333333333341</v>
      </c>
      <c r="U6" s="250">
        <f>IF(S6=TIME(17,0,0),"",(S6-T5)*24*60)</f>
        <v>5.9999999999999787</v>
      </c>
      <c r="V6" s="256">
        <f>(T6-S6)*24*60</f>
        <v>76.000000000000057</v>
      </c>
      <c r="W6" s="13"/>
      <c r="X6" s="13"/>
      <c r="Y6" s="617"/>
      <c r="Z6" s="617"/>
      <c r="AA6" s="11">
        <f t="shared" si="2"/>
        <v>-72.894736842106795</v>
      </c>
      <c r="AB6" s="251">
        <f t="shared" si="3"/>
        <v>0.96355263157894655</v>
      </c>
      <c r="AC6" s="571"/>
    </row>
    <row r="7" spans="1:29">
      <c r="A7" s="645" t="s">
        <v>1107</v>
      </c>
      <c r="B7" s="26" t="s">
        <v>36</v>
      </c>
      <c r="C7" s="594" t="s">
        <v>39</v>
      </c>
      <c r="D7" s="595"/>
      <c r="E7" s="26">
        <v>50.67</v>
      </c>
      <c r="F7" s="257">
        <v>2094</v>
      </c>
      <c r="G7" s="250">
        <f t="shared" si="4"/>
        <v>106102.98000000001</v>
      </c>
      <c r="H7" s="21" t="s">
        <v>35</v>
      </c>
      <c r="I7" s="255">
        <v>17</v>
      </c>
      <c r="J7" s="23">
        <v>2000</v>
      </c>
      <c r="K7" s="9">
        <f t="shared" si="5"/>
        <v>117.64705882352941</v>
      </c>
      <c r="L7" s="255">
        <v>17</v>
      </c>
      <c r="M7" s="10">
        <f t="shared" ref="M7" si="8">F7/V7*60</f>
        <v>1903.6363636363658</v>
      </c>
      <c r="N7" s="9">
        <f t="shared" si="6"/>
        <v>111.97860962566858</v>
      </c>
      <c r="O7" s="11">
        <f t="shared" si="0"/>
        <v>0</v>
      </c>
      <c r="P7" s="12">
        <f t="shared" si="1"/>
        <v>-5.6684491978608236</v>
      </c>
      <c r="Q7" s="251">
        <f t="shared" si="7"/>
        <v>0.95181818181818301</v>
      </c>
      <c r="R7" s="571"/>
      <c r="S7" s="24">
        <v>0.79375000000000007</v>
      </c>
      <c r="T7" s="24">
        <v>0.83958333333333335</v>
      </c>
      <c r="U7" s="250">
        <f t="shared" ref="U7" si="9">IF(S7=TIME(17,0,0),"",(S7-T6)*24*60)</f>
        <v>5.9999999999999787</v>
      </c>
      <c r="V7" s="256">
        <f t="shared" ref="V7" si="10">(T7-S7)*24*60</f>
        <v>65.999999999999929</v>
      </c>
      <c r="W7" s="13"/>
      <c r="X7" s="13"/>
      <c r="Y7" s="621"/>
      <c r="Z7" s="622"/>
      <c r="AA7" s="11">
        <f t="shared" si="2"/>
        <v>-96.363636363634214</v>
      </c>
      <c r="AB7" s="251">
        <f t="shared" si="3"/>
        <v>0.9518181818181829</v>
      </c>
      <c r="AC7" s="571"/>
    </row>
    <row r="8" spans="1:29">
      <c r="A8" s="645" t="s">
        <v>1107</v>
      </c>
      <c r="B8" s="26" t="s">
        <v>22</v>
      </c>
      <c r="C8" s="629"/>
      <c r="D8" s="629"/>
      <c r="E8" s="252"/>
      <c r="F8" s="27"/>
      <c r="G8" s="9"/>
      <c r="H8" s="257"/>
      <c r="I8" s="16">
        <v>16</v>
      </c>
      <c r="J8" s="23">
        <v>2000</v>
      </c>
      <c r="K8" s="9">
        <f>J8/I8</f>
        <v>125</v>
      </c>
      <c r="L8" s="16">
        <v>16</v>
      </c>
      <c r="M8" s="10">
        <f>AVERAGE(M5:M7)</f>
        <v>1919.1995898837997</v>
      </c>
      <c r="N8" s="9">
        <f>M8/L8</f>
        <v>119.94997436773748</v>
      </c>
      <c r="O8" s="11">
        <f>L8-I8</f>
        <v>0</v>
      </c>
      <c r="P8" s="12">
        <f>N8-K8</f>
        <v>-5.0500256322625177</v>
      </c>
      <c r="Q8" s="251">
        <f>N8/K8</f>
        <v>0.95959979494189984</v>
      </c>
      <c r="R8" s="571"/>
      <c r="S8" s="24"/>
      <c r="T8" s="24"/>
      <c r="U8" s="250"/>
      <c r="V8" s="256"/>
      <c r="W8" s="9"/>
      <c r="X8" s="9"/>
      <c r="Y8" s="617"/>
      <c r="Z8" s="617"/>
      <c r="AA8" s="11">
        <f t="shared" si="2"/>
        <v>-80.800410116200283</v>
      </c>
      <c r="AB8" s="251">
        <f>M8/J8</f>
        <v>0.95959979494189984</v>
      </c>
      <c r="AC8" s="571"/>
    </row>
    <row r="9" spans="1:29" ht="15.75" customHeight="1">
      <c r="A9" s="643" t="s">
        <v>23</v>
      </c>
      <c r="B9" s="26" t="s">
        <v>40</v>
      </c>
      <c r="C9" s="594" t="s">
        <v>42</v>
      </c>
      <c r="D9" s="595"/>
      <c r="E9" s="26">
        <v>39.36</v>
      </c>
      <c r="F9" s="257">
        <v>2970</v>
      </c>
      <c r="G9" s="250">
        <f t="shared" ref="G9:G10" si="11">E9*F9</f>
        <v>116899.2</v>
      </c>
      <c r="H9" s="21" t="s">
        <v>35</v>
      </c>
      <c r="I9" s="255">
        <v>20</v>
      </c>
      <c r="J9" s="23">
        <v>1500</v>
      </c>
      <c r="K9" s="9">
        <f t="shared" ref="K9:K10" si="12">J9/I9</f>
        <v>75</v>
      </c>
      <c r="L9" s="255">
        <v>20</v>
      </c>
      <c r="M9" s="10">
        <f t="shared" ref="M9:M10" si="13">F9/V9*60</f>
        <v>1437.0967741935485</v>
      </c>
      <c r="N9" s="9">
        <f t="shared" ref="N9:N10" si="14">M9/L9</f>
        <v>71.854838709677423</v>
      </c>
      <c r="O9" s="11">
        <f t="shared" ref="O9:O10" si="15">L9-I9</f>
        <v>0</v>
      </c>
      <c r="P9" s="12">
        <f>N9-K9</f>
        <v>-3.1451612903225765</v>
      </c>
      <c r="Q9" s="251">
        <f>N9/K9</f>
        <v>0.95806451612903232</v>
      </c>
      <c r="R9" s="571">
        <f>Q11</f>
        <v>0.95509475806451627</v>
      </c>
      <c r="S9" s="24">
        <v>0.20833333333333334</v>
      </c>
      <c r="T9" s="24">
        <v>0.29444444444444445</v>
      </c>
      <c r="U9" s="250"/>
      <c r="V9" s="256">
        <f t="shared" ref="V9:V10" si="16">(T9-S9)*24*60</f>
        <v>123.99999999999999</v>
      </c>
      <c r="W9" s="13"/>
      <c r="X9" s="13"/>
      <c r="Y9" s="617"/>
      <c r="Z9" s="617"/>
      <c r="AA9" s="11">
        <f t="shared" si="2"/>
        <v>-62.903225806451474</v>
      </c>
      <c r="AB9" s="251">
        <f>M9/J9</f>
        <v>0.95806451612903232</v>
      </c>
      <c r="AC9" s="571">
        <f>AB11</f>
        <v>0.95509475806451627</v>
      </c>
    </row>
    <row r="10" spans="1:29" ht="15.75" customHeight="1">
      <c r="A10" s="643" t="s">
        <v>23</v>
      </c>
      <c r="B10" s="26" t="s">
        <v>40</v>
      </c>
      <c r="C10" s="594" t="s">
        <v>41</v>
      </c>
      <c r="D10" s="595"/>
      <c r="E10" s="26">
        <v>39.799999999999997</v>
      </c>
      <c r="F10" s="257">
        <v>7617</v>
      </c>
      <c r="G10" s="250">
        <f t="shared" si="11"/>
        <v>303156.59999999998</v>
      </c>
      <c r="H10" s="21" t="s">
        <v>35</v>
      </c>
      <c r="I10" s="255">
        <v>17</v>
      </c>
      <c r="J10" s="23">
        <v>1500</v>
      </c>
      <c r="K10" s="9">
        <f t="shared" si="12"/>
        <v>88.235294117647058</v>
      </c>
      <c r="L10" s="255">
        <v>17</v>
      </c>
      <c r="M10" s="10">
        <f t="shared" si="13"/>
        <v>1428.1875000000002</v>
      </c>
      <c r="N10" s="9">
        <f t="shared" si="14"/>
        <v>84.011029411764724</v>
      </c>
      <c r="O10" s="11">
        <f t="shared" si="15"/>
        <v>0</v>
      </c>
      <c r="P10" s="12">
        <f t="shared" ref="P10" si="17">N10-K10</f>
        <v>-4.2242647058823337</v>
      </c>
      <c r="Q10" s="251">
        <f t="shared" ref="Q10" si="18">N10/K10</f>
        <v>0.95212500000000022</v>
      </c>
      <c r="R10" s="571"/>
      <c r="S10" s="24">
        <v>0.3</v>
      </c>
      <c r="T10" s="24">
        <v>0.52222222222222214</v>
      </c>
      <c r="U10" s="250">
        <f>IF(S10=TIME(17,0,0),"",(S10-T9)*24*60)</f>
        <v>7.9999999999999716</v>
      </c>
      <c r="V10" s="256">
        <f t="shared" si="16"/>
        <v>319.99999999999994</v>
      </c>
      <c r="W10" s="13"/>
      <c r="X10" s="13"/>
      <c r="Y10" s="617"/>
      <c r="Z10" s="617"/>
      <c r="AA10" s="11">
        <f t="shared" si="2"/>
        <v>-71.812499999999773</v>
      </c>
      <c r="AB10" s="251">
        <f t="shared" ref="AB10:AB23" si="19">M10/J10</f>
        <v>0.95212500000000011</v>
      </c>
      <c r="AC10" s="571"/>
    </row>
    <row r="11" spans="1:29" ht="16.5" customHeight="1">
      <c r="A11" s="643" t="s">
        <v>23</v>
      </c>
      <c r="B11" s="26" t="s">
        <v>22</v>
      </c>
      <c r="C11" s="629"/>
      <c r="D11" s="629"/>
      <c r="E11" s="252"/>
      <c r="F11" s="23"/>
      <c r="G11" s="10"/>
      <c r="H11" s="257"/>
      <c r="I11" s="16">
        <v>18.5</v>
      </c>
      <c r="J11" s="23">
        <v>1500</v>
      </c>
      <c r="K11" s="9">
        <f>J11/I11</f>
        <v>81.081081081081081</v>
      </c>
      <c r="L11" s="16">
        <v>18.5</v>
      </c>
      <c r="M11" s="10">
        <f>AVERAGE(M9:M10)</f>
        <v>1432.6421370967744</v>
      </c>
      <c r="N11" s="9">
        <f>M11/L11</f>
        <v>77.440115518744562</v>
      </c>
      <c r="O11" s="11">
        <f>L11-I11</f>
        <v>0</v>
      </c>
      <c r="P11" s="12">
        <f>N11-K11</f>
        <v>-3.6409655623365182</v>
      </c>
      <c r="Q11" s="251">
        <f>N11/K11</f>
        <v>0.95509475806451627</v>
      </c>
      <c r="R11" s="571"/>
      <c r="S11" s="24"/>
      <c r="T11" s="24"/>
      <c r="U11" s="9"/>
      <c r="V11" s="256"/>
      <c r="W11" s="9"/>
      <c r="X11" s="9"/>
      <c r="Y11" s="617"/>
      <c r="Z11" s="617"/>
      <c r="AA11" s="11">
        <f t="shared" si="2"/>
        <v>-67.357862903225623</v>
      </c>
      <c r="AB11" s="251">
        <f t="shared" si="19"/>
        <v>0.95509475806451627</v>
      </c>
      <c r="AC11" s="571"/>
    </row>
    <row r="12" spans="1:29" ht="16.5" customHeight="1">
      <c r="A12" s="641" t="s">
        <v>24</v>
      </c>
      <c r="B12" s="257" t="s">
        <v>43</v>
      </c>
      <c r="C12" s="636" t="s">
        <v>44</v>
      </c>
      <c r="D12" s="636"/>
      <c r="E12" s="26">
        <v>41</v>
      </c>
      <c r="F12" s="257">
        <v>2172</v>
      </c>
      <c r="G12" s="250">
        <f t="shared" ref="G12:G17" si="20">E12*F12</f>
        <v>89052</v>
      </c>
      <c r="H12" s="21" t="s">
        <v>35</v>
      </c>
      <c r="I12" s="255">
        <v>26</v>
      </c>
      <c r="J12" s="23">
        <v>1500</v>
      </c>
      <c r="K12" s="9">
        <f>J12/I12</f>
        <v>57.692307692307693</v>
      </c>
      <c r="L12" s="255">
        <v>26</v>
      </c>
      <c r="M12" s="10">
        <f>F12/V12*60</f>
        <v>1432.0879120879126</v>
      </c>
      <c r="N12" s="9">
        <f t="shared" ref="N12:N22" si="21">M12/L12</f>
        <v>55.080304311073562</v>
      </c>
      <c r="O12" s="11">
        <f t="shared" ref="O12" si="22">L12-I12</f>
        <v>0</v>
      </c>
      <c r="P12" s="12">
        <f t="shared" ref="P12" si="23">N12-K12</f>
        <v>-2.6120033812341319</v>
      </c>
      <c r="Q12" s="251">
        <f>N12/K12</f>
        <v>0.95472527472527502</v>
      </c>
      <c r="R12" s="571">
        <f>Q18</f>
        <v>0.95634158668091029</v>
      </c>
      <c r="S12" s="24">
        <v>8.3333333333333329E-2</v>
      </c>
      <c r="T12" s="24">
        <v>0.14652777777777776</v>
      </c>
      <c r="U12" s="250"/>
      <c r="V12" s="256">
        <f>(T12-S12)*24*60</f>
        <v>90.999999999999972</v>
      </c>
      <c r="W12" s="13">
        <f>T12</f>
        <v>0.14652777777777776</v>
      </c>
      <c r="X12" s="13">
        <f>S13</f>
        <v>0.16527777777777775</v>
      </c>
      <c r="Y12" s="617"/>
      <c r="Z12" s="617"/>
      <c r="AA12" s="11">
        <f t="shared" si="2"/>
        <v>-67.912087912087372</v>
      </c>
      <c r="AB12" s="251">
        <f t="shared" si="19"/>
        <v>0.95472527472527513</v>
      </c>
      <c r="AC12" s="571">
        <f>AB18</f>
        <v>0.95634158668091018</v>
      </c>
    </row>
    <row r="13" spans="1:29" ht="16.5" customHeight="1">
      <c r="A13" s="642" t="s">
        <v>24</v>
      </c>
      <c r="B13" s="257" t="s">
        <v>40</v>
      </c>
      <c r="C13" s="636" t="s">
        <v>45</v>
      </c>
      <c r="D13" s="636"/>
      <c r="E13" s="26">
        <v>39.619999999999997</v>
      </c>
      <c r="F13" s="257">
        <v>5100</v>
      </c>
      <c r="G13" s="250">
        <f t="shared" si="20"/>
        <v>202062</v>
      </c>
      <c r="H13" s="21" t="s">
        <v>35</v>
      </c>
      <c r="I13" s="255">
        <v>19</v>
      </c>
      <c r="J13" s="23">
        <v>1500</v>
      </c>
      <c r="K13" s="9">
        <f>J13/I13</f>
        <v>78.94736842105263</v>
      </c>
      <c r="L13" s="255">
        <v>19</v>
      </c>
      <c r="M13" s="10">
        <f>F13/V13*60</f>
        <v>1436.6197183098589</v>
      </c>
      <c r="N13" s="9">
        <f t="shared" si="21"/>
        <v>75.611564121571519</v>
      </c>
      <c r="O13" s="11">
        <f>L13-I13</f>
        <v>0</v>
      </c>
      <c r="P13" s="12">
        <f>N13-K13</f>
        <v>-3.3358042994811115</v>
      </c>
      <c r="Q13" s="251">
        <f>N13/K13</f>
        <v>0.95774647887323927</v>
      </c>
      <c r="R13" s="571"/>
      <c r="S13" s="24">
        <v>0.16527777777777775</v>
      </c>
      <c r="T13" s="24">
        <v>0.31319444444444444</v>
      </c>
      <c r="U13" s="250">
        <f>IF(S13=TIME(17,0,0),"",(S13-T12)*24*60)</f>
        <v>26.999999999999986</v>
      </c>
      <c r="V13" s="256">
        <f>(T13-S13)*24*60</f>
        <v>213.00000000000006</v>
      </c>
      <c r="W13" s="13"/>
      <c r="X13" s="13"/>
      <c r="Y13" s="617"/>
      <c r="Z13" s="617"/>
      <c r="AA13" s="11">
        <f t="shared" si="2"/>
        <v>-63.380281690141146</v>
      </c>
      <c r="AB13" s="251">
        <f t="shared" si="19"/>
        <v>0.95774647887323927</v>
      </c>
      <c r="AC13" s="571"/>
    </row>
    <row r="14" spans="1:29" ht="16.5" customHeight="1">
      <c r="A14" s="642" t="s">
        <v>24</v>
      </c>
      <c r="B14" s="257" t="s">
        <v>46</v>
      </c>
      <c r="C14" s="636" t="s">
        <v>57</v>
      </c>
      <c r="D14" s="636"/>
      <c r="E14" s="26">
        <v>20.52</v>
      </c>
      <c r="F14" s="257">
        <v>3751</v>
      </c>
      <c r="G14" s="250">
        <f t="shared" si="20"/>
        <v>76970.52</v>
      </c>
      <c r="H14" s="21" t="s">
        <v>35</v>
      </c>
      <c r="I14" s="255">
        <v>18</v>
      </c>
      <c r="J14" s="23">
        <v>2400</v>
      </c>
      <c r="K14" s="9">
        <f t="shared" ref="K14:K17" si="24">J14/I14</f>
        <v>133.33333333333334</v>
      </c>
      <c r="L14" s="255">
        <v>18</v>
      </c>
      <c r="M14" s="10">
        <f t="shared" ref="M14:M16" si="25">F14/V14*60</f>
        <v>2296.5306122448983</v>
      </c>
      <c r="N14" s="9">
        <f t="shared" si="21"/>
        <v>127.58503401360547</v>
      </c>
      <c r="O14" s="11">
        <f t="shared" ref="O14:O17" si="26">L14-I14</f>
        <v>0</v>
      </c>
      <c r="P14" s="12">
        <f t="shared" ref="P14:P17" si="27">N14-K14</f>
        <v>-5.7482993197278773</v>
      </c>
      <c r="Q14" s="251">
        <f t="shared" ref="Q14:Q22" si="28">N14/K14</f>
        <v>0.95688775510204094</v>
      </c>
      <c r="R14" s="571"/>
      <c r="S14" s="24">
        <v>0.31874999999999998</v>
      </c>
      <c r="T14" s="24">
        <v>0.38680555555555551</v>
      </c>
      <c r="U14" s="250">
        <f t="shared" ref="U14:U17" si="29">IF(S14=TIME(17,0,0),"",(S14-T13)*24*60)</f>
        <v>7.9999999999999716</v>
      </c>
      <c r="V14" s="256">
        <f t="shared" ref="V14:V17" si="30">(T14-S14)*24*60</f>
        <v>97.999999999999972</v>
      </c>
      <c r="W14" s="13"/>
      <c r="X14" s="13"/>
      <c r="Y14" s="617"/>
      <c r="Z14" s="617"/>
      <c r="AA14" s="11">
        <f t="shared" si="2"/>
        <v>-103.46938775510171</v>
      </c>
      <c r="AB14" s="251">
        <f t="shared" si="19"/>
        <v>0.95688775510204094</v>
      </c>
      <c r="AC14" s="571"/>
    </row>
    <row r="15" spans="1:29" ht="16.5" customHeight="1">
      <c r="A15" s="642" t="s">
        <v>24</v>
      </c>
      <c r="B15" s="257" t="s">
        <v>1109</v>
      </c>
      <c r="C15" s="636" t="s">
        <v>1041</v>
      </c>
      <c r="D15" s="636"/>
      <c r="E15" s="26">
        <v>54.7</v>
      </c>
      <c r="F15" s="257">
        <v>4331</v>
      </c>
      <c r="G15" s="250">
        <f t="shared" si="20"/>
        <v>236905.7</v>
      </c>
      <c r="H15" s="21" t="s">
        <v>35</v>
      </c>
      <c r="I15" s="255">
        <v>17</v>
      </c>
      <c r="J15" s="23">
        <v>1500</v>
      </c>
      <c r="K15" s="9">
        <f t="shared" si="24"/>
        <v>88.235294117647058</v>
      </c>
      <c r="L15" s="255">
        <v>17</v>
      </c>
      <c r="M15" s="10">
        <f t="shared" si="25"/>
        <v>1435.6906077348067</v>
      </c>
      <c r="N15" s="9">
        <f t="shared" si="21"/>
        <v>84.452388690282746</v>
      </c>
      <c r="O15" s="11">
        <f t="shared" si="26"/>
        <v>0</v>
      </c>
      <c r="P15" s="12">
        <f t="shared" si="27"/>
        <v>-3.7829054273643123</v>
      </c>
      <c r="Q15" s="251">
        <f t="shared" si="28"/>
        <v>0.95712707182320444</v>
      </c>
      <c r="R15" s="571"/>
      <c r="S15" s="24">
        <v>0.39236111111111105</v>
      </c>
      <c r="T15" s="24">
        <v>0.51805555555555549</v>
      </c>
      <c r="U15" s="250">
        <f t="shared" si="29"/>
        <v>7.9999999999999716</v>
      </c>
      <c r="V15" s="256">
        <f t="shared" si="30"/>
        <v>181</v>
      </c>
      <c r="W15" s="13"/>
      <c r="X15" s="13"/>
      <c r="Y15" s="617"/>
      <c r="Z15" s="617"/>
      <c r="AA15" s="11">
        <f t="shared" si="2"/>
        <v>-64.30939226519331</v>
      </c>
      <c r="AB15" s="251">
        <f t="shared" si="19"/>
        <v>0.95712707182320444</v>
      </c>
      <c r="AC15" s="571"/>
    </row>
    <row r="16" spans="1:29" ht="16.5" customHeight="1">
      <c r="A16" s="642" t="s">
        <v>24</v>
      </c>
      <c r="B16" s="257" t="s">
        <v>36</v>
      </c>
      <c r="C16" s="636" t="s">
        <v>49</v>
      </c>
      <c r="D16" s="636"/>
      <c r="E16" s="26">
        <v>50.98</v>
      </c>
      <c r="F16" s="257">
        <v>3062</v>
      </c>
      <c r="G16" s="250">
        <f t="shared" si="20"/>
        <v>156100.75999999998</v>
      </c>
      <c r="H16" s="21" t="s">
        <v>35</v>
      </c>
      <c r="I16" s="255">
        <v>16</v>
      </c>
      <c r="J16" s="23">
        <v>2000</v>
      </c>
      <c r="K16" s="9">
        <f t="shared" si="24"/>
        <v>125</v>
      </c>
      <c r="L16" s="255">
        <v>16</v>
      </c>
      <c r="M16" s="10">
        <f t="shared" si="25"/>
        <v>1913.7500000000005</v>
      </c>
      <c r="N16" s="9">
        <f t="shared" si="21"/>
        <v>119.60937500000003</v>
      </c>
      <c r="O16" s="11">
        <f t="shared" si="26"/>
        <v>0</v>
      </c>
      <c r="P16" s="12">
        <f t="shared" si="27"/>
        <v>-5.3906249999999716</v>
      </c>
      <c r="Q16" s="251">
        <f t="shared" si="28"/>
        <v>0.95687500000000025</v>
      </c>
      <c r="R16" s="571"/>
      <c r="S16" s="24">
        <v>0.70833333333333337</v>
      </c>
      <c r="T16" s="24">
        <v>0.77500000000000002</v>
      </c>
      <c r="U16" s="250" t="str">
        <f t="shared" si="29"/>
        <v/>
      </c>
      <c r="V16" s="256">
        <f t="shared" si="30"/>
        <v>95.999999999999972</v>
      </c>
      <c r="W16" s="13"/>
      <c r="X16" s="13"/>
      <c r="Y16" s="617"/>
      <c r="Z16" s="617"/>
      <c r="AA16" s="11">
        <f t="shared" si="2"/>
        <v>-86.249999999999545</v>
      </c>
      <c r="AB16" s="251">
        <f t="shared" si="19"/>
        <v>0.95687500000000025</v>
      </c>
      <c r="AC16" s="571"/>
    </row>
    <row r="17" spans="1:29" ht="16.5" customHeight="1">
      <c r="A17" s="642" t="s">
        <v>24</v>
      </c>
      <c r="B17" s="257" t="s">
        <v>36</v>
      </c>
      <c r="C17" s="658" t="s">
        <v>50</v>
      </c>
      <c r="D17" s="659"/>
      <c r="E17" s="26">
        <v>50.92</v>
      </c>
      <c r="F17" s="257">
        <v>3437</v>
      </c>
      <c r="G17" s="250">
        <f t="shared" si="20"/>
        <v>175012.04</v>
      </c>
      <c r="H17" s="21" t="s">
        <v>35</v>
      </c>
      <c r="I17" s="255">
        <v>15</v>
      </c>
      <c r="J17" s="23">
        <v>2000</v>
      </c>
      <c r="K17" s="9">
        <f t="shared" si="24"/>
        <v>133.33333333333334</v>
      </c>
      <c r="L17" s="255">
        <v>15</v>
      </c>
      <c r="M17" s="10">
        <f>F17/V17*60</f>
        <v>1909.4444444444455</v>
      </c>
      <c r="N17" s="9">
        <f t="shared" si="21"/>
        <v>127.29629629629636</v>
      </c>
      <c r="O17" s="11">
        <f t="shared" si="26"/>
        <v>0</v>
      </c>
      <c r="P17" s="12">
        <f t="shared" si="27"/>
        <v>-6.0370370370369812</v>
      </c>
      <c r="Q17" s="251">
        <f t="shared" si="28"/>
        <v>0.95472222222222269</v>
      </c>
      <c r="R17" s="571"/>
      <c r="S17" s="24">
        <v>0.78055555555555556</v>
      </c>
      <c r="T17" s="24">
        <v>0.85555555555555551</v>
      </c>
      <c r="U17" s="250">
        <f t="shared" si="29"/>
        <v>7.9999999999999716</v>
      </c>
      <c r="V17" s="256">
        <f t="shared" si="30"/>
        <v>107.99999999999994</v>
      </c>
      <c r="W17" s="13"/>
      <c r="X17" s="13"/>
      <c r="Y17" s="621"/>
      <c r="Z17" s="622"/>
      <c r="AA17" s="11">
        <f t="shared" si="2"/>
        <v>-90.55555555555452</v>
      </c>
      <c r="AB17" s="251">
        <f t="shared" si="19"/>
        <v>0.95472222222222269</v>
      </c>
      <c r="AC17" s="571"/>
    </row>
    <row r="18" spans="1:29" ht="16.5" customHeight="1">
      <c r="A18" s="642" t="s">
        <v>24</v>
      </c>
      <c r="B18" s="26" t="s">
        <v>22</v>
      </c>
      <c r="C18" s="629"/>
      <c r="D18" s="629"/>
      <c r="E18" s="252"/>
      <c r="F18" s="27"/>
      <c r="G18" s="9"/>
      <c r="H18" s="257"/>
      <c r="I18" s="16">
        <v>18.5</v>
      </c>
      <c r="J18" s="23">
        <v>1816.6666666666667</v>
      </c>
      <c r="K18" s="9">
        <f>J18/I18</f>
        <v>98.198198198198199</v>
      </c>
      <c r="L18" s="16">
        <v>18.5</v>
      </c>
      <c r="M18" s="10">
        <f>AVERAGE(M12:M17)</f>
        <v>1737.3538824703203</v>
      </c>
      <c r="N18" s="9">
        <f t="shared" si="21"/>
        <v>93.911020674071366</v>
      </c>
      <c r="O18" s="11">
        <f>L18-I18</f>
        <v>0</v>
      </c>
      <c r="P18" s="12">
        <f>N18-K18</f>
        <v>-4.2871775241268324</v>
      </c>
      <c r="Q18" s="251">
        <f t="shared" si="28"/>
        <v>0.95634158668091029</v>
      </c>
      <c r="R18" s="571"/>
      <c r="S18" s="24"/>
      <c r="T18" s="24"/>
      <c r="U18" s="250"/>
      <c r="V18" s="256"/>
      <c r="W18" s="9"/>
      <c r="X18" s="9"/>
      <c r="Y18" s="617"/>
      <c r="Z18" s="617"/>
      <c r="AA18" s="11">
        <f t="shared" si="2"/>
        <v>-79.312784196346456</v>
      </c>
      <c r="AB18" s="251">
        <f t="shared" si="19"/>
        <v>0.95634158668091018</v>
      </c>
      <c r="AC18" s="571"/>
    </row>
    <row r="19" spans="1:29" ht="15.75" customHeight="1">
      <c r="A19" s="639" t="s">
        <v>176</v>
      </c>
      <c r="B19" s="26" t="s">
        <v>43</v>
      </c>
      <c r="C19" s="636" t="s">
        <v>51</v>
      </c>
      <c r="D19" s="636"/>
      <c r="E19" s="26">
        <v>43.14</v>
      </c>
      <c r="F19" s="257">
        <v>1467</v>
      </c>
      <c r="G19" s="250">
        <f t="shared" ref="G19:G22" si="31">E19*F19</f>
        <v>63286.38</v>
      </c>
      <c r="H19" s="21" t="s">
        <v>35</v>
      </c>
      <c r="I19" s="255">
        <v>17</v>
      </c>
      <c r="J19" s="23">
        <v>2000</v>
      </c>
      <c r="K19" s="9">
        <f t="shared" ref="K19:K23" si="32">J19/I19</f>
        <v>117.64705882352941</v>
      </c>
      <c r="L19" s="255">
        <v>17</v>
      </c>
      <c r="M19" s="10">
        <f t="shared" ref="M19:M22" si="33">F19/V19*60</f>
        <v>1913.4782608695652</v>
      </c>
      <c r="N19" s="9">
        <f t="shared" si="21"/>
        <v>112.55754475703326</v>
      </c>
      <c r="O19" s="11">
        <f t="shared" ref="O19:O22" si="34">L19-I19</f>
        <v>0</v>
      </c>
      <c r="P19" s="12">
        <f t="shared" ref="P19:P22" si="35">N19-K19</f>
        <v>-5.0895140664961502</v>
      </c>
      <c r="Q19" s="251">
        <f t="shared" si="28"/>
        <v>0.95673913043478276</v>
      </c>
      <c r="R19" s="571">
        <f>Q23</f>
        <v>0.95650621118012413</v>
      </c>
      <c r="S19" s="24">
        <v>0.20833333333333334</v>
      </c>
      <c r="T19" s="24">
        <v>0.24027777777777778</v>
      </c>
      <c r="U19" s="250"/>
      <c r="V19" s="256">
        <f>(T19-S19)*24*60</f>
        <v>46</v>
      </c>
      <c r="W19" s="15"/>
      <c r="X19" s="15"/>
      <c r="Y19" s="617"/>
      <c r="Z19" s="617"/>
      <c r="AA19" s="11">
        <f t="shared" si="2"/>
        <v>-86.521739130434753</v>
      </c>
      <c r="AB19" s="251">
        <f t="shared" si="19"/>
        <v>0.95673913043478265</v>
      </c>
      <c r="AC19" s="571">
        <f>AB23</f>
        <v>0.95650621118012413</v>
      </c>
    </row>
    <row r="20" spans="1:29" ht="15.75" customHeight="1">
      <c r="A20" s="640" t="s">
        <v>176</v>
      </c>
      <c r="B20" s="26" t="s">
        <v>36</v>
      </c>
      <c r="C20" s="636" t="s">
        <v>53</v>
      </c>
      <c r="D20" s="636"/>
      <c r="E20" s="26">
        <v>53.68</v>
      </c>
      <c r="F20" s="257">
        <v>2048</v>
      </c>
      <c r="G20" s="250">
        <f t="shared" si="31"/>
        <v>109936.64</v>
      </c>
      <c r="H20" s="21" t="s">
        <v>35</v>
      </c>
      <c r="I20" s="255">
        <v>16</v>
      </c>
      <c r="J20" s="23">
        <v>2000</v>
      </c>
      <c r="K20" s="9">
        <f t="shared" si="32"/>
        <v>125</v>
      </c>
      <c r="L20" s="255">
        <v>16</v>
      </c>
      <c r="M20" s="10">
        <f t="shared" si="33"/>
        <v>1919.9999999999995</v>
      </c>
      <c r="N20" s="9">
        <f t="shared" si="21"/>
        <v>119.99999999999997</v>
      </c>
      <c r="O20" s="11">
        <f t="shared" si="34"/>
        <v>0</v>
      </c>
      <c r="P20" s="12">
        <f t="shared" si="35"/>
        <v>-5.0000000000000284</v>
      </c>
      <c r="Q20" s="251">
        <f t="shared" si="28"/>
        <v>0.95999999999999974</v>
      </c>
      <c r="R20" s="571"/>
      <c r="S20" s="24">
        <v>0.24513888888888891</v>
      </c>
      <c r="T20" s="24">
        <v>0.28958333333333336</v>
      </c>
      <c r="U20" s="250">
        <f>IF(S20=TIME(17,0,0),"",(S20-T19)*24*60)</f>
        <v>7.0000000000000151</v>
      </c>
      <c r="V20" s="256">
        <f t="shared" ref="V20:V22" si="36">(T20-S20)*24*60</f>
        <v>64.000000000000014</v>
      </c>
      <c r="W20" s="13"/>
      <c r="X20" s="250"/>
      <c r="Y20" s="617"/>
      <c r="Z20" s="617"/>
      <c r="AA20" s="11">
        <f t="shared" si="2"/>
        <v>-80.000000000000455</v>
      </c>
      <c r="AB20" s="251">
        <f t="shared" si="19"/>
        <v>0.95999999999999974</v>
      </c>
      <c r="AC20" s="571"/>
    </row>
    <row r="21" spans="1:29" ht="15.75" customHeight="1">
      <c r="A21" s="640" t="s">
        <v>176</v>
      </c>
      <c r="B21" s="26" t="s">
        <v>36</v>
      </c>
      <c r="C21" s="636" t="s">
        <v>52</v>
      </c>
      <c r="D21" s="636"/>
      <c r="E21" s="26">
        <v>57.73</v>
      </c>
      <c r="F21" s="257">
        <v>3340</v>
      </c>
      <c r="G21" s="250">
        <f t="shared" si="31"/>
        <v>192818.19999999998</v>
      </c>
      <c r="H21" s="21" t="s">
        <v>35</v>
      </c>
      <c r="I21" s="255">
        <v>15</v>
      </c>
      <c r="J21" s="23">
        <v>2000</v>
      </c>
      <c r="K21" s="9">
        <f t="shared" si="32"/>
        <v>133.33333333333334</v>
      </c>
      <c r="L21" s="255">
        <v>15</v>
      </c>
      <c r="M21" s="10">
        <f t="shared" si="33"/>
        <v>1908.571428571428</v>
      </c>
      <c r="N21" s="9">
        <f t="shared" si="21"/>
        <v>127.2380952380952</v>
      </c>
      <c r="O21" s="11">
        <f t="shared" si="34"/>
        <v>0</v>
      </c>
      <c r="P21" s="12">
        <f t="shared" si="35"/>
        <v>-6.0952380952381446</v>
      </c>
      <c r="Q21" s="251">
        <f t="shared" si="28"/>
        <v>0.95428571428571396</v>
      </c>
      <c r="R21" s="571"/>
      <c r="S21" s="24">
        <v>0.29444444444444445</v>
      </c>
      <c r="T21" s="24">
        <v>0.36736111111111114</v>
      </c>
      <c r="U21" s="250">
        <f t="shared" ref="U21:U22" si="37">IF(S21=TIME(17,0,0),"",(S21-T20)*24*60)</f>
        <v>6.9999999999999751</v>
      </c>
      <c r="V21" s="256">
        <f t="shared" si="36"/>
        <v>105.00000000000003</v>
      </c>
      <c r="W21" s="13"/>
      <c r="X21" s="250"/>
      <c r="Y21" s="617"/>
      <c r="Z21" s="617"/>
      <c r="AA21" s="11">
        <f t="shared" si="2"/>
        <v>-91.428571428572013</v>
      </c>
      <c r="AB21" s="251">
        <f t="shared" si="19"/>
        <v>0.95428571428571396</v>
      </c>
      <c r="AC21" s="571"/>
    </row>
    <row r="22" spans="1:29" ht="15.75" customHeight="1">
      <c r="A22" s="640" t="s">
        <v>176</v>
      </c>
      <c r="B22" s="26" t="s">
        <v>36</v>
      </c>
      <c r="C22" s="636" t="s">
        <v>55</v>
      </c>
      <c r="D22" s="636"/>
      <c r="E22" s="26">
        <v>54.09</v>
      </c>
      <c r="F22" s="257">
        <v>2865</v>
      </c>
      <c r="G22" s="250">
        <f t="shared" si="31"/>
        <v>154967.85</v>
      </c>
      <c r="H22" s="21" t="s">
        <v>35</v>
      </c>
      <c r="I22" s="255">
        <v>19</v>
      </c>
      <c r="J22" s="23">
        <v>2000</v>
      </c>
      <c r="K22" s="9">
        <f t="shared" si="32"/>
        <v>105.26315789473684</v>
      </c>
      <c r="L22" s="255">
        <v>19</v>
      </c>
      <c r="M22" s="10">
        <f t="shared" si="33"/>
        <v>1910</v>
      </c>
      <c r="N22" s="9">
        <f t="shared" si="21"/>
        <v>100.52631578947368</v>
      </c>
      <c r="O22" s="11">
        <f t="shared" si="34"/>
        <v>0</v>
      </c>
      <c r="P22" s="12">
        <f t="shared" si="35"/>
        <v>-4.7368421052631504</v>
      </c>
      <c r="Q22" s="251">
        <f t="shared" si="28"/>
        <v>0.95500000000000007</v>
      </c>
      <c r="R22" s="571"/>
      <c r="S22" s="24">
        <v>0.70833333333333337</v>
      </c>
      <c r="T22" s="24">
        <v>0.77083333333333337</v>
      </c>
      <c r="U22" s="250" t="str">
        <f t="shared" si="37"/>
        <v/>
      </c>
      <c r="V22" s="256">
        <f t="shared" si="36"/>
        <v>90</v>
      </c>
      <c r="W22" s="13"/>
      <c r="X22" s="250"/>
      <c r="Y22" s="617"/>
      <c r="Z22" s="617"/>
      <c r="AA22" s="11">
        <f t="shared" si="2"/>
        <v>-90</v>
      </c>
      <c r="AB22" s="251">
        <f t="shared" si="19"/>
        <v>0.95499999999999996</v>
      </c>
      <c r="AC22" s="571"/>
    </row>
    <row r="23" spans="1:29" ht="15.75" customHeight="1">
      <c r="A23" s="640" t="s">
        <v>176</v>
      </c>
      <c r="B23" s="26" t="s">
        <v>22</v>
      </c>
      <c r="C23" s="629"/>
      <c r="D23" s="629"/>
      <c r="E23" s="252"/>
      <c r="F23" s="257"/>
      <c r="G23" s="250"/>
      <c r="H23" s="257"/>
      <c r="I23" s="16">
        <v>16.75</v>
      </c>
      <c r="J23" s="23">
        <v>2000</v>
      </c>
      <c r="K23" s="9">
        <f t="shared" si="32"/>
        <v>119.40298507462687</v>
      </c>
      <c r="L23" s="16">
        <v>16.75</v>
      </c>
      <c r="M23" s="10">
        <f>AVERAGE(M19:M22)</f>
        <v>1913.0124223602484</v>
      </c>
      <c r="N23" s="9">
        <f>M23/L23</f>
        <v>114.20969685732825</v>
      </c>
      <c r="O23" s="11">
        <f>L23-I23</f>
        <v>0</v>
      </c>
      <c r="P23" s="12">
        <f>N23-K23</f>
        <v>-5.1932882172986155</v>
      </c>
      <c r="Q23" s="251">
        <f>N23/K23</f>
        <v>0.95650621118012413</v>
      </c>
      <c r="R23" s="571"/>
      <c r="S23" s="24"/>
      <c r="T23" s="24"/>
      <c r="U23" s="9"/>
      <c r="V23" s="256"/>
      <c r="W23" s="9"/>
      <c r="X23" s="9"/>
      <c r="Y23" s="617"/>
      <c r="Z23" s="617"/>
      <c r="AA23" s="11">
        <f t="shared" si="2"/>
        <v>-86.987577639751635</v>
      </c>
      <c r="AB23" s="251">
        <f t="shared" si="19"/>
        <v>0.95650621118012413</v>
      </c>
      <c r="AC23" s="571"/>
    </row>
    <row r="24" spans="1:29" ht="15.75" customHeight="1">
      <c r="A24" s="635" t="s">
        <v>28</v>
      </c>
      <c r="B24" s="26" t="s">
        <v>46</v>
      </c>
      <c r="C24" s="636" t="s">
        <v>60</v>
      </c>
      <c r="D24" s="636"/>
      <c r="E24" s="26">
        <v>26.2</v>
      </c>
      <c r="F24" s="257">
        <v>5101</v>
      </c>
      <c r="G24" s="250">
        <f t="shared" ref="G24:G30" si="38">E24*F24</f>
        <v>133646.19999999998</v>
      </c>
      <c r="H24" s="21" t="s">
        <v>35</v>
      </c>
      <c r="I24" s="255">
        <v>19</v>
      </c>
      <c r="J24" s="23">
        <v>2400</v>
      </c>
      <c r="K24" s="9">
        <f>J24/I24</f>
        <v>126.31578947368421</v>
      </c>
      <c r="L24" s="255">
        <v>19</v>
      </c>
      <c r="M24" s="10">
        <f t="shared" ref="M24:M30" si="39">F24/V24*60</f>
        <v>2284.0298507462694</v>
      </c>
      <c r="N24" s="9">
        <f t="shared" ref="N24:N30" si="40">M24/L24</f>
        <v>120.21209740769839</v>
      </c>
      <c r="O24" s="11">
        <f t="shared" ref="O24:O30" si="41">L24-I24</f>
        <v>0</v>
      </c>
      <c r="P24" s="12">
        <f t="shared" ref="P24:P30" si="42">N24-K24</f>
        <v>-6.1036920659858112</v>
      </c>
      <c r="Q24" s="251">
        <f t="shared" ref="Q24:Q29" si="43">N24/K24</f>
        <v>0.95167910447761228</v>
      </c>
      <c r="R24" s="571">
        <f>Q31</f>
        <v>0.95725600584871151</v>
      </c>
      <c r="S24" s="24">
        <v>8.3333333333333329E-2</v>
      </c>
      <c r="T24" s="24">
        <v>0.17638888888888887</v>
      </c>
      <c r="U24" s="250"/>
      <c r="V24" s="256">
        <f t="shared" ref="V24:V30" si="44">(T24-S24)*24*60</f>
        <v>133.99999999999997</v>
      </c>
      <c r="W24" s="13">
        <f>T24</f>
        <v>0.17638888888888887</v>
      </c>
      <c r="X24" s="13">
        <f>S25</f>
        <v>0.19722222222222222</v>
      </c>
      <c r="Y24" s="617"/>
      <c r="Z24" s="617"/>
      <c r="AA24" s="11">
        <f t="shared" si="2"/>
        <v>-115.9701492537306</v>
      </c>
      <c r="AB24" s="251">
        <f>M24/J24</f>
        <v>0.95167910447761228</v>
      </c>
      <c r="AC24" s="571">
        <f>AB31</f>
        <v>0.95725600584871151</v>
      </c>
    </row>
    <row r="25" spans="1:29" ht="15.75" customHeight="1">
      <c r="A25" s="635" t="s">
        <v>28</v>
      </c>
      <c r="B25" s="26" t="s">
        <v>46</v>
      </c>
      <c r="C25" s="636" t="s">
        <v>61</v>
      </c>
      <c r="D25" s="636"/>
      <c r="E25" s="26">
        <v>31.29</v>
      </c>
      <c r="F25" s="257">
        <v>4400</v>
      </c>
      <c r="G25" s="250">
        <f t="shared" si="38"/>
        <v>137676</v>
      </c>
      <c r="H25" s="21">
        <v>2</v>
      </c>
      <c r="I25" s="255">
        <v>18</v>
      </c>
      <c r="J25" s="23">
        <v>2400</v>
      </c>
      <c r="K25" s="9">
        <f t="shared" ref="K25:K31" si="45">J25/I25</f>
        <v>133.33333333333334</v>
      </c>
      <c r="L25" s="255">
        <v>18</v>
      </c>
      <c r="M25" s="10">
        <f t="shared" si="39"/>
        <v>2295.652173913043</v>
      </c>
      <c r="N25" s="9">
        <f t="shared" si="40"/>
        <v>127.53623188405794</v>
      </c>
      <c r="O25" s="11">
        <f t="shared" si="41"/>
        <v>0</v>
      </c>
      <c r="P25" s="12">
        <f t="shared" si="42"/>
        <v>-5.7971014492754023</v>
      </c>
      <c r="Q25" s="251">
        <f t="shared" si="43"/>
        <v>0.95652173913043448</v>
      </c>
      <c r="R25" s="571"/>
      <c r="S25" s="24">
        <v>0.19722222222222222</v>
      </c>
      <c r="T25" s="24">
        <v>0.27708333333333335</v>
      </c>
      <c r="U25" s="250">
        <f>(S25-T24)*24*60</f>
        <v>30.000000000000014</v>
      </c>
      <c r="V25" s="256">
        <f t="shared" si="44"/>
        <v>115.00000000000003</v>
      </c>
      <c r="W25" s="13"/>
      <c r="X25" s="13"/>
      <c r="Y25" s="617"/>
      <c r="Z25" s="617"/>
      <c r="AA25" s="11">
        <f t="shared" si="2"/>
        <v>-104.34782608695696</v>
      </c>
      <c r="AB25" s="251">
        <f t="shared" ref="AB25:AB30" si="46">M25/J25</f>
        <v>0.95652173913043459</v>
      </c>
      <c r="AC25" s="571"/>
    </row>
    <row r="26" spans="1:29" ht="15.75" customHeight="1">
      <c r="A26" s="635" t="s">
        <v>28</v>
      </c>
      <c r="B26" s="26" t="s">
        <v>46</v>
      </c>
      <c r="C26" s="636" t="s">
        <v>59</v>
      </c>
      <c r="D26" s="636"/>
      <c r="E26" s="26">
        <v>26.18</v>
      </c>
      <c r="F26" s="257">
        <v>4166</v>
      </c>
      <c r="G26" s="250">
        <f t="shared" si="38"/>
        <v>109065.88</v>
      </c>
      <c r="H26" s="21" t="s">
        <v>35</v>
      </c>
      <c r="I26" s="255">
        <v>19</v>
      </c>
      <c r="J26" s="23">
        <v>2400</v>
      </c>
      <c r="K26" s="9">
        <f t="shared" si="45"/>
        <v>126.31578947368421</v>
      </c>
      <c r="L26" s="255">
        <v>19</v>
      </c>
      <c r="M26" s="10">
        <f t="shared" si="39"/>
        <v>2293.2110091743116</v>
      </c>
      <c r="N26" s="9">
        <f t="shared" si="40"/>
        <v>120.69531627233219</v>
      </c>
      <c r="O26" s="11">
        <f t="shared" si="41"/>
        <v>0</v>
      </c>
      <c r="P26" s="12">
        <f t="shared" si="42"/>
        <v>-5.6204732013520129</v>
      </c>
      <c r="Q26" s="251">
        <f t="shared" si="43"/>
        <v>0.9555045871559632</v>
      </c>
      <c r="R26" s="571"/>
      <c r="S26" s="24">
        <v>0.28125</v>
      </c>
      <c r="T26" s="24">
        <v>0.35694444444444445</v>
      </c>
      <c r="U26" s="250">
        <f t="shared" ref="U26:U30" si="47">(S26-T25)*24*60</f>
        <v>5.9999999999999787</v>
      </c>
      <c r="V26" s="256">
        <f t="shared" si="44"/>
        <v>109.00000000000001</v>
      </c>
      <c r="W26" s="13"/>
      <c r="X26" s="13"/>
      <c r="Y26" s="617"/>
      <c r="Z26" s="617"/>
      <c r="AA26" s="11">
        <f t="shared" si="2"/>
        <v>-106.78899082568842</v>
      </c>
      <c r="AB26" s="251">
        <f t="shared" si="46"/>
        <v>0.9555045871559632</v>
      </c>
      <c r="AC26" s="571"/>
    </row>
    <row r="27" spans="1:29" ht="15.75" customHeight="1">
      <c r="A27" s="635" t="s">
        <v>28</v>
      </c>
      <c r="B27" s="26" t="s">
        <v>46</v>
      </c>
      <c r="C27" s="636" t="s">
        <v>56</v>
      </c>
      <c r="D27" s="636"/>
      <c r="E27" s="26">
        <v>26.2</v>
      </c>
      <c r="F27" s="257">
        <v>5747</v>
      </c>
      <c r="G27" s="250">
        <f t="shared" si="38"/>
        <v>150571.4</v>
      </c>
      <c r="H27" s="21" t="s">
        <v>35</v>
      </c>
      <c r="I27" s="255">
        <v>20</v>
      </c>
      <c r="J27" s="23">
        <v>2400</v>
      </c>
      <c r="K27" s="9">
        <f t="shared" si="45"/>
        <v>120</v>
      </c>
      <c r="L27" s="255">
        <v>20</v>
      </c>
      <c r="M27" s="10">
        <f t="shared" si="39"/>
        <v>2298.7999999999997</v>
      </c>
      <c r="N27" s="9">
        <f t="shared" si="40"/>
        <v>114.93999999999998</v>
      </c>
      <c r="O27" s="11">
        <f t="shared" si="41"/>
        <v>0</v>
      </c>
      <c r="P27" s="12">
        <f t="shared" si="42"/>
        <v>-5.0600000000000165</v>
      </c>
      <c r="Q27" s="251">
        <f t="shared" si="43"/>
        <v>0.9578333333333332</v>
      </c>
      <c r="R27" s="571"/>
      <c r="S27" s="24">
        <v>0.3611111111111111</v>
      </c>
      <c r="T27" s="24">
        <v>0.46527777777777779</v>
      </c>
      <c r="U27" s="250">
        <f t="shared" si="47"/>
        <v>5.9999999999999787</v>
      </c>
      <c r="V27" s="256">
        <f t="shared" si="44"/>
        <v>150.00000000000003</v>
      </c>
      <c r="W27" s="13"/>
      <c r="X27" s="13"/>
      <c r="Y27" s="617"/>
      <c r="Z27" s="617"/>
      <c r="AA27" s="11">
        <f t="shared" si="2"/>
        <v>-101.20000000000027</v>
      </c>
      <c r="AB27" s="251">
        <f t="shared" si="46"/>
        <v>0.9578333333333332</v>
      </c>
      <c r="AC27" s="571"/>
    </row>
    <row r="28" spans="1:29" ht="15.75" customHeight="1">
      <c r="A28" s="635" t="s">
        <v>28</v>
      </c>
      <c r="B28" s="26" t="s">
        <v>46</v>
      </c>
      <c r="C28" s="636" t="s">
        <v>62</v>
      </c>
      <c r="D28" s="636"/>
      <c r="E28" s="26">
        <v>25</v>
      </c>
      <c r="F28" s="257">
        <v>2700</v>
      </c>
      <c r="G28" s="250">
        <f t="shared" si="38"/>
        <v>67500</v>
      </c>
      <c r="H28" s="21">
        <v>2</v>
      </c>
      <c r="I28" s="255">
        <v>15</v>
      </c>
      <c r="J28" s="23">
        <v>2400</v>
      </c>
      <c r="K28" s="9">
        <f t="shared" si="45"/>
        <v>160</v>
      </c>
      <c r="L28" s="255">
        <v>15</v>
      </c>
      <c r="M28" s="10">
        <f t="shared" si="39"/>
        <v>2314.2857142857119</v>
      </c>
      <c r="N28" s="9">
        <f t="shared" si="40"/>
        <v>154.28571428571414</v>
      </c>
      <c r="O28" s="11">
        <f t="shared" si="41"/>
        <v>0</v>
      </c>
      <c r="P28" s="12">
        <f t="shared" si="42"/>
        <v>-5.7142857142858645</v>
      </c>
      <c r="Q28" s="251">
        <f t="shared" si="43"/>
        <v>0.9642857142857133</v>
      </c>
      <c r="R28" s="571"/>
      <c r="S28" s="24">
        <v>0.47013888888888888</v>
      </c>
      <c r="T28" s="24">
        <v>0.51875000000000004</v>
      </c>
      <c r="U28" s="250">
        <f t="shared" si="47"/>
        <v>6.9999999999999751</v>
      </c>
      <c r="V28" s="256">
        <f t="shared" si="44"/>
        <v>70.000000000000071</v>
      </c>
      <c r="W28" s="13">
        <f>T28</f>
        <v>0.51875000000000004</v>
      </c>
      <c r="X28" s="13">
        <f>S29</f>
        <v>0.56041666666666667</v>
      </c>
      <c r="Y28" s="617"/>
      <c r="Z28" s="617"/>
      <c r="AA28" s="11">
        <f t="shared" si="2"/>
        <v>-85.714285714288053</v>
      </c>
      <c r="AB28" s="251">
        <f t="shared" si="46"/>
        <v>0.9642857142857133</v>
      </c>
      <c r="AC28" s="571"/>
    </row>
    <row r="29" spans="1:29" ht="15.75" customHeight="1">
      <c r="A29" s="635" t="s">
        <v>28</v>
      </c>
      <c r="B29" s="26" t="s">
        <v>46</v>
      </c>
      <c r="C29" s="636" t="s">
        <v>61</v>
      </c>
      <c r="D29" s="636"/>
      <c r="E29" s="26">
        <v>31.29</v>
      </c>
      <c r="F29" s="257">
        <v>6318</v>
      </c>
      <c r="G29" s="250">
        <f t="shared" si="38"/>
        <v>197690.22</v>
      </c>
      <c r="H29" s="21" t="s">
        <v>35</v>
      </c>
      <c r="I29" s="255">
        <v>18</v>
      </c>
      <c r="J29" s="23">
        <v>2400</v>
      </c>
      <c r="K29" s="9">
        <f t="shared" si="45"/>
        <v>133.33333333333334</v>
      </c>
      <c r="L29" s="255">
        <v>18</v>
      </c>
      <c r="M29" s="10">
        <f t="shared" si="39"/>
        <v>2283.6144578313242</v>
      </c>
      <c r="N29" s="9">
        <f t="shared" si="40"/>
        <v>126.86746987951801</v>
      </c>
      <c r="O29" s="11">
        <f t="shared" si="41"/>
        <v>0</v>
      </c>
      <c r="P29" s="12">
        <f t="shared" si="42"/>
        <v>-6.4658634538153308</v>
      </c>
      <c r="Q29" s="251">
        <f t="shared" si="43"/>
        <v>0.95150602409638507</v>
      </c>
      <c r="R29" s="571"/>
      <c r="S29" s="24">
        <v>0.56041666666666667</v>
      </c>
      <c r="T29" s="24">
        <v>0.67569444444444449</v>
      </c>
      <c r="U29" s="250">
        <f t="shared" si="47"/>
        <v>59.999999999999943</v>
      </c>
      <c r="V29" s="256">
        <f t="shared" si="44"/>
        <v>166.00000000000006</v>
      </c>
      <c r="W29" s="13"/>
      <c r="X29" s="13"/>
      <c r="Y29" s="617"/>
      <c r="Z29" s="617"/>
      <c r="AA29" s="11">
        <f t="shared" si="2"/>
        <v>-116.38554216867578</v>
      </c>
      <c r="AB29" s="251">
        <f t="shared" si="46"/>
        <v>0.95150602409638507</v>
      </c>
      <c r="AC29" s="571"/>
    </row>
    <row r="30" spans="1:29" ht="15.75" customHeight="1">
      <c r="A30" s="635" t="s">
        <v>28</v>
      </c>
      <c r="B30" s="26" t="s">
        <v>46</v>
      </c>
      <c r="C30" s="636" t="s">
        <v>62</v>
      </c>
      <c r="D30" s="636"/>
      <c r="E30" s="26">
        <v>25</v>
      </c>
      <c r="F30" s="257">
        <v>2505</v>
      </c>
      <c r="G30" s="250">
        <f t="shared" si="38"/>
        <v>62625</v>
      </c>
      <c r="H30" s="21" t="s">
        <v>35</v>
      </c>
      <c r="I30" s="255">
        <v>15</v>
      </c>
      <c r="J30" s="23">
        <v>2400</v>
      </c>
      <c r="K30" s="9">
        <f t="shared" si="45"/>
        <v>160</v>
      </c>
      <c r="L30" s="255">
        <v>15</v>
      </c>
      <c r="M30" s="10">
        <f t="shared" si="39"/>
        <v>2312.3076923076951</v>
      </c>
      <c r="N30" s="9">
        <f t="shared" si="40"/>
        <v>154.15384615384633</v>
      </c>
      <c r="O30" s="11">
        <f t="shared" si="41"/>
        <v>0</v>
      </c>
      <c r="P30" s="12">
        <f t="shared" si="42"/>
        <v>-5.8461538461536691</v>
      </c>
      <c r="Q30" s="251">
        <f>N30/K30</f>
        <v>0.96346153846153959</v>
      </c>
      <c r="R30" s="571"/>
      <c r="S30" s="24">
        <v>0.68055555555555558</v>
      </c>
      <c r="T30" s="24">
        <v>0.72569444444444442</v>
      </c>
      <c r="U30" s="250">
        <f t="shared" si="47"/>
        <v>6.9999999999999751</v>
      </c>
      <c r="V30" s="256">
        <f t="shared" si="44"/>
        <v>64.999999999999929</v>
      </c>
      <c r="W30" s="13"/>
      <c r="X30" s="13"/>
      <c r="Y30" s="617"/>
      <c r="Z30" s="617"/>
      <c r="AA30" s="11">
        <f t="shared" si="2"/>
        <v>-87.692307692304894</v>
      </c>
      <c r="AB30" s="251">
        <f t="shared" si="46"/>
        <v>0.96346153846153959</v>
      </c>
      <c r="AC30" s="571"/>
    </row>
    <row r="31" spans="1:29" ht="15.75" customHeight="1">
      <c r="A31" s="635" t="s">
        <v>28</v>
      </c>
      <c r="B31" s="26" t="s">
        <v>22</v>
      </c>
      <c r="C31" s="629"/>
      <c r="D31" s="629"/>
      <c r="E31" s="252"/>
      <c r="F31" s="257"/>
      <c r="G31" s="250"/>
      <c r="H31" s="257"/>
      <c r="I31" s="16">
        <v>17.714285714285715</v>
      </c>
      <c r="J31" s="23">
        <v>2400</v>
      </c>
      <c r="K31" s="9">
        <f t="shared" si="45"/>
        <v>135.48387096774192</v>
      </c>
      <c r="L31" s="16">
        <v>17.714285714285715</v>
      </c>
      <c r="M31" s="10">
        <f>AVERAGE(M24:M30)</f>
        <v>2297.4144140369076</v>
      </c>
      <c r="N31" s="9">
        <f>M31/L31</f>
        <v>129.69274917950284</v>
      </c>
      <c r="O31" s="11">
        <f>L31-I31</f>
        <v>0</v>
      </c>
      <c r="P31" s="12">
        <f>N31-K31</f>
        <v>-5.7911217882390815</v>
      </c>
      <c r="Q31" s="251">
        <f>N31/K31</f>
        <v>0.95725600584871151</v>
      </c>
      <c r="R31" s="571"/>
      <c r="S31" s="24"/>
      <c r="T31" s="24"/>
      <c r="U31" s="250"/>
      <c r="V31" s="256"/>
      <c r="W31" s="250"/>
      <c r="X31" s="250"/>
      <c r="Y31" s="617"/>
      <c r="Z31" s="617"/>
      <c r="AA31" s="11">
        <f t="shared" si="2"/>
        <v>-102.5855859630924</v>
      </c>
      <c r="AB31" s="251">
        <f>M31/J31</f>
        <v>0.95725600584871151</v>
      </c>
      <c r="AC31" s="571"/>
    </row>
    <row r="32" spans="1:29" ht="15.75" customHeight="1">
      <c r="A32" s="637" t="s">
        <v>435</v>
      </c>
      <c r="B32" s="26" t="s">
        <v>46</v>
      </c>
      <c r="C32" s="616" t="s">
        <v>63</v>
      </c>
      <c r="D32" s="616"/>
      <c r="E32" s="26">
        <v>26.2</v>
      </c>
      <c r="F32" s="257">
        <v>4500</v>
      </c>
      <c r="G32" s="250">
        <f t="shared" ref="G32:G39" si="48">E32*F32</f>
        <v>117900</v>
      </c>
      <c r="H32" s="21">
        <v>2</v>
      </c>
      <c r="I32" s="255">
        <v>18</v>
      </c>
      <c r="J32" s="23">
        <v>2400</v>
      </c>
      <c r="K32" s="9">
        <f>J32/I32</f>
        <v>133.33333333333334</v>
      </c>
      <c r="L32" s="255">
        <v>18</v>
      </c>
      <c r="M32" s="10">
        <f>F32/V32*60</f>
        <v>2288.1355932203392</v>
      </c>
      <c r="N32" s="9">
        <f>M32/L32</f>
        <v>127.11864406779662</v>
      </c>
      <c r="O32" s="11">
        <f t="shared" ref="O32:O39" si="49">L32-I32</f>
        <v>0</v>
      </c>
      <c r="P32" s="12">
        <f t="shared" ref="P32:P47" si="50">N32-K32</f>
        <v>-6.2146892655367196</v>
      </c>
      <c r="Q32" s="251">
        <f t="shared" ref="Q32:Q44" si="51">N32/K32</f>
        <v>0.95338983050847459</v>
      </c>
      <c r="R32" s="571">
        <f>Q40</f>
        <v>0.95565436491210065</v>
      </c>
      <c r="S32" s="24">
        <v>8.3333333333333329E-2</v>
      </c>
      <c r="T32" s="24">
        <v>0.16527777777777777</v>
      </c>
      <c r="U32" s="250"/>
      <c r="V32" s="256">
        <f t="shared" ref="V32:V39" si="52">(T32-S32)*24*60</f>
        <v>118</v>
      </c>
      <c r="W32" s="15">
        <f>T32</f>
        <v>0.16527777777777777</v>
      </c>
      <c r="X32" s="15">
        <f>S33</f>
        <v>0.18472222222222223</v>
      </c>
      <c r="Y32" s="617"/>
      <c r="Z32" s="617"/>
      <c r="AA32" s="11">
        <f t="shared" si="2"/>
        <v>-111.86440677966084</v>
      </c>
      <c r="AB32" s="251">
        <f>M32/J32</f>
        <v>0.9533898305084747</v>
      </c>
      <c r="AC32" s="571">
        <f>AB40</f>
        <v>0.95565436491210054</v>
      </c>
    </row>
    <row r="33" spans="1:29" ht="15.75" customHeight="1">
      <c r="A33" s="637" t="s">
        <v>435</v>
      </c>
      <c r="B33" s="26" t="s">
        <v>46</v>
      </c>
      <c r="C33" s="616" t="s">
        <v>64</v>
      </c>
      <c r="D33" s="616"/>
      <c r="E33" s="26">
        <v>26.39</v>
      </c>
      <c r="F33" s="257">
        <v>4400</v>
      </c>
      <c r="G33" s="250">
        <f t="shared" si="48"/>
        <v>116116</v>
      </c>
      <c r="H33" s="21">
        <v>2</v>
      </c>
      <c r="I33" s="255">
        <v>19</v>
      </c>
      <c r="J33" s="23">
        <v>2400</v>
      </c>
      <c r="K33" s="9">
        <f t="shared" ref="K33:K46" si="53">J33/I33</f>
        <v>126.31578947368421</v>
      </c>
      <c r="L33" s="255">
        <v>19</v>
      </c>
      <c r="M33" s="10">
        <f t="shared" ref="M33:M39" si="54">F33/V33*60</f>
        <v>2295.652173913044</v>
      </c>
      <c r="N33" s="9">
        <f t="shared" ref="N33:N39" si="55">M33/L33</f>
        <v>120.82379862700232</v>
      </c>
      <c r="O33" s="11">
        <f t="shared" si="49"/>
        <v>0</v>
      </c>
      <c r="P33" s="12">
        <f t="shared" si="50"/>
        <v>-5.4919908466818868</v>
      </c>
      <c r="Q33" s="251">
        <f t="shared" si="51"/>
        <v>0.95652173913043503</v>
      </c>
      <c r="R33" s="571"/>
      <c r="S33" s="24">
        <v>0.18472222222222223</v>
      </c>
      <c r="T33" s="24">
        <v>0.26458333333333334</v>
      </c>
      <c r="U33" s="250">
        <f>(S33-T32)*24*60</f>
        <v>28.000000000000021</v>
      </c>
      <c r="V33" s="256">
        <f t="shared" si="52"/>
        <v>114.99999999999999</v>
      </c>
      <c r="W33" s="250"/>
      <c r="X33" s="250"/>
      <c r="Y33" s="617"/>
      <c r="Z33" s="617"/>
      <c r="AA33" s="11">
        <f t="shared" si="2"/>
        <v>-104.34782608695605</v>
      </c>
      <c r="AB33" s="251">
        <f t="shared" ref="AB33:AB59" si="56">M33/J33</f>
        <v>0.95652173913043503</v>
      </c>
      <c r="AC33" s="571"/>
    </row>
    <row r="34" spans="1:29">
      <c r="A34" s="638" t="s">
        <v>435</v>
      </c>
      <c r="B34" s="26" t="s">
        <v>46</v>
      </c>
      <c r="C34" s="616" t="s">
        <v>87</v>
      </c>
      <c r="D34" s="616"/>
      <c r="E34" s="26">
        <v>20.52</v>
      </c>
      <c r="F34" s="257">
        <v>5567</v>
      </c>
      <c r="G34" s="250">
        <f t="shared" si="48"/>
        <v>114234.84</v>
      </c>
      <c r="H34" s="21" t="s">
        <v>35</v>
      </c>
      <c r="I34" s="255">
        <v>18</v>
      </c>
      <c r="J34" s="23">
        <v>2400</v>
      </c>
      <c r="K34" s="9">
        <f t="shared" si="53"/>
        <v>133.33333333333334</v>
      </c>
      <c r="L34" s="255">
        <v>18</v>
      </c>
      <c r="M34" s="10">
        <f t="shared" si="54"/>
        <v>2287.8082191780827</v>
      </c>
      <c r="N34" s="9">
        <f t="shared" si="55"/>
        <v>127.1004566210046</v>
      </c>
      <c r="O34" s="11">
        <f t="shared" si="49"/>
        <v>0</v>
      </c>
      <c r="P34" s="12">
        <f t="shared" si="50"/>
        <v>-6.2328767123287463</v>
      </c>
      <c r="Q34" s="251">
        <f t="shared" si="51"/>
        <v>0.95325342465753438</v>
      </c>
      <c r="R34" s="571"/>
      <c r="S34" s="24">
        <v>0.27013888888888887</v>
      </c>
      <c r="T34" s="24">
        <v>0.37152777777777773</v>
      </c>
      <c r="U34" s="250">
        <f t="shared" ref="U34:U39" si="57">(S34-T33)*24*60</f>
        <v>7.9999999999999716</v>
      </c>
      <c r="V34" s="256">
        <f t="shared" si="52"/>
        <v>145.99999999999997</v>
      </c>
      <c r="W34" s="250"/>
      <c r="X34" s="250"/>
      <c r="Y34" s="617"/>
      <c r="Z34" s="617"/>
      <c r="AA34" s="11">
        <f t="shared" si="2"/>
        <v>-112.19178082191729</v>
      </c>
      <c r="AB34" s="251">
        <f t="shared" si="56"/>
        <v>0.95325342465753449</v>
      </c>
      <c r="AC34" s="571"/>
    </row>
    <row r="35" spans="1:29">
      <c r="A35" s="638" t="s">
        <v>435</v>
      </c>
      <c r="B35" s="26" t="s">
        <v>46</v>
      </c>
      <c r="C35" s="616" t="s">
        <v>48</v>
      </c>
      <c r="D35" s="616"/>
      <c r="E35" s="26">
        <v>22.35</v>
      </c>
      <c r="F35" s="257">
        <v>2159</v>
      </c>
      <c r="G35" s="250">
        <f t="shared" si="48"/>
        <v>48253.65</v>
      </c>
      <c r="H35" s="21" t="s">
        <v>35</v>
      </c>
      <c r="I35" s="255">
        <v>16</v>
      </c>
      <c r="J35" s="23">
        <v>2400</v>
      </c>
      <c r="K35" s="9">
        <f t="shared" si="53"/>
        <v>150</v>
      </c>
      <c r="L35" s="255">
        <v>16</v>
      </c>
      <c r="M35" s="10">
        <f t="shared" si="54"/>
        <v>2313.214285714284</v>
      </c>
      <c r="N35" s="9">
        <f t="shared" si="55"/>
        <v>144.57589285714275</v>
      </c>
      <c r="O35" s="11">
        <f t="shared" si="49"/>
        <v>0</v>
      </c>
      <c r="P35" s="12">
        <f t="shared" si="50"/>
        <v>-5.4241071428572525</v>
      </c>
      <c r="Q35" s="251">
        <f t="shared" si="51"/>
        <v>0.96383928571428501</v>
      </c>
      <c r="R35" s="571"/>
      <c r="S35" s="24">
        <v>0.37569444444444439</v>
      </c>
      <c r="T35" s="24">
        <v>0.4145833333333333</v>
      </c>
      <c r="U35" s="250">
        <f t="shared" si="57"/>
        <v>5.9999999999999787</v>
      </c>
      <c r="V35" s="256">
        <f t="shared" si="52"/>
        <v>56.000000000000043</v>
      </c>
      <c r="W35" s="13"/>
      <c r="X35" s="13"/>
      <c r="Y35" s="617"/>
      <c r="Z35" s="617"/>
      <c r="AA35" s="11">
        <f t="shared" si="2"/>
        <v>-86.78571428571604</v>
      </c>
      <c r="AB35" s="251">
        <f t="shared" si="56"/>
        <v>0.96383928571428501</v>
      </c>
      <c r="AC35" s="571"/>
    </row>
    <row r="36" spans="1:29">
      <c r="A36" s="638" t="s">
        <v>435</v>
      </c>
      <c r="B36" s="26" t="s">
        <v>46</v>
      </c>
      <c r="C36" s="616" t="s">
        <v>65</v>
      </c>
      <c r="D36" s="616"/>
      <c r="E36" s="26">
        <v>24.43</v>
      </c>
      <c r="F36" s="257">
        <v>5600</v>
      </c>
      <c r="G36" s="250">
        <f t="shared" si="48"/>
        <v>136808</v>
      </c>
      <c r="H36" s="21">
        <v>2</v>
      </c>
      <c r="I36" s="255">
        <v>15</v>
      </c>
      <c r="J36" s="23">
        <v>2400</v>
      </c>
      <c r="K36" s="9">
        <f t="shared" si="53"/>
        <v>160</v>
      </c>
      <c r="L36" s="255">
        <v>15</v>
      </c>
      <c r="M36" s="10">
        <f t="shared" si="54"/>
        <v>2285.7142857142867</v>
      </c>
      <c r="N36" s="9">
        <f t="shared" si="55"/>
        <v>152.38095238095244</v>
      </c>
      <c r="O36" s="11">
        <f t="shared" si="49"/>
        <v>0</v>
      </c>
      <c r="P36" s="12">
        <f t="shared" si="50"/>
        <v>-7.6190476190475636</v>
      </c>
      <c r="Q36" s="251">
        <f t="shared" si="51"/>
        <v>0.95238095238095277</v>
      </c>
      <c r="R36" s="571"/>
      <c r="S36" s="24">
        <v>0.42013888888888884</v>
      </c>
      <c r="T36" s="24">
        <v>0.52222222222222214</v>
      </c>
      <c r="U36" s="250">
        <f t="shared" si="57"/>
        <v>7.9999999999999716</v>
      </c>
      <c r="V36" s="256">
        <f t="shared" si="52"/>
        <v>146.99999999999994</v>
      </c>
      <c r="W36" s="13">
        <f>T36</f>
        <v>0.52222222222222214</v>
      </c>
      <c r="X36" s="13">
        <f>S37</f>
        <v>0.56111111111111101</v>
      </c>
      <c r="Y36" s="617"/>
      <c r="Z36" s="617"/>
      <c r="AA36" s="11">
        <f t="shared" si="2"/>
        <v>-114.28571428571331</v>
      </c>
      <c r="AB36" s="251">
        <f t="shared" si="56"/>
        <v>0.95238095238095277</v>
      </c>
      <c r="AC36" s="571"/>
    </row>
    <row r="37" spans="1:29">
      <c r="A37" s="638" t="s">
        <v>435</v>
      </c>
      <c r="B37" s="26" t="s">
        <v>46</v>
      </c>
      <c r="C37" s="616" t="s">
        <v>65</v>
      </c>
      <c r="D37" s="616"/>
      <c r="E37" s="26">
        <v>24.43</v>
      </c>
      <c r="F37" s="257">
        <v>4327</v>
      </c>
      <c r="G37" s="250">
        <f t="shared" si="48"/>
        <v>105708.61</v>
      </c>
      <c r="H37" s="21" t="s">
        <v>35</v>
      </c>
      <c r="I37" s="255">
        <v>15</v>
      </c>
      <c r="J37" s="23">
        <v>2400</v>
      </c>
      <c r="K37" s="9">
        <f t="shared" si="53"/>
        <v>160</v>
      </c>
      <c r="L37" s="255">
        <v>15</v>
      </c>
      <c r="M37" s="10">
        <f t="shared" si="54"/>
        <v>2297.522123893807</v>
      </c>
      <c r="N37" s="9">
        <f t="shared" si="55"/>
        <v>153.16814159292048</v>
      </c>
      <c r="O37" s="11">
        <f t="shared" si="49"/>
        <v>0</v>
      </c>
      <c r="P37" s="12">
        <f t="shared" si="50"/>
        <v>-6.8318584070795225</v>
      </c>
      <c r="Q37" s="251">
        <f t="shared" si="51"/>
        <v>0.95730088495575294</v>
      </c>
      <c r="R37" s="571"/>
      <c r="S37" s="24">
        <v>0.56111111111111101</v>
      </c>
      <c r="T37" s="24">
        <v>0.63958333333333317</v>
      </c>
      <c r="U37" s="250">
        <f t="shared" si="57"/>
        <v>55.999999999999957</v>
      </c>
      <c r="V37" s="256">
        <f t="shared" si="52"/>
        <v>112.99999999999991</v>
      </c>
      <c r="W37" s="13"/>
      <c r="X37" s="13"/>
      <c r="Y37" s="617"/>
      <c r="Z37" s="617"/>
      <c r="AA37" s="11">
        <f t="shared" si="2"/>
        <v>-102.47787610619298</v>
      </c>
      <c r="AB37" s="251">
        <f t="shared" si="56"/>
        <v>0.95730088495575294</v>
      </c>
      <c r="AC37" s="571"/>
    </row>
    <row r="38" spans="1:29">
      <c r="A38" s="638" t="s">
        <v>435</v>
      </c>
      <c r="B38" s="26" t="s">
        <v>46</v>
      </c>
      <c r="C38" s="616" t="s">
        <v>63</v>
      </c>
      <c r="D38" s="616"/>
      <c r="E38" s="26">
        <v>26.2</v>
      </c>
      <c r="F38" s="257">
        <v>3406</v>
      </c>
      <c r="G38" s="250">
        <f t="shared" si="48"/>
        <v>89237.2</v>
      </c>
      <c r="H38" s="21" t="s">
        <v>35</v>
      </c>
      <c r="I38" s="255">
        <v>18</v>
      </c>
      <c r="J38" s="23">
        <v>2400</v>
      </c>
      <c r="K38" s="9">
        <f t="shared" si="53"/>
        <v>133.33333333333334</v>
      </c>
      <c r="L38" s="255">
        <v>18</v>
      </c>
      <c r="M38" s="10">
        <f t="shared" si="54"/>
        <v>2296.1797752808989</v>
      </c>
      <c r="N38" s="9">
        <f t="shared" si="55"/>
        <v>127.56554307116104</v>
      </c>
      <c r="O38" s="11">
        <f t="shared" si="49"/>
        <v>0</v>
      </c>
      <c r="P38" s="12">
        <f t="shared" si="50"/>
        <v>-5.7677902621722978</v>
      </c>
      <c r="Q38" s="251">
        <f t="shared" si="51"/>
        <v>0.95674157303370777</v>
      </c>
      <c r="R38" s="571"/>
      <c r="S38" s="24">
        <v>0.64374999999999982</v>
      </c>
      <c r="T38" s="24">
        <v>0.70555555555555538</v>
      </c>
      <c r="U38" s="250">
        <f t="shared" si="57"/>
        <v>5.9999999999999787</v>
      </c>
      <c r="V38" s="256">
        <f t="shared" si="52"/>
        <v>89</v>
      </c>
      <c r="W38" s="13"/>
      <c r="X38" s="13"/>
      <c r="Y38" s="621"/>
      <c r="Z38" s="622"/>
      <c r="AA38" s="11">
        <f t="shared" si="2"/>
        <v>-103.82022471910113</v>
      </c>
      <c r="AB38" s="251">
        <f t="shared" si="56"/>
        <v>0.95674157303370788</v>
      </c>
      <c r="AC38" s="571"/>
    </row>
    <row r="39" spans="1:29">
      <c r="A39" s="638" t="s">
        <v>435</v>
      </c>
      <c r="B39" s="26" t="s">
        <v>46</v>
      </c>
      <c r="C39" s="616" t="s">
        <v>64</v>
      </c>
      <c r="D39" s="616"/>
      <c r="E39" s="26">
        <v>26.39</v>
      </c>
      <c r="F39" s="257">
        <v>3160</v>
      </c>
      <c r="G39" s="250">
        <f t="shared" si="48"/>
        <v>83392.400000000009</v>
      </c>
      <c r="H39" s="21" t="s">
        <v>35</v>
      </c>
      <c r="I39" s="255">
        <v>19</v>
      </c>
      <c r="J39" s="23">
        <v>2400</v>
      </c>
      <c r="K39" s="9">
        <f t="shared" si="53"/>
        <v>126.31578947368421</v>
      </c>
      <c r="L39" s="255">
        <v>19</v>
      </c>
      <c r="M39" s="10">
        <f t="shared" si="54"/>
        <v>2284.3373493975896</v>
      </c>
      <c r="N39" s="9">
        <f t="shared" si="55"/>
        <v>120.22828154724156</v>
      </c>
      <c r="O39" s="11">
        <f t="shared" si="49"/>
        <v>0</v>
      </c>
      <c r="P39" s="12">
        <f t="shared" si="50"/>
        <v>-6.0875079264426404</v>
      </c>
      <c r="Q39" s="251">
        <f t="shared" si="51"/>
        <v>0.95180722891566238</v>
      </c>
      <c r="R39" s="571"/>
      <c r="S39" s="24">
        <v>0.71041666666666647</v>
      </c>
      <c r="T39" s="24">
        <v>0.76805555555555538</v>
      </c>
      <c r="U39" s="250">
        <f t="shared" si="57"/>
        <v>6.9999999999999751</v>
      </c>
      <c r="V39" s="256">
        <f t="shared" si="52"/>
        <v>83.000000000000028</v>
      </c>
      <c r="W39" s="13"/>
      <c r="X39" s="13"/>
      <c r="Y39" s="621"/>
      <c r="Z39" s="622"/>
      <c r="AA39" s="11">
        <f t="shared" si="2"/>
        <v>-115.66265060241039</v>
      </c>
      <c r="AB39" s="251">
        <f t="shared" si="56"/>
        <v>0.95180722891566238</v>
      </c>
      <c r="AC39" s="571"/>
    </row>
    <row r="40" spans="1:29">
      <c r="A40" s="638" t="s">
        <v>435</v>
      </c>
      <c r="B40" s="27" t="s">
        <v>22</v>
      </c>
      <c r="C40" s="629"/>
      <c r="D40" s="629"/>
      <c r="E40" s="252"/>
      <c r="F40" s="27"/>
      <c r="G40" s="9"/>
      <c r="H40" s="257"/>
      <c r="I40" s="16">
        <v>17.25</v>
      </c>
      <c r="J40" s="23">
        <v>2400</v>
      </c>
      <c r="K40" s="9">
        <f t="shared" si="53"/>
        <v>139.13043478260869</v>
      </c>
      <c r="L40" s="16">
        <v>17.25</v>
      </c>
      <c r="M40" s="10">
        <f>AVERAGE(M32:M39)</f>
        <v>2293.5704757890412</v>
      </c>
      <c r="N40" s="9">
        <f>M40/L40</f>
        <v>132.96060729211834</v>
      </c>
      <c r="O40" s="11">
        <f>L40-I40</f>
        <v>0</v>
      </c>
      <c r="P40" s="12">
        <f t="shared" si="50"/>
        <v>-6.1698274904903485</v>
      </c>
      <c r="Q40" s="251">
        <f t="shared" si="51"/>
        <v>0.95565436491210065</v>
      </c>
      <c r="R40" s="571"/>
      <c r="S40" s="24"/>
      <c r="T40" s="24"/>
      <c r="U40" s="9"/>
      <c r="V40" s="256"/>
      <c r="W40" s="9"/>
      <c r="X40" s="9"/>
      <c r="Y40" s="617"/>
      <c r="Z40" s="617"/>
      <c r="AA40" s="11">
        <f t="shared" si="2"/>
        <v>-106.42952421095879</v>
      </c>
      <c r="AB40" s="251">
        <f t="shared" si="56"/>
        <v>0.95565436491210054</v>
      </c>
      <c r="AC40" s="571"/>
    </row>
    <row r="41" spans="1:29" ht="15.75" customHeight="1">
      <c r="A41" s="630" t="s">
        <v>573</v>
      </c>
      <c r="B41" s="26" t="s">
        <v>67</v>
      </c>
      <c r="C41" s="627" t="s">
        <v>68</v>
      </c>
      <c r="D41" s="628"/>
      <c r="E41" s="26">
        <v>21.13</v>
      </c>
      <c r="F41" s="257">
        <v>5648</v>
      </c>
      <c r="G41" s="250">
        <f t="shared" ref="G41:G46" si="58">E41*F41</f>
        <v>119342.23999999999</v>
      </c>
      <c r="H41" s="21" t="s">
        <v>35</v>
      </c>
      <c r="I41" s="255">
        <v>10</v>
      </c>
      <c r="J41" s="23">
        <v>3000</v>
      </c>
      <c r="K41" s="9">
        <f t="shared" si="53"/>
        <v>300</v>
      </c>
      <c r="L41" s="255">
        <v>10</v>
      </c>
      <c r="M41" s="10">
        <f t="shared" ref="M41:M42" si="59">F41/V41*60</f>
        <v>2871.8644067796608</v>
      </c>
      <c r="N41" s="10">
        <f t="shared" ref="N41:N47" si="60">M41/L41</f>
        <v>287.18644067796606</v>
      </c>
      <c r="O41" s="11">
        <f t="shared" ref="O41:O47" si="61">L41-I41</f>
        <v>0</v>
      </c>
      <c r="P41" s="12">
        <f t="shared" si="50"/>
        <v>-12.813559322033939</v>
      </c>
      <c r="Q41" s="251">
        <f t="shared" si="51"/>
        <v>0.95728813559322024</v>
      </c>
      <c r="R41" s="582">
        <f>Q47</f>
        <v>0.95697464361420059</v>
      </c>
      <c r="S41" s="24">
        <v>8.3333333333333329E-2</v>
      </c>
      <c r="T41" s="24">
        <v>0.16527777777777777</v>
      </c>
      <c r="U41" s="15"/>
      <c r="V41" s="256">
        <f t="shared" ref="V41:V46" si="62">(T41-S41)*24*60</f>
        <v>118</v>
      </c>
      <c r="W41" s="13">
        <f>T41</f>
        <v>0.16527777777777777</v>
      </c>
      <c r="X41" s="13">
        <f>S42</f>
        <v>0.18472222222222223</v>
      </c>
      <c r="Y41" s="621"/>
      <c r="Z41" s="622"/>
      <c r="AA41" s="11">
        <f t="shared" si="2"/>
        <v>-128.13559322033916</v>
      </c>
      <c r="AB41" s="251">
        <f t="shared" si="56"/>
        <v>0.95728813559322024</v>
      </c>
      <c r="AC41" s="582">
        <f>AB47</f>
        <v>0.95697464361420059</v>
      </c>
    </row>
    <row r="42" spans="1:29" ht="15.75" customHeight="1">
      <c r="A42" s="631" t="s">
        <v>573</v>
      </c>
      <c r="B42" s="26" t="s">
        <v>67</v>
      </c>
      <c r="C42" s="627" t="s">
        <v>69</v>
      </c>
      <c r="D42" s="628"/>
      <c r="E42" s="26">
        <v>27.17</v>
      </c>
      <c r="F42" s="257">
        <v>7417</v>
      </c>
      <c r="G42" s="250">
        <f t="shared" si="58"/>
        <v>201519.89</v>
      </c>
      <c r="H42" s="21" t="s">
        <v>35</v>
      </c>
      <c r="I42" s="255">
        <v>10</v>
      </c>
      <c r="J42" s="23">
        <v>3000</v>
      </c>
      <c r="K42" s="9">
        <f t="shared" si="53"/>
        <v>300</v>
      </c>
      <c r="L42" s="255">
        <v>10</v>
      </c>
      <c r="M42" s="10">
        <f t="shared" si="59"/>
        <v>2871.0967741935483</v>
      </c>
      <c r="N42" s="10">
        <f t="shared" si="60"/>
        <v>287.10967741935485</v>
      </c>
      <c r="O42" s="11">
        <f t="shared" si="61"/>
        <v>0</v>
      </c>
      <c r="P42" s="12">
        <f t="shared" si="50"/>
        <v>-12.890322580645147</v>
      </c>
      <c r="Q42" s="251">
        <f t="shared" si="51"/>
        <v>0.95703225806451619</v>
      </c>
      <c r="R42" s="583"/>
      <c r="S42" s="24">
        <v>0.18472222222222223</v>
      </c>
      <c r="T42" s="24">
        <v>0.29236111111111113</v>
      </c>
      <c r="U42" s="250">
        <f>(S42-T41)*24*60</f>
        <v>28.000000000000021</v>
      </c>
      <c r="V42" s="256">
        <f t="shared" si="62"/>
        <v>155</v>
      </c>
      <c r="W42" s="13"/>
      <c r="X42" s="13"/>
      <c r="Y42" s="621"/>
      <c r="Z42" s="622"/>
      <c r="AA42" s="11">
        <f t="shared" si="2"/>
        <v>-128.9032258064517</v>
      </c>
      <c r="AB42" s="251">
        <f t="shared" si="56"/>
        <v>0.95703225806451608</v>
      </c>
      <c r="AC42" s="583"/>
    </row>
    <row r="43" spans="1:29" ht="15.75" customHeight="1">
      <c r="A43" s="631" t="s">
        <v>573</v>
      </c>
      <c r="B43" s="26" t="s">
        <v>67</v>
      </c>
      <c r="C43" s="627" t="s">
        <v>70</v>
      </c>
      <c r="D43" s="628"/>
      <c r="E43" s="26">
        <v>35.119999999999997</v>
      </c>
      <c r="F43" s="257">
        <v>5297</v>
      </c>
      <c r="G43" s="250">
        <f t="shared" si="58"/>
        <v>186030.63999999998</v>
      </c>
      <c r="H43" s="21" t="s">
        <v>35</v>
      </c>
      <c r="I43" s="255">
        <v>10</v>
      </c>
      <c r="J43" s="23">
        <v>3000</v>
      </c>
      <c r="K43" s="9">
        <f t="shared" si="53"/>
        <v>300</v>
      </c>
      <c r="L43" s="255">
        <v>10</v>
      </c>
      <c r="M43" s="10">
        <f>F43/V43*60</f>
        <v>2863.2432432432433</v>
      </c>
      <c r="N43" s="10">
        <f t="shared" si="60"/>
        <v>286.32432432432432</v>
      </c>
      <c r="O43" s="11">
        <f t="shared" si="61"/>
        <v>0</v>
      </c>
      <c r="P43" s="12">
        <f t="shared" si="50"/>
        <v>-13.675675675675677</v>
      </c>
      <c r="Q43" s="251">
        <f t="shared" si="51"/>
        <v>0.95441441441441444</v>
      </c>
      <c r="R43" s="583"/>
      <c r="S43" s="24">
        <v>0.29583333333333334</v>
      </c>
      <c r="T43" s="24">
        <v>0.37291666666666667</v>
      </c>
      <c r="U43" s="250">
        <f t="shared" ref="U43:U46" si="63">(S43-T42)*24*60</f>
        <v>4.9999999999999822</v>
      </c>
      <c r="V43" s="256">
        <f t="shared" si="62"/>
        <v>111</v>
      </c>
      <c r="W43" s="13"/>
      <c r="X43" s="13"/>
      <c r="Y43" s="621"/>
      <c r="Z43" s="622"/>
      <c r="AA43" s="11">
        <f t="shared" si="2"/>
        <v>-136.75675675675666</v>
      </c>
      <c r="AB43" s="251">
        <f t="shared" si="56"/>
        <v>0.95441441441441444</v>
      </c>
      <c r="AC43" s="583"/>
    </row>
    <row r="44" spans="1:29" ht="15.75" customHeight="1">
      <c r="A44" s="631" t="s">
        <v>573</v>
      </c>
      <c r="B44" s="26" t="s">
        <v>67</v>
      </c>
      <c r="C44" s="627" t="s">
        <v>71</v>
      </c>
      <c r="D44" s="628"/>
      <c r="E44" s="26">
        <v>35.869999999999997</v>
      </c>
      <c r="F44" s="257">
        <v>3185</v>
      </c>
      <c r="G44" s="250">
        <f t="shared" si="58"/>
        <v>114245.95</v>
      </c>
      <c r="H44" s="21" t="s">
        <v>35</v>
      </c>
      <c r="I44" s="255">
        <v>10</v>
      </c>
      <c r="J44" s="23">
        <v>3000</v>
      </c>
      <c r="K44" s="9">
        <f t="shared" si="53"/>
        <v>300</v>
      </c>
      <c r="L44" s="255">
        <v>10</v>
      </c>
      <c r="M44" s="10">
        <f t="shared" ref="M44:M46" si="64">F44/V44*60</f>
        <v>2895.4545454545455</v>
      </c>
      <c r="N44" s="10">
        <f t="shared" si="60"/>
        <v>289.54545454545456</v>
      </c>
      <c r="O44" s="11">
        <f t="shared" si="61"/>
        <v>0</v>
      </c>
      <c r="P44" s="12">
        <f t="shared" si="50"/>
        <v>-10.454545454545439</v>
      </c>
      <c r="Q44" s="251">
        <f t="shared" si="51"/>
        <v>0.9651515151515152</v>
      </c>
      <c r="R44" s="583"/>
      <c r="S44" s="24">
        <v>0.37847222222222221</v>
      </c>
      <c r="T44" s="24">
        <v>0.42430555555555555</v>
      </c>
      <c r="U44" s="250">
        <f t="shared" si="63"/>
        <v>7.9999999999999716</v>
      </c>
      <c r="V44" s="256">
        <f t="shared" si="62"/>
        <v>66</v>
      </c>
      <c r="W44" s="13"/>
      <c r="X44" s="13"/>
      <c r="Y44" s="621"/>
      <c r="Z44" s="622"/>
      <c r="AA44" s="11">
        <f t="shared" si="2"/>
        <v>-104.5454545454545</v>
      </c>
      <c r="AB44" s="251">
        <f t="shared" si="56"/>
        <v>0.9651515151515152</v>
      </c>
      <c r="AC44" s="583"/>
    </row>
    <row r="45" spans="1:29" ht="15.75" customHeight="1">
      <c r="A45" s="631" t="s">
        <v>573</v>
      </c>
      <c r="B45" s="26" t="s">
        <v>67</v>
      </c>
      <c r="C45" s="627" t="s">
        <v>72</v>
      </c>
      <c r="D45" s="628"/>
      <c r="E45" s="26">
        <v>36.14</v>
      </c>
      <c r="F45" s="257">
        <v>1915</v>
      </c>
      <c r="G45" s="250">
        <f t="shared" si="58"/>
        <v>69208.100000000006</v>
      </c>
      <c r="H45" s="21" t="s">
        <v>35</v>
      </c>
      <c r="I45" s="255">
        <v>8</v>
      </c>
      <c r="J45" s="23">
        <v>3000</v>
      </c>
      <c r="K45" s="9">
        <f t="shared" si="53"/>
        <v>375</v>
      </c>
      <c r="L45" s="255">
        <v>8</v>
      </c>
      <c r="M45" s="10">
        <f t="shared" si="64"/>
        <v>2872.4999999999991</v>
      </c>
      <c r="N45" s="10">
        <f t="shared" si="60"/>
        <v>359.06249999999989</v>
      </c>
      <c r="O45" s="11">
        <f t="shared" si="61"/>
        <v>0</v>
      </c>
      <c r="P45" s="12">
        <f t="shared" si="50"/>
        <v>-15.937500000000114</v>
      </c>
      <c r="Q45" s="251">
        <f>N45/K45</f>
        <v>0.95749999999999968</v>
      </c>
      <c r="R45" s="583"/>
      <c r="S45" s="24">
        <v>0.42777777777777776</v>
      </c>
      <c r="T45" s="24">
        <v>0.45555555555555555</v>
      </c>
      <c r="U45" s="250">
        <f t="shared" si="63"/>
        <v>4.9999999999999822</v>
      </c>
      <c r="V45" s="256">
        <f t="shared" si="62"/>
        <v>40.000000000000014</v>
      </c>
      <c r="W45" s="13"/>
      <c r="X45" s="13"/>
      <c r="Y45" s="621"/>
      <c r="Z45" s="622"/>
      <c r="AA45" s="11">
        <f t="shared" si="2"/>
        <v>-127.50000000000091</v>
      </c>
      <c r="AB45" s="251">
        <f t="shared" si="56"/>
        <v>0.95749999999999968</v>
      </c>
      <c r="AC45" s="583"/>
    </row>
    <row r="46" spans="1:29" ht="15.75" customHeight="1">
      <c r="A46" s="631" t="s">
        <v>573</v>
      </c>
      <c r="B46" s="26" t="s">
        <v>67</v>
      </c>
      <c r="C46" s="627" t="s">
        <v>664</v>
      </c>
      <c r="D46" s="628"/>
      <c r="E46" s="26">
        <v>34.36</v>
      </c>
      <c r="F46" s="257">
        <v>3089</v>
      </c>
      <c r="G46" s="250">
        <f t="shared" si="58"/>
        <v>106138.04</v>
      </c>
      <c r="H46" s="21" t="s">
        <v>35</v>
      </c>
      <c r="I46" s="255">
        <v>10</v>
      </c>
      <c r="J46" s="23">
        <v>3000</v>
      </c>
      <c r="K46" s="9">
        <f t="shared" si="53"/>
        <v>300</v>
      </c>
      <c r="L46" s="255">
        <v>10</v>
      </c>
      <c r="M46" s="10">
        <f t="shared" si="64"/>
        <v>2851.3846153846148</v>
      </c>
      <c r="N46" s="10">
        <f t="shared" si="60"/>
        <v>285.13846153846146</v>
      </c>
      <c r="O46" s="11">
        <f t="shared" si="61"/>
        <v>0</v>
      </c>
      <c r="P46" s="12">
        <f t="shared" si="50"/>
        <v>-14.861538461538544</v>
      </c>
      <c r="Q46" s="251">
        <f t="shared" ref="Q46:Q47" si="65">N46/K46</f>
        <v>0.95046153846153814</v>
      </c>
      <c r="R46" s="583"/>
      <c r="S46" s="24">
        <v>0.46041666666666664</v>
      </c>
      <c r="T46" s="24">
        <v>0.50555555555555554</v>
      </c>
      <c r="U46" s="250">
        <f t="shared" si="63"/>
        <v>6.9999999999999751</v>
      </c>
      <c r="V46" s="256">
        <f t="shared" si="62"/>
        <v>65.000000000000014</v>
      </c>
      <c r="W46" s="13"/>
      <c r="X46" s="13"/>
      <c r="Y46" s="621"/>
      <c r="Z46" s="622"/>
      <c r="AA46" s="11">
        <f t="shared" si="2"/>
        <v>-148.61538461538521</v>
      </c>
      <c r="AB46" s="251">
        <f t="shared" si="56"/>
        <v>0.95046153846153825</v>
      </c>
      <c r="AC46" s="583"/>
    </row>
    <row r="47" spans="1:29" ht="15.75" customHeight="1">
      <c r="A47" s="632" t="s">
        <v>573</v>
      </c>
      <c r="B47" s="26" t="s">
        <v>22</v>
      </c>
      <c r="C47" s="625"/>
      <c r="D47" s="626"/>
      <c r="E47" s="249"/>
      <c r="F47" s="257"/>
      <c r="G47" s="250"/>
      <c r="H47" s="257"/>
      <c r="I47" s="16">
        <v>9.6666666666666661</v>
      </c>
      <c r="J47" s="23">
        <v>3000</v>
      </c>
      <c r="K47" s="9">
        <f>J47/I47</f>
        <v>310.34482758620692</v>
      </c>
      <c r="L47" s="16">
        <v>9.6666666666666661</v>
      </c>
      <c r="M47" s="10">
        <f>AVERAGE(M41:M46)</f>
        <v>2870.9239308426017</v>
      </c>
      <c r="N47" s="9">
        <f t="shared" si="60"/>
        <v>296.99213077682089</v>
      </c>
      <c r="O47" s="11">
        <f t="shared" si="61"/>
        <v>0</v>
      </c>
      <c r="P47" s="12">
        <f t="shared" si="50"/>
        <v>-13.352696809386032</v>
      </c>
      <c r="Q47" s="251">
        <f t="shared" si="65"/>
        <v>0.95697464361420059</v>
      </c>
      <c r="R47" s="584"/>
      <c r="S47" s="24"/>
      <c r="T47" s="24"/>
      <c r="U47" s="250"/>
      <c r="V47" s="256"/>
      <c r="W47" s="13"/>
      <c r="X47" s="13"/>
      <c r="Y47" s="621"/>
      <c r="Z47" s="622"/>
      <c r="AA47" s="11">
        <f t="shared" si="2"/>
        <v>-129.07606915739825</v>
      </c>
      <c r="AB47" s="251">
        <f t="shared" si="56"/>
        <v>0.95697464361420059</v>
      </c>
      <c r="AC47" s="584"/>
    </row>
    <row r="48" spans="1:29" ht="15.75" customHeight="1">
      <c r="A48" s="633" t="s">
        <v>31</v>
      </c>
      <c r="B48" s="26" t="s">
        <v>40</v>
      </c>
      <c r="C48" s="616" t="s">
        <v>73</v>
      </c>
      <c r="D48" s="616"/>
      <c r="E48" s="26">
        <v>46</v>
      </c>
      <c r="F48" s="28">
        <v>3215</v>
      </c>
      <c r="G48" s="250">
        <f t="shared" ref="G48:G53" si="66">E48*F48</f>
        <v>147890</v>
      </c>
      <c r="H48" s="21" t="s">
        <v>35</v>
      </c>
      <c r="I48" s="255">
        <v>17</v>
      </c>
      <c r="J48" s="23">
        <v>2000</v>
      </c>
      <c r="K48" s="9">
        <f t="shared" ref="K48:K53" si="67">J48/I48</f>
        <v>117.64705882352941</v>
      </c>
      <c r="L48" s="255">
        <v>17</v>
      </c>
      <c r="M48" s="10">
        <f t="shared" ref="M48:M53" si="68">F48/V48*60</f>
        <v>1909.9009900990091</v>
      </c>
      <c r="N48" s="10">
        <f>M48/L48</f>
        <v>112.34711706464759</v>
      </c>
      <c r="O48" s="11">
        <f>L48-I48</f>
        <v>0</v>
      </c>
      <c r="P48" s="12">
        <f>N48-K48</f>
        <v>-5.2999417588818147</v>
      </c>
      <c r="Q48" s="251">
        <f>N48/K48</f>
        <v>0.95495049504950458</v>
      </c>
      <c r="R48" s="571">
        <f>Q54</f>
        <v>0.96174783523424301</v>
      </c>
      <c r="S48" s="24">
        <v>0.29166666666666669</v>
      </c>
      <c r="T48" s="24">
        <v>0.3618055555555556</v>
      </c>
      <c r="U48" s="15"/>
      <c r="V48" s="256">
        <f t="shared" ref="V48:V53" si="69">(T48-S48)*24*60</f>
        <v>101.00000000000004</v>
      </c>
      <c r="W48" s="15"/>
      <c r="X48" s="15"/>
      <c r="Y48" s="617"/>
      <c r="Z48" s="617"/>
      <c r="AA48" s="11">
        <f t="shared" si="2"/>
        <v>-90.09900990099095</v>
      </c>
      <c r="AB48" s="251">
        <f t="shared" si="56"/>
        <v>0.95495049504950458</v>
      </c>
      <c r="AC48" s="571">
        <f>AB54</f>
        <v>0.9617478352342429</v>
      </c>
    </row>
    <row r="49" spans="1:29" ht="15.75" customHeight="1">
      <c r="A49" s="633" t="s">
        <v>31</v>
      </c>
      <c r="B49" s="26" t="s">
        <v>36</v>
      </c>
      <c r="C49" s="616" t="s">
        <v>75</v>
      </c>
      <c r="D49" s="616"/>
      <c r="E49" s="26">
        <v>54.09</v>
      </c>
      <c r="F49" s="28">
        <v>1073</v>
      </c>
      <c r="G49" s="250">
        <f t="shared" si="66"/>
        <v>58038.570000000007</v>
      </c>
      <c r="H49" s="21" t="s">
        <v>35</v>
      </c>
      <c r="I49" s="255">
        <v>16</v>
      </c>
      <c r="J49" s="23">
        <v>2000</v>
      </c>
      <c r="K49" s="9">
        <f t="shared" si="67"/>
        <v>125</v>
      </c>
      <c r="L49" s="255">
        <v>16</v>
      </c>
      <c r="M49" s="10">
        <f t="shared" si="68"/>
        <v>1950.9090909090883</v>
      </c>
      <c r="N49" s="10">
        <f t="shared" ref="N49:N53" si="70">M49/L49</f>
        <v>121.93181818181802</v>
      </c>
      <c r="O49" s="11">
        <f t="shared" ref="O49:O53" si="71">L49-I49</f>
        <v>0</v>
      </c>
      <c r="P49" s="12">
        <f t="shared" ref="P49:P53" si="72">N49-K49</f>
        <v>-3.0681818181819835</v>
      </c>
      <c r="Q49" s="251">
        <f t="shared" ref="Q49:Q53" si="73">N49/K49</f>
        <v>0.97545454545454413</v>
      </c>
      <c r="R49" s="571"/>
      <c r="S49" s="24">
        <v>0.36597222222222225</v>
      </c>
      <c r="T49" s="24">
        <v>0.38888888888888895</v>
      </c>
      <c r="U49" s="250">
        <f>IF(S49=TIME(17,0,0),"",(S49-T48)*24*60)</f>
        <v>5.9999999999999787</v>
      </c>
      <c r="V49" s="256">
        <f t="shared" si="69"/>
        <v>33.000000000000043</v>
      </c>
      <c r="W49" s="13"/>
      <c r="X49" s="13"/>
      <c r="Y49" s="617"/>
      <c r="Z49" s="617"/>
      <c r="AA49" s="11">
        <f t="shared" si="2"/>
        <v>-49.090909090911737</v>
      </c>
      <c r="AB49" s="251">
        <f t="shared" si="56"/>
        <v>0.97545454545454413</v>
      </c>
      <c r="AC49" s="571"/>
    </row>
    <row r="50" spans="1:29" ht="15.75" customHeight="1">
      <c r="A50" s="633" t="s">
        <v>31</v>
      </c>
      <c r="B50" s="26" t="s">
        <v>40</v>
      </c>
      <c r="C50" s="627" t="s">
        <v>74</v>
      </c>
      <c r="D50" s="628"/>
      <c r="E50" s="26">
        <v>46</v>
      </c>
      <c r="F50" s="28">
        <v>3315</v>
      </c>
      <c r="G50" s="250">
        <f t="shared" si="66"/>
        <v>152490</v>
      </c>
      <c r="H50" s="21" t="s">
        <v>35</v>
      </c>
      <c r="I50" s="255">
        <v>17</v>
      </c>
      <c r="J50" s="23">
        <v>2000</v>
      </c>
      <c r="K50" s="9">
        <f t="shared" si="67"/>
        <v>117.64705882352941</v>
      </c>
      <c r="L50" s="255">
        <v>17</v>
      </c>
      <c r="M50" s="10">
        <f t="shared" si="68"/>
        <v>1912.4999999999995</v>
      </c>
      <c r="N50" s="10">
        <f t="shared" si="70"/>
        <v>112.49999999999997</v>
      </c>
      <c r="O50" s="11">
        <f t="shared" si="71"/>
        <v>0</v>
      </c>
      <c r="P50" s="12">
        <f t="shared" si="72"/>
        <v>-5.1470588235294343</v>
      </c>
      <c r="Q50" s="251">
        <f t="shared" si="73"/>
        <v>0.95624999999999982</v>
      </c>
      <c r="R50" s="571"/>
      <c r="S50" s="24">
        <v>0.39444444444444449</v>
      </c>
      <c r="T50" s="24">
        <v>0.46666666666666673</v>
      </c>
      <c r="U50" s="250">
        <f t="shared" ref="U50:U53" si="74">IF(S50=TIME(17,0,0),"",(S50-T49)*24*60)</f>
        <v>7.9999999999999716</v>
      </c>
      <c r="V50" s="256">
        <f t="shared" si="69"/>
        <v>104.00000000000003</v>
      </c>
      <c r="W50" s="13"/>
      <c r="X50" s="13"/>
      <c r="Y50" s="247"/>
      <c r="Z50" s="248"/>
      <c r="AA50" s="11">
        <f t="shared" si="2"/>
        <v>-87.500000000000455</v>
      </c>
      <c r="AB50" s="251">
        <f t="shared" si="56"/>
        <v>0.95624999999999982</v>
      </c>
      <c r="AC50" s="571"/>
    </row>
    <row r="51" spans="1:29" ht="15.75" customHeight="1">
      <c r="A51" s="633" t="s">
        <v>31</v>
      </c>
      <c r="B51" s="26" t="s">
        <v>36</v>
      </c>
      <c r="C51" s="253" t="s">
        <v>76</v>
      </c>
      <c r="D51" s="254"/>
      <c r="E51" s="26">
        <v>55.56</v>
      </c>
      <c r="F51" s="28">
        <v>2533</v>
      </c>
      <c r="G51" s="250">
        <f t="shared" si="66"/>
        <v>140733.48000000001</v>
      </c>
      <c r="H51" s="21" t="s">
        <v>35</v>
      </c>
      <c r="I51" s="255">
        <v>17</v>
      </c>
      <c r="J51" s="23">
        <v>2000</v>
      </c>
      <c r="K51" s="9">
        <f t="shared" si="67"/>
        <v>117.64705882352941</v>
      </c>
      <c r="L51" s="255">
        <v>17</v>
      </c>
      <c r="M51" s="10">
        <f t="shared" si="68"/>
        <v>1923.7974683544294</v>
      </c>
      <c r="N51" s="10">
        <f t="shared" si="70"/>
        <v>113.16455696202526</v>
      </c>
      <c r="O51" s="11">
        <f t="shared" si="71"/>
        <v>0</v>
      </c>
      <c r="P51" s="12">
        <f t="shared" si="72"/>
        <v>-4.4825018615041472</v>
      </c>
      <c r="Q51" s="251">
        <f t="shared" si="73"/>
        <v>0.96189873417721472</v>
      </c>
      <c r="R51" s="571"/>
      <c r="S51" s="24">
        <v>0.70833333333333337</v>
      </c>
      <c r="T51" s="24">
        <v>0.76319444444444451</v>
      </c>
      <c r="U51" s="250" t="str">
        <f t="shared" si="74"/>
        <v/>
      </c>
      <c r="V51" s="256">
        <f t="shared" si="69"/>
        <v>79.000000000000043</v>
      </c>
      <c r="W51" s="13"/>
      <c r="X51" s="13"/>
      <c r="Y51" s="247"/>
      <c r="Z51" s="248"/>
      <c r="AA51" s="11">
        <f t="shared" si="2"/>
        <v>-76.202531645570616</v>
      </c>
      <c r="AB51" s="251">
        <f t="shared" si="56"/>
        <v>0.96189873417721472</v>
      </c>
      <c r="AC51" s="571"/>
    </row>
    <row r="52" spans="1:29" ht="15.75" customHeight="1">
      <c r="A52" s="633" t="s">
        <v>31</v>
      </c>
      <c r="B52" s="26" t="s">
        <v>36</v>
      </c>
      <c r="C52" s="253" t="s">
        <v>77</v>
      </c>
      <c r="D52" s="254"/>
      <c r="E52" s="26">
        <v>55.32</v>
      </c>
      <c r="F52" s="28">
        <v>1989</v>
      </c>
      <c r="G52" s="250">
        <f t="shared" si="66"/>
        <v>110031.48</v>
      </c>
      <c r="H52" s="21" t="s">
        <v>35</v>
      </c>
      <c r="I52" s="255">
        <v>15</v>
      </c>
      <c r="J52" s="23">
        <v>2000</v>
      </c>
      <c r="K52" s="9">
        <f t="shared" si="67"/>
        <v>133.33333333333334</v>
      </c>
      <c r="L52" s="255">
        <v>15</v>
      </c>
      <c r="M52" s="10">
        <f t="shared" si="68"/>
        <v>1924.8387096774209</v>
      </c>
      <c r="N52" s="10">
        <f t="shared" si="70"/>
        <v>128.32258064516139</v>
      </c>
      <c r="O52" s="11">
        <f t="shared" si="71"/>
        <v>0</v>
      </c>
      <c r="P52" s="12">
        <f t="shared" si="72"/>
        <v>-5.010752688171948</v>
      </c>
      <c r="Q52" s="251">
        <f t="shared" si="73"/>
        <v>0.96241935483871044</v>
      </c>
      <c r="R52" s="571"/>
      <c r="S52" s="24">
        <v>0.76875000000000004</v>
      </c>
      <c r="T52" s="24">
        <v>0.81180555555555556</v>
      </c>
      <c r="U52" s="250">
        <f t="shared" si="74"/>
        <v>7.9999999999999716</v>
      </c>
      <c r="V52" s="256">
        <f t="shared" si="69"/>
        <v>61.999999999999943</v>
      </c>
      <c r="W52" s="13"/>
      <c r="X52" s="13"/>
      <c r="Y52" s="247"/>
      <c r="Z52" s="248"/>
      <c r="AA52" s="11">
        <f t="shared" si="2"/>
        <v>-75.161290322579134</v>
      </c>
      <c r="AB52" s="251">
        <f t="shared" si="56"/>
        <v>0.96241935483871044</v>
      </c>
      <c r="AC52" s="571"/>
    </row>
    <row r="53" spans="1:29" ht="15.75" customHeight="1">
      <c r="A53" s="633" t="s">
        <v>31</v>
      </c>
      <c r="B53" s="26" t="s">
        <v>36</v>
      </c>
      <c r="C53" s="627" t="s">
        <v>78</v>
      </c>
      <c r="D53" s="628"/>
      <c r="E53" s="26">
        <v>57.73</v>
      </c>
      <c r="F53" s="28">
        <v>1558</v>
      </c>
      <c r="G53" s="250">
        <f t="shared" si="66"/>
        <v>89943.34</v>
      </c>
      <c r="H53" s="21" t="s">
        <v>35</v>
      </c>
      <c r="I53" s="255">
        <v>16</v>
      </c>
      <c r="J53" s="23">
        <v>1500</v>
      </c>
      <c r="K53" s="9">
        <f t="shared" si="67"/>
        <v>93.75</v>
      </c>
      <c r="L53" s="255">
        <v>16</v>
      </c>
      <c r="M53" s="10">
        <f t="shared" si="68"/>
        <v>1438.1538461538476</v>
      </c>
      <c r="N53" s="10">
        <f t="shared" si="70"/>
        <v>89.884615384615472</v>
      </c>
      <c r="O53" s="11">
        <f t="shared" si="71"/>
        <v>0</v>
      </c>
      <c r="P53" s="12">
        <f t="shared" si="72"/>
        <v>-3.8653846153845279</v>
      </c>
      <c r="Q53" s="251">
        <f t="shared" si="73"/>
        <v>0.95876923076923171</v>
      </c>
      <c r="R53" s="571"/>
      <c r="S53" s="24">
        <v>0.81527777777777777</v>
      </c>
      <c r="T53" s="24">
        <v>0.86041666666666661</v>
      </c>
      <c r="U53" s="250">
        <f t="shared" si="74"/>
        <v>4.9999999999999822</v>
      </c>
      <c r="V53" s="256">
        <f t="shared" si="69"/>
        <v>64.999999999999929</v>
      </c>
      <c r="W53" s="13"/>
      <c r="X53" s="13"/>
      <c r="Y53" s="621"/>
      <c r="Z53" s="622"/>
      <c r="AA53" s="11">
        <f t="shared" si="2"/>
        <v>-61.846153846152447</v>
      </c>
      <c r="AB53" s="251">
        <f t="shared" si="56"/>
        <v>0.95876923076923171</v>
      </c>
      <c r="AC53" s="571"/>
    </row>
    <row r="54" spans="1:29">
      <c r="A54" s="634" t="s">
        <v>31</v>
      </c>
      <c r="B54" s="26" t="s">
        <v>22</v>
      </c>
      <c r="C54" s="629"/>
      <c r="D54" s="629"/>
      <c r="E54" s="252"/>
      <c r="F54" s="27"/>
      <c r="G54" s="9"/>
      <c r="H54" s="257"/>
      <c r="I54" s="16">
        <v>16.333333333333332</v>
      </c>
      <c r="J54" s="23">
        <v>1916.6666666666667</v>
      </c>
      <c r="K54" s="9">
        <f>J54/I54</f>
        <v>117.34693877551021</v>
      </c>
      <c r="L54" s="16">
        <v>16.333333333333332</v>
      </c>
      <c r="M54" s="10">
        <f>AVERAGE(M48:M53)</f>
        <v>1843.350017532299</v>
      </c>
      <c r="N54" s="9">
        <f>M54/L54</f>
        <v>112.8581643387122</v>
      </c>
      <c r="O54" s="11">
        <f>L54-I54</f>
        <v>0</v>
      </c>
      <c r="P54" s="12">
        <f>N54-K54</f>
        <v>-4.4887744367980105</v>
      </c>
      <c r="Q54" s="251">
        <f>N54/K54</f>
        <v>0.96174783523424301</v>
      </c>
      <c r="R54" s="571"/>
      <c r="S54" s="25"/>
      <c r="T54" s="24"/>
      <c r="U54" s="9"/>
      <c r="V54" s="256"/>
      <c r="W54" s="9"/>
      <c r="X54" s="9"/>
      <c r="Y54" s="617"/>
      <c r="Z54" s="617"/>
      <c r="AA54" s="11">
        <f t="shared" si="2"/>
        <v>-73.316649134367708</v>
      </c>
      <c r="AB54" s="251">
        <f t="shared" si="56"/>
        <v>0.9617478352342429</v>
      </c>
      <c r="AC54" s="571"/>
    </row>
    <row r="55" spans="1:29" ht="15.75" customHeight="1">
      <c r="A55" s="623" t="s">
        <v>32</v>
      </c>
      <c r="B55" s="257" t="s">
        <v>40</v>
      </c>
      <c r="C55" s="616" t="s">
        <v>82</v>
      </c>
      <c r="D55" s="616"/>
      <c r="E55" s="26">
        <v>26.97</v>
      </c>
      <c r="F55" s="28">
        <v>3508</v>
      </c>
      <c r="G55" s="250">
        <f t="shared" ref="G55:G58" si="75">E55*F55</f>
        <v>94610.76</v>
      </c>
      <c r="H55" s="21" t="s">
        <v>35</v>
      </c>
      <c r="I55" s="255">
        <v>8</v>
      </c>
      <c r="J55" s="23">
        <v>1500</v>
      </c>
      <c r="K55" s="9">
        <f t="shared" ref="K55:K58" si="76">J55/I55</f>
        <v>187.5</v>
      </c>
      <c r="L55" s="255">
        <v>8</v>
      </c>
      <c r="M55" s="10">
        <f t="shared" ref="M55:M58" si="77">F55/V55*60</f>
        <v>1431.8367346938776</v>
      </c>
      <c r="N55" s="9">
        <f>M55/L55</f>
        <v>178.9795918367347</v>
      </c>
      <c r="O55" s="11">
        <f t="shared" ref="O55:O58" si="78">L55-I55</f>
        <v>0</v>
      </c>
      <c r="P55" s="12">
        <f t="shared" ref="P55:P58" si="79">N55-K55</f>
        <v>-8.5204081632653015</v>
      </c>
      <c r="Q55" s="251">
        <f>N55/K55</f>
        <v>0.95455782312925175</v>
      </c>
      <c r="R55" s="571">
        <f>Q59</f>
        <v>0.96217863768884149</v>
      </c>
      <c r="S55" s="24">
        <v>0.20833333333333334</v>
      </c>
      <c r="T55" s="24">
        <v>0.31041666666666667</v>
      </c>
      <c r="U55" s="250"/>
      <c r="V55" s="256">
        <f t="shared" ref="V55:V58" si="80">(T55-S55)*24*60</f>
        <v>147</v>
      </c>
      <c r="W55" s="15"/>
      <c r="X55" s="15"/>
      <c r="Y55" s="617"/>
      <c r="Z55" s="617"/>
      <c r="AA55" s="11">
        <f t="shared" si="2"/>
        <v>-68.163265306122412</v>
      </c>
      <c r="AB55" s="251">
        <f t="shared" si="56"/>
        <v>0.95455782312925175</v>
      </c>
      <c r="AC55" s="571">
        <f>AB59</f>
        <v>0.96217863768884149</v>
      </c>
    </row>
    <row r="56" spans="1:29" ht="15.75" customHeight="1">
      <c r="A56" s="623" t="s">
        <v>32</v>
      </c>
      <c r="B56" s="257" t="s">
        <v>67</v>
      </c>
      <c r="C56" s="616" t="s">
        <v>79</v>
      </c>
      <c r="D56" s="616"/>
      <c r="E56" s="26">
        <v>26.78</v>
      </c>
      <c r="F56" s="28">
        <v>3039</v>
      </c>
      <c r="G56" s="250">
        <f t="shared" si="75"/>
        <v>81384.42</v>
      </c>
      <c r="H56" s="21" t="s">
        <v>35</v>
      </c>
      <c r="I56" s="255">
        <v>10</v>
      </c>
      <c r="J56" s="23">
        <v>3000</v>
      </c>
      <c r="K56" s="9">
        <f t="shared" si="76"/>
        <v>300</v>
      </c>
      <c r="L56" s="255">
        <v>10</v>
      </c>
      <c r="M56" s="10">
        <f t="shared" si="77"/>
        <v>2894.2857142857138</v>
      </c>
      <c r="N56" s="9">
        <f t="shared" ref="N56:N58" si="81">M56/L56</f>
        <v>289.42857142857139</v>
      </c>
      <c r="O56" s="11">
        <f t="shared" si="78"/>
        <v>0</v>
      </c>
      <c r="P56" s="12">
        <f t="shared" si="79"/>
        <v>-10.571428571428612</v>
      </c>
      <c r="Q56" s="251">
        <f t="shared" ref="Q56:Q58" si="82">N56/K56</f>
        <v>0.9647619047619046</v>
      </c>
      <c r="R56" s="571"/>
      <c r="S56" s="24">
        <v>0.31458333333333333</v>
      </c>
      <c r="T56" s="24">
        <v>0.35833333333333334</v>
      </c>
      <c r="U56" s="250">
        <f>(S56-T55)*24*60</f>
        <v>5.9999999999999787</v>
      </c>
      <c r="V56" s="256">
        <f t="shared" si="80"/>
        <v>63.000000000000014</v>
      </c>
      <c r="W56" s="250"/>
      <c r="X56" s="250"/>
      <c r="Y56" s="617"/>
      <c r="Z56" s="617"/>
      <c r="AA56" s="11">
        <f t="shared" si="2"/>
        <v>-105.71428571428623</v>
      </c>
      <c r="AB56" s="251">
        <f t="shared" si="56"/>
        <v>0.9647619047619046</v>
      </c>
      <c r="AC56" s="571"/>
    </row>
    <row r="57" spans="1:29" ht="15.75" customHeight="1">
      <c r="A57" s="623" t="s">
        <v>32</v>
      </c>
      <c r="B57" s="257" t="s">
        <v>67</v>
      </c>
      <c r="C57" s="616" t="s">
        <v>83</v>
      </c>
      <c r="D57" s="616"/>
      <c r="E57" s="26">
        <v>35.369999999999997</v>
      </c>
      <c r="F57" s="28">
        <v>1699</v>
      </c>
      <c r="G57" s="250">
        <f t="shared" si="75"/>
        <v>60093.63</v>
      </c>
      <c r="H57" s="21" t="s">
        <v>35</v>
      </c>
      <c r="I57" s="255">
        <v>10</v>
      </c>
      <c r="J57" s="23">
        <v>3000</v>
      </c>
      <c r="K57" s="9">
        <f t="shared" si="76"/>
        <v>300</v>
      </c>
      <c r="L57" s="255">
        <v>10</v>
      </c>
      <c r="M57" s="10">
        <f t="shared" si="77"/>
        <v>2912.5714285714257</v>
      </c>
      <c r="N57" s="9">
        <f t="shared" si="81"/>
        <v>291.25714285714258</v>
      </c>
      <c r="O57" s="11">
        <f t="shared" si="78"/>
        <v>0</v>
      </c>
      <c r="P57" s="12">
        <f t="shared" si="79"/>
        <v>-8.7428571428574173</v>
      </c>
      <c r="Q57" s="251">
        <f t="shared" si="82"/>
        <v>0.97085714285714197</v>
      </c>
      <c r="R57" s="571"/>
      <c r="S57" s="24">
        <v>0.36249999999999999</v>
      </c>
      <c r="T57" s="24">
        <v>0.38680555555555557</v>
      </c>
      <c r="U57" s="250">
        <f t="shared" ref="U57:U58" si="83">(S57-T56)*24*60</f>
        <v>5.9999999999999787</v>
      </c>
      <c r="V57" s="256">
        <f t="shared" si="80"/>
        <v>35.000000000000036</v>
      </c>
      <c r="W57" s="250"/>
      <c r="X57" s="250"/>
      <c r="Y57" s="617"/>
      <c r="Z57" s="617"/>
      <c r="AA57" s="11">
        <f t="shared" si="2"/>
        <v>-87.428571428574287</v>
      </c>
      <c r="AB57" s="251">
        <f t="shared" si="56"/>
        <v>0.97085714285714186</v>
      </c>
      <c r="AC57" s="571"/>
    </row>
    <row r="58" spans="1:29" ht="15.75" customHeight="1">
      <c r="A58" s="623" t="s">
        <v>32</v>
      </c>
      <c r="B58" s="257" t="s">
        <v>67</v>
      </c>
      <c r="C58" s="616" t="s">
        <v>666</v>
      </c>
      <c r="D58" s="616"/>
      <c r="E58" s="26">
        <v>37.880000000000003</v>
      </c>
      <c r="F58" s="28">
        <v>5251</v>
      </c>
      <c r="G58" s="250">
        <f t="shared" si="75"/>
        <v>198907.88</v>
      </c>
      <c r="H58" s="21" t="s">
        <v>35</v>
      </c>
      <c r="I58" s="255">
        <v>11</v>
      </c>
      <c r="J58" s="23">
        <v>3000</v>
      </c>
      <c r="K58" s="9">
        <f t="shared" si="76"/>
        <v>272.72727272727275</v>
      </c>
      <c r="L58" s="255">
        <v>11</v>
      </c>
      <c r="M58" s="10">
        <f t="shared" si="77"/>
        <v>2864.1818181818176</v>
      </c>
      <c r="N58" s="9">
        <f t="shared" si="81"/>
        <v>260.38016528925613</v>
      </c>
      <c r="O58" s="11">
        <f t="shared" si="78"/>
        <v>0</v>
      </c>
      <c r="P58" s="12">
        <f t="shared" si="79"/>
        <v>-12.347107438016621</v>
      </c>
      <c r="Q58" s="251">
        <f t="shared" si="82"/>
        <v>0.95472727272727242</v>
      </c>
      <c r="R58" s="571"/>
      <c r="S58" s="24">
        <v>0.39027777777777778</v>
      </c>
      <c r="T58" s="24">
        <v>0.46666666666666667</v>
      </c>
      <c r="U58" s="250">
        <f t="shared" si="83"/>
        <v>4.9999999999999822</v>
      </c>
      <c r="V58" s="256">
        <f t="shared" si="80"/>
        <v>110.00000000000001</v>
      </c>
      <c r="W58" s="250"/>
      <c r="X58" s="250"/>
      <c r="Y58" s="617"/>
      <c r="Z58" s="617"/>
      <c r="AA58" s="11">
        <f t="shared" si="2"/>
        <v>-135.81818181818244</v>
      </c>
      <c r="AB58" s="251">
        <f t="shared" si="56"/>
        <v>0.95472727272727254</v>
      </c>
      <c r="AC58" s="571"/>
    </row>
    <row r="59" spans="1:29">
      <c r="A59" s="624" t="s">
        <v>32</v>
      </c>
      <c r="B59" s="26" t="s">
        <v>22</v>
      </c>
      <c r="C59" s="629"/>
      <c r="D59" s="629"/>
      <c r="E59" s="252"/>
      <c r="F59" s="27"/>
      <c r="G59" s="9"/>
      <c r="H59" s="257"/>
      <c r="I59" s="16">
        <v>9.75</v>
      </c>
      <c r="J59" s="23">
        <v>2625</v>
      </c>
      <c r="K59" s="9">
        <f>J59/I59</f>
        <v>269.23076923076923</v>
      </c>
      <c r="L59" s="16">
        <v>9.75</v>
      </c>
      <c r="M59" s="10">
        <f>AVERAGE(M55:M58)</f>
        <v>2525.7189239332088</v>
      </c>
      <c r="N59" s="9">
        <f>M59/L59</f>
        <v>259.0480947623804</v>
      </c>
      <c r="O59" s="11">
        <f>L59-I59</f>
        <v>0</v>
      </c>
      <c r="P59" s="12">
        <f>N59-K59</f>
        <v>-10.182674468388825</v>
      </c>
      <c r="Q59" s="251">
        <f>N59/K59</f>
        <v>0.96217863768884149</v>
      </c>
      <c r="R59" s="571"/>
      <c r="S59" s="24"/>
      <c r="T59" s="24"/>
      <c r="U59" s="9"/>
      <c r="V59" s="256"/>
      <c r="W59" s="9"/>
      <c r="X59" s="9"/>
      <c r="Y59" s="617"/>
      <c r="Z59" s="617"/>
      <c r="AA59" s="11">
        <f t="shared" si="2"/>
        <v>-99.281076066791229</v>
      </c>
      <c r="AB59" s="251">
        <f t="shared" si="56"/>
        <v>0.96217863768884149</v>
      </c>
      <c r="AC59" s="571"/>
    </row>
    <row r="60" spans="1:29" ht="15.75" customHeight="1">
      <c r="A60" s="618" t="s">
        <v>33</v>
      </c>
      <c r="B60" s="257" t="s">
        <v>46</v>
      </c>
      <c r="C60" s="616" t="s">
        <v>84</v>
      </c>
      <c r="D60" s="616"/>
      <c r="E60" s="26">
        <v>20.2</v>
      </c>
      <c r="F60" s="257">
        <v>2771</v>
      </c>
      <c r="G60" s="250">
        <f t="shared" ref="G60:G67" si="84">E60*F60</f>
        <v>55974.2</v>
      </c>
      <c r="H60" s="21" t="s">
        <v>35</v>
      </c>
      <c r="I60" s="255">
        <v>19</v>
      </c>
      <c r="J60" s="23">
        <v>2400</v>
      </c>
      <c r="K60" s="9">
        <f t="shared" ref="K60:K68" si="85">J60/I60</f>
        <v>126.31578947368421</v>
      </c>
      <c r="L60" s="255">
        <v>19</v>
      </c>
      <c r="M60" s="10">
        <f>F60/V60*60</f>
        <v>2309.1666666666661</v>
      </c>
      <c r="N60" s="9">
        <f t="shared" ref="N60:N67" si="86">M60/L60</f>
        <v>121.53508771929822</v>
      </c>
      <c r="O60" s="11">
        <f t="shared" ref="O60:O67" si="87">L60-I60</f>
        <v>0</v>
      </c>
      <c r="P60" s="12">
        <f t="shared" ref="P60:P67" si="88">N60-K60</f>
        <v>-4.7807017543859871</v>
      </c>
      <c r="Q60" s="251">
        <f>N60/K60</f>
        <v>0.96215277777777763</v>
      </c>
      <c r="R60" s="571">
        <f>Q68</f>
        <v>0.95727530641629455</v>
      </c>
      <c r="S60" s="24">
        <v>8.3333333333333329E-2</v>
      </c>
      <c r="T60" s="24">
        <v>0.13333333333333333</v>
      </c>
      <c r="U60" s="15"/>
      <c r="V60" s="256">
        <f t="shared" ref="V60:V67" si="89">(T60-S60)*24*60</f>
        <v>72.000000000000014</v>
      </c>
      <c r="W60" s="13">
        <f>T60</f>
        <v>0.13333333333333333</v>
      </c>
      <c r="X60" s="13">
        <f>S61</f>
        <v>0.15138888888888888</v>
      </c>
      <c r="Y60" s="617"/>
      <c r="Z60" s="617"/>
      <c r="AA60" s="11">
        <f t="shared" si="2"/>
        <v>-90.83333333333394</v>
      </c>
      <c r="AB60" s="251">
        <f>M60/J60</f>
        <v>0.96215277777777752</v>
      </c>
      <c r="AC60" s="571">
        <f>AB68</f>
        <v>0.95727530641629455</v>
      </c>
    </row>
    <row r="61" spans="1:29" ht="15.75" customHeight="1">
      <c r="A61" s="619" t="s">
        <v>33</v>
      </c>
      <c r="B61" s="257" t="s">
        <v>46</v>
      </c>
      <c r="C61" s="616" t="s">
        <v>85</v>
      </c>
      <c r="D61" s="616"/>
      <c r="E61" s="26">
        <v>19.02</v>
      </c>
      <c r="F61" s="257">
        <v>6300</v>
      </c>
      <c r="G61" s="250">
        <f t="shared" si="84"/>
        <v>119826</v>
      </c>
      <c r="H61" s="21">
        <v>2</v>
      </c>
      <c r="I61" s="255">
        <v>15</v>
      </c>
      <c r="J61" s="23">
        <v>2400</v>
      </c>
      <c r="K61" s="9">
        <f t="shared" si="85"/>
        <v>160</v>
      </c>
      <c r="L61" s="255">
        <v>15</v>
      </c>
      <c r="M61" s="10">
        <f t="shared" ref="M61:M67" si="90">F61/V61*60</f>
        <v>2290.909090909091</v>
      </c>
      <c r="N61" s="9">
        <f t="shared" si="86"/>
        <v>152.72727272727272</v>
      </c>
      <c r="O61" s="11">
        <f t="shared" si="87"/>
        <v>0</v>
      </c>
      <c r="P61" s="12">
        <f t="shared" si="88"/>
        <v>-7.2727272727272805</v>
      </c>
      <c r="Q61" s="251">
        <f t="shared" ref="Q61:Q68" si="91">N61/K61</f>
        <v>0.95454545454545447</v>
      </c>
      <c r="R61" s="571"/>
      <c r="S61" s="24">
        <v>0.15138888888888888</v>
      </c>
      <c r="T61" s="24">
        <v>0.26597222222222222</v>
      </c>
      <c r="U61" s="250">
        <f>(S61-T60)*24*60</f>
        <v>25.999999999999986</v>
      </c>
      <c r="V61" s="256">
        <f t="shared" si="89"/>
        <v>165</v>
      </c>
      <c r="W61" s="13"/>
      <c r="X61" s="13"/>
      <c r="Y61" s="617"/>
      <c r="Z61" s="617"/>
      <c r="AA61" s="11">
        <f t="shared" si="2"/>
        <v>-109.09090909090901</v>
      </c>
      <c r="AB61" s="251">
        <f t="shared" ref="AB61:AB68" si="92">M61/J61</f>
        <v>0.95454545454545459</v>
      </c>
      <c r="AC61" s="571"/>
    </row>
    <row r="62" spans="1:29" ht="15.75" customHeight="1">
      <c r="A62" s="619" t="s">
        <v>1108</v>
      </c>
      <c r="B62" s="257" t="s">
        <v>46</v>
      </c>
      <c r="C62" s="616" t="s">
        <v>88</v>
      </c>
      <c r="D62" s="616"/>
      <c r="E62" s="26">
        <v>24.25</v>
      </c>
      <c r="F62" s="257">
        <v>3860</v>
      </c>
      <c r="G62" s="250">
        <f t="shared" si="84"/>
        <v>93605</v>
      </c>
      <c r="H62" s="21" t="s">
        <v>35</v>
      </c>
      <c r="I62" s="255">
        <v>17</v>
      </c>
      <c r="J62" s="23">
        <v>2400</v>
      </c>
      <c r="K62" s="9">
        <f t="shared" si="85"/>
        <v>141.1764705882353</v>
      </c>
      <c r="L62" s="255">
        <v>17</v>
      </c>
      <c r="M62" s="10">
        <f t="shared" si="90"/>
        <v>2293.0693069306917</v>
      </c>
      <c r="N62" s="9">
        <f t="shared" si="86"/>
        <v>134.88642981945245</v>
      </c>
      <c r="O62" s="11">
        <f t="shared" si="87"/>
        <v>0</v>
      </c>
      <c r="P62" s="12">
        <f t="shared" si="88"/>
        <v>-6.290040768782859</v>
      </c>
      <c r="Q62" s="251">
        <f t="shared" si="91"/>
        <v>0.95544554455445474</v>
      </c>
      <c r="R62" s="571"/>
      <c r="S62" s="24">
        <v>0.27083333333333331</v>
      </c>
      <c r="T62" s="24">
        <v>0.34097222222222223</v>
      </c>
      <c r="U62" s="250">
        <f t="shared" ref="U62:U67" si="93">(S62-T61)*24*60</f>
        <v>6.9999999999999751</v>
      </c>
      <c r="V62" s="256">
        <f t="shared" si="89"/>
        <v>101.00000000000004</v>
      </c>
      <c r="W62" s="13"/>
      <c r="X62" s="13"/>
      <c r="Y62" s="617"/>
      <c r="Z62" s="617"/>
      <c r="AA62" s="11">
        <f t="shared" si="2"/>
        <v>-106.93069306930829</v>
      </c>
      <c r="AB62" s="251">
        <f t="shared" si="92"/>
        <v>0.95544554455445485</v>
      </c>
      <c r="AC62" s="571"/>
    </row>
    <row r="63" spans="1:29" ht="15.75" customHeight="1">
      <c r="A63" s="619" t="s">
        <v>33</v>
      </c>
      <c r="B63" s="257" t="s">
        <v>46</v>
      </c>
      <c r="C63" s="616" t="s">
        <v>47</v>
      </c>
      <c r="D63" s="616"/>
      <c r="E63" s="26">
        <v>24.45</v>
      </c>
      <c r="F63" s="257">
        <v>2631</v>
      </c>
      <c r="G63" s="250">
        <f t="shared" si="84"/>
        <v>64327.95</v>
      </c>
      <c r="H63" s="21" t="s">
        <v>35</v>
      </c>
      <c r="I63" s="255">
        <v>20</v>
      </c>
      <c r="J63" s="23">
        <v>2400</v>
      </c>
      <c r="K63" s="9">
        <f t="shared" si="85"/>
        <v>120</v>
      </c>
      <c r="L63" s="255">
        <v>20</v>
      </c>
      <c r="M63" s="10">
        <f t="shared" si="90"/>
        <v>2287.8260869565215</v>
      </c>
      <c r="N63" s="9">
        <f t="shared" si="86"/>
        <v>114.39130434782608</v>
      </c>
      <c r="O63" s="11">
        <f t="shared" si="87"/>
        <v>0</v>
      </c>
      <c r="P63" s="12">
        <f t="shared" si="88"/>
        <v>-5.6086956521739211</v>
      </c>
      <c r="Q63" s="251">
        <f t="shared" si="91"/>
        <v>0.95326086956521727</v>
      </c>
      <c r="R63" s="571"/>
      <c r="S63" s="24">
        <v>0.34513888888888888</v>
      </c>
      <c r="T63" s="24">
        <v>0.39305555555555555</v>
      </c>
      <c r="U63" s="250">
        <f t="shared" si="93"/>
        <v>5.9999999999999787</v>
      </c>
      <c r="V63" s="256">
        <f t="shared" si="89"/>
        <v>69</v>
      </c>
      <c r="W63" s="13"/>
      <c r="X63" s="13"/>
      <c r="Y63" s="617"/>
      <c r="Z63" s="617"/>
      <c r="AA63" s="11">
        <f t="shared" si="2"/>
        <v>-112.17391304347848</v>
      </c>
      <c r="AB63" s="251">
        <f t="shared" si="92"/>
        <v>0.95326086956521727</v>
      </c>
      <c r="AC63" s="571"/>
    </row>
    <row r="64" spans="1:29" ht="15.75" customHeight="1">
      <c r="A64" s="619" t="s">
        <v>33</v>
      </c>
      <c r="B64" s="257" t="s">
        <v>46</v>
      </c>
      <c r="C64" s="616" t="s">
        <v>66</v>
      </c>
      <c r="D64" s="616"/>
      <c r="E64" s="26">
        <v>24.25</v>
      </c>
      <c r="F64" s="257">
        <v>3600</v>
      </c>
      <c r="G64" s="250">
        <f t="shared" si="84"/>
        <v>87300</v>
      </c>
      <c r="H64" s="21">
        <v>2</v>
      </c>
      <c r="I64" s="255">
        <v>14</v>
      </c>
      <c r="J64" s="23">
        <v>2400</v>
      </c>
      <c r="K64" s="9">
        <f t="shared" si="85"/>
        <v>171.42857142857142</v>
      </c>
      <c r="L64" s="255">
        <v>14</v>
      </c>
      <c r="M64" s="10">
        <f t="shared" si="90"/>
        <v>2297.872340425532</v>
      </c>
      <c r="N64" s="9">
        <f t="shared" si="86"/>
        <v>164.13373860182372</v>
      </c>
      <c r="O64" s="11">
        <f t="shared" si="87"/>
        <v>0</v>
      </c>
      <c r="P64" s="12">
        <f t="shared" si="88"/>
        <v>-7.2948328267476938</v>
      </c>
      <c r="Q64" s="251">
        <f t="shared" si="91"/>
        <v>0.95744680851063846</v>
      </c>
      <c r="R64" s="571"/>
      <c r="S64" s="24">
        <v>0.3972222222222222</v>
      </c>
      <c r="T64" s="24">
        <v>0.46249999999999997</v>
      </c>
      <c r="U64" s="250">
        <f t="shared" si="93"/>
        <v>5.9999999999999787</v>
      </c>
      <c r="V64" s="256">
        <f t="shared" si="89"/>
        <v>93.999999999999986</v>
      </c>
      <c r="W64" s="13"/>
      <c r="X64" s="13"/>
      <c r="Y64" s="617"/>
      <c r="Z64" s="617"/>
      <c r="AA64" s="11">
        <f t="shared" si="2"/>
        <v>-102.127659574468</v>
      </c>
      <c r="AB64" s="251">
        <f t="shared" si="92"/>
        <v>0.95744680851063835</v>
      </c>
      <c r="AC64" s="571"/>
    </row>
    <row r="65" spans="1:29" ht="15.75" customHeight="1">
      <c r="A65" s="619" t="s">
        <v>1108</v>
      </c>
      <c r="B65" s="257" t="s">
        <v>46</v>
      </c>
      <c r="C65" s="616" t="s">
        <v>58</v>
      </c>
      <c r="D65" s="616"/>
      <c r="E65" s="26">
        <v>25.98</v>
      </c>
      <c r="F65" s="257">
        <v>1775</v>
      </c>
      <c r="G65" s="250">
        <f t="shared" si="84"/>
        <v>46114.5</v>
      </c>
      <c r="H65" s="21" t="s">
        <v>35</v>
      </c>
      <c r="I65" s="255">
        <v>17</v>
      </c>
      <c r="J65" s="23">
        <v>2400</v>
      </c>
      <c r="K65" s="9">
        <f t="shared" si="85"/>
        <v>141.1764705882353</v>
      </c>
      <c r="L65" s="255">
        <v>17</v>
      </c>
      <c r="M65" s="10">
        <f t="shared" si="90"/>
        <v>2315.217391304348</v>
      </c>
      <c r="N65" s="9">
        <f t="shared" si="86"/>
        <v>136.18925831202046</v>
      </c>
      <c r="O65" s="11">
        <f t="shared" si="87"/>
        <v>0</v>
      </c>
      <c r="P65" s="12">
        <f t="shared" si="88"/>
        <v>-4.9872122762148479</v>
      </c>
      <c r="Q65" s="251">
        <f t="shared" si="91"/>
        <v>0.96467391304347816</v>
      </c>
      <c r="R65" s="571"/>
      <c r="S65" s="24">
        <v>0.46666666666666662</v>
      </c>
      <c r="T65" s="24">
        <v>0.49861111111111106</v>
      </c>
      <c r="U65" s="250">
        <f t="shared" si="93"/>
        <v>5.9999999999999787</v>
      </c>
      <c r="V65" s="256">
        <f t="shared" si="89"/>
        <v>46</v>
      </c>
      <c r="W65" s="13">
        <f>T65</f>
        <v>0.49861111111111106</v>
      </c>
      <c r="X65" s="13">
        <f>S66</f>
        <v>0.54097222222222219</v>
      </c>
      <c r="Y65" s="617"/>
      <c r="Z65" s="617"/>
      <c r="AA65" s="11">
        <f t="shared" si="2"/>
        <v>-84.782608695652016</v>
      </c>
      <c r="AB65" s="251">
        <f t="shared" si="92"/>
        <v>0.96467391304347838</v>
      </c>
      <c r="AC65" s="571"/>
    </row>
    <row r="66" spans="1:29" ht="15.75" customHeight="1">
      <c r="A66" s="619" t="s">
        <v>33</v>
      </c>
      <c r="B66" s="257" t="s">
        <v>46</v>
      </c>
      <c r="C66" s="616" t="s">
        <v>85</v>
      </c>
      <c r="D66" s="616"/>
      <c r="E66" s="26">
        <v>19.02</v>
      </c>
      <c r="F66" s="257">
        <v>5484</v>
      </c>
      <c r="G66" s="250">
        <f t="shared" si="84"/>
        <v>104305.68</v>
      </c>
      <c r="H66" s="21" t="s">
        <v>35</v>
      </c>
      <c r="I66" s="255">
        <v>15</v>
      </c>
      <c r="J66" s="23">
        <v>2400</v>
      </c>
      <c r="K66" s="9">
        <f t="shared" si="85"/>
        <v>160</v>
      </c>
      <c r="L66" s="255">
        <v>15</v>
      </c>
      <c r="M66" s="10">
        <f t="shared" si="90"/>
        <v>2285.0000000000005</v>
      </c>
      <c r="N66" s="9">
        <f t="shared" si="86"/>
        <v>152.33333333333337</v>
      </c>
      <c r="O66" s="11">
        <f t="shared" si="87"/>
        <v>0</v>
      </c>
      <c r="P66" s="12">
        <f t="shared" si="88"/>
        <v>-7.6666666666666288</v>
      </c>
      <c r="Q66" s="251">
        <f t="shared" si="91"/>
        <v>0.95208333333333361</v>
      </c>
      <c r="R66" s="571"/>
      <c r="S66" s="24">
        <v>0.54097222222222219</v>
      </c>
      <c r="T66" s="24">
        <v>0.64097222222222217</v>
      </c>
      <c r="U66" s="250">
        <f t="shared" si="93"/>
        <v>61.000000000000021</v>
      </c>
      <c r="V66" s="256">
        <f t="shared" si="89"/>
        <v>143.99999999999997</v>
      </c>
      <c r="W66" s="13"/>
      <c r="X66" s="13"/>
      <c r="Y66" s="621"/>
      <c r="Z66" s="622"/>
      <c r="AA66" s="11">
        <f t="shared" si="2"/>
        <v>-114.99999999999955</v>
      </c>
      <c r="AB66" s="251">
        <f t="shared" si="92"/>
        <v>0.9520833333333335</v>
      </c>
      <c r="AC66" s="571"/>
    </row>
    <row r="67" spans="1:29" ht="15.75" customHeight="1">
      <c r="A67" s="619" t="s">
        <v>33</v>
      </c>
      <c r="B67" s="257" t="s">
        <v>46</v>
      </c>
      <c r="C67" s="616" t="s">
        <v>66</v>
      </c>
      <c r="D67" s="616"/>
      <c r="E67" s="26">
        <v>24.25</v>
      </c>
      <c r="F67" s="257">
        <v>2454</v>
      </c>
      <c r="G67" s="250">
        <f t="shared" si="84"/>
        <v>59509.5</v>
      </c>
      <c r="H67" s="21" t="s">
        <v>35</v>
      </c>
      <c r="I67" s="255">
        <v>14</v>
      </c>
      <c r="J67" s="23">
        <v>2400</v>
      </c>
      <c r="K67" s="9">
        <f t="shared" si="85"/>
        <v>171.42857142857142</v>
      </c>
      <c r="L67" s="255">
        <v>14</v>
      </c>
      <c r="M67" s="10">
        <f t="shared" si="90"/>
        <v>2300.6250000000027</v>
      </c>
      <c r="N67" s="9">
        <f t="shared" si="86"/>
        <v>164.33035714285734</v>
      </c>
      <c r="O67" s="11">
        <f t="shared" si="87"/>
        <v>0</v>
      </c>
      <c r="P67" s="12">
        <f t="shared" si="88"/>
        <v>-7.0982142857140786</v>
      </c>
      <c r="Q67" s="251">
        <f t="shared" si="91"/>
        <v>0.95859375000000124</v>
      </c>
      <c r="R67" s="571"/>
      <c r="S67" s="24">
        <v>0.64444444444444438</v>
      </c>
      <c r="T67" s="24">
        <v>0.68888888888888877</v>
      </c>
      <c r="U67" s="250">
        <f t="shared" si="93"/>
        <v>4.9999999999999822</v>
      </c>
      <c r="V67" s="256">
        <f t="shared" si="89"/>
        <v>63.999999999999929</v>
      </c>
      <c r="W67" s="13"/>
      <c r="X67" s="13"/>
      <c r="Y67" s="621"/>
      <c r="Z67" s="622"/>
      <c r="AA67" s="11">
        <f t="shared" si="2"/>
        <v>-99.374999999997272</v>
      </c>
      <c r="AB67" s="251">
        <f t="shared" si="92"/>
        <v>0.95859375000000113</v>
      </c>
      <c r="AC67" s="571"/>
    </row>
    <row r="68" spans="1:29" ht="16.5" customHeight="1">
      <c r="A68" s="620" t="s">
        <v>33</v>
      </c>
      <c r="B68" s="26" t="s">
        <v>22</v>
      </c>
      <c r="C68" s="625"/>
      <c r="D68" s="626"/>
      <c r="E68" s="252"/>
      <c r="F68" s="27"/>
      <c r="G68" s="9"/>
      <c r="H68" s="257"/>
      <c r="I68" s="16">
        <v>16.375</v>
      </c>
      <c r="J68" s="23">
        <v>2400</v>
      </c>
      <c r="K68" s="9">
        <f t="shared" si="85"/>
        <v>146.56488549618319</v>
      </c>
      <c r="L68" s="16">
        <v>16.375</v>
      </c>
      <c r="M68" s="10">
        <f>AVERAGE(M60:M67)</f>
        <v>2297.4607353991069</v>
      </c>
      <c r="N68" s="9">
        <f>M68/L68</f>
        <v>140.3029456732279</v>
      </c>
      <c r="O68" s="11">
        <f>L68-I68</f>
        <v>0</v>
      </c>
      <c r="P68" s="12">
        <f>N68-K68</f>
        <v>-6.2619398229552985</v>
      </c>
      <c r="Q68" s="251">
        <f t="shared" si="91"/>
        <v>0.95727530641629455</v>
      </c>
      <c r="R68" s="571"/>
      <c r="S68" s="24"/>
      <c r="T68" s="24"/>
      <c r="U68" s="9"/>
      <c r="V68" s="256"/>
      <c r="W68" s="9"/>
      <c r="X68" s="9"/>
      <c r="Y68" s="617"/>
      <c r="Z68" s="617"/>
      <c r="AA68" s="11">
        <f t="shared" si="2"/>
        <v>-102.53926460089315</v>
      </c>
      <c r="AB68" s="251">
        <f t="shared" si="92"/>
        <v>0.95727530641629455</v>
      </c>
      <c r="AC68" s="571"/>
    </row>
    <row r="69" spans="1:29">
      <c r="D69" s="17"/>
      <c r="E69" s="17"/>
    </row>
  </sheetData>
  <mergeCells count="184">
    <mergeCell ref="I1:K2"/>
    <mergeCell ref="L1:N2"/>
    <mergeCell ref="O1:R2"/>
    <mergeCell ref="S1:X2"/>
    <mergeCell ref="Y1:Z2"/>
    <mergeCell ref="AA1:AC2"/>
    <mergeCell ref="J3:J4"/>
    <mergeCell ref="K3:K4"/>
    <mergeCell ref="L3:L4"/>
    <mergeCell ref="M3:M4"/>
    <mergeCell ref="P3:P4"/>
    <mergeCell ref="Q3:Q4"/>
    <mergeCell ref="R3:R4"/>
    <mergeCell ref="S3:T3"/>
    <mergeCell ref="A3:A4"/>
    <mergeCell ref="B3:B4"/>
    <mergeCell ref="C3:D4"/>
    <mergeCell ref="E3:E4"/>
    <mergeCell ref="F3:F4"/>
    <mergeCell ref="G3:G4"/>
    <mergeCell ref="AC3:AC4"/>
    <mergeCell ref="A5:A8"/>
    <mergeCell ref="C5:D5"/>
    <mergeCell ref="R5:R8"/>
    <mergeCell ref="Y5:Z5"/>
    <mergeCell ref="AC5:AC8"/>
    <mergeCell ref="C6:D6"/>
    <mergeCell ref="Y6:Z6"/>
    <mergeCell ref="C7:D7"/>
    <mergeCell ref="Y7:Z7"/>
    <mergeCell ref="U3:U4"/>
    <mergeCell ref="V3:V4"/>
    <mergeCell ref="W3:X3"/>
    <mergeCell ref="Y3:Z4"/>
    <mergeCell ref="AA3:AA4"/>
    <mergeCell ref="AB3:AB4"/>
    <mergeCell ref="N3:N4"/>
    <mergeCell ref="O3:O4"/>
    <mergeCell ref="H3:H4"/>
    <mergeCell ref="I3:I4"/>
    <mergeCell ref="A12:A18"/>
    <mergeCell ref="C12:D12"/>
    <mergeCell ref="R12:R18"/>
    <mergeCell ref="Y12:Z12"/>
    <mergeCell ref="AC12:AC18"/>
    <mergeCell ref="C8:D8"/>
    <mergeCell ref="Y8:Z8"/>
    <mergeCell ref="A9:A11"/>
    <mergeCell ref="C9:D9"/>
    <mergeCell ref="R9:R11"/>
    <mergeCell ref="Y9:Z9"/>
    <mergeCell ref="C13:D13"/>
    <mergeCell ref="Y13:Z13"/>
    <mergeCell ref="C14:D14"/>
    <mergeCell ref="Y14:Z14"/>
    <mergeCell ref="C15:D15"/>
    <mergeCell ref="Y15:Z15"/>
    <mergeCell ref="AC9:AC11"/>
    <mergeCell ref="C10:D10"/>
    <mergeCell ref="Y10:Z10"/>
    <mergeCell ref="C11:D11"/>
    <mergeCell ref="Y11:Z11"/>
    <mergeCell ref="AC19:AC23"/>
    <mergeCell ref="C20:D20"/>
    <mergeCell ref="Y20:Z20"/>
    <mergeCell ref="C21:D21"/>
    <mergeCell ref="Y21:Z21"/>
    <mergeCell ref="C22:D22"/>
    <mergeCell ref="C16:D16"/>
    <mergeCell ref="Y16:Z16"/>
    <mergeCell ref="C17:D17"/>
    <mergeCell ref="Y17:Z17"/>
    <mergeCell ref="C18:D18"/>
    <mergeCell ref="Y18:Z18"/>
    <mergeCell ref="Y22:Z22"/>
    <mergeCell ref="C23:D23"/>
    <mergeCell ref="Y23:Z23"/>
    <mergeCell ref="A24:A31"/>
    <mergeCell ref="C24:D24"/>
    <mergeCell ref="R24:R31"/>
    <mergeCell ref="Y24:Z24"/>
    <mergeCell ref="Y29:Z29"/>
    <mergeCell ref="C30:D30"/>
    <mergeCell ref="Y30:Z30"/>
    <mergeCell ref="A19:A23"/>
    <mergeCell ref="C19:D19"/>
    <mergeCell ref="R19:R23"/>
    <mergeCell ref="Y19:Z19"/>
    <mergeCell ref="AC24:AC31"/>
    <mergeCell ref="C25:D25"/>
    <mergeCell ref="Y25:Z25"/>
    <mergeCell ref="C26:D26"/>
    <mergeCell ref="Y26:Z26"/>
    <mergeCell ref="C27:D27"/>
    <mergeCell ref="Y27:Z27"/>
    <mergeCell ref="C28:D28"/>
    <mergeCell ref="Y28:Z28"/>
    <mergeCell ref="C29:D29"/>
    <mergeCell ref="C31:D31"/>
    <mergeCell ref="Y31:Z31"/>
    <mergeCell ref="A32:A40"/>
    <mergeCell ref="C32:D32"/>
    <mergeCell ref="R32:R40"/>
    <mergeCell ref="Y32:Z32"/>
    <mergeCell ref="Y37:Z37"/>
    <mergeCell ref="C38:D38"/>
    <mergeCell ref="Y38:Z38"/>
    <mergeCell ref="C39:D39"/>
    <mergeCell ref="AC32:AC40"/>
    <mergeCell ref="C33:D33"/>
    <mergeCell ref="Y33:Z33"/>
    <mergeCell ref="C34:D34"/>
    <mergeCell ref="Y34:Z34"/>
    <mergeCell ref="C35:D35"/>
    <mergeCell ref="Y35:Z35"/>
    <mergeCell ref="C36:D36"/>
    <mergeCell ref="Y36:Z36"/>
    <mergeCell ref="C37:D37"/>
    <mergeCell ref="Y39:Z39"/>
    <mergeCell ref="C40:D40"/>
    <mergeCell ref="Y40:Z40"/>
    <mergeCell ref="A41:A47"/>
    <mergeCell ref="C41:D41"/>
    <mergeCell ref="R41:R47"/>
    <mergeCell ref="Y41:Z41"/>
    <mergeCell ref="Y46:Z46"/>
    <mergeCell ref="C47:D47"/>
    <mergeCell ref="Y47:Z47"/>
    <mergeCell ref="AC48:AC54"/>
    <mergeCell ref="C49:D49"/>
    <mergeCell ref="Y49:Z49"/>
    <mergeCell ref="C50:D50"/>
    <mergeCell ref="C53:D53"/>
    <mergeCell ref="Y53:Z53"/>
    <mergeCell ref="AC41:AC47"/>
    <mergeCell ref="C42:D42"/>
    <mergeCell ref="Y42:Z42"/>
    <mergeCell ref="C43:D43"/>
    <mergeCell ref="Y43:Z43"/>
    <mergeCell ref="C44:D44"/>
    <mergeCell ref="Y44:Z44"/>
    <mergeCell ref="C45:D45"/>
    <mergeCell ref="Y45:Z45"/>
    <mergeCell ref="C46:D46"/>
    <mergeCell ref="C54:D54"/>
    <mergeCell ref="Y54:Z54"/>
    <mergeCell ref="A55:A59"/>
    <mergeCell ref="C55:D55"/>
    <mergeCell ref="R55:R59"/>
    <mergeCell ref="Y55:Z55"/>
    <mergeCell ref="A48:A54"/>
    <mergeCell ref="C48:D48"/>
    <mergeCell ref="R48:R54"/>
    <mergeCell ref="Y48:Z48"/>
    <mergeCell ref="AC55:AC59"/>
    <mergeCell ref="C56:D56"/>
    <mergeCell ref="Y56:Z56"/>
    <mergeCell ref="C57:D57"/>
    <mergeCell ref="Y57:Z57"/>
    <mergeCell ref="C58:D58"/>
    <mergeCell ref="Y58:Z58"/>
    <mergeCell ref="C59:D59"/>
    <mergeCell ref="Y59:Z59"/>
    <mergeCell ref="A60:A68"/>
    <mergeCell ref="C60:D60"/>
    <mergeCell ref="R60:R68"/>
    <mergeCell ref="Y60:Z60"/>
    <mergeCell ref="AC60:AC68"/>
    <mergeCell ref="C61:D61"/>
    <mergeCell ref="Y61:Z61"/>
    <mergeCell ref="C62:D62"/>
    <mergeCell ref="Y62:Z62"/>
    <mergeCell ref="C63:D63"/>
    <mergeCell ref="C67:D67"/>
    <mergeCell ref="Y67:Z67"/>
    <mergeCell ref="C68:D68"/>
    <mergeCell ref="Y68:Z68"/>
    <mergeCell ref="Y63:Z63"/>
    <mergeCell ref="C64:D64"/>
    <mergeCell ref="Y64:Z64"/>
    <mergeCell ref="C65:D65"/>
    <mergeCell ref="Y65:Z65"/>
    <mergeCell ref="C66:D66"/>
    <mergeCell ref="Y66:Z66"/>
  </mergeCells>
  <phoneticPr fontId="3" type="noConversion"/>
  <conditionalFormatting sqref="O58:O65 O68 O5:O9 O11:O13 O18:O55">
    <cfRule type="cellIs" dxfId="876" priority="46" operator="greaterThan">
      <formula>0</formula>
    </cfRule>
  </conditionalFormatting>
  <conditionalFormatting sqref="P5:P7 P58 AA58 P60:P65 P24:P30 P55 P9 P11:P13 P19:P22 P48:P53 P32:P46 AA5:AA55 AA60:AA68">
    <cfRule type="cellIs" dxfId="875" priority="50" operator="lessThan">
      <formula>0</formula>
    </cfRule>
  </conditionalFormatting>
  <conditionalFormatting sqref="AB58 Q58:Q65 Q68 Q5:Q9 Q11:Q13 Q18:Q55 AB5:AB55 AB60:AB68">
    <cfRule type="cellIs" dxfId="874" priority="47" operator="greaterThan">
      <formula>1</formula>
    </cfRule>
    <cfRule type="cellIs" dxfId="873" priority="48" operator="lessThan">
      <formula>0.8</formula>
    </cfRule>
  </conditionalFormatting>
  <conditionalFormatting sqref="AC12:AC13 R12:R13 AC58 R58:R65 R68 AC5:AC9 R5:R9 AC18:AC55 R18:R55">
    <cfRule type="cellIs" dxfId="872" priority="52" operator="lessThan">
      <formula>0.8</formula>
    </cfRule>
  </conditionalFormatting>
  <conditionalFormatting sqref="AC41">
    <cfRule type="cellIs" dxfId="871" priority="54" operator="lessThan">
      <formula>0.8</formula>
    </cfRule>
  </conditionalFormatting>
  <conditionalFormatting sqref="AC19:AC22">
    <cfRule type="cellIs" dxfId="870" priority="51" operator="lessThan">
      <formula>0.8</formula>
    </cfRule>
  </conditionalFormatting>
  <conditionalFormatting sqref="AC24">
    <cfRule type="cellIs" dxfId="869" priority="53" operator="lessThan">
      <formula>0.8</formula>
    </cfRule>
  </conditionalFormatting>
  <conditionalFormatting sqref="AC32:AC39">
    <cfRule type="cellIs" dxfId="868" priority="49" operator="lessThan">
      <formula>0.8</formula>
    </cfRule>
  </conditionalFormatting>
  <conditionalFormatting sqref="AA59">
    <cfRule type="cellIs" dxfId="867" priority="45" operator="lessThan">
      <formula>0</formula>
    </cfRule>
  </conditionalFormatting>
  <conditionalFormatting sqref="AB59">
    <cfRule type="cellIs" dxfId="866" priority="43" operator="greaterThan">
      <formula>1</formula>
    </cfRule>
    <cfRule type="cellIs" dxfId="865" priority="44" operator="lessThan">
      <formula>0.8</formula>
    </cfRule>
  </conditionalFormatting>
  <conditionalFormatting sqref="O14:O15">
    <cfRule type="cellIs" dxfId="864" priority="38" operator="greaterThan">
      <formula>0</formula>
    </cfRule>
  </conditionalFormatting>
  <conditionalFormatting sqref="P14:P15">
    <cfRule type="cellIs" dxfId="863" priority="41" operator="lessThan">
      <formula>0</formula>
    </cfRule>
  </conditionalFormatting>
  <conditionalFormatting sqref="Q14:Q15">
    <cfRule type="cellIs" dxfId="862" priority="39" operator="greaterThan">
      <formula>1</formula>
    </cfRule>
    <cfRule type="cellIs" dxfId="861" priority="40" operator="lessThan">
      <formula>0.8</formula>
    </cfRule>
  </conditionalFormatting>
  <conditionalFormatting sqref="R14:R15 AC14:AC15">
    <cfRule type="cellIs" dxfId="860" priority="42" operator="lessThan">
      <formula>0.8</formula>
    </cfRule>
  </conditionalFormatting>
  <conditionalFormatting sqref="O10">
    <cfRule type="cellIs" dxfId="859" priority="34" operator="greaterThan">
      <formula>0</formula>
    </cfRule>
  </conditionalFormatting>
  <conditionalFormatting sqref="P10">
    <cfRule type="cellIs" dxfId="858" priority="37" operator="lessThan">
      <formula>0</formula>
    </cfRule>
  </conditionalFormatting>
  <conditionalFormatting sqref="Q10">
    <cfRule type="cellIs" dxfId="857" priority="35" operator="greaterThan">
      <formula>1</formula>
    </cfRule>
    <cfRule type="cellIs" dxfId="856" priority="36" operator="lessThan">
      <formula>0.8</formula>
    </cfRule>
  </conditionalFormatting>
  <conditionalFormatting sqref="O57">
    <cfRule type="cellIs" dxfId="855" priority="29" operator="greaterThan">
      <formula>0</formula>
    </cfRule>
  </conditionalFormatting>
  <conditionalFormatting sqref="P57 AA57">
    <cfRule type="cellIs" dxfId="854" priority="32" operator="lessThan">
      <formula>0</formula>
    </cfRule>
  </conditionalFormatting>
  <conditionalFormatting sqref="Q57 AB57">
    <cfRule type="cellIs" dxfId="853" priority="30" operator="greaterThan">
      <formula>1</formula>
    </cfRule>
    <cfRule type="cellIs" dxfId="852" priority="31" operator="lessThan">
      <formula>0.8</formula>
    </cfRule>
  </conditionalFormatting>
  <conditionalFormatting sqref="R57 AC57">
    <cfRule type="cellIs" dxfId="851" priority="33" operator="lessThan">
      <formula>0.8</formula>
    </cfRule>
  </conditionalFormatting>
  <conditionalFormatting sqref="O66">
    <cfRule type="cellIs" dxfId="850" priority="24" operator="greaterThan">
      <formula>0</formula>
    </cfRule>
  </conditionalFormatting>
  <conditionalFormatting sqref="P66">
    <cfRule type="cellIs" dxfId="849" priority="27" operator="lessThan">
      <formula>0</formula>
    </cfRule>
  </conditionalFormatting>
  <conditionalFormatting sqref="Q66">
    <cfRule type="cellIs" dxfId="848" priority="25" operator="greaterThan">
      <formula>1</formula>
    </cfRule>
    <cfRule type="cellIs" dxfId="847" priority="26" operator="lessThan">
      <formula>0.8</formula>
    </cfRule>
  </conditionalFormatting>
  <conditionalFormatting sqref="R66">
    <cfRule type="cellIs" dxfId="846" priority="28" operator="lessThan">
      <formula>0.8</formula>
    </cfRule>
  </conditionalFormatting>
  <conditionalFormatting sqref="O16:O17">
    <cfRule type="cellIs" dxfId="845" priority="19" operator="greaterThan">
      <formula>0</formula>
    </cfRule>
  </conditionalFormatting>
  <conditionalFormatting sqref="P16:P17">
    <cfRule type="cellIs" dxfId="844" priority="22" operator="lessThan">
      <formula>0</formula>
    </cfRule>
  </conditionalFormatting>
  <conditionalFormatting sqref="Q16:Q17">
    <cfRule type="cellIs" dxfId="843" priority="20" operator="greaterThan">
      <formula>1</formula>
    </cfRule>
    <cfRule type="cellIs" dxfId="842" priority="21" operator="lessThan">
      <formula>0.8</formula>
    </cfRule>
  </conditionalFormatting>
  <conditionalFormatting sqref="R16:R17 AC16:AC17">
    <cfRule type="cellIs" dxfId="841" priority="23" operator="lessThan">
      <formula>0.8</formula>
    </cfRule>
  </conditionalFormatting>
  <conditionalFormatting sqref="O56">
    <cfRule type="cellIs" dxfId="840" priority="14" operator="greaterThan">
      <formula>0</formula>
    </cfRule>
  </conditionalFormatting>
  <conditionalFormatting sqref="P56 AA56">
    <cfRule type="cellIs" dxfId="839" priority="17" operator="lessThan">
      <formula>0</formula>
    </cfRule>
  </conditionalFormatting>
  <conditionalFormatting sqref="Q56 AB56">
    <cfRule type="cellIs" dxfId="838" priority="15" operator="greaterThan">
      <formula>1</formula>
    </cfRule>
    <cfRule type="cellIs" dxfId="837" priority="16" operator="lessThan">
      <formula>0.8</formula>
    </cfRule>
  </conditionalFormatting>
  <conditionalFormatting sqref="R56 AC56">
    <cfRule type="cellIs" dxfId="836" priority="18" operator="lessThan">
      <formula>0.8</formula>
    </cfRule>
  </conditionalFormatting>
  <conditionalFormatting sqref="P8">
    <cfRule type="cellIs" dxfId="835" priority="13" operator="lessThan">
      <formula>0</formula>
    </cfRule>
  </conditionalFormatting>
  <conditionalFormatting sqref="P18">
    <cfRule type="cellIs" dxfId="834" priority="12" operator="lessThan">
      <formula>0</formula>
    </cfRule>
  </conditionalFormatting>
  <conditionalFormatting sqref="P23">
    <cfRule type="cellIs" dxfId="833" priority="11" operator="lessThan">
      <formula>0</formula>
    </cfRule>
  </conditionalFormatting>
  <conditionalFormatting sqref="P31">
    <cfRule type="cellIs" dxfId="832" priority="10" operator="lessThan">
      <formula>0</formula>
    </cfRule>
  </conditionalFormatting>
  <conditionalFormatting sqref="P47">
    <cfRule type="cellIs" dxfId="831" priority="9" operator="lessThan">
      <formula>0</formula>
    </cfRule>
  </conditionalFormatting>
  <conditionalFormatting sqref="P54">
    <cfRule type="cellIs" dxfId="830" priority="8" operator="lessThan">
      <formula>0</formula>
    </cfRule>
  </conditionalFormatting>
  <conditionalFormatting sqref="P59">
    <cfRule type="cellIs" dxfId="829" priority="7" operator="lessThan">
      <formula>0</formula>
    </cfRule>
  </conditionalFormatting>
  <conditionalFormatting sqref="P68">
    <cfRule type="cellIs" dxfId="828" priority="6" operator="lessThan">
      <formula>0</formula>
    </cfRule>
  </conditionalFormatting>
  <conditionalFormatting sqref="O67">
    <cfRule type="cellIs" dxfId="827" priority="1" operator="greaterThan">
      <formula>0</formula>
    </cfRule>
  </conditionalFormatting>
  <conditionalFormatting sqref="P67">
    <cfRule type="cellIs" dxfId="826" priority="4" operator="lessThan">
      <formula>0</formula>
    </cfRule>
  </conditionalFormatting>
  <conditionalFormatting sqref="Q67">
    <cfRule type="cellIs" dxfId="825" priority="2" operator="greaterThan">
      <formula>1</formula>
    </cfRule>
    <cfRule type="cellIs" dxfId="824" priority="3" operator="lessThan">
      <formula>0.8</formula>
    </cfRule>
  </conditionalFormatting>
  <conditionalFormatting sqref="R67">
    <cfRule type="cellIs" dxfId="823" priority="5" operator="lessThan">
      <formula>0.8</formula>
    </cfRule>
  </conditionalFormatting>
  <dataValidations count="1">
    <dataValidation type="list" allowBlank="1" showInputMessage="1" showErrorMessage="1" sqref="Z8 Y5:Z7 Y8:Y58 Z10:Z55 Y59:Z68">
      <formula1>#REF!</formula1>
    </dataValidation>
  </dataValidations>
  <pageMargins left="0" right="0" top="0" bottom="0" header="0" footer="0"/>
  <pageSetup paperSize="9" scale="11" orientation="landscape" horizontalDpi="300" verticalDpi="300" r:id="rId1"/>
</worksheet>
</file>

<file path=xl/worksheets/sheet3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工作表31"/>
  <dimension ref="B1:Q28"/>
  <sheetViews>
    <sheetView zoomScale="85" zoomScaleNormal="85" workbookViewId="0">
      <selection activeCell="C3" sqref="C3:D3"/>
    </sheetView>
  </sheetViews>
  <sheetFormatPr defaultColWidth="8.75" defaultRowHeight="15.75"/>
  <cols>
    <col min="1" max="1" width="8.75" style="30"/>
    <col min="2" max="2" width="17.875" style="30" customWidth="1"/>
    <col min="3" max="3" width="9.25" style="37" customWidth="1"/>
    <col min="4" max="13" width="12.625" style="30" customWidth="1"/>
    <col min="14" max="14" width="11" style="30" bestFit="1" customWidth="1"/>
    <col min="15" max="15" width="17.75" style="30" bestFit="1" customWidth="1"/>
    <col min="16" max="16" width="12.25" style="30" bestFit="1" customWidth="1"/>
    <col min="17" max="22" width="9.25" style="30" customWidth="1"/>
    <col min="23" max="23" width="10.75" style="30" customWidth="1"/>
    <col min="24" max="24" width="11" style="30" customWidth="1"/>
    <col min="25" max="16384" width="8.75" style="30"/>
  </cols>
  <sheetData>
    <row r="1" spans="2:17" ht="27.75" customHeight="1">
      <c r="B1" s="552" t="s">
        <v>992</v>
      </c>
      <c r="C1" s="552"/>
      <c r="D1" s="552"/>
      <c r="E1" s="552"/>
      <c r="F1" s="552"/>
      <c r="G1" s="552"/>
      <c r="H1" s="552"/>
      <c r="I1" s="552"/>
      <c r="J1" s="552"/>
      <c r="K1" s="29"/>
      <c r="L1" s="29"/>
      <c r="M1" s="29"/>
      <c r="N1" s="29"/>
      <c r="O1" s="29"/>
      <c r="P1" s="29"/>
    </row>
    <row r="2" spans="2:17" ht="27.75" customHeight="1">
      <c r="B2" s="553"/>
      <c r="C2" s="553"/>
      <c r="D2" s="553"/>
      <c r="E2" s="553"/>
      <c r="F2" s="553"/>
      <c r="G2" s="553"/>
      <c r="H2" s="553"/>
      <c r="I2" s="553"/>
      <c r="J2" s="553"/>
      <c r="K2" s="31"/>
      <c r="L2" s="31"/>
      <c r="M2" s="31"/>
      <c r="N2" s="29"/>
      <c r="O2" s="29"/>
      <c r="P2" s="29"/>
    </row>
    <row r="3" spans="2:17" ht="46.5" customHeight="1">
      <c r="B3" s="32" t="s">
        <v>113</v>
      </c>
      <c r="C3" s="554" t="str">
        <f>TEXT('1013 4度C'!A2,"yyyy.mm.ddaaaa")</f>
        <v>2025.10.13星期一</v>
      </c>
      <c r="D3" s="555"/>
      <c r="E3" s="32" t="s">
        <v>89</v>
      </c>
      <c r="F3" s="556">
        <f>'1013 4度C'!D1</f>
        <v>189160</v>
      </c>
      <c r="G3" s="557"/>
      <c r="H3" s="32" t="s">
        <v>993</v>
      </c>
      <c r="I3" s="558">
        <f>'1013 4度C'!F1</f>
        <v>6146320.6099999994</v>
      </c>
      <c r="J3" s="559"/>
      <c r="K3" s="33"/>
      <c r="L3" s="34"/>
      <c r="M3" s="35"/>
      <c r="N3" s="35"/>
    </row>
    <row r="4" spans="2:17" ht="28.5" customHeight="1">
      <c r="B4" s="560" t="s">
        <v>994</v>
      </c>
      <c r="C4" s="542" t="s">
        <v>115</v>
      </c>
      <c r="D4" s="543"/>
      <c r="E4" s="563" t="s">
        <v>116</v>
      </c>
      <c r="F4" s="564"/>
      <c r="G4" s="563" t="s">
        <v>995</v>
      </c>
      <c r="H4" s="564"/>
      <c r="I4" s="563" t="s">
        <v>118</v>
      </c>
      <c r="J4" s="564"/>
      <c r="L4" s="35"/>
      <c r="M4" s="35"/>
      <c r="N4" s="35"/>
    </row>
    <row r="5" spans="2:17" ht="28.5" customHeight="1">
      <c r="B5" s="561"/>
      <c r="C5" s="542" t="s">
        <v>996</v>
      </c>
      <c r="D5" s="543"/>
      <c r="E5" s="542" t="s">
        <v>120</v>
      </c>
      <c r="F5" s="543"/>
      <c r="G5" s="544" t="s">
        <v>121</v>
      </c>
      <c r="H5" s="545"/>
      <c r="I5" s="546" t="s">
        <v>91</v>
      </c>
      <c r="J5" s="547"/>
      <c r="K5" s="35"/>
      <c r="L5" s="35"/>
      <c r="M5" s="35"/>
      <c r="N5" s="35"/>
    </row>
    <row r="6" spans="2:17" ht="28.5" customHeight="1">
      <c r="B6" s="561"/>
      <c r="C6" s="542" t="s">
        <v>92</v>
      </c>
      <c r="D6" s="543"/>
      <c r="E6" s="548">
        <f>AVERAGE(D13:M13)</f>
        <v>153.409261360946</v>
      </c>
      <c r="F6" s="549">
        <f>AVERAGE(D27:O27,D13:J13)</f>
        <v>159.21598070086989</v>
      </c>
      <c r="G6" s="550">
        <f>AVERAGE(D13:J13)</f>
        <v>159.21598070086989</v>
      </c>
      <c r="H6" s="551"/>
      <c r="I6" s="550">
        <f>AVERAGE(K13:M13)</f>
        <v>139.86024956779025</v>
      </c>
      <c r="J6" s="551"/>
      <c r="K6" s="35"/>
      <c r="L6" s="35"/>
      <c r="M6" s="35"/>
      <c r="N6" s="35"/>
    </row>
    <row r="7" spans="2:17" ht="28.5" customHeight="1">
      <c r="B7" s="561"/>
      <c r="C7" s="532" t="s">
        <v>93</v>
      </c>
      <c r="D7" s="533"/>
      <c r="E7" s="534">
        <f>AVERAGE(D14:M14)</f>
        <v>146.84583846473384</v>
      </c>
      <c r="F7" s="535">
        <f>AVERAGE(D28:O28,D14:J14)</f>
        <v>152.41769962649599</v>
      </c>
      <c r="G7" s="536">
        <f>AVERAGE(D14:J14)</f>
        <v>152.41769962649599</v>
      </c>
      <c r="H7" s="537"/>
      <c r="I7" s="536">
        <f>AVERAGE(K14:M14)</f>
        <v>133.84482908728884</v>
      </c>
      <c r="J7" s="537"/>
      <c r="K7" s="35"/>
      <c r="L7" s="35"/>
      <c r="M7" s="35"/>
      <c r="N7" s="35"/>
    </row>
    <row r="8" spans="2:17" ht="28.5" customHeight="1">
      <c r="B8" s="562"/>
      <c r="C8" s="532" t="s">
        <v>94</v>
      </c>
      <c r="D8" s="533"/>
      <c r="E8" s="538">
        <f>AVERAGE(D15:M15)</f>
        <v>0.95723887523463225</v>
      </c>
      <c r="F8" s="539">
        <f>AVERAGE(D15:J15,D29:O29)</f>
        <v>0.95735987755878271</v>
      </c>
      <c r="G8" s="540">
        <f>AVERAGE(D15:J15)</f>
        <v>0.95735987755878271</v>
      </c>
      <c r="H8" s="541"/>
      <c r="I8" s="540">
        <f>AVERAGE(K15:M15)</f>
        <v>0.95695653647828116</v>
      </c>
      <c r="J8" s="541"/>
      <c r="K8" s="36" t="s">
        <v>212</v>
      </c>
      <c r="L8" s="35"/>
      <c r="M8" s="35"/>
      <c r="N8" s="35"/>
    </row>
    <row r="9" spans="2:17" ht="28.5" customHeight="1" thickBot="1">
      <c r="H9" s="38"/>
      <c r="N9" s="35"/>
      <c r="O9" s="35"/>
      <c r="P9" s="35"/>
      <c r="Q9" s="35"/>
    </row>
    <row r="10" spans="2:17" ht="30" customHeight="1">
      <c r="B10" s="515" t="s">
        <v>123</v>
      </c>
      <c r="C10" s="516"/>
      <c r="D10" s="517" t="s">
        <v>95</v>
      </c>
      <c r="E10" s="518"/>
      <c r="F10" s="518"/>
      <c r="G10" s="518"/>
      <c r="H10" s="518"/>
      <c r="I10" s="518"/>
      <c r="J10" s="519"/>
      <c r="K10" s="520" t="s">
        <v>997</v>
      </c>
      <c r="L10" s="521"/>
      <c r="M10" s="522"/>
      <c r="P10" s="39"/>
      <c r="Q10" s="39"/>
    </row>
    <row r="11" spans="2:17" ht="17.25" customHeight="1">
      <c r="B11" s="523" t="s">
        <v>126</v>
      </c>
      <c r="C11" s="524"/>
      <c r="D11" s="40">
        <v>1</v>
      </c>
      <c r="E11" s="41">
        <v>2</v>
      </c>
      <c r="F11" s="41">
        <v>3</v>
      </c>
      <c r="G11" s="41">
        <v>4</v>
      </c>
      <c r="H11" s="41">
        <v>5</v>
      </c>
      <c r="I11" s="41">
        <v>6</v>
      </c>
      <c r="J11" s="42">
        <v>7</v>
      </c>
      <c r="K11" s="40">
        <v>1</v>
      </c>
      <c r="L11" s="41">
        <v>2</v>
      </c>
      <c r="M11" s="42">
        <v>3</v>
      </c>
      <c r="P11" s="39"/>
      <c r="Q11" s="39"/>
    </row>
    <row r="12" spans="2:17" ht="34.15" customHeight="1">
      <c r="B12" s="525"/>
      <c r="C12" s="526"/>
      <c r="D12" s="43" t="s">
        <v>96</v>
      </c>
      <c r="E12" s="44" t="s">
        <v>97</v>
      </c>
      <c r="F12" s="44" t="s">
        <v>98</v>
      </c>
      <c r="G12" s="44" t="s">
        <v>99</v>
      </c>
      <c r="H12" s="44" t="s">
        <v>100</v>
      </c>
      <c r="I12" s="44" t="s">
        <v>101</v>
      </c>
      <c r="J12" s="45" t="s">
        <v>102</v>
      </c>
      <c r="K12" s="43" t="s">
        <v>103</v>
      </c>
      <c r="L12" s="44" t="s">
        <v>104</v>
      </c>
      <c r="M12" s="45" t="s">
        <v>105</v>
      </c>
    </row>
    <row r="13" spans="2:17" ht="40.15" customHeight="1">
      <c r="B13" s="527" t="s">
        <v>106</v>
      </c>
      <c r="C13" s="46" t="s">
        <v>107</v>
      </c>
      <c r="D13" s="47">
        <f>SUMIFS('1013 4度C'!$K:$K,'1013 4度C'!$A:$A,"新豐6線",'1013 4度C'!$B:$B,"平均")</f>
        <v>125</v>
      </c>
      <c r="E13" s="48">
        <f>SUMIFS('1013 4度C'!$K:$K,'1013 4度C'!$A:$A,"新豐2線",'1013 4度C'!$B:$B,"平均")</f>
        <v>81.081081081081081</v>
      </c>
      <c r="F13" s="49">
        <f>SUMIFS('1013 4度C'!$K:$K,'1013 4度C'!$A:$A,"新豐5線",'1013 4度C'!$B:$B,"平均")</f>
        <v>92.10526315789474</v>
      </c>
      <c r="G13" s="49">
        <f>SUMIFS('1013 4度C'!$K:$K,'1013 4度C'!$A:$A,"新豐7線",'1013 4度C'!$B:$B,"平均")</f>
        <v>119.40298507462687</v>
      </c>
      <c r="H13" s="49">
        <f>SUMIFS('1013 4度C'!$K:$K,'1013 4度C'!$A:$A,"新豐3線",'1013 4度C'!$B:$B,"平均")</f>
        <v>310.34482758620692</v>
      </c>
      <c r="I13" s="49">
        <f>SUMIFS('1013 4度C'!$K:$K,'1013 4度C'!$A:$A,"新豐1線",'1013 4度C'!$B:$B,"平均")</f>
        <v>117.34693877551021</v>
      </c>
      <c r="J13" s="50">
        <f>SUMIFS('1013 4度C'!$K:$K,'1013 4度C'!$A:$A,"新豐10線",'1013 4度C'!$B:$B,"平均")</f>
        <v>269.23076923076923</v>
      </c>
      <c r="K13" s="51">
        <f>SUMIFS('1013 4度C'!$K:$K,'1013 4度C'!$A:$A,"新豐8線",'1013 4度C'!$B:$B,"平均")</f>
        <v>135.48387096774192</v>
      </c>
      <c r="L13" s="52">
        <f>SUMIFS('1013 4度C'!$K:$K,'1013 4度C'!$A:$A,"新豐9線",'1013 4度C'!$B:$B,"平均")</f>
        <v>139.13043478260869</v>
      </c>
      <c r="M13" s="50">
        <f>SUMIFS('1013 4度C'!$K:$K,'1013 4度C'!$A:$A,"新豐4線",'1013 4度C'!$B:$B,"平均")</f>
        <v>144.96644295302013</v>
      </c>
    </row>
    <row r="14" spans="2:17" ht="39.6" customHeight="1">
      <c r="B14" s="528"/>
      <c r="C14" s="53" t="s">
        <v>128</v>
      </c>
      <c r="D14" s="54">
        <f>SUMIFS('1013 4度C'!$N:$N,'1013 4度C'!$A:$A,"新豐6線",'1013 4度C'!$B:$B,"平均")</f>
        <v>120.15839041095886</v>
      </c>
      <c r="E14" s="55">
        <f>SUMIFS('1013 4度C'!$N:$N,'1013 4度C'!$A:$A,"新豐2線",'1013 4度C'!$B:$B,"平均")</f>
        <v>77.397933991683985</v>
      </c>
      <c r="F14" s="55">
        <f>SUMIFS('1013 4度C'!$N:$N,'1013 4度C'!$A:$A,"新豐5線",'1013 4度C'!$B:$B,"平均")</f>
        <v>88.129407524759245</v>
      </c>
      <c r="G14" s="55">
        <f>SUMIFS('1013 4度C'!$N:$N,'1013 4度C'!$A:$A,"新豐7線",'1013 4度C'!$B:$B,"平均")</f>
        <v>114.18523605548434</v>
      </c>
      <c r="H14" s="55">
        <f>SUMIFS('1013 4度C'!$N:$N,'1013 4度C'!$A:$A,"新豐3線",'1013 4度C'!$B:$B,"平均")</f>
        <v>297.04967881998442</v>
      </c>
      <c r="I14" s="55">
        <f>SUMIFS('1013 4度C'!$N:$N,'1013 4度C'!$A:$A,"新豐1線",'1013 4度C'!$B:$B,"平均")</f>
        <v>112.5512137305643</v>
      </c>
      <c r="J14" s="56">
        <f>SUMIFS('1013 4度C'!$N:$N,'1013 4度C'!$A:$A,"新豐10線",'1013 4度C'!$B:$B,"平均")</f>
        <v>257.45203685203688</v>
      </c>
      <c r="K14" s="57">
        <f>SUMIFS('1013 4度C'!$N:$N,'1013 4度C'!$A:$A,"新豐8線",'1013 4度C'!$B:$B,"平均")</f>
        <v>129.50588404581077</v>
      </c>
      <c r="L14" s="58">
        <f>SUMIFS('1013 4度C'!$N:$N,'1013 4度C'!$A:$A,"新豐9線",'1013 4度C'!$B:$B,"平均")</f>
        <v>133.05337593319672</v>
      </c>
      <c r="M14" s="56">
        <f>SUMIFS('1013 4度C'!$N:$N,'1013 4度C'!$A:$A,"新豐4線",'1013 4度C'!$B:$B,"平均")</f>
        <v>138.97522728285901</v>
      </c>
    </row>
    <row r="15" spans="2:17" ht="40.15" customHeight="1">
      <c r="B15" s="529"/>
      <c r="C15" s="59" t="s">
        <v>129</v>
      </c>
      <c r="D15" s="60">
        <f t="shared" ref="D15:M15" si="0">D14/D13</f>
        <v>0.96126712328767083</v>
      </c>
      <c r="E15" s="61">
        <f t="shared" si="0"/>
        <v>0.95457451923076919</v>
      </c>
      <c r="F15" s="61">
        <f t="shared" si="0"/>
        <v>0.9568335674116718</v>
      </c>
      <c r="G15" s="61">
        <f t="shared" si="0"/>
        <v>0.95630135196468136</v>
      </c>
      <c r="H15" s="61">
        <f t="shared" si="0"/>
        <v>0.95716007619772747</v>
      </c>
      <c r="I15" s="61">
        <f t="shared" si="0"/>
        <v>0.95913208222567836</v>
      </c>
      <c r="J15" s="62">
        <f t="shared" si="0"/>
        <v>0.95625042259327986</v>
      </c>
      <c r="K15" s="60">
        <f t="shared" si="0"/>
        <v>0.95587676319527004</v>
      </c>
      <c r="L15" s="61">
        <f t="shared" si="0"/>
        <v>0.95632113951985143</v>
      </c>
      <c r="M15" s="62">
        <f t="shared" si="0"/>
        <v>0.95867170671972191</v>
      </c>
    </row>
    <row r="16" spans="2:17" ht="17.25" customHeight="1">
      <c r="B16" s="530" t="s">
        <v>130</v>
      </c>
      <c r="C16" s="63" t="s">
        <v>131</v>
      </c>
      <c r="D16" s="64">
        <f>VLOOKUP("新豐6線",'1013 4度C'!$A:$T,19,0)</f>
        <v>0.70833333333333337</v>
      </c>
      <c r="E16" s="24">
        <f>VLOOKUP("新豐2線",'1013 4度C'!$A:$T,19,0)</f>
        <v>0.20833333333333334</v>
      </c>
      <c r="F16" s="24">
        <f>VLOOKUP("新豐5線",'1013 4度C'!$A:$T,19,0)</f>
        <v>0.20833333333333334</v>
      </c>
      <c r="G16" s="24">
        <f>VLOOKUP("新豐7線",'1013 4度C'!$A:$T,19,0)</f>
        <v>0.20833333333333334</v>
      </c>
      <c r="H16" s="24">
        <f>VLOOKUP("新豐3線",'1013 4度C'!$A:$T,19,0)</f>
        <v>8.3333333333333329E-2</v>
      </c>
      <c r="I16" s="24">
        <f>VLOOKUP("新豐1線",'1013 4度C'!$A:$T,19,0)</f>
        <v>0.29166666666666669</v>
      </c>
      <c r="J16" s="65">
        <f>VLOOKUP("新豐10線",'1013 4度C'!$A:$T,19,0)</f>
        <v>0.20833333333333334</v>
      </c>
      <c r="K16" s="66">
        <f>VLOOKUP("新豐8線",'1013 4度C'!$A:$T,19,0)</f>
        <v>8.3333333333333329E-2</v>
      </c>
      <c r="L16" s="67">
        <f>VLOOKUP("新豐9線",'1013 4度C'!$A:$T,19,0)</f>
        <v>8.3333333333333329E-2</v>
      </c>
      <c r="M16" s="68">
        <f>VLOOKUP("新豐4線",'1013 4度C'!$A:$T,19,0)</f>
        <v>8.3333333333333329E-2</v>
      </c>
    </row>
    <row r="17" spans="2:13" ht="17.25" customHeight="1">
      <c r="B17" s="531"/>
      <c r="C17" s="63" t="s">
        <v>132</v>
      </c>
      <c r="D17" s="66">
        <f>LOOKUP(2,1/(('1013 4度C'!$A:$A="新豐6線")*('1013 4度C'!$T:$T&lt;&gt;"")),'1013 4度C'!$T:$T)</f>
        <v>0.83333333333333337</v>
      </c>
      <c r="E17" s="24">
        <f>LOOKUP(2,1/(('1013 4度C'!$A:$A="新豐2線")*('1013 4度C'!$T:$T&lt;&gt;"")),'1013 4度C'!$T:$T)</f>
        <v>0.52638888888888891</v>
      </c>
      <c r="F17" s="24">
        <f>LOOKUP(2,1/(('1013 4度C'!$A:$A="新豐5線")*('1013 4度C'!$T:$T&lt;&gt;"")),'1013 4度C'!$T:$T)</f>
        <v>0.8569444444444444</v>
      </c>
      <c r="G17" s="24">
        <f>LOOKUP(2,1/(('1013 4度C'!$A:$A="新豐7線")*('1013 4度C'!$T:$T&lt;&gt;"")),'1013 4度C'!$T:$T)</f>
        <v>0.77152777777777781</v>
      </c>
      <c r="H17" s="24">
        <f>LOOKUP(2,1/(('1013 4度C'!$A:$A="新豐3線")*('1013 4度C'!$T:$T&lt;&gt;"")),'1013 4度C'!$T:$T)</f>
        <v>0.5083333333333333</v>
      </c>
      <c r="I17" s="24">
        <f>LOOKUP(2,1/(('1013 4度C'!$A:$A="新豐1線")*('1013 4度C'!$T:$T&lt;&gt;"")),'1013 4度C'!$T:$T)</f>
        <v>0.85972222222222217</v>
      </c>
      <c r="J17" s="65">
        <f>LOOKUP(2,1/(('1013 4度C'!$A:$A="新豐10線")*('1013 4度C'!$T:$T&lt;&gt;"")),'1013 4度C'!$T:$T)</f>
        <v>0.47847222222222219</v>
      </c>
      <c r="K17" s="64">
        <f>LOOKUP(2,1/(('1013 4度C'!$A:$A="新豐8線")*('1013 4度C'!$T:$T&lt;&gt;"")),'1013 4度C'!$T:$T)</f>
        <v>0.70972222222222214</v>
      </c>
      <c r="L17" s="24">
        <f>LOOKUP(2,1/(('1013 4度C'!$A:$A="新豐9線")*('1013 4度C'!$T:$T&lt;&gt;"")),'1013 4度C'!$T:$T)</f>
        <v>0.75069444444444422</v>
      </c>
      <c r="M17" s="65">
        <f>LOOKUP(2,1/(('1013 4度C'!$A:$A="新豐4線")*('1013 4度C'!$T:$T&lt;&gt;"")),'1013 4度C'!$T:$T)</f>
        <v>0.76111111111111096</v>
      </c>
    </row>
    <row r="18" spans="2:13" ht="17.25" customHeight="1">
      <c r="B18" s="509" t="s">
        <v>223</v>
      </c>
      <c r="C18" s="510"/>
      <c r="D18" s="69">
        <f>SUMIFS('1013 4度C'!$I:$I,'1013 4度C'!$A:$A,"新豐6線",'1013 4度C'!$B:$B,"平均")</f>
        <v>16</v>
      </c>
      <c r="E18" s="70">
        <f>SUMIFS('1013 4度C'!$I:$I,'1013 4度C'!$A:$A,"新豐2線",'1013 4度C'!$B:$B,"平均")</f>
        <v>18.5</v>
      </c>
      <c r="F18" s="70">
        <f>SUMIFS('1013 4度C'!$I:$I,'1013 4度C'!$A:$A,"新豐5線",'1013 4度C'!$B:$B,"平均")</f>
        <v>19</v>
      </c>
      <c r="G18" s="70">
        <f>SUMIFS('1013 4度C'!$I:$I,'1013 4度C'!$A:$A,"新豐7線",'1013 4度C'!$B:$B,"平均")</f>
        <v>16.75</v>
      </c>
      <c r="H18" s="70">
        <f>SUMIFS('1013 4度C'!$I:$I,'1013 4度C'!$A:$A,"新豐3線",'1013 4度C'!$B:$B,"平均")</f>
        <v>9.6666666666666661</v>
      </c>
      <c r="I18" s="70">
        <f>SUMIFS('1013 4度C'!$I:$I,'1013 4度C'!$A:$A,"新豐1線",'1013 4度C'!$B:$B,"平均")</f>
        <v>16.333333333333332</v>
      </c>
      <c r="J18" s="71">
        <f>SUMIFS('1013 4度C'!$I:$I,'1013 4度C'!$A:$A,"新豐10線",'1013 4度C'!$B:$B,"平均")</f>
        <v>9.75</v>
      </c>
      <c r="K18" s="69">
        <f>SUMIFS('1013 4度C'!$I:$I,'1013 4度C'!$A:$A,"新豐8線",'1013 4度C'!$B:$B,"平均")</f>
        <v>17.714285714285715</v>
      </c>
      <c r="L18" s="70">
        <f>SUMIFS('1013 4度C'!$I:$I,'1013 4度C'!$A:$A,"新豐9線",'1013 4度C'!$B:$B,"平均")</f>
        <v>17.25</v>
      </c>
      <c r="M18" s="71">
        <f>SUMIFS('1013 4度C'!$I:$I,'1013 4度C'!$A:$A,"新豐4線",'1013 4度C'!$B:$B,"平均")</f>
        <v>16.555555555555557</v>
      </c>
    </row>
    <row r="19" spans="2:13" ht="17.25" customHeight="1">
      <c r="B19" s="509" t="s">
        <v>133</v>
      </c>
      <c r="C19" s="510"/>
      <c r="D19" s="72" t="s">
        <v>109</v>
      </c>
      <c r="E19" s="73" t="s">
        <v>110</v>
      </c>
      <c r="F19" s="73" t="s">
        <v>998</v>
      </c>
      <c r="G19" s="73" t="s">
        <v>134</v>
      </c>
      <c r="H19" s="73" t="s">
        <v>111</v>
      </c>
      <c r="I19" s="73" t="s">
        <v>109</v>
      </c>
      <c r="J19" s="74" t="s">
        <v>111</v>
      </c>
      <c r="K19" s="72" t="s">
        <v>999</v>
      </c>
      <c r="L19" s="73" t="s">
        <v>136</v>
      </c>
      <c r="M19" s="74" t="s">
        <v>136</v>
      </c>
    </row>
    <row r="20" spans="2:13" ht="17.25" customHeight="1">
      <c r="B20" s="509" t="s">
        <v>1000</v>
      </c>
      <c r="C20" s="510"/>
      <c r="D20" s="72"/>
      <c r="E20" s="73"/>
      <c r="F20" s="73" t="s">
        <v>140</v>
      </c>
      <c r="G20" s="73" t="s">
        <v>109</v>
      </c>
      <c r="H20" s="73"/>
      <c r="I20" s="73"/>
      <c r="J20" s="74"/>
      <c r="K20" s="72"/>
      <c r="L20" s="73"/>
      <c r="M20" s="74"/>
    </row>
    <row r="21" spans="2:13" ht="17.25" customHeight="1" thickBot="1">
      <c r="B21" s="511" t="s">
        <v>141</v>
      </c>
      <c r="C21" s="512"/>
      <c r="D21" s="75"/>
      <c r="E21" s="76" t="s">
        <v>142</v>
      </c>
      <c r="F21" s="513" t="s">
        <v>143</v>
      </c>
      <c r="G21" s="514"/>
      <c r="H21" s="76" t="s">
        <v>1001</v>
      </c>
      <c r="I21" s="76" t="s">
        <v>145</v>
      </c>
      <c r="J21" s="77" t="s">
        <v>144</v>
      </c>
      <c r="K21" s="78"/>
      <c r="L21" s="76"/>
      <c r="M21" s="77"/>
    </row>
    <row r="22" spans="2:13" ht="17.25" customHeight="1"/>
    <row r="23" spans="2:13" ht="17.25" customHeight="1"/>
    <row r="24" spans="2:13" ht="17.25" customHeight="1"/>
    <row r="25" spans="2:13" ht="37.5" customHeight="1"/>
    <row r="26" spans="2:13" ht="35.25" customHeight="1"/>
    <row r="27" spans="2:13" ht="35.25" customHeight="1"/>
    <row r="28" spans="2:13" ht="39.75" customHeight="1"/>
  </sheetData>
  <mergeCells count="36">
    <mergeCell ref="B1:J2"/>
    <mergeCell ref="C3:D3"/>
    <mergeCell ref="F3:G3"/>
    <mergeCell ref="I3:J3"/>
    <mergeCell ref="B4:B8"/>
    <mergeCell ref="C4:D4"/>
    <mergeCell ref="E4:F4"/>
    <mergeCell ref="G4:H4"/>
    <mergeCell ref="I4:J4"/>
    <mergeCell ref="C5:D5"/>
    <mergeCell ref="E5:F5"/>
    <mergeCell ref="G5:H5"/>
    <mergeCell ref="I5:J5"/>
    <mergeCell ref="C6:D6"/>
    <mergeCell ref="E6:F6"/>
    <mergeCell ref="G6:H6"/>
    <mergeCell ref="I6:J6"/>
    <mergeCell ref="B16:B17"/>
    <mergeCell ref="C7:D7"/>
    <mergeCell ref="E7:F7"/>
    <mergeCell ref="G7:H7"/>
    <mergeCell ref="I7:J7"/>
    <mergeCell ref="C8:D8"/>
    <mergeCell ref="E8:F8"/>
    <mergeCell ref="G8:H8"/>
    <mergeCell ref="I8:J8"/>
    <mergeCell ref="B10:C10"/>
    <mergeCell ref="D10:J10"/>
    <mergeCell ref="B20:C20"/>
    <mergeCell ref="B21:C21"/>
    <mergeCell ref="F21:G21"/>
    <mergeCell ref="K10:M10"/>
    <mergeCell ref="B11:C12"/>
    <mergeCell ref="B13:B15"/>
    <mergeCell ref="B18:C18"/>
    <mergeCell ref="B19:C19"/>
  </mergeCells>
  <phoneticPr fontId="3" type="noConversion"/>
  <conditionalFormatting sqref="D15:M15">
    <cfRule type="cellIs" dxfId="822" priority="1" operator="lessThan">
      <formula>0.8</formula>
    </cfRule>
  </conditionalFormatting>
  <pageMargins left="0.7" right="0.7" top="0.75" bottom="0.75" header="0.3" footer="0.3"/>
  <pageSetup paperSize="9" orientation="portrait" horizontalDpi="300" verticalDpi="300" r:id="rId1"/>
</worksheet>
</file>

<file path=xl/worksheets/sheet3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工作表137">
    <pageSetUpPr fitToPage="1"/>
  </sheetPr>
  <dimension ref="A1:AC68"/>
  <sheetViews>
    <sheetView zoomScale="80" zoomScaleNormal="80" workbookViewId="0">
      <pane ySplit="4" topLeftCell="A50" activePane="bottomLeft" state="frozen"/>
      <selection activeCell="C3" sqref="C3:D3"/>
      <selection pane="bottomLeft" activeCell="A2" sqref="A2"/>
    </sheetView>
  </sheetViews>
  <sheetFormatPr defaultColWidth="8" defaultRowHeight="15.75"/>
  <cols>
    <col min="1" max="1" width="15.125" style="5" customWidth="1"/>
    <col min="2" max="2" width="19.375" style="5" customWidth="1"/>
    <col min="3" max="3" width="15.25" style="5" customWidth="1"/>
    <col min="4" max="4" width="17.5" style="5" customWidth="1"/>
    <col min="5" max="5" width="7.5" style="5" customWidth="1"/>
    <col min="6" max="7" width="14.375" style="5" customWidth="1"/>
    <col min="8" max="8" width="8" style="5" customWidth="1"/>
    <col min="9" max="9" width="5.875" style="5" customWidth="1"/>
    <col min="10" max="10" width="10.625" style="5" customWidth="1"/>
    <col min="11" max="11" width="14.625" style="5" customWidth="1"/>
    <col min="12" max="12" width="7.25" style="5" customWidth="1"/>
    <col min="13" max="13" width="8" style="5" customWidth="1"/>
    <col min="14" max="14" width="12" style="5" customWidth="1"/>
    <col min="15" max="15" width="6" style="5" customWidth="1"/>
    <col min="16" max="16" width="9.25" style="5" customWidth="1"/>
    <col min="17" max="17" width="11.5" style="5" customWidth="1"/>
    <col min="18" max="18" width="8.5" style="5" customWidth="1"/>
    <col min="19" max="19" width="10.125" style="22" bestFit="1" customWidth="1"/>
    <col min="20" max="20" width="7.625" style="22" bestFit="1" customWidth="1"/>
    <col min="21" max="21" width="10.25" style="5" bestFit="1" customWidth="1"/>
    <col min="22" max="22" width="8.75" style="18" customWidth="1"/>
    <col min="23" max="23" width="7.375" style="5" customWidth="1"/>
    <col min="24" max="24" width="6.875" style="5" bestFit="1" customWidth="1"/>
    <col min="25" max="25" width="12.75" style="5" customWidth="1"/>
    <col min="26" max="26" width="18.875" style="5" customWidth="1"/>
    <col min="27" max="27" width="13.125" style="5" bestFit="1" customWidth="1"/>
    <col min="28" max="28" width="10.375" style="5" customWidth="1"/>
    <col min="29" max="29" width="9.375" style="5" customWidth="1"/>
    <col min="30" max="30" width="8" style="5"/>
    <col min="31" max="31" width="24.625" style="5" bestFit="1" customWidth="1"/>
    <col min="32" max="16384" width="8" style="5"/>
  </cols>
  <sheetData>
    <row r="1" spans="1:29" ht="26.25" customHeight="1">
      <c r="A1" s="1" t="s">
        <v>1002</v>
      </c>
      <c r="B1" s="1"/>
      <c r="C1" s="2" t="s">
        <v>1003</v>
      </c>
      <c r="D1" s="3">
        <f>SUM(F5:F67)</f>
        <v>189160</v>
      </c>
      <c r="E1" s="236" t="s">
        <v>1004</v>
      </c>
      <c r="F1" s="1">
        <f>SUM(G5:G67)</f>
        <v>6146320.6099999994</v>
      </c>
      <c r="G1" s="1" t="s">
        <v>1005</v>
      </c>
      <c r="H1" s="4">
        <f>L8+L11+L45+L52+L16+L57+L29+L38+L21+L67</f>
        <v>157.51984126984127</v>
      </c>
      <c r="I1" s="652" t="s">
        <v>1006</v>
      </c>
      <c r="J1" s="652"/>
      <c r="K1" s="652"/>
      <c r="L1" s="652" t="s">
        <v>1007</v>
      </c>
      <c r="M1" s="652"/>
      <c r="N1" s="652"/>
      <c r="O1" s="652" t="s">
        <v>1008</v>
      </c>
      <c r="P1" s="652"/>
      <c r="Q1" s="652"/>
      <c r="R1" s="652"/>
      <c r="S1" s="652" t="s">
        <v>1009</v>
      </c>
      <c r="T1" s="652"/>
      <c r="U1" s="652"/>
      <c r="V1" s="652"/>
      <c r="W1" s="652"/>
      <c r="X1" s="652"/>
      <c r="Y1" s="652" t="s">
        <v>1010</v>
      </c>
      <c r="Z1" s="652"/>
      <c r="AA1" s="652" t="s">
        <v>1011</v>
      </c>
      <c r="AB1" s="653"/>
      <c r="AC1" s="653"/>
    </row>
    <row r="2" spans="1:29" ht="26.25" customHeight="1">
      <c r="A2" s="19">
        <v>45943</v>
      </c>
      <c r="B2" s="20" t="s">
        <v>540</v>
      </c>
      <c r="C2" s="2" t="s">
        <v>1012</v>
      </c>
      <c r="D2" s="6">
        <f>AVERAGE(N8,N11,N45,N52,N16,N57,N21,N29,N38,N67)</f>
        <v>146.84583846473387</v>
      </c>
      <c r="E2" s="7" t="s">
        <v>2</v>
      </c>
      <c r="F2" s="8">
        <f>F1/D1</f>
        <v>32.492707813491222</v>
      </c>
      <c r="G2" s="1" t="s">
        <v>1013</v>
      </c>
      <c r="H2" s="245">
        <f>COUNT(H5:H67)</f>
        <v>7</v>
      </c>
      <c r="I2" s="652"/>
      <c r="J2" s="652"/>
      <c r="K2" s="652"/>
      <c r="L2" s="652"/>
      <c r="M2" s="652"/>
      <c r="N2" s="652"/>
      <c r="O2" s="652"/>
      <c r="P2" s="652"/>
      <c r="Q2" s="652"/>
      <c r="R2" s="652"/>
      <c r="S2" s="652"/>
      <c r="T2" s="652"/>
      <c r="U2" s="652"/>
      <c r="V2" s="652"/>
      <c r="W2" s="652"/>
      <c r="X2" s="652"/>
      <c r="Y2" s="652"/>
      <c r="Z2" s="652"/>
      <c r="AA2" s="653"/>
      <c r="AB2" s="653"/>
      <c r="AC2" s="653"/>
    </row>
    <row r="3" spans="1:29" ht="23.25" customHeight="1">
      <c r="A3" s="617" t="s">
        <v>1014</v>
      </c>
      <c r="B3" s="617" t="s">
        <v>1015</v>
      </c>
      <c r="C3" s="617" t="s">
        <v>1016</v>
      </c>
      <c r="D3" s="617"/>
      <c r="E3" s="654" t="s">
        <v>1017</v>
      </c>
      <c r="F3" s="617" t="s">
        <v>1018</v>
      </c>
      <c r="G3" s="654" t="s">
        <v>1019</v>
      </c>
      <c r="H3" s="646" t="s">
        <v>9</v>
      </c>
      <c r="I3" s="645" t="s">
        <v>1020</v>
      </c>
      <c r="J3" s="649" t="s">
        <v>1021</v>
      </c>
      <c r="K3" s="651" t="s">
        <v>1012</v>
      </c>
      <c r="L3" s="645" t="s">
        <v>1020</v>
      </c>
      <c r="M3" s="649" t="s">
        <v>1021</v>
      </c>
      <c r="N3" s="651" t="s">
        <v>1012</v>
      </c>
      <c r="O3" s="645" t="s">
        <v>1020</v>
      </c>
      <c r="P3" s="651" t="s">
        <v>1012</v>
      </c>
      <c r="Q3" s="650" t="s">
        <v>1022</v>
      </c>
      <c r="R3" s="633" t="s">
        <v>1023</v>
      </c>
      <c r="S3" s="656" t="s">
        <v>14</v>
      </c>
      <c r="T3" s="656"/>
      <c r="U3" s="646" t="s">
        <v>15</v>
      </c>
      <c r="V3" s="646" t="s">
        <v>1024</v>
      </c>
      <c r="W3" s="617" t="s">
        <v>1025</v>
      </c>
      <c r="X3" s="617"/>
      <c r="Y3" s="647" t="s">
        <v>1026</v>
      </c>
      <c r="Z3" s="648"/>
      <c r="AA3" s="649" t="s">
        <v>1021</v>
      </c>
      <c r="AB3" s="650" t="s">
        <v>1022</v>
      </c>
      <c r="AC3" s="633" t="s">
        <v>1023</v>
      </c>
    </row>
    <row r="4" spans="1:29">
      <c r="A4" s="617"/>
      <c r="B4" s="617"/>
      <c r="C4" s="617"/>
      <c r="D4" s="617"/>
      <c r="E4" s="655"/>
      <c r="F4" s="617"/>
      <c r="G4" s="655"/>
      <c r="H4" s="646"/>
      <c r="I4" s="645"/>
      <c r="J4" s="649"/>
      <c r="K4" s="651"/>
      <c r="L4" s="645"/>
      <c r="M4" s="649"/>
      <c r="N4" s="651"/>
      <c r="O4" s="645"/>
      <c r="P4" s="651"/>
      <c r="Q4" s="650"/>
      <c r="R4" s="633"/>
      <c r="S4" s="246" t="s">
        <v>18</v>
      </c>
      <c r="T4" s="246" t="s">
        <v>19</v>
      </c>
      <c r="U4" s="646"/>
      <c r="V4" s="646"/>
      <c r="W4" s="236" t="s">
        <v>1027</v>
      </c>
      <c r="X4" s="236" t="s">
        <v>1028</v>
      </c>
      <c r="Y4" s="648"/>
      <c r="Z4" s="648"/>
      <c r="AA4" s="649"/>
      <c r="AB4" s="650"/>
      <c r="AC4" s="633"/>
    </row>
    <row r="5" spans="1:29">
      <c r="A5" s="644" t="s">
        <v>1029</v>
      </c>
      <c r="B5" s="26" t="s">
        <v>36</v>
      </c>
      <c r="C5" s="601" t="s">
        <v>37</v>
      </c>
      <c r="D5" s="601"/>
      <c r="E5" s="26">
        <v>46.93</v>
      </c>
      <c r="F5" s="246">
        <v>1027</v>
      </c>
      <c r="G5" s="236">
        <f>E5*F5</f>
        <v>48197.11</v>
      </c>
      <c r="H5" s="21" t="s">
        <v>35</v>
      </c>
      <c r="I5" s="243">
        <v>16</v>
      </c>
      <c r="J5" s="23">
        <v>2000</v>
      </c>
      <c r="K5" s="9">
        <f>J5/I5</f>
        <v>125</v>
      </c>
      <c r="L5" s="243">
        <v>16</v>
      </c>
      <c r="M5" s="10">
        <f>F5/V5*60</f>
        <v>1925.6249999999975</v>
      </c>
      <c r="N5" s="9">
        <f>M5/L5</f>
        <v>120.35156249999984</v>
      </c>
      <c r="O5" s="11">
        <f t="shared" ref="O5:O7" si="0">L5-I5</f>
        <v>0</v>
      </c>
      <c r="P5" s="12">
        <f t="shared" ref="P5:P7" si="1">N5-K5</f>
        <v>-4.6484375000001563</v>
      </c>
      <c r="Q5" s="239">
        <f>N5/K5</f>
        <v>0.96281249999999874</v>
      </c>
      <c r="R5" s="571">
        <f>Q8</f>
        <v>0.96126712328767083</v>
      </c>
      <c r="S5" s="24">
        <v>0.70833333333333337</v>
      </c>
      <c r="T5" s="24">
        <v>0.73055555555555562</v>
      </c>
      <c r="U5" s="236"/>
      <c r="V5" s="244">
        <f>(T5-S5)*24*60</f>
        <v>32.000000000000043</v>
      </c>
      <c r="W5" s="13"/>
      <c r="X5" s="14"/>
      <c r="Y5" s="617"/>
      <c r="Z5" s="617"/>
      <c r="AA5" s="11">
        <f t="shared" ref="AA5:AA67" si="2">M5-J5</f>
        <v>-74.375000000002501</v>
      </c>
      <c r="AB5" s="239">
        <f t="shared" ref="AB5:AB7" si="3">M5/J5</f>
        <v>0.96281249999999874</v>
      </c>
      <c r="AC5" s="571">
        <f>AB8</f>
        <v>0.96126712328767083</v>
      </c>
    </row>
    <row r="6" spans="1:29">
      <c r="A6" s="645" t="s">
        <v>1030</v>
      </c>
      <c r="B6" s="26" t="s">
        <v>36</v>
      </c>
      <c r="C6" s="601" t="s">
        <v>38</v>
      </c>
      <c r="D6" s="601"/>
      <c r="E6" s="26">
        <v>50.49</v>
      </c>
      <c r="F6" s="246">
        <v>2327</v>
      </c>
      <c r="G6" s="236">
        <f t="shared" ref="G6:G7" si="4">E6*F6</f>
        <v>117490.23000000001</v>
      </c>
      <c r="H6" s="21" t="s">
        <v>35</v>
      </c>
      <c r="I6" s="243">
        <v>15</v>
      </c>
      <c r="J6" s="23">
        <v>2000</v>
      </c>
      <c r="K6" s="9">
        <f t="shared" ref="K6:K7" si="5">J6/I6</f>
        <v>133.33333333333334</v>
      </c>
      <c r="L6" s="243">
        <v>15</v>
      </c>
      <c r="M6" s="10">
        <f>F6/V6*60</f>
        <v>1912.6027397260259</v>
      </c>
      <c r="N6" s="9">
        <f t="shared" ref="N6:N7" si="6">M6/L6</f>
        <v>127.50684931506839</v>
      </c>
      <c r="O6" s="11">
        <f t="shared" si="0"/>
        <v>0</v>
      </c>
      <c r="P6" s="12">
        <f t="shared" si="1"/>
        <v>-5.8264840182649493</v>
      </c>
      <c r="Q6" s="239">
        <f t="shared" ref="Q6:Q7" si="7">N6/K6</f>
        <v>0.95630136986301284</v>
      </c>
      <c r="R6" s="571"/>
      <c r="S6" s="24">
        <v>0.73472222222222228</v>
      </c>
      <c r="T6" s="24">
        <v>0.78541666666666676</v>
      </c>
      <c r="U6" s="236">
        <f>IF(S6=TIME(17,0,0),"",(S6-T5)*24*60)</f>
        <v>5.9999999999999787</v>
      </c>
      <c r="V6" s="244">
        <f>(T6-S6)*24*60</f>
        <v>73.000000000000057</v>
      </c>
      <c r="W6" s="13"/>
      <c r="X6" s="13"/>
      <c r="Y6" s="617"/>
      <c r="Z6" s="617"/>
      <c r="AA6" s="11">
        <f t="shared" si="2"/>
        <v>-87.397260273974098</v>
      </c>
      <c r="AB6" s="239">
        <f t="shared" si="3"/>
        <v>0.95630136986301295</v>
      </c>
      <c r="AC6" s="571"/>
    </row>
    <row r="7" spans="1:29">
      <c r="A7" s="645" t="s">
        <v>1030</v>
      </c>
      <c r="B7" s="26" t="s">
        <v>36</v>
      </c>
      <c r="C7" s="594" t="s">
        <v>39</v>
      </c>
      <c r="D7" s="595"/>
      <c r="E7" s="26">
        <v>50.67</v>
      </c>
      <c r="F7" s="246">
        <v>2058</v>
      </c>
      <c r="G7" s="236">
        <f t="shared" si="4"/>
        <v>104278.86</v>
      </c>
      <c r="H7" s="21" t="s">
        <v>35</v>
      </c>
      <c r="I7" s="243">
        <v>17</v>
      </c>
      <c r="J7" s="23">
        <v>2000</v>
      </c>
      <c r="K7" s="9">
        <f t="shared" si="5"/>
        <v>117.64705882352941</v>
      </c>
      <c r="L7" s="243">
        <v>17</v>
      </c>
      <c r="M7" s="10">
        <f t="shared" ref="M7" si="8">F7/V7*60</f>
        <v>1929.375000000002</v>
      </c>
      <c r="N7" s="9">
        <f t="shared" si="6"/>
        <v>113.49264705882365</v>
      </c>
      <c r="O7" s="11">
        <f t="shared" si="0"/>
        <v>0</v>
      </c>
      <c r="P7" s="12">
        <f t="shared" si="1"/>
        <v>-4.1544117647057561</v>
      </c>
      <c r="Q7" s="239">
        <f t="shared" si="7"/>
        <v>0.96468750000000103</v>
      </c>
      <c r="R7" s="571"/>
      <c r="S7" s="24">
        <v>0.78888888888888897</v>
      </c>
      <c r="T7" s="24">
        <v>0.83333333333333337</v>
      </c>
      <c r="U7" s="236">
        <f t="shared" ref="U7" si="9">IF(S7=TIME(17,0,0),"",(S7-T6)*24*60)</f>
        <v>4.9999999999999822</v>
      </c>
      <c r="V7" s="244">
        <f t="shared" ref="V7" si="10">(T7-S7)*24*60</f>
        <v>63.999999999999929</v>
      </c>
      <c r="W7" s="13"/>
      <c r="X7" s="13"/>
      <c r="Y7" s="621"/>
      <c r="Z7" s="622"/>
      <c r="AA7" s="11">
        <f t="shared" si="2"/>
        <v>-70.624999999997954</v>
      </c>
      <c r="AB7" s="239">
        <f t="shared" si="3"/>
        <v>0.96468750000000103</v>
      </c>
      <c r="AC7" s="571"/>
    </row>
    <row r="8" spans="1:29">
      <c r="A8" s="645" t="s">
        <v>1030</v>
      </c>
      <c r="B8" s="26" t="s">
        <v>1031</v>
      </c>
      <c r="C8" s="629"/>
      <c r="D8" s="629"/>
      <c r="E8" s="240"/>
      <c r="F8" s="27"/>
      <c r="G8" s="9"/>
      <c r="H8" s="246"/>
      <c r="I8" s="16">
        <v>16</v>
      </c>
      <c r="J8" s="23">
        <v>2000</v>
      </c>
      <c r="K8" s="9">
        <f>J8/I8</f>
        <v>125</v>
      </c>
      <c r="L8" s="16">
        <v>16</v>
      </c>
      <c r="M8" s="10">
        <f>AVERAGE(M5:M7)</f>
        <v>1922.5342465753417</v>
      </c>
      <c r="N8" s="9">
        <f>M8/L8</f>
        <v>120.15839041095886</v>
      </c>
      <c r="O8" s="11">
        <f>L8-I8</f>
        <v>0</v>
      </c>
      <c r="P8" s="12">
        <f>N8-K8</f>
        <v>-4.8416095890411412</v>
      </c>
      <c r="Q8" s="239">
        <f>N8/K8</f>
        <v>0.96126712328767083</v>
      </c>
      <c r="R8" s="571"/>
      <c r="S8" s="24"/>
      <c r="T8" s="24"/>
      <c r="U8" s="236"/>
      <c r="V8" s="244"/>
      <c r="W8" s="9"/>
      <c r="X8" s="9"/>
      <c r="Y8" s="617"/>
      <c r="Z8" s="617"/>
      <c r="AA8" s="11">
        <f t="shared" si="2"/>
        <v>-77.46575342465826</v>
      </c>
      <c r="AB8" s="239">
        <f>M8/J8</f>
        <v>0.96126712328767083</v>
      </c>
      <c r="AC8" s="571"/>
    </row>
    <row r="9" spans="1:29" ht="15.75" customHeight="1">
      <c r="A9" s="643" t="s">
        <v>1032</v>
      </c>
      <c r="B9" s="26" t="s">
        <v>40</v>
      </c>
      <c r="C9" s="594" t="s">
        <v>42</v>
      </c>
      <c r="D9" s="595"/>
      <c r="E9" s="26">
        <v>39.36</v>
      </c>
      <c r="F9" s="246">
        <v>3055</v>
      </c>
      <c r="G9" s="236">
        <f t="shared" ref="G9:G10" si="11">E9*F9</f>
        <v>120244.8</v>
      </c>
      <c r="H9" s="21" t="s">
        <v>35</v>
      </c>
      <c r="I9" s="243">
        <v>20</v>
      </c>
      <c r="J9" s="23">
        <v>1500</v>
      </c>
      <c r="K9" s="9">
        <f t="shared" ref="K9:K10" si="12">J9/I9</f>
        <v>75</v>
      </c>
      <c r="L9" s="243">
        <v>20</v>
      </c>
      <c r="M9" s="10">
        <f t="shared" ref="M9:M10" si="13">F9/V9*60</f>
        <v>1432.0312500000002</v>
      </c>
      <c r="N9" s="9">
        <f t="shared" ref="N9:N10" si="14">M9/L9</f>
        <v>71.601562500000014</v>
      </c>
      <c r="O9" s="11">
        <f t="shared" ref="O9:O10" si="15">L9-I9</f>
        <v>0</v>
      </c>
      <c r="P9" s="12">
        <f>N9-K9</f>
        <v>-3.3984374999999858</v>
      </c>
      <c r="Q9" s="239">
        <f>N9/K9</f>
        <v>0.95468750000000024</v>
      </c>
      <c r="R9" s="571">
        <f>Q11</f>
        <v>0.95457451923076919</v>
      </c>
      <c r="S9" s="24">
        <v>0.20833333333333334</v>
      </c>
      <c r="T9" s="24">
        <v>0.29722222222222222</v>
      </c>
      <c r="U9" s="236"/>
      <c r="V9" s="244">
        <f t="shared" ref="V9:V10" si="16">(T9-S9)*24*60</f>
        <v>127.99999999999997</v>
      </c>
      <c r="W9" s="13"/>
      <c r="X9" s="13"/>
      <c r="Y9" s="617"/>
      <c r="Z9" s="617"/>
      <c r="AA9" s="11">
        <f t="shared" si="2"/>
        <v>-67.968749999999773</v>
      </c>
      <c r="AB9" s="239">
        <f>M9/J9</f>
        <v>0.95468750000000013</v>
      </c>
      <c r="AC9" s="571">
        <f>AB11</f>
        <v>0.95457451923076919</v>
      </c>
    </row>
    <row r="10" spans="1:29" ht="15.75" customHeight="1">
      <c r="A10" s="643" t="s">
        <v>1032</v>
      </c>
      <c r="B10" s="26" t="s">
        <v>40</v>
      </c>
      <c r="C10" s="594" t="s">
        <v>41</v>
      </c>
      <c r="D10" s="595"/>
      <c r="E10" s="26">
        <v>39.799999999999997</v>
      </c>
      <c r="F10" s="246">
        <v>7755</v>
      </c>
      <c r="G10" s="236">
        <f t="shared" si="11"/>
        <v>308649</v>
      </c>
      <c r="H10" s="21" t="s">
        <v>35</v>
      </c>
      <c r="I10" s="243">
        <v>17</v>
      </c>
      <c r="J10" s="23">
        <v>1500</v>
      </c>
      <c r="K10" s="9">
        <f t="shared" si="12"/>
        <v>88.235294117647058</v>
      </c>
      <c r="L10" s="243">
        <v>17</v>
      </c>
      <c r="M10" s="10">
        <f t="shared" si="13"/>
        <v>1431.6923076923076</v>
      </c>
      <c r="N10" s="9">
        <f t="shared" si="14"/>
        <v>84.217194570135746</v>
      </c>
      <c r="O10" s="11">
        <f t="shared" si="15"/>
        <v>0</v>
      </c>
      <c r="P10" s="12">
        <f t="shared" ref="P10" si="17">N10-K10</f>
        <v>-4.0180995475113122</v>
      </c>
      <c r="Q10" s="239">
        <f t="shared" ref="Q10" si="18">N10/K10</f>
        <v>0.95446153846153847</v>
      </c>
      <c r="R10" s="571"/>
      <c r="S10" s="24">
        <v>0.30069444444444443</v>
      </c>
      <c r="T10" s="24">
        <v>0.52638888888888891</v>
      </c>
      <c r="U10" s="236">
        <f>IF(S10=TIME(17,0,0),"",(S10-T9)*24*60)</f>
        <v>4.9999999999999822</v>
      </c>
      <c r="V10" s="244">
        <f t="shared" si="16"/>
        <v>325.00000000000006</v>
      </c>
      <c r="W10" s="13"/>
      <c r="X10" s="13"/>
      <c r="Y10" s="617"/>
      <c r="Z10" s="617"/>
      <c r="AA10" s="11">
        <f t="shared" si="2"/>
        <v>-68.307692307692378</v>
      </c>
      <c r="AB10" s="239">
        <f t="shared" ref="AB10:AB21" si="19">M10/J10</f>
        <v>0.95446153846153836</v>
      </c>
      <c r="AC10" s="571"/>
    </row>
    <row r="11" spans="1:29" ht="16.5" customHeight="1">
      <c r="A11" s="643" t="s">
        <v>1032</v>
      </c>
      <c r="B11" s="26" t="s">
        <v>1031</v>
      </c>
      <c r="C11" s="629"/>
      <c r="D11" s="629"/>
      <c r="E11" s="240"/>
      <c r="F11" s="23"/>
      <c r="G11" s="10"/>
      <c r="H11" s="246"/>
      <c r="I11" s="16">
        <v>18.5</v>
      </c>
      <c r="J11" s="23">
        <v>1500</v>
      </c>
      <c r="K11" s="9">
        <f>J11/I11</f>
        <v>81.081081081081081</v>
      </c>
      <c r="L11" s="16">
        <v>18.5</v>
      </c>
      <c r="M11" s="10">
        <f>AVERAGE(M9:M10)</f>
        <v>1431.8617788461538</v>
      </c>
      <c r="N11" s="9">
        <f>M11/L11</f>
        <v>77.397933991683985</v>
      </c>
      <c r="O11" s="11">
        <f>L11-I11</f>
        <v>0</v>
      </c>
      <c r="P11" s="12">
        <f>N11-K11</f>
        <v>-3.6831470893970959</v>
      </c>
      <c r="Q11" s="239">
        <f>N11/K11</f>
        <v>0.95457451923076919</v>
      </c>
      <c r="R11" s="571"/>
      <c r="S11" s="24"/>
      <c r="T11" s="24"/>
      <c r="U11" s="9"/>
      <c r="V11" s="244"/>
      <c r="W11" s="9"/>
      <c r="X11" s="9"/>
      <c r="Y11" s="617"/>
      <c r="Z11" s="617"/>
      <c r="AA11" s="11">
        <f t="shared" si="2"/>
        <v>-68.138221153846189</v>
      </c>
      <c r="AB11" s="239">
        <f t="shared" si="19"/>
        <v>0.95457451923076919</v>
      </c>
      <c r="AC11" s="571"/>
    </row>
    <row r="12" spans="1:29" ht="16.5" customHeight="1">
      <c r="A12" s="641" t="s">
        <v>1033</v>
      </c>
      <c r="B12" s="246" t="s">
        <v>43</v>
      </c>
      <c r="C12" s="636" t="s">
        <v>44</v>
      </c>
      <c r="D12" s="636"/>
      <c r="E12" s="26">
        <v>41</v>
      </c>
      <c r="F12" s="246">
        <v>2025</v>
      </c>
      <c r="G12" s="236">
        <f t="shared" ref="G12:G15" si="20">E12*F12</f>
        <v>83025</v>
      </c>
      <c r="H12" s="21" t="s">
        <v>35</v>
      </c>
      <c r="I12" s="243">
        <v>26</v>
      </c>
      <c r="J12" s="23">
        <v>1500</v>
      </c>
      <c r="K12" s="9">
        <f>J12/I12</f>
        <v>57.692307692307693</v>
      </c>
      <c r="L12" s="243">
        <v>26</v>
      </c>
      <c r="M12" s="10">
        <f>F12/V12*60</f>
        <v>1446.4285714285716</v>
      </c>
      <c r="N12" s="9">
        <f t="shared" ref="N12:N20" si="21">M12/L12</f>
        <v>55.631868131868139</v>
      </c>
      <c r="O12" s="11">
        <f t="shared" ref="O12" si="22">L12-I12</f>
        <v>0</v>
      </c>
      <c r="P12" s="12">
        <f t="shared" ref="P12" si="23">N12-K12</f>
        <v>-2.0604395604395549</v>
      </c>
      <c r="Q12" s="239">
        <f>N12/K12</f>
        <v>0.96428571428571441</v>
      </c>
      <c r="R12" s="571">
        <f>Q16</f>
        <v>0.9568335674116718</v>
      </c>
      <c r="S12" s="24">
        <v>0.20833333333333334</v>
      </c>
      <c r="T12" s="24">
        <v>0.26666666666666666</v>
      </c>
      <c r="U12" s="236"/>
      <c r="V12" s="244">
        <f>(T12-S12)*24*60</f>
        <v>83.999999999999986</v>
      </c>
      <c r="W12" s="15"/>
      <c r="X12" s="15"/>
      <c r="Y12" s="617"/>
      <c r="Z12" s="617"/>
      <c r="AA12" s="11">
        <f t="shared" si="2"/>
        <v>-53.571428571428442</v>
      </c>
      <c r="AB12" s="239">
        <f t="shared" si="19"/>
        <v>0.96428571428571441</v>
      </c>
      <c r="AC12" s="571">
        <f>AB16</f>
        <v>0.9568335674116718</v>
      </c>
    </row>
    <row r="13" spans="1:29" ht="16.5" customHeight="1">
      <c r="A13" s="642" t="s">
        <v>1033</v>
      </c>
      <c r="B13" s="246" t="s">
        <v>40</v>
      </c>
      <c r="C13" s="636" t="s">
        <v>45</v>
      </c>
      <c r="D13" s="636"/>
      <c r="E13" s="26">
        <v>39.619999999999997</v>
      </c>
      <c r="F13" s="246">
        <v>5098</v>
      </c>
      <c r="G13" s="236">
        <f t="shared" si="20"/>
        <v>201982.75999999998</v>
      </c>
      <c r="H13" s="21" t="s">
        <v>35</v>
      </c>
      <c r="I13" s="243">
        <v>19</v>
      </c>
      <c r="J13" s="23">
        <v>1500</v>
      </c>
      <c r="K13" s="9">
        <f>J13/I13</f>
        <v>78.94736842105263</v>
      </c>
      <c r="L13" s="243">
        <v>19</v>
      </c>
      <c r="M13" s="10">
        <f>F13/V13*60</f>
        <v>1429.3457943925234</v>
      </c>
      <c r="N13" s="9">
        <f t="shared" si="21"/>
        <v>75.228726020659124</v>
      </c>
      <c r="O13" s="11">
        <f>L13-I13</f>
        <v>0</v>
      </c>
      <c r="P13" s="12">
        <f>N13-K13</f>
        <v>-3.7186424003935059</v>
      </c>
      <c r="Q13" s="239">
        <f>N13/K13</f>
        <v>0.95289719626168223</v>
      </c>
      <c r="R13" s="571"/>
      <c r="S13" s="24">
        <v>0.2722222222222222</v>
      </c>
      <c r="T13" s="24">
        <v>0.42083333333333328</v>
      </c>
      <c r="U13" s="236">
        <f>IF(S13=TIME(17,0,0),"",(S13-T12)*24*60)</f>
        <v>7.9999999999999716</v>
      </c>
      <c r="V13" s="244">
        <f>(T13-S13)*24*60</f>
        <v>213.99999999999997</v>
      </c>
      <c r="W13" s="13"/>
      <c r="X13" s="13"/>
      <c r="Y13" s="617"/>
      <c r="Z13" s="617"/>
      <c r="AA13" s="11">
        <f t="shared" si="2"/>
        <v>-70.65420560747657</v>
      </c>
      <c r="AB13" s="239">
        <f t="shared" si="19"/>
        <v>0.95289719626168223</v>
      </c>
      <c r="AC13" s="571"/>
    </row>
    <row r="14" spans="1:29" ht="16.5" customHeight="1">
      <c r="A14" s="642" t="s">
        <v>1033</v>
      </c>
      <c r="B14" s="246" t="s">
        <v>36</v>
      </c>
      <c r="C14" s="636" t="s">
        <v>49</v>
      </c>
      <c r="D14" s="636"/>
      <c r="E14" s="26">
        <v>50.98</v>
      </c>
      <c r="F14" s="246">
        <v>3151</v>
      </c>
      <c r="G14" s="236">
        <f t="shared" si="20"/>
        <v>160637.97999999998</v>
      </c>
      <c r="H14" s="21" t="s">
        <v>35</v>
      </c>
      <c r="I14" s="243">
        <v>16</v>
      </c>
      <c r="J14" s="23">
        <v>2000</v>
      </c>
      <c r="K14" s="9">
        <f t="shared" ref="K14:K15" si="24">J14/I14</f>
        <v>125</v>
      </c>
      <c r="L14" s="243">
        <v>16</v>
      </c>
      <c r="M14" s="10">
        <f t="shared" ref="M14:M15" si="25">F14/V14*60</f>
        <v>1909.6969696969702</v>
      </c>
      <c r="N14" s="9">
        <f t="shared" si="21"/>
        <v>119.35606060606064</v>
      </c>
      <c r="O14" s="11">
        <f t="shared" ref="O14:O15" si="26">L14-I14</f>
        <v>0</v>
      </c>
      <c r="P14" s="12">
        <f t="shared" ref="P14:P15" si="27">N14-K14</f>
        <v>-5.6439393939393625</v>
      </c>
      <c r="Q14" s="239">
        <f t="shared" ref="Q14:Q20" si="28">N14/K14</f>
        <v>0.95484848484848506</v>
      </c>
      <c r="R14" s="571"/>
      <c r="S14" s="24">
        <v>0.70833333333333337</v>
      </c>
      <c r="T14" s="24">
        <v>0.77708333333333335</v>
      </c>
      <c r="U14" s="236" t="str">
        <f t="shared" ref="U14:U15" si="29">IF(S14=TIME(17,0,0),"",(S14-T13)*24*60)</f>
        <v/>
      </c>
      <c r="V14" s="244">
        <f t="shared" ref="V14:V15" si="30">(T14-S14)*24*60</f>
        <v>98.999999999999972</v>
      </c>
      <c r="W14" s="13"/>
      <c r="X14" s="13"/>
      <c r="Y14" s="617"/>
      <c r="Z14" s="617"/>
      <c r="AA14" s="11">
        <f t="shared" si="2"/>
        <v>-90.3030303030298</v>
      </c>
      <c r="AB14" s="239">
        <f t="shared" si="19"/>
        <v>0.95484848484848506</v>
      </c>
      <c r="AC14" s="571"/>
    </row>
    <row r="15" spans="1:29" ht="16.5" customHeight="1">
      <c r="A15" s="642" t="s">
        <v>1033</v>
      </c>
      <c r="B15" s="246" t="s">
        <v>36</v>
      </c>
      <c r="C15" s="636" t="s">
        <v>50</v>
      </c>
      <c r="D15" s="636"/>
      <c r="E15" s="26">
        <v>50.92</v>
      </c>
      <c r="F15" s="246">
        <v>3506</v>
      </c>
      <c r="G15" s="236">
        <f t="shared" si="20"/>
        <v>178525.52000000002</v>
      </c>
      <c r="H15" s="21" t="s">
        <v>35</v>
      </c>
      <c r="I15" s="243">
        <v>15</v>
      </c>
      <c r="J15" s="23">
        <v>2000</v>
      </c>
      <c r="K15" s="9">
        <f t="shared" si="24"/>
        <v>133.33333333333334</v>
      </c>
      <c r="L15" s="243">
        <v>15</v>
      </c>
      <c r="M15" s="10">
        <f t="shared" si="25"/>
        <v>1912.3636363636376</v>
      </c>
      <c r="N15" s="9">
        <f t="shared" si="21"/>
        <v>127.49090909090917</v>
      </c>
      <c r="O15" s="11">
        <f t="shared" si="26"/>
        <v>0</v>
      </c>
      <c r="P15" s="12">
        <f t="shared" si="27"/>
        <v>-5.8424242424241726</v>
      </c>
      <c r="Q15" s="239">
        <f t="shared" si="28"/>
        <v>0.95618181818181869</v>
      </c>
      <c r="R15" s="571"/>
      <c r="S15" s="24">
        <v>0.78055555555555556</v>
      </c>
      <c r="T15" s="24">
        <v>0.8569444444444444</v>
      </c>
      <c r="U15" s="236">
        <f t="shared" si="29"/>
        <v>4.9999999999999822</v>
      </c>
      <c r="V15" s="244">
        <f t="shared" si="30"/>
        <v>109.99999999999993</v>
      </c>
      <c r="W15" s="13"/>
      <c r="X15" s="13"/>
      <c r="Y15" s="617"/>
      <c r="Z15" s="617"/>
      <c r="AA15" s="11">
        <f t="shared" si="2"/>
        <v>-87.636363636362375</v>
      </c>
      <c r="AB15" s="239">
        <f t="shared" si="19"/>
        <v>0.9561818181818188</v>
      </c>
      <c r="AC15" s="571"/>
    </row>
    <row r="16" spans="1:29" ht="16.5" customHeight="1">
      <c r="A16" s="642" t="s">
        <v>1033</v>
      </c>
      <c r="B16" s="26" t="s">
        <v>1031</v>
      </c>
      <c r="C16" s="629"/>
      <c r="D16" s="629"/>
      <c r="E16" s="240"/>
      <c r="F16" s="27"/>
      <c r="G16" s="9"/>
      <c r="H16" s="246"/>
      <c r="I16" s="16">
        <v>19</v>
      </c>
      <c r="J16" s="23">
        <v>1750</v>
      </c>
      <c r="K16" s="9">
        <f>J16/I16</f>
        <v>92.10526315789474</v>
      </c>
      <c r="L16" s="16">
        <v>19</v>
      </c>
      <c r="M16" s="10">
        <f>AVERAGE(M12:M15)</f>
        <v>1674.4587429704256</v>
      </c>
      <c r="N16" s="9">
        <f t="shared" si="21"/>
        <v>88.129407524759245</v>
      </c>
      <c r="O16" s="11">
        <f>L16-I16</f>
        <v>0</v>
      </c>
      <c r="P16" s="12">
        <f>N16-K16</f>
        <v>-3.9758556331354953</v>
      </c>
      <c r="Q16" s="239">
        <f t="shared" si="28"/>
        <v>0.9568335674116718</v>
      </c>
      <c r="R16" s="571"/>
      <c r="S16" s="24"/>
      <c r="T16" s="24"/>
      <c r="U16" s="236"/>
      <c r="V16" s="244"/>
      <c r="W16" s="9"/>
      <c r="X16" s="9"/>
      <c r="Y16" s="617"/>
      <c r="Z16" s="617"/>
      <c r="AA16" s="11">
        <f t="shared" si="2"/>
        <v>-75.541257029574354</v>
      </c>
      <c r="AB16" s="239">
        <f t="shared" si="19"/>
        <v>0.9568335674116718</v>
      </c>
      <c r="AC16" s="571"/>
    </row>
    <row r="17" spans="1:29" ht="15.75" customHeight="1">
      <c r="A17" s="639" t="s">
        <v>1034</v>
      </c>
      <c r="B17" s="26" t="s">
        <v>43</v>
      </c>
      <c r="C17" s="636" t="s">
        <v>51</v>
      </c>
      <c r="D17" s="636"/>
      <c r="E17" s="26">
        <v>43.14</v>
      </c>
      <c r="F17" s="246">
        <v>1499</v>
      </c>
      <c r="G17" s="236">
        <f t="shared" ref="G17:G20" si="31">E17*F17</f>
        <v>64666.86</v>
      </c>
      <c r="H17" s="21" t="s">
        <v>35</v>
      </c>
      <c r="I17" s="243">
        <v>17</v>
      </c>
      <c r="J17" s="23">
        <v>2000</v>
      </c>
      <c r="K17" s="9">
        <f t="shared" ref="K17:K21" si="32">J17/I17</f>
        <v>117.64705882352941</v>
      </c>
      <c r="L17" s="243">
        <v>17</v>
      </c>
      <c r="M17" s="10">
        <f t="shared" ref="M17:M20" si="33">F17/V17*60</f>
        <v>1913.617021276596</v>
      </c>
      <c r="N17" s="9">
        <f t="shared" si="21"/>
        <v>112.56570713391741</v>
      </c>
      <c r="O17" s="11">
        <f t="shared" ref="O17:O20" si="34">L17-I17</f>
        <v>0</v>
      </c>
      <c r="P17" s="12">
        <f t="shared" ref="P17:P20" si="35">N17-K17</f>
        <v>-5.0813516896119921</v>
      </c>
      <c r="Q17" s="239">
        <f t="shared" si="28"/>
        <v>0.95680851063829808</v>
      </c>
      <c r="R17" s="571">
        <f>Q21</f>
        <v>0.95630135196468136</v>
      </c>
      <c r="S17" s="24">
        <v>0.20833333333333334</v>
      </c>
      <c r="T17" s="24">
        <v>0.24097222222222223</v>
      </c>
      <c r="U17" s="236"/>
      <c r="V17" s="244">
        <f>(T17-S17)*24*60</f>
        <v>46.999999999999993</v>
      </c>
      <c r="W17" s="15"/>
      <c r="X17" s="15"/>
      <c r="Y17" s="617"/>
      <c r="Z17" s="617"/>
      <c r="AA17" s="11">
        <f t="shared" si="2"/>
        <v>-86.382978723403994</v>
      </c>
      <c r="AB17" s="239">
        <f t="shared" si="19"/>
        <v>0.95680851063829797</v>
      </c>
      <c r="AC17" s="571">
        <f>AB21</f>
        <v>0.95630135196468136</v>
      </c>
    </row>
    <row r="18" spans="1:29" ht="15.75" customHeight="1">
      <c r="A18" s="640" t="s">
        <v>1034</v>
      </c>
      <c r="B18" s="26" t="s">
        <v>36</v>
      </c>
      <c r="C18" s="636" t="s">
        <v>53</v>
      </c>
      <c r="D18" s="636"/>
      <c r="E18" s="26">
        <v>53.68</v>
      </c>
      <c r="F18" s="246">
        <v>2080</v>
      </c>
      <c r="G18" s="236">
        <f t="shared" si="31"/>
        <v>111654.39999999999</v>
      </c>
      <c r="H18" s="21" t="s">
        <v>35</v>
      </c>
      <c r="I18" s="243">
        <v>16</v>
      </c>
      <c r="J18" s="23">
        <v>2000</v>
      </c>
      <c r="K18" s="9">
        <f t="shared" si="32"/>
        <v>125</v>
      </c>
      <c r="L18" s="243">
        <v>16</v>
      </c>
      <c r="M18" s="10">
        <f t="shared" si="33"/>
        <v>1920.0000000000009</v>
      </c>
      <c r="N18" s="9">
        <f t="shared" si="21"/>
        <v>120.00000000000006</v>
      </c>
      <c r="O18" s="11">
        <f t="shared" si="34"/>
        <v>0</v>
      </c>
      <c r="P18" s="12">
        <f t="shared" si="35"/>
        <v>-4.9999999999999432</v>
      </c>
      <c r="Q18" s="239">
        <f t="shared" si="28"/>
        <v>0.96000000000000041</v>
      </c>
      <c r="R18" s="571"/>
      <c r="S18" s="24">
        <v>0.24444444444444444</v>
      </c>
      <c r="T18" s="24">
        <v>0.2895833333333333</v>
      </c>
      <c r="U18" s="236">
        <f>IF(S18=TIME(17,0,0),"",(S18-T17)*24*60)</f>
        <v>4.9999999999999822</v>
      </c>
      <c r="V18" s="244">
        <f t="shared" ref="V18:V20" si="36">(T18-S18)*24*60</f>
        <v>64.999999999999972</v>
      </c>
      <c r="W18" s="13"/>
      <c r="X18" s="236"/>
      <c r="Y18" s="617"/>
      <c r="Z18" s="617"/>
      <c r="AA18" s="11">
        <f t="shared" si="2"/>
        <v>-79.999999999999091</v>
      </c>
      <c r="AB18" s="239">
        <f t="shared" si="19"/>
        <v>0.96000000000000041</v>
      </c>
      <c r="AC18" s="571"/>
    </row>
    <row r="19" spans="1:29" ht="15.75" customHeight="1">
      <c r="A19" s="640" t="s">
        <v>1034</v>
      </c>
      <c r="B19" s="26" t="s">
        <v>36</v>
      </c>
      <c r="C19" s="636" t="s">
        <v>52</v>
      </c>
      <c r="D19" s="636"/>
      <c r="E19" s="26">
        <v>57.73</v>
      </c>
      <c r="F19" s="246">
        <v>3238</v>
      </c>
      <c r="G19" s="236">
        <f t="shared" si="31"/>
        <v>186929.74</v>
      </c>
      <c r="H19" s="21" t="s">
        <v>35</v>
      </c>
      <c r="I19" s="243">
        <v>15</v>
      </c>
      <c r="J19" s="23">
        <v>2000</v>
      </c>
      <c r="K19" s="9">
        <f t="shared" si="32"/>
        <v>133.33333333333334</v>
      </c>
      <c r="L19" s="243">
        <v>15</v>
      </c>
      <c r="M19" s="10">
        <f t="shared" si="33"/>
        <v>1904.7058823529419</v>
      </c>
      <c r="N19" s="9">
        <f t="shared" si="21"/>
        <v>126.98039215686279</v>
      </c>
      <c r="O19" s="11">
        <f t="shared" si="34"/>
        <v>0</v>
      </c>
      <c r="P19" s="12">
        <f t="shared" si="35"/>
        <v>-6.3529411764705515</v>
      </c>
      <c r="Q19" s="239">
        <f t="shared" si="28"/>
        <v>0.95235294117647085</v>
      </c>
      <c r="R19" s="571"/>
      <c r="S19" s="24">
        <v>0.29513888888888884</v>
      </c>
      <c r="T19" s="24">
        <v>0.36597222222222214</v>
      </c>
      <c r="U19" s="236">
        <f t="shared" ref="U19:U20" si="37">IF(S19=TIME(17,0,0),"",(S19-T18)*24*60)</f>
        <v>7.9999999999999716</v>
      </c>
      <c r="V19" s="244">
        <f t="shared" si="36"/>
        <v>101.99999999999996</v>
      </c>
      <c r="W19" s="13"/>
      <c r="X19" s="236"/>
      <c r="Y19" s="617"/>
      <c r="Z19" s="617"/>
      <c r="AA19" s="11">
        <f t="shared" si="2"/>
        <v>-95.294117647058101</v>
      </c>
      <c r="AB19" s="239">
        <f t="shared" si="19"/>
        <v>0.95235294117647096</v>
      </c>
      <c r="AC19" s="571"/>
    </row>
    <row r="20" spans="1:29" ht="15.75" customHeight="1">
      <c r="A20" s="640" t="s">
        <v>1034</v>
      </c>
      <c r="B20" s="26" t="s">
        <v>36</v>
      </c>
      <c r="C20" s="636" t="s">
        <v>55</v>
      </c>
      <c r="D20" s="636"/>
      <c r="E20" s="26">
        <v>54.09</v>
      </c>
      <c r="F20" s="246">
        <v>2900</v>
      </c>
      <c r="G20" s="236">
        <f t="shared" si="31"/>
        <v>156861</v>
      </c>
      <c r="H20" s="21" t="s">
        <v>35</v>
      </c>
      <c r="I20" s="243">
        <v>19</v>
      </c>
      <c r="J20" s="23">
        <v>2000</v>
      </c>
      <c r="K20" s="9">
        <f t="shared" si="32"/>
        <v>105.26315789473684</v>
      </c>
      <c r="L20" s="243">
        <v>19</v>
      </c>
      <c r="M20" s="10">
        <f t="shared" si="33"/>
        <v>1912.0879120879122</v>
      </c>
      <c r="N20" s="9">
        <f t="shared" si="21"/>
        <v>100.6362058993638</v>
      </c>
      <c r="O20" s="11">
        <f t="shared" si="34"/>
        <v>0</v>
      </c>
      <c r="P20" s="12">
        <f t="shared" si="35"/>
        <v>-4.6269519953730338</v>
      </c>
      <c r="Q20" s="239">
        <f t="shared" si="28"/>
        <v>0.9560439560439562</v>
      </c>
      <c r="R20" s="571"/>
      <c r="S20" s="24">
        <v>0.70833333333333337</v>
      </c>
      <c r="T20" s="24">
        <v>0.77152777777777781</v>
      </c>
      <c r="U20" s="236" t="str">
        <f t="shared" si="37"/>
        <v/>
      </c>
      <c r="V20" s="244">
        <f t="shared" si="36"/>
        <v>91</v>
      </c>
      <c r="W20" s="13"/>
      <c r="X20" s="236"/>
      <c r="Y20" s="617"/>
      <c r="Z20" s="617"/>
      <c r="AA20" s="11">
        <f t="shared" si="2"/>
        <v>-87.912087912087827</v>
      </c>
      <c r="AB20" s="239">
        <f t="shared" si="19"/>
        <v>0.95604395604395609</v>
      </c>
      <c r="AC20" s="571"/>
    </row>
    <row r="21" spans="1:29" ht="15.75" customHeight="1">
      <c r="A21" s="640" t="s">
        <v>1034</v>
      </c>
      <c r="B21" s="26" t="s">
        <v>1031</v>
      </c>
      <c r="C21" s="629"/>
      <c r="D21" s="629"/>
      <c r="E21" s="240"/>
      <c r="F21" s="246"/>
      <c r="G21" s="236"/>
      <c r="H21" s="246"/>
      <c r="I21" s="16">
        <v>16.75</v>
      </c>
      <c r="J21" s="23">
        <v>2000</v>
      </c>
      <c r="K21" s="9">
        <f t="shared" si="32"/>
        <v>119.40298507462687</v>
      </c>
      <c r="L21" s="16">
        <v>16.75</v>
      </c>
      <c r="M21" s="10">
        <f>AVERAGE(M17:M20)</f>
        <v>1912.6027039293626</v>
      </c>
      <c r="N21" s="9">
        <f>M21/L21</f>
        <v>114.18523605548434</v>
      </c>
      <c r="O21" s="11">
        <f>L21-I21</f>
        <v>0</v>
      </c>
      <c r="P21" s="12">
        <f>N21-K21</f>
        <v>-5.2177490191425306</v>
      </c>
      <c r="Q21" s="239">
        <f>N21/K21</f>
        <v>0.95630135196468136</v>
      </c>
      <c r="R21" s="571"/>
      <c r="S21" s="24"/>
      <c r="T21" s="24"/>
      <c r="U21" s="9"/>
      <c r="V21" s="244"/>
      <c r="W21" s="9"/>
      <c r="X21" s="9"/>
      <c r="Y21" s="617"/>
      <c r="Z21" s="617"/>
      <c r="AA21" s="11">
        <f t="shared" si="2"/>
        <v>-87.397296070637367</v>
      </c>
      <c r="AB21" s="239">
        <f t="shared" si="19"/>
        <v>0.95630135196468136</v>
      </c>
      <c r="AC21" s="571"/>
    </row>
    <row r="22" spans="1:29" ht="15.75" customHeight="1">
      <c r="A22" s="635" t="s">
        <v>1035</v>
      </c>
      <c r="B22" s="26" t="s">
        <v>46</v>
      </c>
      <c r="C22" s="636" t="s">
        <v>60</v>
      </c>
      <c r="D22" s="636"/>
      <c r="E22" s="26">
        <v>26.2</v>
      </c>
      <c r="F22" s="246">
        <v>4889</v>
      </c>
      <c r="G22" s="236">
        <f t="shared" ref="G22:G28" si="38">E22*F22</f>
        <v>128091.8</v>
      </c>
      <c r="H22" s="21" t="s">
        <v>35</v>
      </c>
      <c r="I22" s="243">
        <v>19</v>
      </c>
      <c r="J22" s="23">
        <v>2400</v>
      </c>
      <c r="K22" s="9">
        <f>J22/I22</f>
        <v>126.31578947368421</v>
      </c>
      <c r="L22" s="243">
        <v>19</v>
      </c>
      <c r="M22" s="10">
        <f t="shared" ref="M22:M28" si="39">F22/V22*60</f>
        <v>2291.71875</v>
      </c>
      <c r="N22" s="9">
        <f t="shared" ref="N22:N28" si="40">M22/L22</f>
        <v>120.61677631578948</v>
      </c>
      <c r="O22" s="11">
        <f t="shared" ref="O22:O28" si="41">L22-I22</f>
        <v>0</v>
      </c>
      <c r="P22" s="12">
        <f t="shared" ref="P22:P28" si="42">N22-K22</f>
        <v>-5.6990131578947256</v>
      </c>
      <c r="Q22" s="239">
        <f t="shared" ref="Q22:Q27" si="43">N22/K22</f>
        <v>0.95488281250000007</v>
      </c>
      <c r="R22" s="571">
        <f>Q29</f>
        <v>0.95587676319527004</v>
      </c>
      <c r="S22" s="24">
        <v>8.3333333333333329E-2</v>
      </c>
      <c r="T22" s="24">
        <v>0.17222222222222222</v>
      </c>
      <c r="U22" s="236"/>
      <c r="V22" s="244">
        <f t="shared" ref="V22:V28" si="44">(T22-S22)*24*60</f>
        <v>128</v>
      </c>
      <c r="W22" s="13">
        <f>T22</f>
        <v>0.17222222222222222</v>
      </c>
      <c r="X22" s="13">
        <f>S23</f>
        <v>0.19097222222222221</v>
      </c>
      <c r="Y22" s="617"/>
      <c r="Z22" s="617"/>
      <c r="AA22" s="11">
        <f t="shared" si="2"/>
        <v>-108.28125</v>
      </c>
      <c r="AB22" s="239">
        <f>M22/J22</f>
        <v>0.95488281249999996</v>
      </c>
      <c r="AC22" s="571">
        <f>AB29</f>
        <v>0.95587676319527004</v>
      </c>
    </row>
    <row r="23" spans="1:29" ht="15.75" customHeight="1">
      <c r="A23" s="635" t="s">
        <v>1035</v>
      </c>
      <c r="B23" s="26" t="s">
        <v>46</v>
      </c>
      <c r="C23" s="636" t="s">
        <v>61</v>
      </c>
      <c r="D23" s="636"/>
      <c r="E23" s="26">
        <v>31.29</v>
      </c>
      <c r="F23" s="246">
        <v>4300</v>
      </c>
      <c r="G23" s="236">
        <f t="shared" si="38"/>
        <v>134547</v>
      </c>
      <c r="H23" s="21">
        <v>2</v>
      </c>
      <c r="I23" s="243">
        <v>18</v>
      </c>
      <c r="J23" s="23">
        <v>2400</v>
      </c>
      <c r="K23" s="9">
        <f t="shared" ref="K23:K29" si="45">J23/I23</f>
        <v>133.33333333333334</v>
      </c>
      <c r="L23" s="243">
        <v>18</v>
      </c>
      <c r="M23" s="10">
        <f t="shared" si="39"/>
        <v>2283.1858407079644</v>
      </c>
      <c r="N23" s="9">
        <f t="shared" si="40"/>
        <v>126.84365781710913</v>
      </c>
      <c r="O23" s="11">
        <f t="shared" si="41"/>
        <v>0</v>
      </c>
      <c r="P23" s="12">
        <f t="shared" si="42"/>
        <v>-6.4896755162242101</v>
      </c>
      <c r="Q23" s="239">
        <f t="shared" si="43"/>
        <v>0.9513274336283184</v>
      </c>
      <c r="R23" s="571"/>
      <c r="S23" s="24">
        <v>0.19097222222222221</v>
      </c>
      <c r="T23" s="24">
        <v>0.26944444444444443</v>
      </c>
      <c r="U23" s="236">
        <f>(S23-T22)*24*60</f>
        <v>26.999999999999986</v>
      </c>
      <c r="V23" s="244">
        <f t="shared" si="44"/>
        <v>113</v>
      </c>
      <c r="W23" s="13"/>
      <c r="X23" s="13"/>
      <c r="Y23" s="617"/>
      <c r="Z23" s="617"/>
      <c r="AA23" s="11">
        <f t="shared" si="2"/>
        <v>-116.81415929203558</v>
      </c>
      <c r="AB23" s="239">
        <f t="shared" ref="AB23:AB28" si="46">M23/J23</f>
        <v>0.95132743362831851</v>
      </c>
      <c r="AC23" s="571"/>
    </row>
    <row r="24" spans="1:29" ht="15.75" customHeight="1">
      <c r="A24" s="635" t="s">
        <v>1035</v>
      </c>
      <c r="B24" s="26" t="s">
        <v>46</v>
      </c>
      <c r="C24" s="636" t="s">
        <v>59</v>
      </c>
      <c r="D24" s="636"/>
      <c r="E24" s="26">
        <v>26.18</v>
      </c>
      <c r="F24" s="246">
        <v>4251</v>
      </c>
      <c r="G24" s="236">
        <f t="shared" si="38"/>
        <v>111291.18</v>
      </c>
      <c r="H24" s="21" t="s">
        <v>35</v>
      </c>
      <c r="I24" s="243">
        <v>19</v>
      </c>
      <c r="J24" s="23">
        <v>2400</v>
      </c>
      <c r="K24" s="9">
        <f t="shared" si="45"/>
        <v>126.31578947368421</v>
      </c>
      <c r="L24" s="243">
        <v>19</v>
      </c>
      <c r="M24" s="10">
        <f t="shared" si="39"/>
        <v>2297.8378378378379</v>
      </c>
      <c r="N24" s="9">
        <f t="shared" si="40"/>
        <v>120.93883357041253</v>
      </c>
      <c r="O24" s="11">
        <f t="shared" si="41"/>
        <v>0</v>
      </c>
      <c r="P24" s="12">
        <f t="shared" si="42"/>
        <v>-5.3769559032716785</v>
      </c>
      <c r="Q24" s="239">
        <f t="shared" si="43"/>
        <v>0.95743243243243259</v>
      </c>
      <c r="R24" s="571"/>
      <c r="S24" s="24">
        <v>0.27361111111111108</v>
      </c>
      <c r="T24" s="24">
        <v>0.35069444444444442</v>
      </c>
      <c r="U24" s="236">
        <f t="shared" ref="U24:U28" si="47">(S24-T23)*24*60</f>
        <v>5.9999999999999787</v>
      </c>
      <c r="V24" s="244">
        <f t="shared" si="44"/>
        <v>111</v>
      </c>
      <c r="W24" s="13"/>
      <c r="X24" s="13"/>
      <c r="Y24" s="617"/>
      <c r="Z24" s="617"/>
      <c r="AA24" s="11">
        <f t="shared" si="2"/>
        <v>-102.16216216216208</v>
      </c>
      <c r="AB24" s="239">
        <f t="shared" si="46"/>
        <v>0.95743243243243248</v>
      </c>
      <c r="AC24" s="571"/>
    </row>
    <row r="25" spans="1:29" ht="15.75" customHeight="1">
      <c r="A25" s="635" t="s">
        <v>1035</v>
      </c>
      <c r="B25" s="26" t="s">
        <v>46</v>
      </c>
      <c r="C25" s="636" t="s">
        <v>56</v>
      </c>
      <c r="D25" s="636"/>
      <c r="E25" s="26">
        <v>26.2</v>
      </c>
      <c r="F25" s="246">
        <v>5465</v>
      </c>
      <c r="G25" s="236">
        <f t="shared" si="38"/>
        <v>143183</v>
      </c>
      <c r="H25" s="21" t="s">
        <v>35</v>
      </c>
      <c r="I25" s="243">
        <v>20</v>
      </c>
      <c r="J25" s="23">
        <v>2400</v>
      </c>
      <c r="K25" s="9">
        <f t="shared" si="45"/>
        <v>120</v>
      </c>
      <c r="L25" s="243">
        <v>20</v>
      </c>
      <c r="M25" s="10">
        <f t="shared" si="39"/>
        <v>2293.0069930069935</v>
      </c>
      <c r="N25" s="9">
        <f t="shared" si="40"/>
        <v>114.65034965034968</v>
      </c>
      <c r="O25" s="11">
        <f t="shared" si="41"/>
        <v>0</v>
      </c>
      <c r="P25" s="12">
        <f t="shared" si="42"/>
        <v>-5.349650349650318</v>
      </c>
      <c r="Q25" s="239">
        <f t="shared" si="43"/>
        <v>0.95541958041958064</v>
      </c>
      <c r="R25" s="571"/>
      <c r="S25" s="24">
        <v>0.35555555555555551</v>
      </c>
      <c r="T25" s="24">
        <v>0.45486111111111105</v>
      </c>
      <c r="U25" s="236">
        <f t="shared" si="47"/>
        <v>6.9999999999999751</v>
      </c>
      <c r="V25" s="244">
        <f t="shared" si="44"/>
        <v>142.99999999999997</v>
      </c>
      <c r="W25" s="13"/>
      <c r="X25" s="13"/>
      <c r="Y25" s="617"/>
      <c r="Z25" s="617"/>
      <c r="AA25" s="11">
        <f t="shared" si="2"/>
        <v>-106.99300699300647</v>
      </c>
      <c r="AB25" s="239">
        <f t="shared" si="46"/>
        <v>0.95541958041958064</v>
      </c>
      <c r="AC25" s="571"/>
    </row>
    <row r="26" spans="1:29" ht="15.75" customHeight="1">
      <c r="A26" s="635" t="s">
        <v>1035</v>
      </c>
      <c r="B26" s="26" t="s">
        <v>46</v>
      </c>
      <c r="C26" s="636" t="s">
        <v>62</v>
      </c>
      <c r="D26" s="636"/>
      <c r="E26" s="26">
        <v>25</v>
      </c>
      <c r="F26" s="246">
        <v>2700</v>
      </c>
      <c r="G26" s="236">
        <f t="shared" si="38"/>
        <v>67500</v>
      </c>
      <c r="H26" s="21">
        <v>2</v>
      </c>
      <c r="I26" s="243">
        <v>15</v>
      </c>
      <c r="J26" s="23">
        <v>2400</v>
      </c>
      <c r="K26" s="9">
        <f t="shared" si="45"/>
        <v>160</v>
      </c>
      <c r="L26" s="243">
        <v>15</v>
      </c>
      <c r="M26" s="10">
        <f t="shared" si="39"/>
        <v>2314.2857142857119</v>
      </c>
      <c r="N26" s="9">
        <f t="shared" si="40"/>
        <v>154.28571428571414</v>
      </c>
      <c r="O26" s="11">
        <f t="shared" si="41"/>
        <v>0</v>
      </c>
      <c r="P26" s="12">
        <f t="shared" si="42"/>
        <v>-5.7142857142858645</v>
      </c>
      <c r="Q26" s="239">
        <f t="shared" si="43"/>
        <v>0.9642857142857133</v>
      </c>
      <c r="R26" s="571"/>
      <c r="S26" s="24">
        <v>0.45833333333333326</v>
      </c>
      <c r="T26" s="24">
        <v>0.50694444444444442</v>
      </c>
      <c r="U26" s="236">
        <f t="shared" si="47"/>
        <v>4.9999999999999822</v>
      </c>
      <c r="V26" s="244">
        <f t="shared" si="44"/>
        <v>70.000000000000071</v>
      </c>
      <c r="W26" s="13">
        <f>T26</f>
        <v>0.50694444444444442</v>
      </c>
      <c r="X26" s="13">
        <f>S27</f>
        <v>0.54722222222222217</v>
      </c>
      <c r="Y26" s="617"/>
      <c r="Z26" s="617"/>
      <c r="AA26" s="11">
        <f t="shared" si="2"/>
        <v>-85.714285714288053</v>
      </c>
      <c r="AB26" s="239">
        <f t="shared" si="46"/>
        <v>0.9642857142857133</v>
      </c>
      <c r="AC26" s="571"/>
    </row>
    <row r="27" spans="1:29" ht="15.75" customHeight="1">
      <c r="A27" s="635" t="s">
        <v>1035</v>
      </c>
      <c r="B27" s="26" t="s">
        <v>46</v>
      </c>
      <c r="C27" s="636" t="s">
        <v>61</v>
      </c>
      <c r="D27" s="636"/>
      <c r="E27" s="26">
        <v>31.29</v>
      </c>
      <c r="F27" s="246">
        <v>6316</v>
      </c>
      <c r="G27" s="236">
        <f t="shared" si="38"/>
        <v>197627.63999999998</v>
      </c>
      <c r="H27" s="21" t="s">
        <v>35</v>
      </c>
      <c r="I27" s="243">
        <v>18</v>
      </c>
      <c r="J27" s="23">
        <v>2400</v>
      </c>
      <c r="K27" s="9">
        <f t="shared" si="45"/>
        <v>133.33333333333334</v>
      </c>
      <c r="L27" s="243">
        <v>18</v>
      </c>
      <c r="M27" s="10">
        <f t="shared" si="39"/>
        <v>2296.7272727272721</v>
      </c>
      <c r="N27" s="9">
        <f t="shared" si="40"/>
        <v>127.59595959595956</v>
      </c>
      <c r="O27" s="11">
        <f t="shared" si="41"/>
        <v>0</v>
      </c>
      <c r="P27" s="12">
        <f t="shared" si="42"/>
        <v>-5.7373737373737868</v>
      </c>
      <c r="Q27" s="239">
        <f t="shared" si="43"/>
        <v>0.95696969696969658</v>
      </c>
      <c r="R27" s="571"/>
      <c r="S27" s="24">
        <v>0.54722222222222217</v>
      </c>
      <c r="T27" s="24">
        <v>0.66180555555555554</v>
      </c>
      <c r="U27" s="236">
        <f t="shared" si="47"/>
        <v>57.999999999999957</v>
      </c>
      <c r="V27" s="244">
        <f t="shared" si="44"/>
        <v>165.00000000000006</v>
      </c>
      <c r="W27" s="13"/>
      <c r="X27" s="13"/>
      <c r="Y27" s="617"/>
      <c r="Z27" s="617"/>
      <c r="AA27" s="11">
        <f t="shared" si="2"/>
        <v>-103.27272727272793</v>
      </c>
      <c r="AB27" s="239">
        <f t="shared" si="46"/>
        <v>0.95696969696969669</v>
      </c>
      <c r="AC27" s="571"/>
    </row>
    <row r="28" spans="1:29" ht="15.75" customHeight="1">
      <c r="A28" s="635" t="s">
        <v>1035</v>
      </c>
      <c r="B28" s="26" t="s">
        <v>46</v>
      </c>
      <c r="C28" s="636" t="s">
        <v>62</v>
      </c>
      <c r="D28" s="636"/>
      <c r="E28" s="26">
        <v>25</v>
      </c>
      <c r="F28" s="246">
        <v>2320</v>
      </c>
      <c r="G28" s="236">
        <f t="shared" si="38"/>
        <v>58000</v>
      </c>
      <c r="H28" s="21" t="s">
        <v>35</v>
      </c>
      <c r="I28" s="243">
        <v>15</v>
      </c>
      <c r="J28" s="23">
        <v>2400</v>
      </c>
      <c r="K28" s="9">
        <f t="shared" si="45"/>
        <v>160</v>
      </c>
      <c r="L28" s="243">
        <v>15</v>
      </c>
      <c r="M28" s="10">
        <f t="shared" si="39"/>
        <v>2281.9672131147563</v>
      </c>
      <c r="N28" s="9">
        <f t="shared" si="40"/>
        <v>152.13114754098376</v>
      </c>
      <c r="O28" s="11">
        <f t="shared" si="41"/>
        <v>0</v>
      </c>
      <c r="P28" s="12">
        <f t="shared" si="42"/>
        <v>-7.8688524590162388</v>
      </c>
      <c r="Q28" s="239">
        <f>N28/K28</f>
        <v>0.95081967213114849</v>
      </c>
      <c r="R28" s="571"/>
      <c r="S28" s="24">
        <v>0.66736111111111107</v>
      </c>
      <c r="T28" s="24">
        <v>0.70972222222222214</v>
      </c>
      <c r="U28" s="236">
        <f t="shared" si="47"/>
        <v>7.9999999999999716</v>
      </c>
      <c r="V28" s="244">
        <f t="shared" si="44"/>
        <v>60.999999999999943</v>
      </c>
      <c r="W28" s="13"/>
      <c r="X28" s="13"/>
      <c r="Y28" s="617"/>
      <c r="Z28" s="617"/>
      <c r="AA28" s="11">
        <f t="shared" si="2"/>
        <v>-118.03278688524369</v>
      </c>
      <c r="AB28" s="239">
        <f t="shared" si="46"/>
        <v>0.95081967213114849</v>
      </c>
      <c r="AC28" s="571"/>
    </row>
    <row r="29" spans="1:29" ht="15.75" customHeight="1">
      <c r="A29" s="635" t="s">
        <v>1035</v>
      </c>
      <c r="B29" s="26" t="s">
        <v>1031</v>
      </c>
      <c r="C29" s="629"/>
      <c r="D29" s="629"/>
      <c r="E29" s="240"/>
      <c r="F29" s="246"/>
      <c r="G29" s="236"/>
      <c r="H29" s="246"/>
      <c r="I29" s="16">
        <v>17.714285714285715</v>
      </c>
      <c r="J29" s="23">
        <v>2400</v>
      </c>
      <c r="K29" s="9">
        <f t="shared" si="45"/>
        <v>135.48387096774192</v>
      </c>
      <c r="L29" s="16">
        <v>17.714285714285715</v>
      </c>
      <c r="M29" s="10">
        <f>AVERAGE(M22:M28)</f>
        <v>2294.104231668648</v>
      </c>
      <c r="N29" s="9">
        <f>M29/L29</f>
        <v>129.50588404581077</v>
      </c>
      <c r="O29" s="11">
        <f>L29-I29</f>
        <v>0</v>
      </c>
      <c r="P29" s="12">
        <f>N29-K29</f>
        <v>-5.9779869219311479</v>
      </c>
      <c r="Q29" s="239">
        <f>N29/K29</f>
        <v>0.95587676319527004</v>
      </c>
      <c r="R29" s="571"/>
      <c r="S29" s="24"/>
      <c r="T29" s="24"/>
      <c r="U29" s="236"/>
      <c r="V29" s="244"/>
      <c r="W29" s="236"/>
      <c r="X29" s="236"/>
      <c r="Y29" s="617"/>
      <c r="Z29" s="617"/>
      <c r="AA29" s="11">
        <f t="shared" si="2"/>
        <v>-105.89576833135197</v>
      </c>
      <c r="AB29" s="239">
        <f>M29/J29</f>
        <v>0.95587676319527004</v>
      </c>
      <c r="AC29" s="571"/>
    </row>
    <row r="30" spans="1:29" ht="15.75" customHeight="1">
      <c r="A30" s="637" t="s">
        <v>1036</v>
      </c>
      <c r="B30" s="26" t="s">
        <v>46</v>
      </c>
      <c r="C30" s="616" t="s">
        <v>63</v>
      </c>
      <c r="D30" s="616"/>
      <c r="E30" s="26">
        <v>26.2</v>
      </c>
      <c r="F30" s="246">
        <v>4300</v>
      </c>
      <c r="G30" s="236">
        <f t="shared" ref="G30:G37" si="48">E30*F30</f>
        <v>112660</v>
      </c>
      <c r="H30" s="21">
        <v>2</v>
      </c>
      <c r="I30" s="243">
        <v>18</v>
      </c>
      <c r="J30" s="23">
        <v>2400</v>
      </c>
      <c r="K30" s="9">
        <f>J30/I30</f>
        <v>133.33333333333334</v>
      </c>
      <c r="L30" s="243">
        <v>18</v>
      </c>
      <c r="M30" s="10">
        <f>F30/V30*60</f>
        <v>2303.5714285714294</v>
      </c>
      <c r="N30" s="9">
        <f>M30/L30</f>
        <v>127.97619047619052</v>
      </c>
      <c r="O30" s="11">
        <f t="shared" ref="O30:O37" si="49">L30-I30</f>
        <v>0</v>
      </c>
      <c r="P30" s="12">
        <f t="shared" ref="P30:P45" si="50">N30-K30</f>
        <v>-5.3571428571428186</v>
      </c>
      <c r="Q30" s="239">
        <f t="shared" ref="Q30:Q42" si="51">N30/K30</f>
        <v>0.95982142857142883</v>
      </c>
      <c r="R30" s="571">
        <f>Q38</f>
        <v>0.95632113951985143</v>
      </c>
      <c r="S30" s="24">
        <v>8.3333333333333329E-2</v>
      </c>
      <c r="T30" s="24">
        <v>0.16111111111111109</v>
      </c>
      <c r="U30" s="236"/>
      <c r="V30" s="244">
        <f t="shared" ref="V30:V37" si="52">(T30-S30)*24*60</f>
        <v>111.99999999999997</v>
      </c>
      <c r="W30" s="15">
        <f>T30</f>
        <v>0.16111111111111109</v>
      </c>
      <c r="X30" s="15">
        <f>S31</f>
        <v>0.18124999999999999</v>
      </c>
      <c r="Y30" s="617"/>
      <c r="Z30" s="617"/>
      <c r="AA30" s="11">
        <f t="shared" si="2"/>
        <v>-96.428571428570649</v>
      </c>
      <c r="AB30" s="239">
        <f>M30/J30</f>
        <v>0.95982142857142894</v>
      </c>
      <c r="AC30" s="571">
        <f>AB38</f>
        <v>0.95632113951985143</v>
      </c>
    </row>
    <row r="31" spans="1:29" ht="15.75" customHeight="1">
      <c r="A31" s="637" t="s">
        <v>1036</v>
      </c>
      <c r="B31" s="26" t="s">
        <v>46</v>
      </c>
      <c r="C31" s="616" t="s">
        <v>64</v>
      </c>
      <c r="D31" s="616"/>
      <c r="E31" s="26">
        <v>26.39</v>
      </c>
      <c r="F31" s="246">
        <v>4200</v>
      </c>
      <c r="G31" s="236">
        <f t="shared" si="48"/>
        <v>110838</v>
      </c>
      <c r="H31" s="21">
        <v>2</v>
      </c>
      <c r="I31" s="243">
        <v>19</v>
      </c>
      <c r="J31" s="23">
        <v>2400</v>
      </c>
      <c r="K31" s="9">
        <f t="shared" ref="K31:K44" si="53">J31/I31</f>
        <v>126.31578947368421</v>
      </c>
      <c r="L31" s="243">
        <v>19</v>
      </c>
      <c r="M31" s="10">
        <f t="shared" ref="M31:M37" si="54">F31/V31*60</f>
        <v>2290.9090909090914</v>
      </c>
      <c r="N31" s="9">
        <f t="shared" ref="N31:N37" si="55">M31/L31</f>
        <v>120.57416267942587</v>
      </c>
      <c r="O31" s="11">
        <f t="shared" si="49"/>
        <v>0</v>
      </c>
      <c r="P31" s="12">
        <f t="shared" si="50"/>
        <v>-5.7416267942583374</v>
      </c>
      <c r="Q31" s="239">
        <f t="shared" si="51"/>
        <v>0.95454545454545481</v>
      </c>
      <c r="R31" s="571"/>
      <c r="S31" s="24">
        <v>0.18124999999999999</v>
      </c>
      <c r="T31" s="24">
        <v>0.25763888888888886</v>
      </c>
      <c r="U31" s="236">
        <f>(S31-T30)*24*60</f>
        <v>29.000000000000018</v>
      </c>
      <c r="V31" s="244">
        <f t="shared" si="52"/>
        <v>109.99999999999997</v>
      </c>
      <c r="W31" s="236"/>
      <c r="X31" s="236"/>
      <c r="Y31" s="617"/>
      <c r="Z31" s="617"/>
      <c r="AA31" s="11">
        <f t="shared" si="2"/>
        <v>-109.09090909090855</v>
      </c>
      <c r="AB31" s="239">
        <f t="shared" ref="AB31:AB57" si="56">M31/J31</f>
        <v>0.95454545454545481</v>
      </c>
      <c r="AC31" s="571"/>
    </row>
    <row r="32" spans="1:29">
      <c r="A32" s="638" t="s">
        <v>1036</v>
      </c>
      <c r="B32" s="26" t="s">
        <v>46</v>
      </c>
      <c r="C32" s="616" t="s">
        <v>87</v>
      </c>
      <c r="D32" s="616"/>
      <c r="E32" s="26">
        <v>20.52</v>
      </c>
      <c r="F32" s="246">
        <v>5519</v>
      </c>
      <c r="G32" s="236">
        <f t="shared" si="48"/>
        <v>113249.88</v>
      </c>
      <c r="H32" s="21" t="s">
        <v>35</v>
      </c>
      <c r="I32" s="243">
        <v>18</v>
      </c>
      <c r="J32" s="23">
        <v>2400</v>
      </c>
      <c r="K32" s="9">
        <f t="shared" si="53"/>
        <v>133.33333333333334</v>
      </c>
      <c r="L32" s="243">
        <v>18</v>
      </c>
      <c r="M32" s="10">
        <f t="shared" si="54"/>
        <v>2283.7241379310349</v>
      </c>
      <c r="N32" s="9">
        <f t="shared" si="55"/>
        <v>126.87356321839083</v>
      </c>
      <c r="O32" s="11">
        <f t="shared" si="49"/>
        <v>0</v>
      </c>
      <c r="P32" s="12">
        <f t="shared" si="50"/>
        <v>-6.4597701149425149</v>
      </c>
      <c r="Q32" s="239">
        <f t="shared" si="51"/>
        <v>0.9515517241379311</v>
      </c>
      <c r="R32" s="571"/>
      <c r="S32" s="24">
        <v>0.26180555555555551</v>
      </c>
      <c r="T32" s="24">
        <v>0.36249999999999993</v>
      </c>
      <c r="U32" s="236">
        <f t="shared" ref="U32:U37" si="57">(S32-T31)*24*60</f>
        <v>5.9999999999999787</v>
      </c>
      <c r="V32" s="244">
        <f t="shared" si="52"/>
        <v>144.99999999999997</v>
      </c>
      <c r="W32" s="236"/>
      <c r="X32" s="236"/>
      <c r="Y32" s="617"/>
      <c r="Z32" s="617"/>
      <c r="AA32" s="11">
        <f t="shared" si="2"/>
        <v>-116.27586206896513</v>
      </c>
      <c r="AB32" s="239">
        <f t="shared" si="56"/>
        <v>0.95155172413793121</v>
      </c>
      <c r="AC32" s="571"/>
    </row>
    <row r="33" spans="1:29">
      <c r="A33" s="638" t="s">
        <v>1036</v>
      </c>
      <c r="B33" s="26" t="s">
        <v>46</v>
      </c>
      <c r="C33" s="616" t="s">
        <v>48</v>
      </c>
      <c r="D33" s="616"/>
      <c r="E33" s="26">
        <v>22.35</v>
      </c>
      <c r="F33" s="246">
        <v>2024</v>
      </c>
      <c r="G33" s="236">
        <f t="shared" si="48"/>
        <v>45236.4</v>
      </c>
      <c r="H33" s="21" t="s">
        <v>35</v>
      </c>
      <c r="I33" s="243">
        <v>16</v>
      </c>
      <c r="J33" s="23">
        <v>2400</v>
      </c>
      <c r="K33" s="9">
        <f t="shared" si="53"/>
        <v>150</v>
      </c>
      <c r="L33" s="243">
        <v>16</v>
      </c>
      <c r="M33" s="10">
        <f t="shared" si="54"/>
        <v>2291.3207547169823</v>
      </c>
      <c r="N33" s="9">
        <f t="shared" si="55"/>
        <v>143.20754716981139</v>
      </c>
      <c r="O33" s="11">
        <f t="shared" si="49"/>
        <v>0</v>
      </c>
      <c r="P33" s="12">
        <f t="shared" si="50"/>
        <v>-6.7924528301886085</v>
      </c>
      <c r="Q33" s="239">
        <f t="shared" si="51"/>
        <v>0.95471698113207593</v>
      </c>
      <c r="R33" s="571"/>
      <c r="S33" s="24">
        <v>0.36666666666666659</v>
      </c>
      <c r="T33" s="24">
        <v>0.40347222222222212</v>
      </c>
      <c r="U33" s="236">
        <f t="shared" si="57"/>
        <v>5.9999999999999787</v>
      </c>
      <c r="V33" s="244">
        <f t="shared" si="52"/>
        <v>52.999999999999972</v>
      </c>
      <c r="W33" s="13"/>
      <c r="X33" s="13"/>
      <c r="Y33" s="617"/>
      <c r="Z33" s="617"/>
      <c r="AA33" s="11">
        <f t="shared" si="2"/>
        <v>-108.67924528301774</v>
      </c>
      <c r="AB33" s="239">
        <f t="shared" si="56"/>
        <v>0.95471698113207593</v>
      </c>
      <c r="AC33" s="571"/>
    </row>
    <row r="34" spans="1:29">
      <c r="A34" s="638" t="s">
        <v>1036</v>
      </c>
      <c r="B34" s="26" t="s">
        <v>46</v>
      </c>
      <c r="C34" s="616" t="s">
        <v>65</v>
      </c>
      <c r="D34" s="616"/>
      <c r="E34" s="26">
        <v>24.43</v>
      </c>
      <c r="F34" s="246">
        <v>3900</v>
      </c>
      <c r="G34" s="236">
        <f t="shared" si="48"/>
        <v>95277</v>
      </c>
      <c r="H34" s="21">
        <v>2</v>
      </c>
      <c r="I34" s="243">
        <v>15</v>
      </c>
      <c r="J34" s="23">
        <v>2400</v>
      </c>
      <c r="K34" s="9">
        <f t="shared" si="53"/>
        <v>160</v>
      </c>
      <c r="L34" s="243">
        <v>15</v>
      </c>
      <c r="M34" s="10">
        <f t="shared" si="54"/>
        <v>2294.1176470588243</v>
      </c>
      <c r="N34" s="9">
        <f t="shared" si="55"/>
        <v>152.94117647058829</v>
      </c>
      <c r="O34" s="11">
        <f t="shared" si="49"/>
        <v>0</v>
      </c>
      <c r="P34" s="12">
        <f t="shared" si="50"/>
        <v>-7.0588235294117112</v>
      </c>
      <c r="Q34" s="239">
        <f t="shared" si="51"/>
        <v>0.95588235294117685</v>
      </c>
      <c r="R34" s="571"/>
      <c r="S34" s="24">
        <v>0.40833333333333321</v>
      </c>
      <c r="T34" s="24">
        <v>0.47916666666666652</v>
      </c>
      <c r="U34" s="236">
        <f t="shared" si="57"/>
        <v>6.9999999999999751</v>
      </c>
      <c r="V34" s="244">
        <f t="shared" si="52"/>
        <v>101.99999999999996</v>
      </c>
      <c r="W34" s="13">
        <f>T34</f>
        <v>0.47916666666666652</v>
      </c>
      <c r="X34" s="13">
        <f>S35</f>
        <v>0.51736111111111094</v>
      </c>
      <c r="Y34" s="617"/>
      <c r="Z34" s="617"/>
      <c r="AA34" s="11">
        <f t="shared" si="2"/>
        <v>-105.88235294117567</v>
      </c>
      <c r="AB34" s="239">
        <f t="shared" si="56"/>
        <v>0.95588235294117685</v>
      </c>
      <c r="AC34" s="571"/>
    </row>
    <row r="35" spans="1:29">
      <c r="A35" s="638" t="s">
        <v>1036</v>
      </c>
      <c r="B35" s="26" t="s">
        <v>46</v>
      </c>
      <c r="C35" s="616" t="s">
        <v>65</v>
      </c>
      <c r="D35" s="616"/>
      <c r="E35" s="26">
        <v>24.43</v>
      </c>
      <c r="F35" s="246">
        <v>5931</v>
      </c>
      <c r="G35" s="236">
        <f t="shared" si="48"/>
        <v>144894.32999999999</v>
      </c>
      <c r="H35" s="21" t="s">
        <v>35</v>
      </c>
      <c r="I35" s="243">
        <v>15</v>
      </c>
      <c r="J35" s="23">
        <v>2400</v>
      </c>
      <c r="K35" s="9">
        <f t="shared" si="53"/>
        <v>160</v>
      </c>
      <c r="L35" s="243">
        <v>15</v>
      </c>
      <c r="M35" s="10">
        <f t="shared" si="54"/>
        <v>2295.8709677419365</v>
      </c>
      <c r="N35" s="9">
        <f t="shared" si="55"/>
        <v>153.05806451612909</v>
      </c>
      <c r="O35" s="11">
        <f t="shared" si="49"/>
        <v>0</v>
      </c>
      <c r="P35" s="12">
        <f t="shared" si="50"/>
        <v>-6.9419354838709069</v>
      </c>
      <c r="Q35" s="239">
        <f t="shared" si="51"/>
        <v>0.95661290322580683</v>
      </c>
      <c r="R35" s="571"/>
      <c r="S35" s="24">
        <v>0.51736111111111094</v>
      </c>
      <c r="T35" s="24">
        <v>0.62499999999999978</v>
      </c>
      <c r="U35" s="236">
        <f t="shared" si="57"/>
        <v>54.999999999999964</v>
      </c>
      <c r="V35" s="244">
        <f t="shared" si="52"/>
        <v>154.99999999999994</v>
      </c>
      <c r="W35" s="13"/>
      <c r="X35" s="13"/>
      <c r="Y35" s="617"/>
      <c r="Z35" s="617"/>
      <c r="AA35" s="11">
        <f t="shared" si="2"/>
        <v>-104.12903225806349</v>
      </c>
      <c r="AB35" s="239">
        <f t="shared" si="56"/>
        <v>0.95661290322580683</v>
      </c>
      <c r="AC35" s="571"/>
    </row>
    <row r="36" spans="1:29">
      <c r="A36" s="638" t="s">
        <v>1036</v>
      </c>
      <c r="B36" s="26" t="s">
        <v>46</v>
      </c>
      <c r="C36" s="616" t="s">
        <v>63</v>
      </c>
      <c r="D36" s="616"/>
      <c r="E36" s="26">
        <v>26.2</v>
      </c>
      <c r="F36" s="246">
        <v>3445</v>
      </c>
      <c r="G36" s="236">
        <f t="shared" si="48"/>
        <v>90259</v>
      </c>
      <c r="H36" s="21" t="s">
        <v>35</v>
      </c>
      <c r="I36" s="243">
        <v>18</v>
      </c>
      <c r="J36" s="23">
        <v>2400</v>
      </c>
      <c r="K36" s="9">
        <f t="shared" si="53"/>
        <v>133.33333333333334</v>
      </c>
      <c r="L36" s="243">
        <v>18</v>
      </c>
      <c r="M36" s="10">
        <f t="shared" si="54"/>
        <v>2296.6666666666665</v>
      </c>
      <c r="N36" s="9">
        <f t="shared" si="55"/>
        <v>127.59259259259258</v>
      </c>
      <c r="O36" s="11">
        <f t="shared" si="49"/>
        <v>0</v>
      </c>
      <c r="P36" s="12">
        <f t="shared" si="50"/>
        <v>-5.7407407407407618</v>
      </c>
      <c r="Q36" s="239">
        <f t="shared" si="51"/>
        <v>0.95694444444444426</v>
      </c>
      <c r="R36" s="571"/>
      <c r="S36" s="24">
        <v>0.62847222222222199</v>
      </c>
      <c r="T36" s="24">
        <v>0.69097222222222199</v>
      </c>
      <c r="U36" s="236">
        <f t="shared" si="57"/>
        <v>4.9999999999999822</v>
      </c>
      <c r="V36" s="244">
        <f t="shared" si="52"/>
        <v>90</v>
      </c>
      <c r="W36" s="13"/>
      <c r="X36" s="13"/>
      <c r="Y36" s="621"/>
      <c r="Z36" s="622"/>
      <c r="AA36" s="11">
        <f t="shared" si="2"/>
        <v>-103.33333333333348</v>
      </c>
      <c r="AB36" s="239">
        <f t="shared" si="56"/>
        <v>0.95694444444444438</v>
      </c>
      <c r="AC36" s="571"/>
    </row>
    <row r="37" spans="1:29">
      <c r="A37" s="638" t="s">
        <v>1036</v>
      </c>
      <c r="B37" s="26" t="s">
        <v>46</v>
      </c>
      <c r="C37" s="616" t="s">
        <v>64</v>
      </c>
      <c r="D37" s="616"/>
      <c r="E37" s="26">
        <v>26.39</v>
      </c>
      <c r="F37" s="246">
        <v>3112</v>
      </c>
      <c r="G37" s="236">
        <f t="shared" si="48"/>
        <v>82125.680000000008</v>
      </c>
      <c r="H37" s="21" t="s">
        <v>35</v>
      </c>
      <c r="I37" s="243">
        <v>19</v>
      </c>
      <c r="J37" s="23">
        <v>2400</v>
      </c>
      <c r="K37" s="9">
        <f t="shared" si="53"/>
        <v>126.31578947368421</v>
      </c>
      <c r="L37" s="243">
        <v>19</v>
      </c>
      <c r="M37" s="10">
        <f t="shared" si="54"/>
        <v>2305.1851851851843</v>
      </c>
      <c r="N37" s="9">
        <f t="shared" si="55"/>
        <v>121.32553606237812</v>
      </c>
      <c r="O37" s="11">
        <f t="shared" si="49"/>
        <v>0</v>
      </c>
      <c r="P37" s="12">
        <f t="shared" si="50"/>
        <v>-4.9902534113060852</v>
      </c>
      <c r="Q37" s="239">
        <f t="shared" si="51"/>
        <v>0.96049382716049347</v>
      </c>
      <c r="R37" s="571"/>
      <c r="S37" s="24">
        <v>0.6944444444444442</v>
      </c>
      <c r="T37" s="24">
        <v>0.75069444444444422</v>
      </c>
      <c r="U37" s="236">
        <f t="shared" si="57"/>
        <v>4.9999999999999822</v>
      </c>
      <c r="V37" s="244">
        <f t="shared" si="52"/>
        <v>81.000000000000028</v>
      </c>
      <c r="W37" s="13"/>
      <c r="X37" s="13"/>
      <c r="Y37" s="621"/>
      <c r="Z37" s="622"/>
      <c r="AA37" s="11">
        <f t="shared" si="2"/>
        <v>-94.814814814815691</v>
      </c>
      <c r="AB37" s="239">
        <f t="shared" si="56"/>
        <v>0.96049382716049347</v>
      </c>
      <c r="AC37" s="571"/>
    </row>
    <row r="38" spans="1:29">
      <c r="A38" s="638" t="s">
        <v>1036</v>
      </c>
      <c r="B38" s="27" t="s">
        <v>1031</v>
      </c>
      <c r="C38" s="629"/>
      <c r="D38" s="629"/>
      <c r="E38" s="240"/>
      <c r="F38" s="27"/>
      <c r="G38" s="9"/>
      <c r="H38" s="246"/>
      <c r="I38" s="16">
        <v>17.25</v>
      </c>
      <c r="J38" s="23">
        <v>2400</v>
      </c>
      <c r="K38" s="9">
        <f t="shared" si="53"/>
        <v>139.13043478260869</v>
      </c>
      <c r="L38" s="16">
        <v>17.25</v>
      </c>
      <c r="M38" s="10">
        <f>AVERAGE(M30:M37)</f>
        <v>2295.1707348476434</v>
      </c>
      <c r="N38" s="9">
        <f>M38/L38</f>
        <v>133.05337593319672</v>
      </c>
      <c r="O38" s="11">
        <f>L38-I38</f>
        <v>0</v>
      </c>
      <c r="P38" s="12">
        <f t="shared" si="50"/>
        <v>-6.0770588494119693</v>
      </c>
      <c r="Q38" s="239">
        <f t="shared" si="51"/>
        <v>0.95632113951985143</v>
      </c>
      <c r="R38" s="571"/>
      <c r="S38" s="24"/>
      <c r="T38" s="24"/>
      <c r="U38" s="9"/>
      <c r="V38" s="244"/>
      <c r="W38" s="9"/>
      <c r="X38" s="9"/>
      <c r="Y38" s="617"/>
      <c r="Z38" s="617"/>
      <c r="AA38" s="11">
        <f t="shared" si="2"/>
        <v>-104.82926515235658</v>
      </c>
      <c r="AB38" s="239">
        <f t="shared" si="56"/>
        <v>0.95632113951985143</v>
      </c>
      <c r="AC38" s="571"/>
    </row>
    <row r="39" spans="1:29" ht="15.75" customHeight="1">
      <c r="A39" s="630" t="s">
        <v>1037</v>
      </c>
      <c r="B39" s="26" t="s">
        <v>67</v>
      </c>
      <c r="C39" s="627" t="s">
        <v>68</v>
      </c>
      <c r="D39" s="628"/>
      <c r="E39" s="26">
        <v>21.13</v>
      </c>
      <c r="F39" s="246">
        <v>5486</v>
      </c>
      <c r="G39" s="236">
        <f t="shared" ref="G39:G44" si="58">E39*F39</f>
        <v>115919.18</v>
      </c>
      <c r="H39" s="21" t="s">
        <v>35</v>
      </c>
      <c r="I39" s="243">
        <v>10</v>
      </c>
      <c r="J39" s="23">
        <v>3000</v>
      </c>
      <c r="K39" s="9">
        <f t="shared" si="53"/>
        <v>300</v>
      </c>
      <c r="L39" s="243">
        <v>10</v>
      </c>
      <c r="M39" s="10">
        <f t="shared" ref="M39:M40" si="59">F39/V39*60</f>
        <v>2862.260869565217</v>
      </c>
      <c r="N39" s="10">
        <f t="shared" ref="N39:N45" si="60">M39/L39</f>
        <v>286.22608695652173</v>
      </c>
      <c r="O39" s="11">
        <f t="shared" ref="O39:O45" si="61">L39-I39</f>
        <v>0</v>
      </c>
      <c r="P39" s="12">
        <f t="shared" si="50"/>
        <v>-13.773913043478274</v>
      </c>
      <c r="Q39" s="239">
        <f t="shared" si="51"/>
        <v>0.95408695652173914</v>
      </c>
      <c r="R39" s="582">
        <f>Q45</f>
        <v>0.95716007619772747</v>
      </c>
      <c r="S39" s="24">
        <v>8.3333333333333329E-2</v>
      </c>
      <c r="T39" s="24">
        <v>0.16319444444444445</v>
      </c>
      <c r="U39" s="15"/>
      <c r="V39" s="244">
        <f t="shared" ref="V39:V44" si="62">(T39-S39)*24*60</f>
        <v>115.00000000000001</v>
      </c>
      <c r="W39" s="13">
        <f>T39</f>
        <v>0.16319444444444445</v>
      </c>
      <c r="X39" s="13">
        <f>S40</f>
        <v>0.18472222222222223</v>
      </c>
      <c r="Y39" s="621"/>
      <c r="Z39" s="622"/>
      <c r="AA39" s="11">
        <f t="shared" si="2"/>
        <v>-137.73913043478296</v>
      </c>
      <c r="AB39" s="239">
        <f t="shared" si="56"/>
        <v>0.95408695652173903</v>
      </c>
      <c r="AC39" s="582">
        <f>AB45</f>
        <v>0.95716007619772747</v>
      </c>
    </row>
    <row r="40" spans="1:29" ht="15.75" customHeight="1">
      <c r="A40" s="631" t="s">
        <v>1037</v>
      </c>
      <c r="B40" s="26" t="s">
        <v>67</v>
      </c>
      <c r="C40" s="627" t="s">
        <v>69</v>
      </c>
      <c r="D40" s="628"/>
      <c r="E40" s="26">
        <v>27.17</v>
      </c>
      <c r="F40" s="246">
        <v>7150</v>
      </c>
      <c r="G40" s="236">
        <f t="shared" si="58"/>
        <v>194265.5</v>
      </c>
      <c r="H40" s="21" t="s">
        <v>35</v>
      </c>
      <c r="I40" s="243">
        <v>10</v>
      </c>
      <c r="J40" s="23">
        <v>3000</v>
      </c>
      <c r="K40" s="9">
        <f t="shared" si="53"/>
        <v>300</v>
      </c>
      <c r="L40" s="243">
        <v>10</v>
      </c>
      <c r="M40" s="10">
        <f t="shared" si="59"/>
        <v>2859.9999999999995</v>
      </c>
      <c r="N40" s="10">
        <f t="shared" si="60"/>
        <v>285.99999999999994</v>
      </c>
      <c r="O40" s="11">
        <f t="shared" si="61"/>
        <v>0</v>
      </c>
      <c r="P40" s="12">
        <f t="shared" si="50"/>
        <v>-14.000000000000057</v>
      </c>
      <c r="Q40" s="239">
        <f t="shared" si="51"/>
        <v>0.95333333333333314</v>
      </c>
      <c r="R40" s="583"/>
      <c r="S40" s="24">
        <v>0.18472222222222223</v>
      </c>
      <c r="T40" s="24">
        <v>0.28888888888888892</v>
      </c>
      <c r="U40" s="236">
        <f>(S40-T39)*24*60</f>
        <v>31.000000000000011</v>
      </c>
      <c r="V40" s="244">
        <f t="shared" si="62"/>
        <v>150.00000000000003</v>
      </c>
      <c r="W40" s="13"/>
      <c r="X40" s="13"/>
      <c r="Y40" s="621"/>
      <c r="Z40" s="622"/>
      <c r="AA40" s="11">
        <f t="shared" si="2"/>
        <v>-140.00000000000045</v>
      </c>
      <c r="AB40" s="239">
        <f t="shared" si="56"/>
        <v>0.95333333333333314</v>
      </c>
      <c r="AC40" s="583"/>
    </row>
    <row r="41" spans="1:29" ht="15.75" customHeight="1">
      <c r="A41" s="631" t="s">
        <v>1037</v>
      </c>
      <c r="B41" s="26" t="s">
        <v>67</v>
      </c>
      <c r="C41" s="627" t="s">
        <v>70</v>
      </c>
      <c r="D41" s="628"/>
      <c r="E41" s="26">
        <v>35.119999999999997</v>
      </c>
      <c r="F41" s="246">
        <v>5205</v>
      </c>
      <c r="G41" s="236">
        <f t="shared" si="58"/>
        <v>182799.59999999998</v>
      </c>
      <c r="H41" s="21" t="s">
        <v>35</v>
      </c>
      <c r="I41" s="243">
        <v>10</v>
      </c>
      <c r="J41" s="23">
        <v>3000</v>
      </c>
      <c r="K41" s="9">
        <f t="shared" si="53"/>
        <v>300</v>
      </c>
      <c r="L41" s="243">
        <v>10</v>
      </c>
      <c r="M41" s="10">
        <f>F41/V41*60</f>
        <v>2865.1376146788989</v>
      </c>
      <c r="N41" s="10">
        <f t="shared" si="60"/>
        <v>286.51376146788988</v>
      </c>
      <c r="O41" s="11">
        <f t="shared" si="61"/>
        <v>0</v>
      </c>
      <c r="P41" s="12">
        <f t="shared" si="50"/>
        <v>-13.486238532110121</v>
      </c>
      <c r="Q41" s="239">
        <f t="shared" si="51"/>
        <v>0.95504587155963294</v>
      </c>
      <c r="R41" s="583"/>
      <c r="S41" s="24">
        <v>0.29305555555555557</v>
      </c>
      <c r="T41" s="24">
        <v>0.36875000000000002</v>
      </c>
      <c r="U41" s="236">
        <f t="shared" ref="U41:U44" si="63">(S41-T40)*24*60</f>
        <v>5.9999999999999787</v>
      </c>
      <c r="V41" s="244">
        <f t="shared" si="62"/>
        <v>109.00000000000001</v>
      </c>
      <c r="W41" s="13"/>
      <c r="X41" s="13"/>
      <c r="Y41" s="621"/>
      <c r="Z41" s="622"/>
      <c r="AA41" s="11">
        <f t="shared" si="2"/>
        <v>-134.8623853211011</v>
      </c>
      <c r="AB41" s="239">
        <f t="shared" si="56"/>
        <v>0.95504587155963294</v>
      </c>
      <c r="AC41" s="583"/>
    </row>
    <row r="42" spans="1:29" ht="15.75" customHeight="1">
      <c r="A42" s="631" t="s">
        <v>1037</v>
      </c>
      <c r="B42" s="26" t="s">
        <v>67</v>
      </c>
      <c r="C42" s="627" t="s">
        <v>71</v>
      </c>
      <c r="D42" s="628"/>
      <c r="E42" s="26">
        <v>35.869999999999997</v>
      </c>
      <c r="F42" s="246">
        <v>3237</v>
      </c>
      <c r="G42" s="236">
        <f t="shared" si="58"/>
        <v>116111.18999999999</v>
      </c>
      <c r="H42" s="21" t="s">
        <v>35</v>
      </c>
      <c r="I42" s="243">
        <v>10</v>
      </c>
      <c r="J42" s="23">
        <v>3000</v>
      </c>
      <c r="K42" s="9">
        <f t="shared" si="53"/>
        <v>300</v>
      </c>
      <c r="L42" s="243">
        <v>10</v>
      </c>
      <c r="M42" s="10">
        <f t="shared" ref="M42:M44" si="64">F42/V42*60</f>
        <v>2856.1764705882351</v>
      </c>
      <c r="N42" s="10">
        <f t="shared" si="60"/>
        <v>285.61764705882354</v>
      </c>
      <c r="O42" s="11">
        <f t="shared" si="61"/>
        <v>0</v>
      </c>
      <c r="P42" s="12">
        <f t="shared" si="50"/>
        <v>-14.382352941176464</v>
      </c>
      <c r="Q42" s="239">
        <f t="shared" si="51"/>
        <v>0.95205882352941174</v>
      </c>
      <c r="R42" s="583"/>
      <c r="S42" s="24">
        <v>0.37430555555555556</v>
      </c>
      <c r="T42" s="24">
        <v>0.42152777777777778</v>
      </c>
      <c r="U42" s="236">
        <f t="shared" si="63"/>
        <v>7.9999999999999716</v>
      </c>
      <c r="V42" s="244">
        <f t="shared" si="62"/>
        <v>68</v>
      </c>
      <c r="W42" s="13"/>
      <c r="X42" s="13"/>
      <c r="Y42" s="621"/>
      <c r="Z42" s="622"/>
      <c r="AA42" s="11">
        <f t="shared" si="2"/>
        <v>-143.82352941176487</v>
      </c>
      <c r="AB42" s="239">
        <f t="shared" si="56"/>
        <v>0.95205882352941174</v>
      </c>
      <c r="AC42" s="583"/>
    </row>
    <row r="43" spans="1:29" ht="15.75" customHeight="1">
      <c r="A43" s="631" t="s">
        <v>1037</v>
      </c>
      <c r="B43" s="26" t="s">
        <v>67</v>
      </c>
      <c r="C43" s="627" t="s">
        <v>72</v>
      </c>
      <c r="D43" s="628"/>
      <c r="E43" s="26">
        <v>36.14</v>
      </c>
      <c r="F43" s="246">
        <v>1852</v>
      </c>
      <c r="G43" s="236">
        <f t="shared" si="58"/>
        <v>66931.28</v>
      </c>
      <c r="H43" s="21" t="s">
        <v>35</v>
      </c>
      <c r="I43" s="243">
        <v>8</v>
      </c>
      <c r="J43" s="23">
        <v>3000</v>
      </c>
      <c r="K43" s="9">
        <f t="shared" si="53"/>
        <v>375</v>
      </c>
      <c r="L43" s="243">
        <v>8</v>
      </c>
      <c r="M43" s="10">
        <f t="shared" si="64"/>
        <v>2924.2105263157873</v>
      </c>
      <c r="N43" s="10">
        <f t="shared" si="60"/>
        <v>365.52631578947341</v>
      </c>
      <c r="O43" s="11">
        <f t="shared" si="61"/>
        <v>0</v>
      </c>
      <c r="P43" s="12">
        <f t="shared" si="50"/>
        <v>-9.473684210526585</v>
      </c>
      <c r="Q43" s="239">
        <f>N43/K43</f>
        <v>0.97473684210526246</v>
      </c>
      <c r="R43" s="583"/>
      <c r="S43" s="24">
        <v>0.42708333333333331</v>
      </c>
      <c r="T43" s="24">
        <v>0.45347222222222222</v>
      </c>
      <c r="U43" s="236">
        <f t="shared" si="63"/>
        <v>7.9999999999999716</v>
      </c>
      <c r="V43" s="244">
        <f t="shared" si="62"/>
        <v>38.000000000000028</v>
      </c>
      <c r="W43" s="13"/>
      <c r="X43" s="13"/>
      <c r="Y43" s="621"/>
      <c r="Z43" s="622"/>
      <c r="AA43" s="11">
        <f t="shared" si="2"/>
        <v>-75.78947368421268</v>
      </c>
      <c r="AB43" s="239">
        <f t="shared" si="56"/>
        <v>0.97473684210526246</v>
      </c>
      <c r="AC43" s="583"/>
    </row>
    <row r="44" spans="1:29" ht="15.75" customHeight="1">
      <c r="A44" s="631" t="s">
        <v>1037</v>
      </c>
      <c r="B44" s="26" t="s">
        <v>67</v>
      </c>
      <c r="C44" s="627" t="s">
        <v>664</v>
      </c>
      <c r="D44" s="628"/>
      <c r="E44" s="26">
        <v>34.36</v>
      </c>
      <c r="F44" s="246">
        <v>3481</v>
      </c>
      <c r="G44" s="236">
        <f t="shared" si="58"/>
        <v>119607.16</v>
      </c>
      <c r="H44" s="21" t="s">
        <v>35</v>
      </c>
      <c r="I44" s="243">
        <v>10</v>
      </c>
      <c r="J44" s="23">
        <v>3000</v>
      </c>
      <c r="K44" s="9">
        <f t="shared" si="53"/>
        <v>300</v>
      </c>
      <c r="L44" s="243">
        <v>10</v>
      </c>
      <c r="M44" s="10">
        <f t="shared" si="64"/>
        <v>2861.0958904109593</v>
      </c>
      <c r="N44" s="10">
        <f t="shared" si="60"/>
        <v>286.10958904109594</v>
      </c>
      <c r="O44" s="11">
        <f t="shared" si="61"/>
        <v>0</v>
      </c>
      <c r="P44" s="12">
        <f t="shared" si="50"/>
        <v>-13.890410958904056</v>
      </c>
      <c r="Q44" s="239">
        <f t="shared" ref="Q44:Q45" si="65">N44/K44</f>
        <v>0.95369863013698652</v>
      </c>
      <c r="R44" s="583"/>
      <c r="S44" s="24">
        <v>0.45763888888888887</v>
      </c>
      <c r="T44" s="24">
        <v>0.5083333333333333</v>
      </c>
      <c r="U44" s="236">
        <f t="shared" si="63"/>
        <v>5.9999999999999787</v>
      </c>
      <c r="V44" s="244">
        <f t="shared" si="62"/>
        <v>72.999999999999986</v>
      </c>
      <c r="W44" s="13"/>
      <c r="X44" s="13"/>
      <c r="Y44" s="621"/>
      <c r="Z44" s="622"/>
      <c r="AA44" s="11">
        <f t="shared" si="2"/>
        <v>-138.90410958904067</v>
      </c>
      <c r="AB44" s="239">
        <f t="shared" si="56"/>
        <v>0.95369863013698641</v>
      </c>
      <c r="AC44" s="583"/>
    </row>
    <row r="45" spans="1:29" ht="15.75" customHeight="1">
      <c r="A45" s="632" t="s">
        <v>1037</v>
      </c>
      <c r="B45" s="26" t="s">
        <v>1031</v>
      </c>
      <c r="C45" s="625"/>
      <c r="D45" s="626"/>
      <c r="E45" s="235"/>
      <c r="F45" s="246"/>
      <c r="G45" s="236"/>
      <c r="H45" s="246"/>
      <c r="I45" s="16">
        <v>9.6666666666666661</v>
      </c>
      <c r="J45" s="23">
        <v>3000</v>
      </c>
      <c r="K45" s="9">
        <f>J45/I45</f>
        <v>310.34482758620692</v>
      </c>
      <c r="L45" s="16">
        <v>9.6666666666666661</v>
      </c>
      <c r="M45" s="10">
        <f>AVERAGE(M39:M44)</f>
        <v>2871.4802285931823</v>
      </c>
      <c r="N45" s="9">
        <f t="shared" si="60"/>
        <v>297.04967881998442</v>
      </c>
      <c r="O45" s="11">
        <f t="shared" si="61"/>
        <v>0</v>
      </c>
      <c r="P45" s="12">
        <f t="shared" si="50"/>
        <v>-13.295148766222496</v>
      </c>
      <c r="Q45" s="239">
        <f t="shared" si="65"/>
        <v>0.95716007619772747</v>
      </c>
      <c r="R45" s="584"/>
      <c r="S45" s="24"/>
      <c r="T45" s="24"/>
      <c r="U45" s="236"/>
      <c r="V45" s="244"/>
      <c r="W45" s="13"/>
      <c r="X45" s="13"/>
      <c r="Y45" s="621"/>
      <c r="Z45" s="622"/>
      <c r="AA45" s="11">
        <f t="shared" si="2"/>
        <v>-128.51977140681765</v>
      </c>
      <c r="AB45" s="239">
        <f t="shared" si="56"/>
        <v>0.95716007619772747</v>
      </c>
      <c r="AC45" s="584"/>
    </row>
    <row r="46" spans="1:29" ht="15.75" customHeight="1">
      <c r="A46" s="633" t="s">
        <v>1038</v>
      </c>
      <c r="B46" s="26" t="s">
        <v>40</v>
      </c>
      <c r="C46" s="616" t="s">
        <v>73</v>
      </c>
      <c r="D46" s="616"/>
      <c r="E46" s="26">
        <v>46</v>
      </c>
      <c r="F46" s="28">
        <v>3291</v>
      </c>
      <c r="G46" s="236">
        <f t="shared" ref="G46:G51" si="66">E46*F46</f>
        <v>151386</v>
      </c>
      <c r="H46" s="21" t="s">
        <v>35</v>
      </c>
      <c r="I46" s="243">
        <v>17</v>
      </c>
      <c r="J46" s="23">
        <v>2000</v>
      </c>
      <c r="K46" s="9">
        <f t="shared" ref="K46:K51" si="67">J46/I46</f>
        <v>117.64705882352941</v>
      </c>
      <c r="L46" s="243">
        <v>17</v>
      </c>
      <c r="M46" s="10">
        <f t="shared" ref="M46:M51" si="68">F46/V46*60</f>
        <v>1917.0873786407763</v>
      </c>
      <c r="N46" s="10">
        <f>M46/L46</f>
        <v>112.76984580239861</v>
      </c>
      <c r="O46" s="11">
        <f>L46-I46</f>
        <v>0</v>
      </c>
      <c r="P46" s="12">
        <f>N46-K46</f>
        <v>-4.8772130211307996</v>
      </c>
      <c r="Q46" s="239">
        <f>N46/K46</f>
        <v>0.95854368932038825</v>
      </c>
      <c r="R46" s="571">
        <f>Q52</f>
        <v>0.95913208222567836</v>
      </c>
      <c r="S46" s="24">
        <v>0.29166666666666669</v>
      </c>
      <c r="T46" s="24">
        <v>0.36319444444444449</v>
      </c>
      <c r="U46" s="15"/>
      <c r="V46" s="244">
        <f t="shared" ref="V46:V51" si="69">(T46-S46)*24*60</f>
        <v>103.00000000000003</v>
      </c>
      <c r="W46" s="15"/>
      <c r="X46" s="15"/>
      <c r="Y46" s="617"/>
      <c r="Z46" s="617"/>
      <c r="AA46" s="11">
        <f t="shared" si="2"/>
        <v>-82.912621359223749</v>
      </c>
      <c r="AB46" s="239">
        <f t="shared" si="56"/>
        <v>0.95854368932038814</v>
      </c>
      <c r="AC46" s="571">
        <f>AB52</f>
        <v>0.95913208222567825</v>
      </c>
    </row>
    <row r="47" spans="1:29" ht="15.75" customHeight="1">
      <c r="A47" s="633" t="s">
        <v>1038</v>
      </c>
      <c r="B47" s="26" t="s">
        <v>36</v>
      </c>
      <c r="C47" s="616" t="s">
        <v>75</v>
      </c>
      <c r="D47" s="616"/>
      <c r="E47" s="26">
        <v>54.09</v>
      </c>
      <c r="F47" s="28">
        <v>1289</v>
      </c>
      <c r="G47" s="236">
        <f t="shared" si="66"/>
        <v>69722.010000000009</v>
      </c>
      <c r="H47" s="21" t="s">
        <v>35</v>
      </c>
      <c r="I47" s="243">
        <v>16</v>
      </c>
      <c r="J47" s="23">
        <v>2000</v>
      </c>
      <c r="K47" s="9">
        <f t="shared" si="67"/>
        <v>125</v>
      </c>
      <c r="L47" s="243">
        <v>16</v>
      </c>
      <c r="M47" s="10">
        <f t="shared" si="68"/>
        <v>1933.4999999999993</v>
      </c>
      <c r="N47" s="10">
        <f t="shared" ref="N47:N51" si="70">M47/L47</f>
        <v>120.84374999999996</v>
      </c>
      <c r="O47" s="11">
        <f t="shared" ref="O47:O51" si="71">L47-I47</f>
        <v>0</v>
      </c>
      <c r="P47" s="12">
        <f t="shared" ref="P47:P51" si="72">N47-K47</f>
        <v>-4.1562500000000426</v>
      </c>
      <c r="Q47" s="239">
        <f t="shared" ref="Q47:Q51" si="73">N47/K47</f>
        <v>0.96674999999999967</v>
      </c>
      <c r="R47" s="571"/>
      <c r="S47" s="24">
        <v>0.36875000000000002</v>
      </c>
      <c r="T47" s="24">
        <v>0.39652777777777781</v>
      </c>
      <c r="U47" s="236">
        <f>IF(S47=TIME(17,0,0),"",(S47-T46)*24*60)</f>
        <v>7.9999999999999716</v>
      </c>
      <c r="V47" s="244">
        <f t="shared" si="69"/>
        <v>40.000000000000014</v>
      </c>
      <c r="W47" s="13"/>
      <c r="X47" s="13"/>
      <c r="Y47" s="617"/>
      <c r="Z47" s="617"/>
      <c r="AA47" s="11">
        <f t="shared" si="2"/>
        <v>-66.500000000000682</v>
      </c>
      <c r="AB47" s="239">
        <f t="shared" si="56"/>
        <v>0.96674999999999967</v>
      </c>
      <c r="AC47" s="571"/>
    </row>
    <row r="48" spans="1:29" ht="15.75" customHeight="1">
      <c r="A48" s="633" t="s">
        <v>1038</v>
      </c>
      <c r="B48" s="26" t="s">
        <v>40</v>
      </c>
      <c r="C48" s="627" t="s">
        <v>74</v>
      </c>
      <c r="D48" s="628"/>
      <c r="E48" s="26">
        <v>46</v>
      </c>
      <c r="F48" s="28">
        <v>3322</v>
      </c>
      <c r="G48" s="236">
        <f t="shared" si="66"/>
        <v>152812</v>
      </c>
      <c r="H48" s="21" t="s">
        <v>35</v>
      </c>
      <c r="I48" s="243">
        <v>17</v>
      </c>
      <c r="J48" s="23">
        <v>2000</v>
      </c>
      <c r="K48" s="9">
        <f t="shared" si="67"/>
        <v>117.64705882352941</v>
      </c>
      <c r="L48" s="243">
        <v>17</v>
      </c>
      <c r="M48" s="10">
        <f t="shared" si="68"/>
        <v>1916.538461538461</v>
      </c>
      <c r="N48" s="10">
        <f t="shared" si="70"/>
        <v>112.73755656108594</v>
      </c>
      <c r="O48" s="11">
        <f t="shared" si="71"/>
        <v>0</v>
      </c>
      <c r="P48" s="12">
        <f t="shared" si="72"/>
        <v>-4.9095022624434677</v>
      </c>
      <c r="Q48" s="239">
        <f t="shared" si="73"/>
        <v>0.95826923076923054</v>
      </c>
      <c r="R48" s="571"/>
      <c r="S48" s="24">
        <v>0.40069444444444446</v>
      </c>
      <c r="T48" s="24">
        <v>0.47291666666666671</v>
      </c>
      <c r="U48" s="236">
        <f t="shared" ref="U48:U51" si="74">IF(S48=TIME(17,0,0),"",(S48-T47)*24*60)</f>
        <v>5.9999999999999787</v>
      </c>
      <c r="V48" s="244">
        <f t="shared" si="69"/>
        <v>104.00000000000003</v>
      </c>
      <c r="W48" s="13"/>
      <c r="X48" s="13"/>
      <c r="Y48" s="237"/>
      <c r="Z48" s="238"/>
      <c r="AA48" s="11">
        <f t="shared" si="2"/>
        <v>-83.461538461539021</v>
      </c>
      <c r="AB48" s="239">
        <f t="shared" si="56"/>
        <v>0.95826923076923054</v>
      </c>
      <c r="AC48" s="571"/>
    </row>
    <row r="49" spans="1:29" ht="15.75" customHeight="1">
      <c r="A49" s="633" t="s">
        <v>1038</v>
      </c>
      <c r="B49" s="26" t="s">
        <v>36</v>
      </c>
      <c r="C49" s="241" t="s">
        <v>76</v>
      </c>
      <c r="D49" s="242"/>
      <c r="E49" s="26">
        <v>55.56</v>
      </c>
      <c r="F49" s="28">
        <v>2523</v>
      </c>
      <c r="G49" s="236">
        <f t="shared" si="66"/>
        <v>140177.88</v>
      </c>
      <c r="H49" s="21" t="s">
        <v>35</v>
      </c>
      <c r="I49" s="243">
        <v>17</v>
      </c>
      <c r="J49" s="23">
        <v>2000</v>
      </c>
      <c r="K49" s="9">
        <f t="shared" si="67"/>
        <v>117.64705882352941</v>
      </c>
      <c r="L49" s="243">
        <v>17</v>
      </c>
      <c r="M49" s="10">
        <f t="shared" si="68"/>
        <v>1916.2025316455686</v>
      </c>
      <c r="N49" s="10">
        <f t="shared" si="70"/>
        <v>112.71779597915109</v>
      </c>
      <c r="O49" s="11">
        <f t="shared" si="71"/>
        <v>0</v>
      </c>
      <c r="P49" s="12">
        <f t="shared" si="72"/>
        <v>-4.9292628443783144</v>
      </c>
      <c r="Q49" s="239">
        <f t="shared" si="73"/>
        <v>0.95810126582278432</v>
      </c>
      <c r="R49" s="571"/>
      <c r="S49" s="24">
        <v>0.70833333333333337</v>
      </c>
      <c r="T49" s="24">
        <v>0.76319444444444451</v>
      </c>
      <c r="U49" s="236" t="str">
        <f t="shared" si="74"/>
        <v/>
      </c>
      <c r="V49" s="244">
        <f t="shared" si="69"/>
        <v>79.000000000000043</v>
      </c>
      <c r="W49" s="13"/>
      <c r="X49" s="13"/>
      <c r="Y49" s="237"/>
      <c r="Z49" s="238"/>
      <c r="AA49" s="11">
        <f t="shared" si="2"/>
        <v>-83.79746835443143</v>
      </c>
      <c r="AB49" s="239">
        <f t="shared" si="56"/>
        <v>0.95810126582278432</v>
      </c>
      <c r="AC49" s="571"/>
    </row>
    <row r="50" spans="1:29" ht="15.75" customHeight="1">
      <c r="A50" s="633" t="s">
        <v>1038</v>
      </c>
      <c r="B50" s="26" t="s">
        <v>36</v>
      </c>
      <c r="C50" s="241" t="s">
        <v>77</v>
      </c>
      <c r="D50" s="242"/>
      <c r="E50" s="26">
        <v>55.32</v>
      </c>
      <c r="F50" s="28">
        <v>1948</v>
      </c>
      <c r="G50" s="236">
        <f t="shared" si="66"/>
        <v>107763.36</v>
      </c>
      <c r="H50" s="21" t="s">
        <v>35</v>
      </c>
      <c r="I50" s="243">
        <v>15</v>
      </c>
      <c r="J50" s="23">
        <v>2000</v>
      </c>
      <c r="K50" s="9">
        <f t="shared" si="67"/>
        <v>133.33333333333334</v>
      </c>
      <c r="L50" s="243">
        <v>15</v>
      </c>
      <c r="M50" s="10">
        <f t="shared" si="68"/>
        <v>1916.0655737704935</v>
      </c>
      <c r="N50" s="10">
        <f t="shared" si="70"/>
        <v>127.7377049180329</v>
      </c>
      <c r="O50" s="11">
        <f t="shared" si="71"/>
        <v>0</v>
      </c>
      <c r="P50" s="12">
        <f t="shared" si="72"/>
        <v>-5.595628415300439</v>
      </c>
      <c r="Q50" s="239">
        <f t="shared" si="73"/>
        <v>0.95803278688524673</v>
      </c>
      <c r="R50" s="571"/>
      <c r="S50" s="24">
        <v>0.7680555555555556</v>
      </c>
      <c r="T50" s="24">
        <v>0.81041666666666667</v>
      </c>
      <c r="U50" s="236">
        <f t="shared" si="74"/>
        <v>6.9999999999999751</v>
      </c>
      <c r="V50" s="244">
        <f t="shared" si="69"/>
        <v>60.999999999999943</v>
      </c>
      <c r="W50" s="13"/>
      <c r="X50" s="13"/>
      <c r="Y50" s="237"/>
      <c r="Z50" s="238"/>
      <c r="AA50" s="11">
        <f t="shared" si="2"/>
        <v>-83.934426229506471</v>
      </c>
      <c r="AB50" s="239">
        <f t="shared" si="56"/>
        <v>0.95803278688524673</v>
      </c>
      <c r="AC50" s="571"/>
    </row>
    <row r="51" spans="1:29" ht="15.75" customHeight="1">
      <c r="A51" s="633" t="s">
        <v>1038</v>
      </c>
      <c r="B51" s="26" t="s">
        <v>36</v>
      </c>
      <c r="C51" s="627" t="s">
        <v>78</v>
      </c>
      <c r="D51" s="628"/>
      <c r="E51" s="26">
        <v>57.73</v>
      </c>
      <c r="F51" s="28">
        <v>1526</v>
      </c>
      <c r="G51" s="236">
        <f t="shared" si="66"/>
        <v>88095.98</v>
      </c>
      <c r="H51" s="21" t="s">
        <v>35</v>
      </c>
      <c r="I51" s="243">
        <v>16</v>
      </c>
      <c r="J51" s="23">
        <v>1500</v>
      </c>
      <c r="K51" s="9">
        <f t="shared" si="67"/>
        <v>93.75</v>
      </c>
      <c r="L51" s="243">
        <v>16</v>
      </c>
      <c r="M51" s="10">
        <f t="shared" si="68"/>
        <v>1430.6250000000016</v>
      </c>
      <c r="N51" s="10">
        <f t="shared" si="70"/>
        <v>89.414062500000099</v>
      </c>
      <c r="O51" s="11">
        <f t="shared" si="71"/>
        <v>0</v>
      </c>
      <c r="P51" s="12">
        <f t="shared" si="72"/>
        <v>-4.3359374999999005</v>
      </c>
      <c r="Q51" s="239">
        <f t="shared" si="73"/>
        <v>0.9537500000000011</v>
      </c>
      <c r="R51" s="571"/>
      <c r="S51" s="24">
        <v>0.81527777777777777</v>
      </c>
      <c r="T51" s="24">
        <v>0.85972222222222217</v>
      </c>
      <c r="U51" s="236">
        <f t="shared" si="74"/>
        <v>6.9999999999999751</v>
      </c>
      <c r="V51" s="244">
        <f t="shared" si="69"/>
        <v>63.999999999999929</v>
      </c>
      <c r="W51" s="13"/>
      <c r="X51" s="13"/>
      <c r="Y51" s="621"/>
      <c r="Z51" s="622"/>
      <c r="AA51" s="11">
        <f t="shared" si="2"/>
        <v>-69.374999999998408</v>
      </c>
      <c r="AB51" s="239">
        <f t="shared" si="56"/>
        <v>0.9537500000000011</v>
      </c>
      <c r="AC51" s="571"/>
    </row>
    <row r="52" spans="1:29">
      <c r="A52" s="634" t="s">
        <v>1038</v>
      </c>
      <c r="B52" s="26" t="s">
        <v>1031</v>
      </c>
      <c r="C52" s="629"/>
      <c r="D52" s="629"/>
      <c r="E52" s="240"/>
      <c r="F52" s="27"/>
      <c r="G52" s="9"/>
      <c r="H52" s="246"/>
      <c r="I52" s="16">
        <v>16.333333333333332</v>
      </c>
      <c r="J52" s="23">
        <v>1916.6666666666667</v>
      </c>
      <c r="K52" s="9">
        <f>J52/I52</f>
        <v>117.34693877551021</v>
      </c>
      <c r="L52" s="16">
        <v>16.333333333333332</v>
      </c>
      <c r="M52" s="10">
        <f>AVERAGE(M46:M51)</f>
        <v>1838.3364909325501</v>
      </c>
      <c r="N52" s="9">
        <f>M52/L52</f>
        <v>112.5512137305643</v>
      </c>
      <c r="O52" s="11">
        <f>L52-I52</f>
        <v>0</v>
      </c>
      <c r="P52" s="12">
        <f>N52-K52</f>
        <v>-4.795725044945911</v>
      </c>
      <c r="Q52" s="239">
        <f>N52/K52</f>
        <v>0.95913208222567836</v>
      </c>
      <c r="R52" s="571"/>
      <c r="S52" s="25"/>
      <c r="T52" s="24"/>
      <c r="U52" s="9"/>
      <c r="V52" s="244"/>
      <c r="W52" s="9"/>
      <c r="X52" s="9"/>
      <c r="Y52" s="617"/>
      <c r="Z52" s="617"/>
      <c r="AA52" s="11">
        <f t="shared" si="2"/>
        <v>-78.330175734116665</v>
      </c>
      <c r="AB52" s="239">
        <f t="shared" si="56"/>
        <v>0.95913208222567825</v>
      </c>
      <c r="AC52" s="571"/>
    </row>
    <row r="53" spans="1:29" ht="15.75" customHeight="1">
      <c r="A53" s="623" t="s">
        <v>1039</v>
      </c>
      <c r="B53" s="246" t="s">
        <v>40</v>
      </c>
      <c r="C53" s="616" t="s">
        <v>82</v>
      </c>
      <c r="D53" s="616"/>
      <c r="E53" s="26">
        <v>26.97</v>
      </c>
      <c r="F53" s="28">
        <v>3571</v>
      </c>
      <c r="G53" s="236">
        <f t="shared" ref="G53:G56" si="75">E53*F53</f>
        <v>96309.87</v>
      </c>
      <c r="H53" s="21" t="s">
        <v>35</v>
      </c>
      <c r="I53" s="243">
        <v>8</v>
      </c>
      <c r="J53" s="23">
        <v>1500</v>
      </c>
      <c r="K53" s="9">
        <f t="shared" ref="K53:K56" si="76">J53/I53</f>
        <v>187.5</v>
      </c>
      <c r="L53" s="243">
        <v>8</v>
      </c>
      <c r="M53" s="10">
        <f t="shared" ref="M53:M56" si="77">F53/V53*60</f>
        <v>1428.4</v>
      </c>
      <c r="N53" s="9">
        <f>M53/L53</f>
        <v>178.55</v>
      </c>
      <c r="O53" s="11">
        <f t="shared" ref="O53:O56" si="78">L53-I53</f>
        <v>0</v>
      </c>
      <c r="P53" s="12">
        <f t="shared" ref="P53:P56" si="79">N53-K53</f>
        <v>-8.9499999999999886</v>
      </c>
      <c r="Q53" s="239">
        <f>N53/K53</f>
        <v>0.95226666666666671</v>
      </c>
      <c r="R53" s="571">
        <f>Q57</f>
        <v>0.95625042259327986</v>
      </c>
      <c r="S53" s="24">
        <v>0.20833333333333334</v>
      </c>
      <c r="T53" s="24">
        <v>0.3125</v>
      </c>
      <c r="U53" s="236"/>
      <c r="V53" s="244">
        <f t="shared" ref="V53:V56" si="80">(T53-S53)*24*60</f>
        <v>150</v>
      </c>
      <c r="W53" s="15"/>
      <c r="X53" s="15"/>
      <c r="Y53" s="617"/>
      <c r="Z53" s="617"/>
      <c r="AA53" s="11">
        <f t="shared" si="2"/>
        <v>-71.599999999999909</v>
      </c>
      <c r="AB53" s="239">
        <f t="shared" si="56"/>
        <v>0.95226666666666671</v>
      </c>
      <c r="AC53" s="571">
        <f>AB57</f>
        <v>0.95625042259327975</v>
      </c>
    </row>
    <row r="54" spans="1:29" ht="15.75" customHeight="1">
      <c r="A54" s="623" t="s">
        <v>1039</v>
      </c>
      <c r="B54" s="246" t="s">
        <v>67</v>
      </c>
      <c r="C54" s="616" t="s">
        <v>79</v>
      </c>
      <c r="D54" s="616"/>
      <c r="E54" s="26">
        <v>26.78</v>
      </c>
      <c r="F54" s="28">
        <v>2885</v>
      </c>
      <c r="G54" s="236">
        <f t="shared" si="75"/>
        <v>77260.3</v>
      </c>
      <c r="H54" s="21" t="s">
        <v>35</v>
      </c>
      <c r="I54" s="243">
        <v>10</v>
      </c>
      <c r="J54" s="23">
        <v>3000</v>
      </c>
      <c r="K54" s="9">
        <f t="shared" si="76"/>
        <v>300</v>
      </c>
      <c r="L54" s="243">
        <v>10</v>
      </c>
      <c r="M54" s="10">
        <f t="shared" si="77"/>
        <v>2884.9999999999986</v>
      </c>
      <c r="N54" s="9">
        <f t="shared" ref="N54:N56" si="81">M54/L54</f>
        <v>288.49999999999989</v>
      </c>
      <c r="O54" s="11">
        <f t="shared" si="78"/>
        <v>0</v>
      </c>
      <c r="P54" s="12">
        <f t="shared" si="79"/>
        <v>-11.500000000000114</v>
      </c>
      <c r="Q54" s="239">
        <f t="shared" ref="Q54:Q56" si="82">N54/K54</f>
        <v>0.96166666666666634</v>
      </c>
      <c r="R54" s="571"/>
      <c r="S54" s="24">
        <v>0.31805555555555554</v>
      </c>
      <c r="T54" s="24">
        <v>0.35972222222222222</v>
      </c>
      <c r="U54" s="236">
        <f>(S54-T53)*24*60</f>
        <v>7.9999999999999716</v>
      </c>
      <c r="V54" s="244">
        <f t="shared" si="80"/>
        <v>60.000000000000028</v>
      </c>
      <c r="W54" s="236"/>
      <c r="X54" s="236"/>
      <c r="Y54" s="617"/>
      <c r="Z54" s="617"/>
      <c r="AA54" s="11">
        <f t="shared" si="2"/>
        <v>-115.00000000000136</v>
      </c>
      <c r="AB54" s="239">
        <f t="shared" si="56"/>
        <v>0.96166666666666623</v>
      </c>
      <c r="AC54" s="571"/>
    </row>
    <row r="55" spans="1:29" ht="15.75" customHeight="1">
      <c r="A55" s="623" t="s">
        <v>1039</v>
      </c>
      <c r="B55" s="246" t="s">
        <v>67</v>
      </c>
      <c r="C55" s="616" t="s">
        <v>83</v>
      </c>
      <c r="D55" s="616"/>
      <c r="E55" s="26">
        <v>35.369999999999997</v>
      </c>
      <c r="F55" s="28">
        <v>1572</v>
      </c>
      <c r="G55" s="236">
        <f t="shared" si="75"/>
        <v>55601.64</v>
      </c>
      <c r="H55" s="21" t="s">
        <v>35</v>
      </c>
      <c r="I55" s="243">
        <v>10</v>
      </c>
      <c r="J55" s="23">
        <v>3000</v>
      </c>
      <c r="K55" s="9">
        <f t="shared" si="76"/>
        <v>300</v>
      </c>
      <c r="L55" s="243">
        <v>10</v>
      </c>
      <c r="M55" s="10">
        <f t="shared" si="77"/>
        <v>2858.1818181818212</v>
      </c>
      <c r="N55" s="9">
        <f t="shared" si="81"/>
        <v>285.8181818181821</v>
      </c>
      <c r="O55" s="11">
        <f t="shared" si="78"/>
        <v>0</v>
      </c>
      <c r="P55" s="12">
        <f t="shared" si="79"/>
        <v>-14.181818181817903</v>
      </c>
      <c r="Q55" s="239">
        <f t="shared" si="82"/>
        <v>0.95272727272727364</v>
      </c>
      <c r="R55" s="571"/>
      <c r="S55" s="24">
        <v>0.36388888888888887</v>
      </c>
      <c r="T55" s="24">
        <v>0.38680555555555551</v>
      </c>
      <c r="U55" s="236">
        <f t="shared" ref="U55:U56" si="83">(S55-T54)*24*60</f>
        <v>5.9999999999999787</v>
      </c>
      <c r="V55" s="244">
        <f t="shared" si="80"/>
        <v>32.999999999999964</v>
      </c>
      <c r="W55" s="236"/>
      <c r="X55" s="236"/>
      <c r="Y55" s="617"/>
      <c r="Z55" s="617"/>
      <c r="AA55" s="11">
        <f t="shared" si="2"/>
        <v>-141.8181818181788</v>
      </c>
      <c r="AB55" s="239">
        <f t="shared" si="56"/>
        <v>0.95272727272727376</v>
      </c>
      <c r="AC55" s="571"/>
    </row>
    <row r="56" spans="1:29" ht="15.75" customHeight="1">
      <c r="A56" s="623" t="s">
        <v>1039</v>
      </c>
      <c r="B56" s="246" t="s">
        <v>67</v>
      </c>
      <c r="C56" s="616" t="s">
        <v>666</v>
      </c>
      <c r="D56" s="616"/>
      <c r="E56" s="26">
        <v>37.880000000000003</v>
      </c>
      <c r="F56" s="28">
        <v>6025</v>
      </c>
      <c r="G56" s="236">
        <f t="shared" si="75"/>
        <v>228227.00000000003</v>
      </c>
      <c r="H56" s="21" t="s">
        <v>35</v>
      </c>
      <c r="I56" s="243">
        <v>11</v>
      </c>
      <c r="J56" s="23">
        <v>3000</v>
      </c>
      <c r="K56" s="9">
        <f t="shared" si="76"/>
        <v>272.72727272727275</v>
      </c>
      <c r="L56" s="243">
        <v>11</v>
      </c>
      <c r="M56" s="10">
        <f t="shared" si="77"/>
        <v>2869.0476190476184</v>
      </c>
      <c r="N56" s="9">
        <f t="shared" si="81"/>
        <v>260.82251082251076</v>
      </c>
      <c r="O56" s="11">
        <f t="shared" si="78"/>
        <v>0</v>
      </c>
      <c r="P56" s="12">
        <f t="shared" si="79"/>
        <v>-11.904761904761983</v>
      </c>
      <c r="Q56" s="239">
        <f t="shared" si="82"/>
        <v>0.95634920634920606</v>
      </c>
      <c r="R56" s="571"/>
      <c r="S56" s="24">
        <v>0.39097222222222217</v>
      </c>
      <c r="T56" s="24">
        <v>0.47847222222222219</v>
      </c>
      <c r="U56" s="236">
        <f t="shared" si="83"/>
        <v>5.9999999999999787</v>
      </c>
      <c r="V56" s="244">
        <f t="shared" si="80"/>
        <v>126.00000000000003</v>
      </c>
      <c r="W56" s="236"/>
      <c r="X56" s="236"/>
      <c r="Y56" s="617"/>
      <c r="Z56" s="617"/>
      <c r="AA56" s="11">
        <f t="shared" si="2"/>
        <v>-130.95238095238165</v>
      </c>
      <c r="AB56" s="239">
        <f t="shared" si="56"/>
        <v>0.95634920634920617</v>
      </c>
      <c r="AC56" s="571"/>
    </row>
    <row r="57" spans="1:29">
      <c r="A57" s="624" t="s">
        <v>1039</v>
      </c>
      <c r="B57" s="26" t="s">
        <v>1031</v>
      </c>
      <c r="C57" s="629"/>
      <c r="D57" s="629"/>
      <c r="E57" s="240"/>
      <c r="F57" s="27"/>
      <c r="G57" s="9"/>
      <c r="H57" s="246"/>
      <c r="I57" s="16">
        <v>9.75</v>
      </c>
      <c r="J57" s="23">
        <v>2625</v>
      </c>
      <c r="K57" s="9">
        <f>J57/I57</f>
        <v>269.23076923076923</v>
      </c>
      <c r="L57" s="16">
        <v>9.75</v>
      </c>
      <c r="M57" s="10">
        <f>AVERAGE(M53:M56)</f>
        <v>2510.1573593073595</v>
      </c>
      <c r="N57" s="9">
        <f>M57/L57</f>
        <v>257.45203685203688</v>
      </c>
      <c r="O57" s="11">
        <f>L57-I57</f>
        <v>0</v>
      </c>
      <c r="P57" s="12">
        <f>N57-K57</f>
        <v>-11.778732378732343</v>
      </c>
      <c r="Q57" s="239">
        <f>N57/K57</f>
        <v>0.95625042259327986</v>
      </c>
      <c r="R57" s="571"/>
      <c r="S57" s="24"/>
      <c r="T57" s="24"/>
      <c r="U57" s="9"/>
      <c r="V57" s="244"/>
      <c r="W57" s="9"/>
      <c r="X57" s="9"/>
      <c r="Y57" s="617"/>
      <c r="Z57" s="617"/>
      <c r="AA57" s="11">
        <f t="shared" si="2"/>
        <v>-114.84264069264054</v>
      </c>
      <c r="AB57" s="239">
        <f t="shared" si="56"/>
        <v>0.95625042259327975</v>
      </c>
      <c r="AC57" s="571"/>
    </row>
    <row r="58" spans="1:29" ht="15.75" customHeight="1">
      <c r="A58" s="618" t="s">
        <v>1040</v>
      </c>
      <c r="B58" s="246" t="s">
        <v>46</v>
      </c>
      <c r="C58" s="616" t="s">
        <v>84</v>
      </c>
      <c r="D58" s="616"/>
      <c r="E58" s="26">
        <v>20.2</v>
      </c>
      <c r="F58" s="246">
        <v>2643</v>
      </c>
      <c r="G58" s="236">
        <f t="shared" ref="G58:G66" si="84">E58*F58</f>
        <v>53388.6</v>
      </c>
      <c r="H58" s="21" t="s">
        <v>35</v>
      </c>
      <c r="I58" s="243">
        <v>19</v>
      </c>
      <c r="J58" s="23">
        <v>2400</v>
      </c>
      <c r="K58" s="9">
        <f t="shared" ref="K58:K67" si="85">J58/I58</f>
        <v>126.31578947368421</v>
      </c>
      <c r="L58" s="243">
        <v>19</v>
      </c>
      <c r="M58" s="10">
        <f>F58/V58*60</f>
        <v>2298.2608695652184</v>
      </c>
      <c r="N58" s="9">
        <f t="shared" ref="N58:N66" si="86">M58/L58</f>
        <v>120.96109839816938</v>
      </c>
      <c r="O58" s="11">
        <f t="shared" ref="O58:O66" si="87">L58-I58</f>
        <v>0</v>
      </c>
      <c r="P58" s="12">
        <f t="shared" ref="P58:P66" si="88">N58-K58</f>
        <v>-5.3546910755148218</v>
      </c>
      <c r="Q58" s="239">
        <f>N58/K58</f>
        <v>0.95760869565217432</v>
      </c>
      <c r="R58" s="571">
        <f>Q67</f>
        <v>0.95867170671972191</v>
      </c>
      <c r="S58" s="24">
        <v>8.3333333333333329E-2</v>
      </c>
      <c r="T58" s="24">
        <v>0.13124999999999998</v>
      </c>
      <c r="U58" s="15"/>
      <c r="V58" s="244">
        <f t="shared" ref="V58:V66" si="89">(T58-S58)*24*60</f>
        <v>68.999999999999972</v>
      </c>
      <c r="W58" s="13">
        <f>T58</f>
        <v>0.13124999999999998</v>
      </c>
      <c r="X58" s="13">
        <f>S59</f>
        <v>0.15069444444444444</v>
      </c>
      <c r="Y58" s="617"/>
      <c r="Z58" s="617"/>
      <c r="AA58" s="11">
        <f t="shared" si="2"/>
        <v>-101.7391304347816</v>
      </c>
      <c r="AB58" s="239">
        <f>M58/J58</f>
        <v>0.95760869565217432</v>
      </c>
      <c r="AC58" s="571">
        <f>AB67</f>
        <v>0.95867170671972191</v>
      </c>
    </row>
    <row r="59" spans="1:29" ht="15.75" customHeight="1">
      <c r="A59" s="619" t="s">
        <v>1040</v>
      </c>
      <c r="B59" s="246" t="s">
        <v>46</v>
      </c>
      <c r="C59" s="616" t="s">
        <v>85</v>
      </c>
      <c r="D59" s="616"/>
      <c r="E59" s="26">
        <v>19.02</v>
      </c>
      <c r="F59" s="246">
        <v>4200</v>
      </c>
      <c r="G59" s="236">
        <f t="shared" si="84"/>
        <v>79884</v>
      </c>
      <c r="H59" s="21">
        <v>2</v>
      </c>
      <c r="I59" s="243">
        <v>15</v>
      </c>
      <c r="J59" s="23">
        <v>2400</v>
      </c>
      <c r="K59" s="9">
        <f t="shared" si="85"/>
        <v>160</v>
      </c>
      <c r="L59" s="243">
        <v>15</v>
      </c>
      <c r="M59" s="10">
        <f t="shared" ref="M59:M66" si="90">F59/V59*60</f>
        <v>2290.9090909090914</v>
      </c>
      <c r="N59" s="9">
        <f t="shared" si="86"/>
        <v>152.72727272727278</v>
      </c>
      <c r="O59" s="11">
        <f t="shared" si="87"/>
        <v>0</v>
      </c>
      <c r="P59" s="12">
        <f t="shared" si="88"/>
        <v>-7.2727272727272236</v>
      </c>
      <c r="Q59" s="239">
        <f t="shared" ref="Q59:Q67" si="91">N59/K59</f>
        <v>0.95454545454545481</v>
      </c>
      <c r="R59" s="571"/>
      <c r="S59" s="24">
        <v>0.15069444444444444</v>
      </c>
      <c r="T59" s="24">
        <v>0.2270833333333333</v>
      </c>
      <c r="U59" s="236">
        <f>(S59-T58)*24*60</f>
        <v>28.000000000000021</v>
      </c>
      <c r="V59" s="244">
        <f t="shared" si="89"/>
        <v>109.99999999999997</v>
      </c>
      <c r="W59" s="13"/>
      <c r="X59" s="13"/>
      <c r="Y59" s="617"/>
      <c r="Z59" s="617"/>
      <c r="AA59" s="11">
        <f t="shared" si="2"/>
        <v>-109.09090909090855</v>
      </c>
      <c r="AB59" s="239">
        <f t="shared" ref="AB59:AB67" si="92">M59/J59</f>
        <v>0.95454545454545481</v>
      </c>
      <c r="AC59" s="571"/>
    </row>
    <row r="60" spans="1:29" ht="15.75" customHeight="1">
      <c r="A60" s="619" t="s">
        <v>1040</v>
      </c>
      <c r="B60" s="246" t="s">
        <v>46</v>
      </c>
      <c r="C60" s="616" t="s">
        <v>88</v>
      </c>
      <c r="D60" s="616"/>
      <c r="E60" s="26">
        <v>24.25</v>
      </c>
      <c r="F60" s="246">
        <v>4011</v>
      </c>
      <c r="G60" s="236">
        <f t="shared" si="84"/>
        <v>97266.75</v>
      </c>
      <c r="H60" s="21" t="s">
        <v>35</v>
      </c>
      <c r="I60" s="243">
        <v>17</v>
      </c>
      <c r="J60" s="23">
        <v>2400</v>
      </c>
      <c r="K60" s="9">
        <f t="shared" si="85"/>
        <v>141.1764705882353</v>
      </c>
      <c r="L60" s="243">
        <v>17</v>
      </c>
      <c r="M60" s="10">
        <f t="shared" si="90"/>
        <v>2292</v>
      </c>
      <c r="N60" s="9">
        <f t="shared" si="86"/>
        <v>134.8235294117647</v>
      </c>
      <c r="O60" s="11">
        <f t="shared" si="87"/>
        <v>0</v>
      </c>
      <c r="P60" s="12">
        <f t="shared" si="88"/>
        <v>-6.3529411764706083</v>
      </c>
      <c r="Q60" s="239">
        <f t="shared" si="91"/>
        <v>0.95499999999999985</v>
      </c>
      <c r="R60" s="571"/>
      <c r="S60" s="24">
        <v>0.23124999999999998</v>
      </c>
      <c r="T60" s="24">
        <v>0.30416666666666664</v>
      </c>
      <c r="U60" s="236">
        <f t="shared" ref="U60:U66" si="93">(S60-T59)*24*60</f>
        <v>6.0000000000000187</v>
      </c>
      <c r="V60" s="244">
        <f t="shared" si="89"/>
        <v>104.99999999999999</v>
      </c>
      <c r="W60" s="13"/>
      <c r="X60" s="13"/>
      <c r="Y60" s="617"/>
      <c r="Z60" s="617"/>
      <c r="AA60" s="11">
        <f t="shared" si="2"/>
        <v>-108</v>
      </c>
      <c r="AB60" s="239">
        <f t="shared" si="92"/>
        <v>0.95499999999999996</v>
      </c>
      <c r="AC60" s="571"/>
    </row>
    <row r="61" spans="1:29" ht="15.75" customHeight="1">
      <c r="A61" s="619" t="s">
        <v>1040</v>
      </c>
      <c r="B61" s="246" t="s">
        <v>46</v>
      </c>
      <c r="C61" s="616" t="s">
        <v>47</v>
      </c>
      <c r="D61" s="616"/>
      <c r="E61" s="26">
        <v>24.45</v>
      </c>
      <c r="F61" s="246">
        <v>2583</v>
      </c>
      <c r="G61" s="236">
        <f t="shared" si="84"/>
        <v>63154.35</v>
      </c>
      <c r="H61" s="21" t="s">
        <v>35</v>
      </c>
      <c r="I61" s="243">
        <v>20</v>
      </c>
      <c r="J61" s="23">
        <v>2400</v>
      </c>
      <c r="K61" s="9">
        <f t="shared" si="85"/>
        <v>120</v>
      </c>
      <c r="L61" s="243">
        <v>20</v>
      </c>
      <c r="M61" s="10">
        <f t="shared" si="90"/>
        <v>2313.1343283582091</v>
      </c>
      <c r="N61" s="9">
        <f t="shared" si="86"/>
        <v>115.65671641791046</v>
      </c>
      <c r="O61" s="11">
        <f t="shared" si="87"/>
        <v>0</v>
      </c>
      <c r="P61" s="12">
        <f t="shared" si="88"/>
        <v>-4.3432835820895406</v>
      </c>
      <c r="Q61" s="239">
        <f t="shared" si="91"/>
        <v>0.96380597014925384</v>
      </c>
      <c r="R61" s="571"/>
      <c r="S61" s="24">
        <v>0.30972222222222218</v>
      </c>
      <c r="T61" s="24">
        <v>0.35624999999999996</v>
      </c>
      <c r="U61" s="236">
        <f t="shared" si="93"/>
        <v>7.9999999999999716</v>
      </c>
      <c r="V61" s="244">
        <f t="shared" si="89"/>
        <v>67</v>
      </c>
      <c r="W61" s="13"/>
      <c r="X61" s="13"/>
      <c r="Y61" s="617"/>
      <c r="Z61" s="617"/>
      <c r="AA61" s="11">
        <f t="shared" si="2"/>
        <v>-86.865671641790868</v>
      </c>
      <c r="AB61" s="239">
        <f t="shared" si="92"/>
        <v>0.96380597014925384</v>
      </c>
      <c r="AC61" s="571"/>
    </row>
    <row r="62" spans="1:29" ht="15.75" customHeight="1">
      <c r="A62" s="619" t="s">
        <v>1040</v>
      </c>
      <c r="B62" s="246" t="s">
        <v>46</v>
      </c>
      <c r="C62" s="616" t="s">
        <v>66</v>
      </c>
      <c r="D62" s="616"/>
      <c r="E62" s="26">
        <v>24.25</v>
      </c>
      <c r="F62" s="246">
        <v>3300</v>
      </c>
      <c r="G62" s="236">
        <f t="shared" si="84"/>
        <v>80025</v>
      </c>
      <c r="H62" s="21">
        <v>2</v>
      </c>
      <c r="I62" s="243">
        <v>14</v>
      </c>
      <c r="J62" s="23">
        <v>2400</v>
      </c>
      <c r="K62" s="9">
        <f t="shared" si="85"/>
        <v>171.42857142857142</v>
      </c>
      <c r="L62" s="243">
        <v>14</v>
      </c>
      <c r="M62" s="10">
        <f t="shared" si="90"/>
        <v>2302.3255813953483</v>
      </c>
      <c r="N62" s="9">
        <f t="shared" si="86"/>
        <v>164.45182724252487</v>
      </c>
      <c r="O62" s="11">
        <f t="shared" si="87"/>
        <v>0</v>
      </c>
      <c r="P62" s="12">
        <f t="shared" si="88"/>
        <v>-6.9767441860465453</v>
      </c>
      <c r="Q62" s="239">
        <f t="shared" si="91"/>
        <v>0.95930232558139517</v>
      </c>
      <c r="R62" s="571"/>
      <c r="S62" s="24">
        <v>0.36041666666666661</v>
      </c>
      <c r="T62" s="24">
        <v>0.42013888888888884</v>
      </c>
      <c r="U62" s="236">
        <f t="shared" si="93"/>
        <v>5.9999999999999787</v>
      </c>
      <c r="V62" s="244">
        <f t="shared" si="89"/>
        <v>86.000000000000014</v>
      </c>
      <c r="W62" s="13"/>
      <c r="X62" s="13"/>
      <c r="Y62" s="617"/>
      <c r="Z62" s="617"/>
      <c r="AA62" s="11">
        <f t="shared" si="2"/>
        <v>-97.674418604651692</v>
      </c>
      <c r="AB62" s="239">
        <f t="shared" si="92"/>
        <v>0.95930232558139517</v>
      </c>
      <c r="AC62" s="571"/>
    </row>
    <row r="63" spans="1:29" ht="15.75" customHeight="1">
      <c r="A63" s="619" t="s">
        <v>1040</v>
      </c>
      <c r="B63" s="246" t="s">
        <v>46</v>
      </c>
      <c r="C63" s="616" t="s">
        <v>58</v>
      </c>
      <c r="D63" s="616"/>
      <c r="E63" s="26">
        <v>25.98</v>
      </c>
      <c r="F63" s="246">
        <v>1852</v>
      </c>
      <c r="G63" s="236">
        <f t="shared" si="84"/>
        <v>48114.96</v>
      </c>
      <c r="H63" s="21" t="s">
        <v>35</v>
      </c>
      <c r="I63" s="243">
        <v>17</v>
      </c>
      <c r="J63" s="23">
        <v>2400</v>
      </c>
      <c r="K63" s="9">
        <f t="shared" si="85"/>
        <v>141.1764705882353</v>
      </c>
      <c r="L63" s="243">
        <v>17</v>
      </c>
      <c r="M63" s="10">
        <f t="shared" si="90"/>
        <v>2315.0000000000005</v>
      </c>
      <c r="N63" s="9">
        <f t="shared" si="86"/>
        <v>136.17647058823533</v>
      </c>
      <c r="O63" s="11">
        <f t="shared" si="87"/>
        <v>0</v>
      </c>
      <c r="P63" s="12">
        <f t="shared" si="88"/>
        <v>-4.9999999999999716</v>
      </c>
      <c r="Q63" s="239">
        <f t="shared" si="91"/>
        <v>0.96458333333333357</v>
      </c>
      <c r="R63" s="571"/>
      <c r="S63" s="24">
        <v>0.42569444444444438</v>
      </c>
      <c r="T63" s="24">
        <v>0.4590277777777777</v>
      </c>
      <c r="U63" s="236">
        <f t="shared" si="93"/>
        <v>7.9999999999999716</v>
      </c>
      <c r="V63" s="244">
        <f t="shared" si="89"/>
        <v>47.999999999999986</v>
      </c>
      <c r="W63" s="13"/>
      <c r="X63" s="13"/>
      <c r="Y63" s="617"/>
      <c r="Z63" s="617"/>
      <c r="AA63" s="11">
        <f t="shared" si="2"/>
        <v>-84.999999999999545</v>
      </c>
      <c r="AB63" s="239">
        <f t="shared" si="92"/>
        <v>0.96458333333333357</v>
      </c>
      <c r="AC63" s="571"/>
    </row>
    <row r="64" spans="1:29" ht="15.75" customHeight="1">
      <c r="A64" s="619" t="s">
        <v>1040</v>
      </c>
      <c r="B64" s="246" t="s">
        <v>46</v>
      </c>
      <c r="C64" s="616" t="s">
        <v>57</v>
      </c>
      <c r="D64" s="616"/>
      <c r="E64" s="26">
        <v>20.52</v>
      </c>
      <c r="F64" s="246">
        <v>3518</v>
      </c>
      <c r="G64" s="236">
        <f t="shared" si="84"/>
        <v>72189.36</v>
      </c>
      <c r="H64" s="21" t="s">
        <v>35</v>
      </c>
      <c r="I64" s="243">
        <v>18</v>
      </c>
      <c r="J64" s="23">
        <v>2400</v>
      </c>
      <c r="K64" s="9">
        <f t="shared" si="85"/>
        <v>133.33333333333334</v>
      </c>
      <c r="L64" s="243">
        <v>18</v>
      </c>
      <c r="M64" s="10">
        <f t="shared" si="90"/>
        <v>2294.3478260869565</v>
      </c>
      <c r="N64" s="9">
        <f t="shared" si="86"/>
        <v>127.46376811594203</v>
      </c>
      <c r="O64" s="11">
        <f t="shared" si="87"/>
        <v>0</v>
      </c>
      <c r="P64" s="12">
        <f t="shared" si="88"/>
        <v>-5.8695652173913118</v>
      </c>
      <c r="Q64" s="239">
        <f t="shared" si="91"/>
        <v>0.95597826086956517</v>
      </c>
      <c r="R64" s="571"/>
      <c r="S64" s="24">
        <v>0.46249999999999991</v>
      </c>
      <c r="T64" s="24">
        <v>0.5263888888888888</v>
      </c>
      <c r="U64" s="236">
        <f t="shared" si="93"/>
        <v>4.9999999999999822</v>
      </c>
      <c r="V64" s="244">
        <f t="shared" si="89"/>
        <v>92</v>
      </c>
      <c r="W64" s="13">
        <f>T64</f>
        <v>0.5263888888888888</v>
      </c>
      <c r="X64" s="13">
        <f>S65</f>
        <v>0.56874999999999987</v>
      </c>
      <c r="Y64" s="621"/>
      <c r="Z64" s="622"/>
      <c r="AA64" s="11">
        <f t="shared" si="2"/>
        <v>-105.6521739130435</v>
      </c>
      <c r="AB64" s="239">
        <f t="shared" si="92"/>
        <v>0.95597826086956517</v>
      </c>
      <c r="AC64" s="571"/>
    </row>
    <row r="65" spans="1:29" ht="15.75" customHeight="1">
      <c r="A65" s="619" t="s">
        <v>1040</v>
      </c>
      <c r="B65" s="246" t="s">
        <v>46</v>
      </c>
      <c r="C65" s="616" t="s">
        <v>85</v>
      </c>
      <c r="D65" s="616"/>
      <c r="E65" s="26">
        <v>19.02</v>
      </c>
      <c r="F65" s="246">
        <v>7336</v>
      </c>
      <c r="G65" s="236">
        <f t="shared" si="84"/>
        <v>139530.72</v>
      </c>
      <c r="H65" s="21" t="s">
        <v>35</v>
      </c>
      <c r="I65" s="243">
        <v>15</v>
      </c>
      <c r="J65" s="23">
        <v>2400</v>
      </c>
      <c r="K65" s="9">
        <f t="shared" si="85"/>
        <v>160</v>
      </c>
      <c r="L65" s="243">
        <v>15</v>
      </c>
      <c r="M65" s="10">
        <f t="shared" si="90"/>
        <v>2292.5000000000005</v>
      </c>
      <c r="N65" s="9">
        <f t="shared" si="86"/>
        <v>152.83333333333337</v>
      </c>
      <c r="O65" s="11">
        <f t="shared" si="87"/>
        <v>0</v>
      </c>
      <c r="P65" s="12">
        <f t="shared" si="88"/>
        <v>-7.1666666666666288</v>
      </c>
      <c r="Q65" s="239">
        <f t="shared" si="91"/>
        <v>0.95520833333333355</v>
      </c>
      <c r="R65" s="571"/>
      <c r="S65" s="24">
        <v>0.56874999999999987</v>
      </c>
      <c r="T65" s="24">
        <v>0.70208333333333317</v>
      </c>
      <c r="U65" s="236">
        <f t="shared" si="93"/>
        <v>60.999999999999943</v>
      </c>
      <c r="V65" s="244">
        <f t="shared" si="89"/>
        <v>191.99999999999994</v>
      </c>
      <c r="W65" s="13"/>
      <c r="X65" s="13"/>
      <c r="Y65" s="621"/>
      <c r="Z65" s="622"/>
      <c r="AA65" s="11">
        <f t="shared" si="2"/>
        <v>-107.49999999999955</v>
      </c>
      <c r="AB65" s="239">
        <f t="shared" si="92"/>
        <v>0.95520833333333355</v>
      </c>
      <c r="AC65" s="571"/>
    </row>
    <row r="66" spans="1:29" ht="15.75" customHeight="1">
      <c r="A66" s="619" t="s">
        <v>1040</v>
      </c>
      <c r="B66" s="246" t="s">
        <v>46</v>
      </c>
      <c r="C66" s="616" t="s">
        <v>66</v>
      </c>
      <c r="D66" s="616"/>
      <c r="E66" s="26">
        <v>24.25</v>
      </c>
      <c r="F66" s="246">
        <v>2963</v>
      </c>
      <c r="G66" s="236">
        <f t="shared" si="84"/>
        <v>71852.75</v>
      </c>
      <c r="H66" s="21" t="s">
        <v>35</v>
      </c>
      <c r="I66" s="243">
        <v>14</v>
      </c>
      <c r="J66" s="23">
        <v>2400</v>
      </c>
      <c r="K66" s="9">
        <f t="shared" si="85"/>
        <v>171.42857142857142</v>
      </c>
      <c r="L66" s="243">
        <v>14</v>
      </c>
      <c r="M66" s="10">
        <f t="shared" si="90"/>
        <v>2308.8311688311678</v>
      </c>
      <c r="N66" s="9">
        <f t="shared" si="86"/>
        <v>164.91651205936913</v>
      </c>
      <c r="O66" s="11">
        <f t="shared" si="87"/>
        <v>0</v>
      </c>
      <c r="P66" s="12">
        <f t="shared" si="88"/>
        <v>-6.5120593692022908</v>
      </c>
      <c r="Q66" s="239">
        <f t="shared" si="91"/>
        <v>0.96201298701298665</v>
      </c>
      <c r="R66" s="571"/>
      <c r="S66" s="24">
        <v>0.70763888888888871</v>
      </c>
      <c r="T66" s="24">
        <v>0.76111111111111096</v>
      </c>
      <c r="U66" s="236">
        <f t="shared" si="93"/>
        <v>7.9999999999999716</v>
      </c>
      <c r="V66" s="244">
        <f t="shared" si="89"/>
        <v>77.000000000000043</v>
      </c>
      <c r="W66" s="13"/>
      <c r="X66" s="13"/>
      <c r="Y66" s="621"/>
      <c r="Z66" s="622"/>
      <c r="AA66" s="11">
        <f t="shared" si="2"/>
        <v>-91.168831168832185</v>
      </c>
      <c r="AB66" s="239">
        <f t="shared" si="92"/>
        <v>0.96201298701298654</v>
      </c>
      <c r="AC66" s="571"/>
    </row>
    <row r="67" spans="1:29" ht="16.5" customHeight="1">
      <c r="A67" s="620" t="s">
        <v>1040</v>
      </c>
      <c r="B67" s="26" t="s">
        <v>1031</v>
      </c>
      <c r="C67" s="625"/>
      <c r="D67" s="626"/>
      <c r="E67" s="240"/>
      <c r="F67" s="27"/>
      <c r="G67" s="9"/>
      <c r="H67" s="246"/>
      <c r="I67" s="16">
        <v>16.555555555555557</v>
      </c>
      <c r="J67" s="23">
        <v>2400</v>
      </c>
      <c r="K67" s="9">
        <f t="shared" si="85"/>
        <v>144.96644295302013</v>
      </c>
      <c r="L67" s="16">
        <v>16.555555555555557</v>
      </c>
      <c r="M67" s="10">
        <f>AVERAGE(M58:M66)</f>
        <v>2300.8120961273326</v>
      </c>
      <c r="N67" s="9">
        <f>M67/L67</f>
        <v>138.97522728285901</v>
      </c>
      <c r="O67" s="11">
        <f>L67-I67</f>
        <v>0</v>
      </c>
      <c r="P67" s="12">
        <f>N67-K67</f>
        <v>-5.9912156701611252</v>
      </c>
      <c r="Q67" s="239">
        <f t="shared" si="91"/>
        <v>0.95867170671972191</v>
      </c>
      <c r="R67" s="571"/>
      <c r="S67" s="24"/>
      <c r="T67" s="24"/>
      <c r="U67" s="9"/>
      <c r="V67" s="244"/>
      <c r="W67" s="9"/>
      <c r="X67" s="9"/>
      <c r="Y67" s="617"/>
      <c r="Z67" s="617"/>
      <c r="AA67" s="11">
        <f t="shared" si="2"/>
        <v>-99.187903872667448</v>
      </c>
      <c r="AB67" s="239">
        <f t="shared" si="92"/>
        <v>0.95867170671972191</v>
      </c>
      <c r="AC67" s="571"/>
    </row>
    <row r="68" spans="1:29">
      <c r="D68" s="17"/>
      <c r="E68" s="17"/>
    </row>
  </sheetData>
  <mergeCells count="182">
    <mergeCell ref="S1:X2"/>
    <mergeCell ref="Y1:Z2"/>
    <mergeCell ref="AA1:AC2"/>
    <mergeCell ref="A3:A4"/>
    <mergeCell ref="B3:B4"/>
    <mergeCell ref="C3:D4"/>
    <mergeCell ref="E3:E4"/>
    <mergeCell ref="F3:F4"/>
    <mergeCell ref="G3:G4"/>
    <mergeCell ref="I1:K2"/>
    <mergeCell ref="L1:N2"/>
    <mergeCell ref="O1:R2"/>
    <mergeCell ref="P3:P4"/>
    <mergeCell ref="Q3:Q4"/>
    <mergeCell ref="R3:R4"/>
    <mergeCell ref="S3:T3"/>
    <mergeCell ref="H3:H4"/>
    <mergeCell ref="I3:I4"/>
    <mergeCell ref="J3:J4"/>
    <mergeCell ref="K3:K4"/>
    <mergeCell ref="L3:L4"/>
    <mergeCell ref="M3:M4"/>
    <mergeCell ref="C8:D8"/>
    <mergeCell ref="Y8:Z8"/>
    <mergeCell ref="A9:A11"/>
    <mergeCell ref="C9:D9"/>
    <mergeCell ref="R9:R11"/>
    <mergeCell ref="Y9:Z9"/>
    <mergeCell ref="AC3:AC4"/>
    <mergeCell ref="A5:A8"/>
    <mergeCell ref="C5:D5"/>
    <mergeCell ref="R5:R8"/>
    <mergeCell ref="Y5:Z5"/>
    <mergeCell ref="AC5:AC8"/>
    <mergeCell ref="C6:D6"/>
    <mergeCell ref="Y6:Z6"/>
    <mergeCell ref="C7:D7"/>
    <mergeCell ref="Y7:Z7"/>
    <mergeCell ref="U3:U4"/>
    <mergeCell ref="V3:V4"/>
    <mergeCell ref="W3:X3"/>
    <mergeCell ref="Y3:Z4"/>
    <mergeCell ref="AA3:AA4"/>
    <mergeCell ref="AB3:AB4"/>
    <mergeCell ref="N3:N4"/>
    <mergeCell ref="O3:O4"/>
    <mergeCell ref="AC9:AC11"/>
    <mergeCell ref="C10:D10"/>
    <mergeCell ref="Y10:Z10"/>
    <mergeCell ref="C11:D11"/>
    <mergeCell ref="Y11:Z11"/>
    <mergeCell ref="A12:A16"/>
    <mergeCell ref="C12:D12"/>
    <mergeCell ref="R12:R16"/>
    <mergeCell ref="Y12:Z12"/>
    <mergeCell ref="AC12:AC16"/>
    <mergeCell ref="C16:D16"/>
    <mergeCell ref="Y16:Z16"/>
    <mergeCell ref="A17:A21"/>
    <mergeCell ref="C17:D17"/>
    <mergeCell ref="R17:R21"/>
    <mergeCell ref="Y17:Z17"/>
    <mergeCell ref="C13:D13"/>
    <mergeCell ref="Y13:Z13"/>
    <mergeCell ref="C14:D14"/>
    <mergeCell ref="Y14:Z14"/>
    <mergeCell ref="C15:D15"/>
    <mergeCell ref="Y15:Z15"/>
    <mergeCell ref="AC22:AC29"/>
    <mergeCell ref="C23:D23"/>
    <mergeCell ref="Y23:Z23"/>
    <mergeCell ref="C24:D24"/>
    <mergeCell ref="Y24:Z24"/>
    <mergeCell ref="C25:D25"/>
    <mergeCell ref="AC17:AC21"/>
    <mergeCell ref="C18:D18"/>
    <mergeCell ref="Y18:Z18"/>
    <mergeCell ref="C19:D19"/>
    <mergeCell ref="Y19:Z19"/>
    <mergeCell ref="C20:D20"/>
    <mergeCell ref="Y20:Z20"/>
    <mergeCell ref="C21:D21"/>
    <mergeCell ref="Y21:Z21"/>
    <mergeCell ref="Y25:Z25"/>
    <mergeCell ref="C26:D26"/>
    <mergeCell ref="Y26:Z26"/>
    <mergeCell ref="C27:D27"/>
    <mergeCell ref="Y27:Z27"/>
    <mergeCell ref="C28:D28"/>
    <mergeCell ref="Y28:Z28"/>
    <mergeCell ref="A22:A29"/>
    <mergeCell ref="C22:D22"/>
    <mergeCell ref="R22:R29"/>
    <mergeCell ref="Y22:Z22"/>
    <mergeCell ref="C29:D29"/>
    <mergeCell ref="Y29:Z29"/>
    <mergeCell ref="A30:A38"/>
    <mergeCell ref="C30:D30"/>
    <mergeCell ref="R30:R38"/>
    <mergeCell ref="Y30:Z30"/>
    <mergeCell ref="Y35:Z35"/>
    <mergeCell ref="C36:D36"/>
    <mergeCell ref="Y36:Z36"/>
    <mergeCell ref="C37:D37"/>
    <mergeCell ref="AC30:AC38"/>
    <mergeCell ref="C31:D31"/>
    <mergeCell ref="Y31:Z31"/>
    <mergeCell ref="C32:D32"/>
    <mergeCell ref="Y32:Z32"/>
    <mergeCell ref="C33:D33"/>
    <mergeCell ref="Y33:Z33"/>
    <mergeCell ref="C34:D34"/>
    <mergeCell ref="Y34:Z34"/>
    <mergeCell ref="C35:D35"/>
    <mergeCell ref="Y37:Z37"/>
    <mergeCell ref="C38:D38"/>
    <mergeCell ref="Y38:Z38"/>
    <mergeCell ref="A39:A45"/>
    <mergeCell ref="C39:D39"/>
    <mergeCell ref="R39:R45"/>
    <mergeCell ref="Y39:Z39"/>
    <mergeCell ref="Y44:Z44"/>
    <mergeCell ref="C45:D45"/>
    <mergeCell ref="Y45:Z45"/>
    <mergeCell ref="AC46:AC52"/>
    <mergeCell ref="C47:D47"/>
    <mergeCell ref="Y47:Z47"/>
    <mergeCell ref="C48:D48"/>
    <mergeCell ref="C51:D51"/>
    <mergeCell ref="Y51:Z51"/>
    <mergeCell ref="AC39:AC45"/>
    <mergeCell ref="C40:D40"/>
    <mergeCell ref="Y40:Z40"/>
    <mergeCell ref="C41:D41"/>
    <mergeCell ref="Y41:Z41"/>
    <mergeCell ref="C42:D42"/>
    <mergeCell ref="Y42:Z42"/>
    <mergeCell ref="C43:D43"/>
    <mergeCell ref="Y43:Z43"/>
    <mergeCell ref="C44:D44"/>
    <mergeCell ref="C52:D52"/>
    <mergeCell ref="Y52:Z52"/>
    <mergeCell ref="A53:A57"/>
    <mergeCell ref="C53:D53"/>
    <mergeCell ref="R53:R57"/>
    <mergeCell ref="Y53:Z53"/>
    <mergeCell ref="A46:A52"/>
    <mergeCell ref="C46:D46"/>
    <mergeCell ref="R46:R52"/>
    <mergeCell ref="Y46:Z46"/>
    <mergeCell ref="AC53:AC57"/>
    <mergeCell ref="C54:D54"/>
    <mergeCell ref="Y54:Z54"/>
    <mergeCell ref="C55:D55"/>
    <mergeCell ref="Y55:Z55"/>
    <mergeCell ref="C56:D56"/>
    <mergeCell ref="Y56:Z56"/>
    <mergeCell ref="C57:D57"/>
    <mergeCell ref="Y57:Z57"/>
    <mergeCell ref="A58:A67"/>
    <mergeCell ref="C58:D58"/>
    <mergeCell ref="R58:R67"/>
    <mergeCell ref="Y58:Z58"/>
    <mergeCell ref="AC58:AC67"/>
    <mergeCell ref="C59:D59"/>
    <mergeCell ref="Y59:Z59"/>
    <mergeCell ref="C60:D60"/>
    <mergeCell ref="Y60:Z60"/>
    <mergeCell ref="C61:D61"/>
    <mergeCell ref="C65:D65"/>
    <mergeCell ref="Y65:Z65"/>
    <mergeCell ref="C66:D66"/>
    <mergeCell ref="Y66:Z66"/>
    <mergeCell ref="C67:D67"/>
    <mergeCell ref="Y67:Z67"/>
    <mergeCell ref="Y61:Z61"/>
    <mergeCell ref="C62:D62"/>
    <mergeCell ref="Y62:Z62"/>
    <mergeCell ref="C63:D63"/>
    <mergeCell ref="Y63:Z63"/>
    <mergeCell ref="C64:D64"/>
    <mergeCell ref="Y64:Z64"/>
  </mergeCells>
  <phoneticPr fontId="3" type="noConversion"/>
  <conditionalFormatting sqref="O56:O63 O67 O5:O9 O11:O13 O16:O53">
    <cfRule type="cellIs" dxfId="821" priority="46" operator="greaterThan">
      <formula>0</formula>
    </cfRule>
  </conditionalFormatting>
  <conditionalFormatting sqref="P5:P7 P56 AA56 P58:P63 P22:P28 P53 P9 P11:P13 P17:P20 P46:P51 P30:P44 AA5:AA53 AA58:AA67">
    <cfRule type="cellIs" dxfId="820" priority="50" operator="lessThan">
      <formula>0</formula>
    </cfRule>
  </conditionalFormatting>
  <conditionalFormatting sqref="AB56 Q56:Q63 Q67 Q5:Q9 Q11:Q13 Q16:Q53 AB5:AB53 AB58:AB67">
    <cfRule type="cellIs" dxfId="819" priority="47" operator="greaterThan">
      <formula>1</formula>
    </cfRule>
    <cfRule type="cellIs" dxfId="818" priority="48" operator="lessThan">
      <formula>0.8</formula>
    </cfRule>
  </conditionalFormatting>
  <conditionalFormatting sqref="AC12:AC13 R12:R13 AC56 R56:R63 R67 AC5:AC9 R5:R9 AC16:AC53 R16:R53">
    <cfRule type="cellIs" dxfId="817" priority="52" operator="lessThan">
      <formula>0.8</formula>
    </cfRule>
  </conditionalFormatting>
  <conditionalFormatting sqref="AC39">
    <cfRule type="cellIs" dxfId="816" priority="54" operator="lessThan">
      <formula>0.8</formula>
    </cfRule>
  </conditionalFormatting>
  <conditionalFormatting sqref="AC17:AC20">
    <cfRule type="cellIs" dxfId="815" priority="51" operator="lessThan">
      <formula>0.8</formula>
    </cfRule>
  </conditionalFormatting>
  <conditionalFormatting sqref="AC22">
    <cfRule type="cellIs" dxfId="814" priority="53" operator="lessThan">
      <formula>0.8</formula>
    </cfRule>
  </conditionalFormatting>
  <conditionalFormatting sqref="AC30:AC37">
    <cfRule type="cellIs" dxfId="813" priority="49" operator="lessThan">
      <formula>0.8</formula>
    </cfRule>
  </conditionalFormatting>
  <conditionalFormatting sqref="AA57">
    <cfRule type="cellIs" dxfId="812" priority="45" operator="lessThan">
      <formula>0</formula>
    </cfRule>
  </conditionalFormatting>
  <conditionalFormatting sqref="AB57">
    <cfRule type="cellIs" dxfId="811" priority="43" operator="greaterThan">
      <formula>1</formula>
    </cfRule>
    <cfRule type="cellIs" dxfId="810" priority="44" operator="lessThan">
      <formula>0.8</formula>
    </cfRule>
  </conditionalFormatting>
  <conditionalFormatting sqref="O14:O15">
    <cfRule type="cellIs" dxfId="809" priority="38" operator="greaterThan">
      <formula>0</formula>
    </cfRule>
  </conditionalFormatting>
  <conditionalFormatting sqref="P14:P15">
    <cfRule type="cellIs" dxfId="808" priority="41" operator="lessThan">
      <formula>0</formula>
    </cfRule>
  </conditionalFormatting>
  <conditionalFormatting sqref="Q14:Q15">
    <cfRule type="cellIs" dxfId="807" priority="39" operator="greaterThan">
      <formula>1</formula>
    </cfRule>
    <cfRule type="cellIs" dxfId="806" priority="40" operator="lessThan">
      <formula>0.8</formula>
    </cfRule>
  </conditionalFormatting>
  <conditionalFormatting sqref="R14:R15 AC14:AC15">
    <cfRule type="cellIs" dxfId="805" priority="42" operator="lessThan">
      <formula>0.8</formula>
    </cfRule>
  </conditionalFormatting>
  <conditionalFormatting sqref="O10">
    <cfRule type="cellIs" dxfId="804" priority="34" operator="greaterThan">
      <formula>0</formula>
    </cfRule>
  </conditionalFormatting>
  <conditionalFormatting sqref="P10">
    <cfRule type="cellIs" dxfId="803" priority="37" operator="lessThan">
      <formula>0</formula>
    </cfRule>
  </conditionalFormatting>
  <conditionalFormatting sqref="Q10">
    <cfRule type="cellIs" dxfId="802" priority="35" operator="greaterThan">
      <formula>1</formula>
    </cfRule>
    <cfRule type="cellIs" dxfId="801" priority="36" operator="lessThan">
      <formula>0.8</formula>
    </cfRule>
  </conditionalFormatting>
  <conditionalFormatting sqref="O55">
    <cfRule type="cellIs" dxfId="800" priority="29" operator="greaterThan">
      <formula>0</formula>
    </cfRule>
  </conditionalFormatting>
  <conditionalFormatting sqref="P55 AA55">
    <cfRule type="cellIs" dxfId="799" priority="32" operator="lessThan">
      <formula>0</formula>
    </cfRule>
  </conditionalFormatting>
  <conditionalFormatting sqref="Q55 AB55">
    <cfRule type="cellIs" dxfId="798" priority="30" operator="greaterThan">
      <formula>1</formula>
    </cfRule>
    <cfRule type="cellIs" dxfId="797" priority="31" operator="lessThan">
      <formula>0.8</formula>
    </cfRule>
  </conditionalFormatting>
  <conditionalFormatting sqref="R55 AC55">
    <cfRule type="cellIs" dxfId="796" priority="33" operator="lessThan">
      <formula>0.8</formula>
    </cfRule>
  </conditionalFormatting>
  <conditionalFormatting sqref="O64">
    <cfRule type="cellIs" dxfId="795" priority="24" operator="greaterThan">
      <formula>0</formula>
    </cfRule>
  </conditionalFormatting>
  <conditionalFormatting sqref="P64">
    <cfRule type="cellIs" dxfId="794" priority="27" operator="lessThan">
      <formula>0</formula>
    </cfRule>
  </conditionalFormatting>
  <conditionalFormatting sqref="Q64">
    <cfRule type="cellIs" dxfId="793" priority="25" operator="greaterThan">
      <formula>1</formula>
    </cfRule>
    <cfRule type="cellIs" dxfId="792" priority="26" operator="lessThan">
      <formula>0.8</formula>
    </cfRule>
  </conditionalFormatting>
  <conditionalFormatting sqref="R64">
    <cfRule type="cellIs" dxfId="791" priority="28" operator="lessThan">
      <formula>0.8</formula>
    </cfRule>
  </conditionalFormatting>
  <conditionalFormatting sqref="O54">
    <cfRule type="cellIs" dxfId="790" priority="19" operator="greaterThan">
      <formula>0</formula>
    </cfRule>
  </conditionalFormatting>
  <conditionalFormatting sqref="P54 AA54">
    <cfRule type="cellIs" dxfId="789" priority="22" operator="lessThan">
      <formula>0</formula>
    </cfRule>
  </conditionalFormatting>
  <conditionalFormatting sqref="Q54 AB54">
    <cfRule type="cellIs" dxfId="788" priority="20" operator="greaterThan">
      <formula>1</formula>
    </cfRule>
    <cfRule type="cellIs" dxfId="787" priority="21" operator="lessThan">
      <formula>0.8</formula>
    </cfRule>
  </conditionalFormatting>
  <conditionalFormatting sqref="R54 AC54">
    <cfRule type="cellIs" dxfId="786" priority="23" operator="lessThan">
      <formula>0.8</formula>
    </cfRule>
  </conditionalFormatting>
  <conditionalFormatting sqref="P8">
    <cfRule type="cellIs" dxfId="785" priority="18" operator="lessThan">
      <formula>0</formula>
    </cfRule>
  </conditionalFormatting>
  <conditionalFormatting sqref="P16">
    <cfRule type="cellIs" dxfId="784" priority="17" operator="lessThan">
      <formula>0</formula>
    </cfRule>
  </conditionalFormatting>
  <conditionalFormatting sqref="P21">
    <cfRule type="cellIs" dxfId="783" priority="16" operator="lessThan">
      <formula>0</formula>
    </cfRule>
  </conditionalFormatting>
  <conditionalFormatting sqref="P29">
    <cfRule type="cellIs" dxfId="782" priority="15" operator="lessThan">
      <formula>0</formula>
    </cfRule>
  </conditionalFormatting>
  <conditionalFormatting sqref="P45">
    <cfRule type="cellIs" dxfId="781" priority="14" operator="lessThan">
      <formula>0</formula>
    </cfRule>
  </conditionalFormatting>
  <conditionalFormatting sqref="P52">
    <cfRule type="cellIs" dxfId="780" priority="13" operator="lessThan">
      <formula>0</formula>
    </cfRule>
  </conditionalFormatting>
  <conditionalFormatting sqref="P57">
    <cfRule type="cellIs" dxfId="779" priority="12" operator="lessThan">
      <formula>0</formula>
    </cfRule>
  </conditionalFormatting>
  <conditionalFormatting sqref="P67">
    <cfRule type="cellIs" dxfId="778" priority="11" operator="lessThan">
      <formula>0</formula>
    </cfRule>
  </conditionalFormatting>
  <conditionalFormatting sqref="O65">
    <cfRule type="cellIs" dxfId="777" priority="6" operator="greaterThan">
      <formula>0</formula>
    </cfRule>
  </conditionalFormatting>
  <conditionalFormatting sqref="P65">
    <cfRule type="cellIs" dxfId="776" priority="9" operator="lessThan">
      <formula>0</formula>
    </cfRule>
  </conditionalFormatting>
  <conditionalFormatting sqref="Q65">
    <cfRule type="cellIs" dxfId="775" priority="7" operator="greaterThan">
      <formula>1</formula>
    </cfRule>
    <cfRule type="cellIs" dxfId="774" priority="8" operator="lessThan">
      <formula>0.8</formula>
    </cfRule>
  </conditionalFormatting>
  <conditionalFormatting sqref="R65">
    <cfRule type="cellIs" dxfId="773" priority="10" operator="lessThan">
      <formula>0.8</formula>
    </cfRule>
  </conditionalFormatting>
  <conditionalFormatting sqref="O66">
    <cfRule type="cellIs" dxfId="772" priority="1" operator="greaterThan">
      <formula>0</formula>
    </cfRule>
  </conditionalFormatting>
  <conditionalFormatting sqref="P66">
    <cfRule type="cellIs" dxfId="771" priority="4" operator="lessThan">
      <formula>0</formula>
    </cfRule>
  </conditionalFormatting>
  <conditionalFormatting sqref="Q66">
    <cfRule type="cellIs" dxfId="770" priority="2" operator="greaterThan">
      <formula>1</formula>
    </cfRule>
    <cfRule type="cellIs" dxfId="769" priority="3" operator="lessThan">
      <formula>0.8</formula>
    </cfRule>
  </conditionalFormatting>
  <conditionalFormatting sqref="R66">
    <cfRule type="cellIs" dxfId="768" priority="5" operator="lessThan">
      <formula>0.8</formula>
    </cfRule>
  </conditionalFormatting>
  <dataValidations count="1">
    <dataValidation type="list" allowBlank="1" showInputMessage="1" showErrorMessage="1" sqref="Z8 Y5:Z7 Y8:Y56 Z10:Z53 Y57:Z67">
      <formula1>#REF!</formula1>
    </dataValidation>
  </dataValidations>
  <pageMargins left="0" right="0" top="0" bottom="0" header="0" footer="0"/>
  <pageSetup paperSize="9" scale="11" orientation="landscape" horizontalDpi="300" verticalDpi="300" r:id="rId1"/>
</worksheet>
</file>

<file path=xl/worksheets/sheet3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工作表32"/>
  <dimension ref="B1:Q28"/>
  <sheetViews>
    <sheetView zoomScale="85" zoomScaleNormal="85" workbookViewId="0">
      <selection activeCell="C3" sqref="C3:D3"/>
    </sheetView>
  </sheetViews>
  <sheetFormatPr defaultColWidth="8.75" defaultRowHeight="15.75"/>
  <cols>
    <col min="1" max="1" width="8.75" style="30"/>
    <col min="2" max="2" width="17.875" style="30" customWidth="1"/>
    <col min="3" max="3" width="9.25" style="37" customWidth="1"/>
    <col min="4" max="13" width="12.625" style="30" customWidth="1"/>
    <col min="14" max="14" width="11" style="30" bestFit="1" customWidth="1"/>
    <col min="15" max="15" width="17.75" style="30" bestFit="1" customWidth="1"/>
    <col min="16" max="16" width="12.25" style="30" bestFit="1" customWidth="1"/>
    <col min="17" max="22" width="9.25" style="30" customWidth="1"/>
    <col min="23" max="23" width="10.75" style="30" customWidth="1"/>
    <col min="24" max="24" width="11" style="30" customWidth="1"/>
    <col min="25" max="16384" width="8.75" style="30"/>
  </cols>
  <sheetData>
    <row r="1" spans="2:17" ht="27.75" customHeight="1">
      <c r="B1" s="552" t="s">
        <v>199</v>
      </c>
      <c r="C1" s="552"/>
      <c r="D1" s="552"/>
      <c r="E1" s="552"/>
      <c r="F1" s="552"/>
      <c r="G1" s="552"/>
      <c r="H1" s="552"/>
      <c r="I1" s="552"/>
      <c r="J1" s="552"/>
      <c r="K1" s="29"/>
      <c r="L1" s="29"/>
      <c r="M1" s="29"/>
      <c r="N1" s="29"/>
      <c r="O1" s="29"/>
      <c r="P1" s="29"/>
    </row>
    <row r="2" spans="2:17" ht="27.75" customHeight="1">
      <c r="B2" s="553"/>
      <c r="C2" s="553"/>
      <c r="D2" s="553"/>
      <c r="E2" s="553"/>
      <c r="F2" s="553"/>
      <c r="G2" s="553"/>
      <c r="H2" s="553"/>
      <c r="I2" s="553"/>
      <c r="J2" s="553"/>
      <c r="K2" s="31"/>
      <c r="L2" s="31"/>
      <c r="M2" s="31"/>
      <c r="N2" s="29"/>
      <c r="O2" s="29"/>
      <c r="P2" s="29"/>
    </row>
    <row r="3" spans="2:17" ht="46.5" customHeight="1">
      <c r="B3" s="32" t="s">
        <v>200</v>
      </c>
      <c r="C3" s="554" t="str">
        <f>TEXT('1012 4度C'!A2,"yyyy.mm.ddaaaa")</f>
        <v>2025.10.12星期日</v>
      </c>
      <c r="D3" s="555"/>
      <c r="E3" s="32" t="s">
        <v>201</v>
      </c>
      <c r="F3" s="556">
        <f>'1012 4度C'!D1</f>
        <v>191217</v>
      </c>
      <c r="G3" s="557"/>
      <c r="H3" s="32" t="s">
        <v>202</v>
      </c>
      <c r="I3" s="558">
        <f>'1012 4度C'!F1</f>
        <v>6231751.370000002</v>
      </c>
      <c r="J3" s="559"/>
      <c r="K3" s="33"/>
      <c r="L3" s="34"/>
      <c r="M3" s="35"/>
      <c r="N3" s="35"/>
    </row>
    <row r="4" spans="2:17" ht="28.5" customHeight="1">
      <c r="B4" s="560" t="s">
        <v>203</v>
      </c>
      <c r="C4" s="542" t="s">
        <v>958</v>
      </c>
      <c r="D4" s="543"/>
      <c r="E4" s="563" t="s">
        <v>205</v>
      </c>
      <c r="F4" s="564"/>
      <c r="G4" s="563" t="s">
        <v>206</v>
      </c>
      <c r="H4" s="564"/>
      <c r="I4" s="563" t="s">
        <v>207</v>
      </c>
      <c r="J4" s="564"/>
      <c r="L4" s="35"/>
      <c r="M4" s="35"/>
      <c r="N4" s="35"/>
    </row>
    <row r="5" spans="2:17" ht="28.5" customHeight="1">
      <c r="B5" s="561"/>
      <c r="C5" s="542" t="s">
        <v>959</v>
      </c>
      <c r="D5" s="543"/>
      <c r="E5" s="542" t="s">
        <v>209</v>
      </c>
      <c r="F5" s="543"/>
      <c r="G5" s="544" t="s">
        <v>960</v>
      </c>
      <c r="H5" s="545"/>
      <c r="I5" s="546" t="s">
        <v>211</v>
      </c>
      <c r="J5" s="547"/>
      <c r="K5" s="35"/>
      <c r="L5" s="35"/>
      <c r="M5" s="35"/>
      <c r="N5" s="35"/>
    </row>
    <row r="6" spans="2:17" ht="28.5" customHeight="1">
      <c r="B6" s="561"/>
      <c r="C6" s="542" t="s">
        <v>92</v>
      </c>
      <c r="D6" s="543"/>
      <c r="E6" s="548">
        <f>AVERAGE(D13:M13)</f>
        <v>153.21831857350097</v>
      </c>
      <c r="F6" s="549">
        <f>AVERAGE(D27:O27,D13:J13)</f>
        <v>158.99865239023526</v>
      </c>
      <c r="G6" s="550">
        <f>AVERAGE(D13:J13)</f>
        <v>158.99865239023526</v>
      </c>
      <c r="H6" s="551"/>
      <c r="I6" s="550">
        <f>AVERAGE(K13:M13)</f>
        <v>139.73087300112087</v>
      </c>
      <c r="J6" s="551"/>
      <c r="K6" s="35"/>
      <c r="L6" s="35"/>
      <c r="M6" s="35"/>
      <c r="N6" s="35"/>
    </row>
    <row r="7" spans="2:17" ht="28.5" customHeight="1">
      <c r="B7" s="561"/>
      <c r="C7" s="532" t="s">
        <v>93</v>
      </c>
      <c r="D7" s="533"/>
      <c r="E7" s="534">
        <f>AVERAGE(D14:M14)</f>
        <v>146.59996751506719</v>
      </c>
      <c r="F7" s="535">
        <f>AVERAGE(D28:O28,D14:J14)</f>
        <v>152.13621445514235</v>
      </c>
      <c r="G7" s="536">
        <f>AVERAGE(D14:J14)</f>
        <v>152.13621445514235</v>
      </c>
      <c r="H7" s="537"/>
      <c r="I7" s="536">
        <f>AVERAGE(K14:M14)</f>
        <v>133.6820579882251</v>
      </c>
      <c r="J7" s="537"/>
      <c r="K7" s="35"/>
      <c r="L7" s="35"/>
      <c r="M7" s="35"/>
      <c r="N7" s="35"/>
    </row>
    <row r="8" spans="2:17" ht="28.5" customHeight="1">
      <c r="B8" s="562"/>
      <c r="C8" s="532" t="s">
        <v>94</v>
      </c>
      <c r="D8" s="533"/>
      <c r="E8" s="538">
        <f>AVERAGE(D15:M15)</f>
        <v>0.95654550808662009</v>
      </c>
      <c r="F8" s="539">
        <f>AVERAGE(D15:J15,D29:O29)</f>
        <v>0.95647404290094573</v>
      </c>
      <c r="G8" s="540">
        <f>AVERAGE(D15:J15)</f>
        <v>0.95647404290094573</v>
      </c>
      <c r="H8" s="541"/>
      <c r="I8" s="540">
        <f>AVERAGE(K15:M15)</f>
        <v>0.95671226018652733</v>
      </c>
      <c r="J8" s="541"/>
      <c r="K8" s="36" t="s">
        <v>212</v>
      </c>
      <c r="L8" s="35"/>
      <c r="M8" s="35"/>
      <c r="N8" s="35"/>
    </row>
    <row r="9" spans="2:17" ht="28.5" customHeight="1" thickBot="1">
      <c r="H9" s="38"/>
      <c r="N9" s="35"/>
      <c r="O9" s="35"/>
      <c r="P9" s="35"/>
      <c r="Q9" s="35"/>
    </row>
    <row r="10" spans="2:17" ht="30" customHeight="1">
      <c r="B10" s="515" t="s">
        <v>123</v>
      </c>
      <c r="C10" s="516"/>
      <c r="D10" s="517" t="s">
        <v>124</v>
      </c>
      <c r="E10" s="518"/>
      <c r="F10" s="518"/>
      <c r="G10" s="518"/>
      <c r="H10" s="518"/>
      <c r="I10" s="518"/>
      <c r="J10" s="519"/>
      <c r="K10" s="520" t="s">
        <v>125</v>
      </c>
      <c r="L10" s="521"/>
      <c r="M10" s="522"/>
      <c r="P10" s="39"/>
      <c r="Q10" s="39"/>
    </row>
    <row r="11" spans="2:17" ht="17.25" customHeight="1">
      <c r="B11" s="523" t="s">
        <v>126</v>
      </c>
      <c r="C11" s="524"/>
      <c r="D11" s="40">
        <v>1</v>
      </c>
      <c r="E11" s="41">
        <v>2</v>
      </c>
      <c r="F11" s="41">
        <v>3</v>
      </c>
      <c r="G11" s="41">
        <v>4</v>
      </c>
      <c r="H11" s="41">
        <v>5</v>
      </c>
      <c r="I11" s="41">
        <v>6</v>
      </c>
      <c r="J11" s="42">
        <v>7</v>
      </c>
      <c r="K11" s="40">
        <v>1</v>
      </c>
      <c r="L11" s="41">
        <v>2</v>
      </c>
      <c r="M11" s="42">
        <v>3</v>
      </c>
      <c r="P11" s="39"/>
      <c r="Q11" s="39"/>
    </row>
    <row r="12" spans="2:17" ht="34.15" customHeight="1">
      <c r="B12" s="525"/>
      <c r="C12" s="526"/>
      <c r="D12" s="43" t="s">
        <v>96</v>
      </c>
      <c r="E12" s="44" t="s">
        <v>97</v>
      </c>
      <c r="F12" s="44" t="s">
        <v>98</v>
      </c>
      <c r="G12" s="44" t="s">
        <v>99</v>
      </c>
      <c r="H12" s="44" t="s">
        <v>100</v>
      </c>
      <c r="I12" s="44" t="s">
        <v>101</v>
      </c>
      <c r="J12" s="45" t="s">
        <v>102</v>
      </c>
      <c r="K12" s="43" t="s">
        <v>103</v>
      </c>
      <c r="L12" s="44" t="s">
        <v>104</v>
      </c>
      <c r="M12" s="45" t="s">
        <v>105</v>
      </c>
    </row>
    <row r="13" spans="2:17" ht="40.15" customHeight="1">
      <c r="B13" s="527" t="s">
        <v>127</v>
      </c>
      <c r="C13" s="46" t="s">
        <v>961</v>
      </c>
      <c r="D13" s="47">
        <f>SUMIFS('1012 4度C'!$K:$K,'1012 4度C'!$A:$A,"新豐6線",'1012 4度C'!$B:$B,"平均")</f>
        <v>125</v>
      </c>
      <c r="E13" s="48">
        <f>SUMIFS('1012 4度C'!$K:$K,'1012 4度C'!$A:$A,"新豐2線",'1012 4度C'!$B:$B,"平均")</f>
        <v>81.081081081081081</v>
      </c>
      <c r="F13" s="49">
        <f>SUMIFS('1012 4度C'!$K:$K,'1012 4度C'!$A:$A,"新豐5線",'1012 4度C'!$B:$B,"平均")</f>
        <v>92.10526315789474</v>
      </c>
      <c r="G13" s="49">
        <f>SUMIFS('1012 4度C'!$K:$K,'1012 4度C'!$A:$A,"新豐7線",'1012 4度C'!$B:$B,"平均")</f>
        <v>119.40298507462687</v>
      </c>
      <c r="H13" s="49">
        <f>SUMIFS('1012 4度C'!$K:$K,'1012 4度C'!$A:$A,"新豐3線",'1012 4度C'!$B:$B,"平均")</f>
        <v>308.82352941176475</v>
      </c>
      <c r="I13" s="49">
        <f>SUMIFS('1012 4度C'!$K:$K,'1012 4度C'!$A:$A,"新豐1線",'1012 4度C'!$B:$B,"平均")</f>
        <v>117.34693877551021</v>
      </c>
      <c r="J13" s="50">
        <f>SUMIFS('1012 4度C'!$K:$K,'1012 4度C'!$A:$A,"新豐10線",'1012 4度C'!$B:$B,"平均")</f>
        <v>269.23076923076923</v>
      </c>
      <c r="K13" s="51">
        <f>SUMIFS('1012 4度C'!$K:$K,'1012 4度C'!$A:$A,"新豐8線",'1012 4度C'!$B:$B,"平均")</f>
        <v>135.48387096774192</v>
      </c>
      <c r="L13" s="52">
        <f>SUMIFS('1012 4度C'!$K:$K,'1012 4度C'!$A:$A,"新豐9線",'1012 4度C'!$B:$B,"平均")</f>
        <v>139.13043478260869</v>
      </c>
      <c r="M13" s="50">
        <f>SUMIFS('1012 4度C'!$K:$K,'1012 4度C'!$A:$A,"新豐4線",'1012 4度C'!$B:$B,"平均")</f>
        <v>144.57831325301203</v>
      </c>
    </row>
    <row r="14" spans="2:17" ht="39.6" customHeight="1">
      <c r="B14" s="528"/>
      <c r="C14" s="53" t="s">
        <v>962</v>
      </c>
      <c r="D14" s="54">
        <f>SUMIFS('1012 4度C'!$N:$N,'1012 4度C'!$A:$A,"新豐6線",'1012 4度C'!$B:$B,"平均")</f>
        <v>119.90849995075344</v>
      </c>
      <c r="E14" s="55">
        <f>SUMIFS('1012 4度C'!$N:$N,'1012 4度C'!$A:$A,"新豐2線",'1012 4度C'!$B:$B,"平均")</f>
        <v>77.242209560306549</v>
      </c>
      <c r="F14" s="55">
        <f>SUMIFS('1012 4度C'!$N:$N,'1012 4度C'!$A:$A,"新豐5線",'1012 4度C'!$B:$B,"平均")</f>
        <v>87.823381868640297</v>
      </c>
      <c r="G14" s="55">
        <f>SUMIFS('1012 4度C'!$N:$N,'1012 4度C'!$A:$A,"新豐7線",'1012 4度C'!$B:$B,"平均")</f>
        <v>114.22782455505633</v>
      </c>
      <c r="H14" s="55">
        <f>SUMIFS('1012 4度C'!$N:$N,'1012 4度C'!$A:$A,"新豐3線",'1012 4度C'!$B:$B,"平均")</f>
        <v>296.25953528503237</v>
      </c>
      <c r="I14" s="55">
        <f>SUMIFS('1012 4度C'!$N:$N,'1012 4度C'!$A:$A,"新豐1線",'1012 4度C'!$B:$B,"平均")</f>
        <v>112.64003391044434</v>
      </c>
      <c r="J14" s="56">
        <f>SUMIFS('1012 4度C'!$N:$N,'1012 4度C'!$A:$A,"新豐10線",'1012 4度C'!$B:$B,"平均")</f>
        <v>256.85201605576316</v>
      </c>
      <c r="K14" s="57">
        <f>SUMIFS('1012 4度C'!$N:$N,'1012 4度C'!$A:$A,"新豐8線",'1012 4度C'!$B:$B,"平均")</f>
        <v>129.50891416618188</v>
      </c>
      <c r="L14" s="58">
        <f>SUMIFS('1012 4度C'!$N:$N,'1012 4度C'!$A:$A,"新豐9線",'1012 4度C'!$B:$B,"平均")</f>
        <v>133.31054246362157</v>
      </c>
      <c r="M14" s="56">
        <f>SUMIFS('1012 4度C'!$N:$N,'1012 4度C'!$A:$A,"新豐4線",'1012 4度C'!$B:$B,"平均")</f>
        <v>138.22671733487189</v>
      </c>
    </row>
    <row r="15" spans="2:17" ht="40.15" customHeight="1">
      <c r="B15" s="529"/>
      <c r="C15" s="59" t="s">
        <v>963</v>
      </c>
      <c r="D15" s="60">
        <f t="shared" ref="D15:M15" si="0">D14/D13</f>
        <v>0.95926799960602749</v>
      </c>
      <c r="E15" s="61">
        <f t="shared" si="0"/>
        <v>0.9526539179104474</v>
      </c>
      <c r="F15" s="61">
        <f t="shared" si="0"/>
        <v>0.95351100314523751</v>
      </c>
      <c r="G15" s="61">
        <f t="shared" si="0"/>
        <v>0.95665803064859678</v>
      </c>
      <c r="H15" s="61">
        <f t="shared" si="0"/>
        <v>0.95931659044677131</v>
      </c>
      <c r="I15" s="61">
        <f t="shared" si="0"/>
        <v>0.95988898462813432</v>
      </c>
      <c r="J15" s="62">
        <f t="shared" si="0"/>
        <v>0.95402177392140608</v>
      </c>
      <c r="K15" s="60">
        <f t="shared" si="0"/>
        <v>0.9558991283694378</v>
      </c>
      <c r="L15" s="61">
        <f t="shared" si="0"/>
        <v>0.95816952395728006</v>
      </c>
      <c r="M15" s="62">
        <f t="shared" si="0"/>
        <v>0.95606812823286402</v>
      </c>
    </row>
    <row r="16" spans="2:17" ht="17.25" customHeight="1">
      <c r="B16" s="530" t="s">
        <v>130</v>
      </c>
      <c r="C16" s="63" t="s">
        <v>964</v>
      </c>
      <c r="D16" s="64">
        <f>VLOOKUP("新豐6線",'1012 4度C'!$A:$T,19,0)</f>
        <v>0.70833333333333337</v>
      </c>
      <c r="E16" s="24">
        <f>VLOOKUP("新豐2線",'1012 4度C'!$A:$T,19,0)</f>
        <v>0.20833333333333334</v>
      </c>
      <c r="F16" s="24">
        <f>VLOOKUP("新豐5線",'1012 4度C'!$A:$T,19,0)</f>
        <v>0.20833333333333334</v>
      </c>
      <c r="G16" s="24">
        <f>VLOOKUP("新豐7線",'1012 4度C'!$A:$T,19,0)</f>
        <v>0.20833333333333334</v>
      </c>
      <c r="H16" s="24">
        <f>VLOOKUP("新豐3線",'1012 4度C'!$A:$T,19,0)</f>
        <v>8.3333333333333329E-2</v>
      </c>
      <c r="I16" s="24">
        <f>VLOOKUP("新豐1線",'1012 4度C'!$A:$T,19,0)</f>
        <v>0.29166666666666669</v>
      </c>
      <c r="J16" s="65">
        <f>VLOOKUP("新豐10線",'1012 4度C'!$A:$T,19,0)</f>
        <v>0.20833333333333334</v>
      </c>
      <c r="K16" s="66">
        <f>VLOOKUP("新豐8線",'1012 4度C'!$A:$T,19,0)</f>
        <v>8.3333333333333329E-2</v>
      </c>
      <c r="L16" s="67">
        <f>VLOOKUP("新豐9線",'1012 4度C'!$A:$T,19,0)</f>
        <v>8.3333333333333329E-2</v>
      </c>
      <c r="M16" s="68">
        <f>VLOOKUP("新豐4線",'1012 4度C'!$A:$T,19,0)</f>
        <v>8.3333333333333329E-2</v>
      </c>
    </row>
    <row r="17" spans="2:13" ht="17.25" customHeight="1">
      <c r="B17" s="531"/>
      <c r="C17" s="63" t="s">
        <v>132</v>
      </c>
      <c r="D17" s="66">
        <f>LOOKUP(2,1/(('1012 4度C'!$A:$A="新豐6線")*('1012 4度C'!$T:$T&lt;&gt;"")),'1012 4度C'!$T:$T)</f>
        <v>0.83611111111111114</v>
      </c>
      <c r="E17" s="24">
        <f>LOOKUP(2,1/(('1012 4度C'!$A:$A="新豐2線")*('1012 4度C'!$T:$T&lt;&gt;"")),'1012 4度C'!$T:$T)</f>
        <v>0.52916666666666667</v>
      </c>
      <c r="F17" s="24">
        <f>LOOKUP(2,1/(('1012 4度C'!$A:$A="新豐5線")*('1012 4度C'!$T:$T&lt;&gt;"")),'1012 4度C'!$T:$T)</f>
        <v>0.85486111111111107</v>
      </c>
      <c r="G17" s="24">
        <f>LOOKUP(2,1/(('1012 4度C'!$A:$A="新豐7線")*('1012 4度C'!$T:$T&lt;&gt;"")),'1012 4度C'!$T:$T)</f>
        <v>0.77152777777777781</v>
      </c>
      <c r="H17" s="24">
        <f>LOOKUP(2,1/(('1012 4度C'!$A:$A="新豐3線")*('1012 4度C'!$T:$T&lt;&gt;"")),'1012 4度C'!$T:$T)</f>
        <v>0.57708333333333328</v>
      </c>
      <c r="I17" s="24">
        <f>LOOKUP(2,1/(('1012 4度C'!$A:$A="新豐1線")*('1012 4度C'!$T:$T&lt;&gt;"")),'1012 4度C'!$T:$T)</f>
        <v>0.8569444444444444</v>
      </c>
      <c r="J17" s="65">
        <f>LOOKUP(2,1/(('1012 4度C'!$A:$A="新豐10線")*('1012 4度C'!$T:$T&lt;&gt;"")),'1012 4度C'!$T:$T)</f>
        <v>0.49722222222222218</v>
      </c>
      <c r="K17" s="64">
        <f>LOOKUP(2,1/(('1012 4度C'!$A:$A="新豐8線")*('1012 4度C'!$T:$T&lt;&gt;"")),'1012 4度C'!$T:$T)</f>
        <v>0.70347222222222205</v>
      </c>
      <c r="L17" s="24">
        <f>LOOKUP(2,1/(('1012 4度C'!$A:$A="新豐9線")*('1012 4度C'!$T:$T&lt;&gt;"")),'1012 4度C'!$T:$T)</f>
        <v>0.74027777777777759</v>
      </c>
      <c r="M17" s="65">
        <f>LOOKUP(2,1/(('1012 4度C'!$A:$A="新豐4線")*('1012 4度C'!$T:$T&lt;&gt;"")),'1012 4度C'!$T:$T)</f>
        <v>0.75833333333333319</v>
      </c>
    </row>
    <row r="18" spans="2:13" ht="17.25" customHeight="1">
      <c r="B18" s="509" t="s">
        <v>223</v>
      </c>
      <c r="C18" s="510"/>
      <c r="D18" s="69">
        <f>SUMIFS('1012 4度C'!$I:$I,'1012 4度C'!$A:$A,"新豐6線",'1012 4度C'!$B:$B,"平均")</f>
        <v>16</v>
      </c>
      <c r="E18" s="70">
        <f>SUMIFS('1012 4度C'!$I:$I,'1012 4度C'!$A:$A,"新豐2線",'1012 4度C'!$B:$B,"平均")</f>
        <v>18.5</v>
      </c>
      <c r="F18" s="70">
        <f>SUMIFS('1012 4度C'!$I:$I,'1012 4度C'!$A:$A,"新豐5線",'1012 4度C'!$B:$B,"平均")</f>
        <v>19</v>
      </c>
      <c r="G18" s="70">
        <f>SUMIFS('1012 4度C'!$I:$I,'1012 4度C'!$A:$A,"新豐7線",'1012 4度C'!$B:$B,"平均")</f>
        <v>16.75</v>
      </c>
      <c r="H18" s="70">
        <f>SUMIFS('1012 4度C'!$I:$I,'1012 4度C'!$A:$A,"新豐3線",'1012 4度C'!$B:$B,"平均")</f>
        <v>9.7142857142857135</v>
      </c>
      <c r="I18" s="70">
        <f>SUMIFS('1012 4度C'!$I:$I,'1012 4度C'!$A:$A,"新豐1線",'1012 4度C'!$B:$B,"平均")</f>
        <v>16.333333333333332</v>
      </c>
      <c r="J18" s="71">
        <f>SUMIFS('1012 4度C'!$I:$I,'1012 4度C'!$A:$A,"新豐10線",'1012 4度C'!$B:$B,"平均")</f>
        <v>9.75</v>
      </c>
      <c r="K18" s="69">
        <f>SUMIFS('1012 4度C'!$I:$I,'1012 4度C'!$A:$A,"新豐8線",'1012 4度C'!$B:$B,"平均")</f>
        <v>17.714285714285715</v>
      </c>
      <c r="L18" s="70">
        <f>SUMIFS('1012 4度C'!$I:$I,'1012 4度C'!$A:$A,"新豐9線",'1012 4度C'!$B:$B,"平均")</f>
        <v>17.25</v>
      </c>
      <c r="M18" s="71">
        <f>SUMIFS('1012 4度C'!$I:$I,'1012 4度C'!$A:$A,"新豐4線",'1012 4度C'!$B:$B,"平均")</f>
        <v>16.600000000000001</v>
      </c>
    </row>
    <row r="19" spans="2:13" ht="17.25" customHeight="1">
      <c r="B19" s="509" t="s">
        <v>965</v>
      </c>
      <c r="C19" s="510"/>
      <c r="D19" s="72" t="s">
        <v>109</v>
      </c>
      <c r="E19" s="73" t="s">
        <v>110</v>
      </c>
      <c r="F19" s="73" t="s">
        <v>134</v>
      </c>
      <c r="G19" s="73" t="s">
        <v>134</v>
      </c>
      <c r="H19" s="73" t="s">
        <v>111</v>
      </c>
      <c r="I19" s="73" t="s">
        <v>109</v>
      </c>
      <c r="J19" s="74" t="s">
        <v>111</v>
      </c>
      <c r="K19" s="72" t="s">
        <v>136</v>
      </c>
      <c r="L19" s="73" t="s">
        <v>966</v>
      </c>
      <c r="M19" s="74" t="s">
        <v>967</v>
      </c>
    </row>
    <row r="20" spans="2:13" ht="17.25" customHeight="1">
      <c r="B20" s="509" t="s">
        <v>139</v>
      </c>
      <c r="C20" s="510"/>
      <c r="D20" s="72"/>
      <c r="E20" s="73"/>
      <c r="F20" s="73" t="s">
        <v>140</v>
      </c>
      <c r="G20" s="73" t="s">
        <v>109</v>
      </c>
      <c r="H20" s="73"/>
      <c r="I20" s="73"/>
      <c r="J20" s="74"/>
      <c r="K20" s="72"/>
      <c r="L20" s="73"/>
      <c r="M20" s="74"/>
    </row>
    <row r="21" spans="2:13" ht="17.25" customHeight="1" thickBot="1">
      <c r="B21" s="511" t="s">
        <v>141</v>
      </c>
      <c r="C21" s="512"/>
      <c r="D21" s="75"/>
      <c r="E21" s="76" t="s">
        <v>142</v>
      </c>
      <c r="F21" s="513" t="s">
        <v>143</v>
      </c>
      <c r="G21" s="514"/>
      <c r="H21" s="76" t="s">
        <v>968</v>
      </c>
      <c r="I21" s="76" t="s">
        <v>145</v>
      </c>
      <c r="J21" s="77" t="s">
        <v>144</v>
      </c>
      <c r="K21" s="78"/>
      <c r="L21" s="76"/>
      <c r="M21" s="77"/>
    </row>
    <row r="22" spans="2:13" ht="17.25" customHeight="1"/>
    <row r="23" spans="2:13" ht="17.25" customHeight="1"/>
    <row r="24" spans="2:13" ht="17.25" customHeight="1"/>
    <row r="25" spans="2:13" ht="37.5" customHeight="1"/>
    <row r="26" spans="2:13" ht="35.25" customHeight="1"/>
    <row r="27" spans="2:13" ht="35.25" customHeight="1"/>
    <row r="28" spans="2:13" ht="39.75" customHeight="1"/>
  </sheetData>
  <mergeCells count="36">
    <mergeCell ref="B20:C20"/>
    <mergeCell ref="B21:C21"/>
    <mergeCell ref="F21:G21"/>
    <mergeCell ref="K10:M10"/>
    <mergeCell ref="B11:C12"/>
    <mergeCell ref="B13:B15"/>
    <mergeCell ref="B18:C18"/>
    <mergeCell ref="B19:C19"/>
    <mergeCell ref="I6:J6"/>
    <mergeCell ref="B16:B17"/>
    <mergeCell ref="C7:D7"/>
    <mergeCell ref="E7:F7"/>
    <mergeCell ref="G7:H7"/>
    <mergeCell ref="I7:J7"/>
    <mergeCell ref="C8:D8"/>
    <mergeCell ref="E8:F8"/>
    <mergeCell ref="G8:H8"/>
    <mergeCell ref="I8:J8"/>
    <mergeCell ref="B10:C10"/>
    <mergeCell ref="D10:J10"/>
    <mergeCell ref="B1:J2"/>
    <mergeCell ref="C3:D3"/>
    <mergeCell ref="F3:G3"/>
    <mergeCell ref="I3:J3"/>
    <mergeCell ref="B4:B8"/>
    <mergeCell ref="C4:D4"/>
    <mergeCell ref="E4:F4"/>
    <mergeCell ref="G4:H4"/>
    <mergeCell ref="I4:J4"/>
    <mergeCell ref="C5:D5"/>
    <mergeCell ref="E5:F5"/>
    <mergeCell ref="G5:H5"/>
    <mergeCell ref="I5:J5"/>
    <mergeCell ref="C6:D6"/>
    <mergeCell ref="E6:F6"/>
    <mergeCell ref="G6:H6"/>
  </mergeCells>
  <phoneticPr fontId="3" type="noConversion"/>
  <conditionalFormatting sqref="D15:M15">
    <cfRule type="cellIs" dxfId="767" priority="1" operator="lessThan">
      <formula>0.8</formula>
    </cfRule>
  </conditionalFormatting>
  <pageMargins left="0.7" right="0.7" top="0.75" bottom="0.75" header="0.3" footer="0.3"/>
  <pageSetup paperSize="9" orientation="portrait" horizontalDpi="300" verticalDpi="300" r:id="rId1"/>
</worksheet>
</file>

<file path=xl/worksheets/sheet4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工作表33">
    <pageSetUpPr fitToPage="1"/>
  </sheetPr>
  <dimension ref="A1:AC70"/>
  <sheetViews>
    <sheetView zoomScale="80" zoomScaleNormal="80" workbookViewId="0">
      <pane ySplit="4" topLeftCell="A5" activePane="bottomLeft" state="frozen"/>
      <selection activeCell="C3" sqref="C3:D3"/>
      <selection pane="bottomLeft" activeCell="C14" sqref="C14:D14"/>
    </sheetView>
  </sheetViews>
  <sheetFormatPr defaultColWidth="8" defaultRowHeight="15.75"/>
  <cols>
    <col min="1" max="1" width="15.125" style="5" customWidth="1"/>
    <col min="2" max="2" width="19.375" style="5" customWidth="1"/>
    <col min="3" max="3" width="15.25" style="5" customWidth="1"/>
    <col min="4" max="4" width="17.5" style="5" customWidth="1"/>
    <col min="5" max="5" width="7.5" style="5" bestFit="1" customWidth="1"/>
    <col min="6" max="6" width="14.375" style="5" bestFit="1" customWidth="1"/>
    <col min="7" max="7" width="14.375" style="5" customWidth="1"/>
    <col min="8" max="8" width="8" style="5" customWidth="1"/>
    <col min="9" max="9" width="5.875" style="5" customWidth="1"/>
    <col min="10" max="10" width="10.625" style="5" customWidth="1"/>
    <col min="11" max="11" width="14.625" style="5" customWidth="1"/>
    <col min="12" max="12" width="7.25" style="5" bestFit="1" customWidth="1"/>
    <col min="13" max="13" width="8" style="5" customWidth="1"/>
    <col min="14" max="14" width="12" style="5" customWidth="1"/>
    <col min="15" max="15" width="6" style="5" customWidth="1"/>
    <col min="16" max="16" width="9.25" style="5" customWidth="1"/>
    <col min="17" max="17" width="11.5" style="5" customWidth="1"/>
    <col min="18" max="18" width="8.5" style="5" customWidth="1"/>
    <col min="19" max="19" width="10.125" style="22" bestFit="1" customWidth="1"/>
    <col min="20" max="20" width="7.625" style="22" bestFit="1" customWidth="1"/>
    <col min="21" max="21" width="10.25" style="5" bestFit="1" customWidth="1"/>
    <col min="22" max="22" width="8.75" style="18" customWidth="1"/>
    <col min="23" max="23" width="7.375" style="5" customWidth="1"/>
    <col min="24" max="24" width="6.875" style="5" bestFit="1" customWidth="1"/>
    <col min="25" max="25" width="12.75" style="5" customWidth="1"/>
    <col min="26" max="26" width="18.875" style="5" customWidth="1"/>
    <col min="27" max="27" width="13.125" style="5" bestFit="1" customWidth="1"/>
    <col min="28" max="28" width="10.375" style="5" customWidth="1"/>
    <col min="29" max="29" width="9.375" style="5" customWidth="1"/>
    <col min="30" max="30" width="8" style="5"/>
    <col min="31" max="31" width="24.625" style="5" bestFit="1" customWidth="1"/>
    <col min="32" max="16384" width="8" style="5"/>
  </cols>
  <sheetData>
    <row r="1" spans="1:29" ht="26.25" customHeight="1">
      <c r="A1" s="1" t="s">
        <v>146</v>
      </c>
      <c r="B1" s="1"/>
      <c r="C1" s="2" t="s">
        <v>147</v>
      </c>
      <c r="D1" s="3">
        <f>SUM(F5:F69)</f>
        <v>191217</v>
      </c>
      <c r="E1" s="226" t="s">
        <v>148</v>
      </c>
      <c r="F1" s="1">
        <f>SUM(G5:G69)</f>
        <v>6231751.370000002</v>
      </c>
      <c r="G1" s="1" t="s">
        <v>969</v>
      </c>
      <c r="H1" s="4">
        <f>L8+L11+L46+L53+L16+L58+L29+L38+L21+L69</f>
        <v>157.61190476190475</v>
      </c>
      <c r="I1" s="652" t="s">
        <v>970</v>
      </c>
      <c r="J1" s="652"/>
      <c r="K1" s="652"/>
      <c r="L1" s="652" t="s">
        <v>151</v>
      </c>
      <c r="M1" s="652"/>
      <c r="N1" s="652"/>
      <c r="O1" s="652" t="s">
        <v>971</v>
      </c>
      <c r="P1" s="652"/>
      <c r="Q1" s="652"/>
      <c r="R1" s="652"/>
      <c r="S1" s="652" t="s">
        <v>153</v>
      </c>
      <c r="T1" s="652"/>
      <c r="U1" s="652"/>
      <c r="V1" s="652"/>
      <c r="W1" s="652"/>
      <c r="X1" s="652"/>
      <c r="Y1" s="652" t="s">
        <v>0</v>
      </c>
      <c r="Z1" s="652"/>
      <c r="AA1" s="652" t="s">
        <v>154</v>
      </c>
      <c r="AB1" s="653"/>
      <c r="AC1" s="653"/>
    </row>
    <row r="2" spans="1:29" ht="26.25" customHeight="1">
      <c r="A2" s="19">
        <v>45942</v>
      </c>
      <c r="B2" s="20" t="s">
        <v>486</v>
      </c>
      <c r="C2" s="2" t="s">
        <v>127</v>
      </c>
      <c r="D2" s="6">
        <f>AVERAGE(N8,N11,N46,N53,N16,N58,N21,N29,N38,N69)</f>
        <v>146.59996751506719</v>
      </c>
      <c r="E2" s="7" t="s">
        <v>2</v>
      </c>
      <c r="F2" s="8">
        <f>F1/D1</f>
        <v>32.589944251818622</v>
      </c>
      <c r="G2" s="1" t="s">
        <v>972</v>
      </c>
      <c r="H2" s="234">
        <f>COUNT(H5:H69)</f>
        <v>9</v>
      </c>
      <c r="I2" s="652"/>
      <c r="J2" s="652"/>
      <c r="K2" s="652"/>
      <c r="L2" s="652"/>
      <c r="M2" s="652"/>
      <c r="N2" s="652"/>
      <c r="O2" s="652"/>
      <c r="P2" s="652"/>
      <c r="Q2" s="652"/>
      <c r="R2" s="652"/>
      <c r="S2" s="652"/>
      <c r="T2" s="652"/>
      <c r="U2" s="652"/>
      <c r="V2" s="652"/>
      <c r="W2" s="652"/>
      <c r="X2" s="652"/>
      <c r="Y2" s="652"/>
      <c r="Z2" s="652"/>
      <c r="AA2" s="653"/>
      <c r="AB2" s="653"/>
      <c r="AC2" s="653"/>
    </row>
    <row r="3" spans="1:29" ht="23.25" customHeight="1">
      <c r="A3" s="617" t="s">
        <v>317</v>
      </c>
      <c r="B3" s="617" t="s">
        <v>318</v>
      </c>
      <c r="C3" s="617" t="s">
        <v>245</v>
      </c>
      <c r="D3" s="617"/>
      <c r="E3" s="654" t="s">
        <v>246</v>
      </c>
      <c r="F3" s="617" t="s">
        <v>158</v>
      </c>
      <c r="G3" s="654" t="s">
        <v>322</v>
      </c>
      <c r="H3" s="646" t="s">
        <v>973</v>
      </c>
      <c r="I3" s="645" t="s">
        <v>160</v>
      </c>
      <c r="J3" s="649" t="s">
        <v>165</v>
      </c>
      <c r="K3" s="651" t="s">
        <v>974</v>
      </c>
      <c r="L3" s="645" t="s">
        <v>975</v>
      </c>
      <c r="M3" s="649" t="s">
        <v>165</v>
      </c>
      <c r="N3" s="651" t="s">
        <v>127</v>
      </c>
      <c r="O3" s="645" t="s">
        <v>976</v>
      </c>
      <c r="P3" s="651" t="s">
        <v>127</v>
      </c>
      <c r="Q3" s="650" t="s">
        <v>977</v>
      </c>
      <c r="R3" s="633" t="s">
        <v>978</v>
      </c>
      <c r="S3" s="656" t="s">
        <v>14</v>
      </c>
      <c r="T3" s="656"/>
      <c r="U3" s="646" t="s">
        <v>15</v>
      </c>
      <c r="V3" s="646" t="s">
        <v>164</v>
      </c>
      <c r="W3" s="617" t="s">
        <v>251</v>
      </c>
      <c r="X3" s="617"/>
      <c r="Y3" s="647" t="s">
        <v>252</v>
      </c>
      <c r="Z3" s="648"/>
      <c r="AA3" s="649" t="s">
        <v>165</v>
      </c>
      <c r="AB3" s="650" t="s">
        <v>162</v>
      </c>
      <c r="AC3" s="633" t="s">
        <v>163</v>
      </c>
    </row>
    <row r="4" spans="1:29">
      <c r="A4" s="617"/>
      <c r="B4" s="617"/>
      <c r="C4" s="617"/>
      <c r="D4" s="617"/>
      <c r="E4" s="655"/>
      <c r="F4" s="617"/>
      <c r="G4" s="655"/>
      <c r="H4" s="646"/>
      <c r="I4" s="645"/>
      <c r="J4" s="649"/>
      <c r="K4" s="651"/>
      <c r="L4" s="645"/>
      <c r="M4" s="649"/>
      <c r="N4" s="651"/>
      <c r="O4" s="645"/>
      <c r="P4" s="651"/>
      <c r="Q4" s="650"/>
      <c r="R4" s="633"/>
      <c r="S4" s="233" t="s">
        <v>18</v>
      </c>
      <c r="T4" s="233" t="s">
        <v>19</v>
      </c>
      <c r="U4" s="646"/>
      <c r="V4" s="646"/>
      <c r="W4" s="226" t="s">
        <v>255</v>
      </c>
      <c r="X4" s="226" t="s">
        <v>979</v>
      </c>
      <c r="Y4" s="648"/>
      <c r="Z4" s="648"/>
      <c r="AA4" s="649"/>
      <c r="AB4" s="650"/>
      <c r="AC4" s="633"/>
    </row>
    <row r="5" spans="1:29">
      <c r="A5" s="644" t="s">
        <v>167</v>
      </c>
      <c r="B5" s="26" t="s">
        <v>36</v>
      </c>
      <c r="C5" s="601" t="s">
        <v>37</v>
      </c>
      <c r="D5" s="601"/>
      <c r="E5" s="26">
        <v>46.93</v>
      </c>
      <c r="F5" s="233">
        <v>1068</v>
      </c>
      <c r="G5" s="226">
        <f>E5*F5</f>
        <v>50121.24</v>
      </c>
      <c r="H5" s="21" t="s">
        <v>35</v>
      </c>
      <c r="I5" s="231">
        <v>16</v>
      </c>
      <c r="J5" s="23">
        <v>2000</v>
      </c>
      <c r="K5" s="9">
        <f>J5/I5</f>
        <v>125</v>
      </c>
      <c r="L5" s="231">
        <v>16</v>
      </c>
      <c r="M5" s="10">
        <f>F5/V5*60</f>
        <v>1941.8181818181795</v>
      </c>
      <c r="N5" s="9">
        <f>M5/L5</f>
        <v>121.36363636363622</v>
      </c>
      <c r="O5" s="11">
        <f t="shared" ref="O5:O7" si="0">L5-I5</f>
        <v>0</v>
      </c>
      <c r="P5" s="12">
        <f t="shared" ref="P5:P7" si="1">N5-K5</f>
        <v>-3.6363636363637823</v>
      </c>
      <c r="Q5" s="227">
        <f>N5/K5</f>
        <v>0.97090909090908972</v>
      </c>
      <c r="R5" s="571">
        <f>Q8</f>
        <v>0.95926799960602749</v>
      </c>
      <c r="S5" s="24">
        <v>0.70833333333333337</v>
      </c>
      <c r="T5" s="24">
        <v>0.73125000000000007</v>
      </c>
      <c r="U5" s="226"/>
      <c r="V5" s="232">
        <f>(T5-S5)*24*60</f>
        <v>33.000000000000043</v>
      </c>
      <c r="W5" s="13"/>
      <c r="X5" s="14"/>
      <c r="Y5" s="617"/>
      <c r="Z5" s="617"/>
      <c r="AA5" s="11">
        <f t="shared" ref="AA5:AA68" si="2">M5-J5</f>
        <v>-58.181818181820518</v>
      </c>
      <c r="AB5" s="227">
        <f t="shared" ref="AB5:AB7" si="3">M5/J5</f>
        <v>0.97090909090908972</v>
      </c>
      <c r="AC5" s="571">
        <f>AB8</f>
        <v>0.95926799960602749</v>
      </c>
    </row>
    <row r="6" spans="1:29">
      <c r="A6" s="645" t="s">
        <v>167</v>
      </c>
      <c r="B6" s="26" t="s">
        <v>36</v>
      </c>
      <c r="C6" s="601" t="s">
        <v>38</v>
      </c>
      <c r="D6" s="601"/>
      <c r="E6" s="26">
        <v>50.49</v>
      </c>
      <c r="F6" s="233">
        <v>2253</v>
      </c>
      <c r="G6" s="226">
        <f t="shared" ref="G6:G7" si="4">E6*F6</f>
        <v>113753.97</v>
      </c>
      <c r="H6" s="21" t="s">
        <v>35</v>
      </c>
      <c r="I6" s="231">
        <v>15</v>
      </c>
      <c r="J6" s="23">
        <v>2000</v>
      </c>
      <c r="K6" s="9">
        <f t="shared" ref="K6:K7" si="5">J6/I6</f>
        <v>133.33333333333334</v>
      </c>
      <c r="L6" s="231">
        <v>15</v>
      </c>
      <c r="M6" s="10">
        <f>F6/V6*60</f>
        <v>1903.9436619718292</v>
      </c>
      <c r="N6" s="9">
        <f t="shared" ref="N6:N7" si="6">M6/L6</f>
        <v>126.92957746478861</v>
      </c>
      <c r="O6" s="11">
        <f t="shared" si="0"/>
        <v>0</v>
      </c>
      <c r="P6" s="12">
        <f t="shared" si="1"/>
        <v>-6.4037558685447351</v>
      </c>
      <c r="Q6" s="227">
        <f t="shared" ref="Q6:Q7" si="7">N6/K6</f>
        <v>0.95197183098591454</v>
      </c>
      <c r="R6" s="571"/>
      <c r="S6" s="24">
        <v>0.73611111111111116</v>
      </c>
      <c r="T6" s="24">
        <v>0.78541666666666676</v>
      </c>
      <c r="U6" s="226">
        <f>IF(S6=TIME(17,0,0),"",(S6-T5)*24*60)</f>
        <v>6.9999999999999751</v>
      </c>
      <c r="V6" s="232">
        <f>(T6-S6)*24*60</f>
        <v>71.000000000000071</v>
      </c>
      <c r="W6" s="13"/>
      <c r="X6" s="13"/>
      <c r="Y6" s="617"/>
      <c r="Z6" s="617"/>
      <c r="AA6" s="11">
        <f t="shared" si="2"/>
        <v>-96.056338028170785</v>
      </c>
      <c r="AB6" s="227">
        <f t="shared" si="3"/>
        <v>0.95197183098591465</v>
      </c>
      <c r="AC6" s="571"/>
    </row>
    <row r="7" spans="1:29">
      <c r="A7" s="645" t="s">
        <v>167</v>
      </c>
      <c r="B7" s="26" t="s">
        <v>36</v>
      </c>
      <c r="C7" s="594" t="s">
        <v>39</v>
      </c>
      <c r="D7" s="595"/>
      <c r="E7" s="26">
        <v>50.67</v>
      </c>
      <c r="F7" s="233">
        <v>2069</v>
      </c>
      <c r="G7" s="226">
        <f t="shared" si="4"/>
        <v>104836.23000000001</v>
      </c>
      <c r="H7" s="21" t="s">
        <v>35</v>
      </c>
      <c r="I7" s="231">
        <v>17</v>
      </c>
      <c r="J7" s="23">
        <v>2000</v>
      </c>
      <c r="K7" s="9">
        <f t="shared" si="5"/>
        <v>117.64705882352941</v>
      </c>
      <c r="L7" s="231">
        <v>17</v>
      </c>
      <c r="M7" s="10">
        <f t="shared" ref="M7" si="8">F7/V7*60</f>
        <v>1909.8461538461561</v>
      </c>
      <c r="N7" s="9">
        <f t="shared" si="6"/>
        <v>112.34389140271506</v>
      </c>
      <c r="O7" s="11">
        <f t="shared" si="0"/>
        <v>0</v>
      </c>
      <c r="P7" s="12">
        <f t="shared" si="1"/>
        <v>-5.3031674208143471</v>
      </c>
      <c r="Q7" s="227">
        <f t="shared" si="7"/>
        <v>0.9549230769230781</v>
      </c>
      <c r="R7" s="571"/>
      <c r="S7" s="24">
        <v>0.7909722222222223</v>
      </c>
      <c r="T7" s="24">
        <v>0.83611111111111114</v>
      </c>
      <c r="U7" s="226">
        <f t="shared" ref="U7" si="9">IF(S7=TIME(17,0,0),"",(S7-T6)*24*60)</f>
        <v>7.9999999999999716</v>
      </c>
      <c r="V7" s="232">
        <f t="shared" ref="V7" si="10">(T7-S7)*24*60</f>
        <v>64.999999999999929</v>
      </c>
      <c r="W7" s="13"/>
      <c r="X7" s="13"/>
      <c r="Y7" s="621"/>
      <c r="Z7" s="622"/>
      <c r="AA7" s="11">
        <f t="shared" si="2"/>
        <v>-90.153846153843915</v>
      </c>
      <c r="AB7" s="227">
        <f t="shared" si="3"/>
        <v>0.9549230769230781</v>
      </c>
      <c r="AC7" s="571"/>
    </row>
    <row r="8" spans="1:29">
      <c r="A8" s="645" t="s">
        <v>980</v>
      </c>
      <c r="B8" s="26" t="s">
        <v>168</v>
      </c>
      <c r="C8" s="629"/>
      <c r="D8" s="629"/>
      <c r="E8" s="228"/>
      <c r="F8" s="27"/>
      <c r="G8" s="9"/>
      <c r="H8" s="233"/>
      <c r="I8" s="16">
        <v>16</v>
      </c>
      <c r="J8" s="23">
        <v>2000</v>
      </c>
      <c r="K8" s="9">
        <f>J8/I8</f>
        <v>125</v>
      </c>
      <c r="L8" s="16">
        <v>16</v>
      </c>
      <c r="M8" s="10">
        <f>AVERAGE(M5:M7)</f>
        <v>1918.535999212055</v>
      </c>
      <c r="N8" s="9">
        <f>M8/L8</f>
        <v>119.90849995075344</v>
      </c>
      <c r="O8" s="11">
        <f>L8-I8</f>
        <v>0</v>
      </c>
      <c r="P8" s="12">
        <f>N8-K8</f>
        <v>-5.0915000492465623</v>
      </c>
      <c r="Q8" s="227">
        <f>N8/K8</f>
        <v>0.95926799960602749</v>
      </c>
      <c r="R8" s="571"/>
      <c r="S8" s="24"/>
      <c r="T8" s="24"/>
      <c r="U8" s="226"/>
      <c r="V8" s="232"/>
      <c r="W8" s="9"/>
      <c r="X8" s="9"/>
      <c r="Y8" s="617"/>
      <c r="Z8" s="617"/>
      <c r="AA8" s="11">
        <f t="shared" si="2"/>
        <v>-81.464000787944997</v>
      </c>
      <c r="AB8" s="227">
        <f>M8/J8</f>
        <v>0.95926799960602749</v>
      </c>
      <c r="AC8" s="571"/>
    </row>
    <row r="9" spans="1:29" ht="15.75" customHeight="1">
      <c r="A9" s="643" t="s">
        <v>169</v>
      </c>
      <c r="B9" s="26" t="s">
        <v>40</v>
      </c>
      <c r="C9" s="594" t="s">
        <v>42</v>
      </c>
      <c r="D9" s="595"/>
      <c r="E9" s="26">
        <v>39.36</v>
      </c>
      <c r="F9" s="233">
        <v>3194</v>
      </c>
      <c r="G9" s="226">
        <f t="shared" ref="G9:G10" si="11">E9*F9</f>
        <v>125715.84</v>
      </c>
      <c r="H9" s="21" t="s">
        <v>35</v>
      </c>
      <c r="I9" s="231">
        <v>20</v>
      </c>
      <c r="J9" s="23">
        <v>1500</v>
      </c>
      <c r="K9" s="9">
        <f t="shared" ref="K9:K10" si="12">J9/I9</f>
        <v>75</v>
      </c>
      <c r="L9" s="231">
        <v>20</v>
      </c>
      <c r="M9" s="10">
        <f t="shared" ref="M9:M10" si="13">F9/V9*60</f>
        <v>1430.1492537313427</v>
      </c>
      <c r="N9" s="9">
        <f t="shared" ref="N9:N10" si="14">M9/L9</f>
        <v>71.507462686567138</v>
      </c>
      <c r="O9" s="11">
        <f t="shared" ref="O9:O10" si="15">L9-I9</f>
        <v>0</v>
      </c>
      <c r="P9" s="12">
        <f>N9-K9</f>
        <v>-3.4925373134328623</v>
      </c>
      <c r="Q9" s="227">
        <f>N9/K9</f>
        <v>0.95343283582089522</v>
      </c>
      <c r="R9" s="571">
        <f>Q11</f>
        <v>0.9526539179104474</v>
      </c>
      <c r="S9" s="24">
        <v>0.20833333333333334</v>
      </c>
      <c r="T9" s="24">
        <v>0.30138888888888893</v>
      </c>
      <c r="U9" s="226"/>
      <c r="V9" s="232">
        <f t="shared" ref="V9:V10" si="16">(T9-S9)*24*60</f>
        <v>134.00000000000006</v>
      </c>
      <c r="W9" s="13"/>
      <c r="X9" s="13"/>
      <c r="Y9" s="617"/>
      <c r="Z9" s="617"/>
      <c r="AA9" s="11">
        <f t="shared" si="2"/>
        <v>-69.850746268657304</v>
      </c>
      <c r="AB9" s="227">
        <f>M9/J9</f>
        <v>0.95343283582089511</v>
      </c>
      <c r="AC9" s="571">
        <f>AB11</f>
        <v>0.95265391791044751</v>
      </c>
    </row>
    <row r="10" spans="1:29" ht="15.75" customHeight="1">
      <c r="A10" s="643" t="s">
        <v>981</v>
      </c>
      <c r="B10" s="26" t="s">
        <v>40</v>
      </c>
      <c r="C10" s="594" t="s">
        <v>41</v>
      </c>
      <c r="D10" s="595"/>
      <c r="E10" s="26">
        <v>39.799999999999997</v>
      </c>
      <c r="F10" s="233">
        <v>7615</v>
      </c>
      <c r="G10" s="226">
        <f t="shared" si="11"/>
        <v>303077</v>
      </c>
      <c r="H10" s="21" t="s">
        <v>35</v>
      </c>
      <c r="I10" s="231">
        <v>17</v>
      </c>
      <c r="J10" s="23">
        <v>1500</v>
      </c>
      <c r="K10" s="9">
        <f t="shared" si="12"/>
        <v>88.235294117647058</v>
      </c>
      <c r="L10" s="231">
        <v>17</v>
      </c>
      <c r="M10" s="10">
        <f t="shared" si="13"/>
        <v>1427.8125</v>
      </c>
      <c r="N10" s="9">
        <f t="shared" si="14"/>
        <v>83.98897058823529</v>
      </c>
      <c r="O10" s="11">
        <f t="shared" si="15"/>
        <v>0</v>
      </c>
      <c r="P10" s="12">
        <f t="shared" ref="P10" si="17">N10-K10</f>
        <v>-4.246323529411768</v>
      </c>
      <c r="Q10" s="227">
        <f t="shared" ref="Q10" si="18">N10/K10</f>
        <v>0.95187499999999992</v>
      </c>
      <c r="R10" s="571"/>
      <c r="S10" s="24">
        <v>0.30694444444444446</v>
      </c>
      <c r="T10" s="24">
        <v>0.52916666666666667</v>
      </c>
      <c r="U10" s="226">
        <f>IF(S10=TIME(17,0,0),"",(S10-T9)*24*60)</f>
        <v>7.9999999999999716</v>
      </c>
      <c r="V10" s="232">
        <f t="shared" si="16"/>
        <v>320</v>
      </c>
      <c r="W10" s="13"/>
      <c r="X10" s="13"/>
      <c r="Y10" s="617"/>
      <c r="Z10" s="617"/>
      <c r="AA10" s="11">
        <f t="shared" si="2"/>
        <v>-72.1875</v>
      </c>
      <c r="AB10" s="227">
        <f t="shared" ref="AB10:AB21" si="19">M10/J10</f>
        <v>0.95187500000000003</v>
      </c>
      <c r="AC10" s="571"/>
    </row>
    <row r="11" spans="1:29" ht="16.5" customHeight="1">
      <c r="A11" s="643" t="s">
        <v>169</v>
      </c>
      <c r="B11" s="26" t="s">
        <v>168</v>
      </c>
      <c r="C11" s="629"/>
      <c r="D11" s="629"/>
      <c r="E11" s="228"/>
      <c r="F11" s="23"/>
      <c r="G11" s="10"/>
      <c r="H11" s="233"/>
      <c r="I11" s="16">
        <v>18.5</v>
      </c>
      <c r="J11" s="23">
        <v>1500</v>
      </c>
      <c r="K11" s="9">
        <f>J11/I11</f>
        <v>81.081081081081081</v>
      </c>
      <c r="L11" s="16">
        <v>18.5</v>
      </c>
      <c r="M11" s="10">
        <f>AVERAGE(M9:M10)</f>
        <v>1428.9808768656712</v>
      </c>
      <c r="N11" s="9">
        <f>M11/L11</f>
        <v>77.242209560306549</v>
      </c>
      <c r="O11" s="11">
        <f>L11-I11</f>
        <v>0</v>
      </c>
      <c r="P11" s="12">
        <f>N11-K11</f>
        <v>-3.8388715207745321</v>
      </c>
      <c r="Q11" s="227">
        <f>N11/K11</f>
        <v>0.9526539179104474</v>
      </c>
      <c r="R11" s="571"/>
      <c r="S11" s="24"/>
      <c r="T11" s="24"/>
      <c r="U11" s="9"/>
      <c r="V11" s="232"/>
      <c r="W11" s="9"/>
      <c r="X11" s="9"/>
      <c r="Y11" s="617"/>
      <c r="Z11" s="617"/>
      <c r="AA11" s="11">
        <f t="shared" si="2"/>
        <v>-71.019123134328765</v>
      </c>
      <c r="AB11" s="227">
        <f t="shared" si="19"/>
        <v>0.95265391791044751</v>
      </c>
      <c r="AC11" s="571"/>
    </row>
    <row r="12" spans="1:29" ht="16.5" customHeight="1">
      <c r="A12" s="641" t="s">
        <v>172</v>
      </c>
      <c r="B12" s="233" t="s">
        <v>43</v>
      </c>
      <c r="C12" s="636" t="s">
        <v>44</v>
      </c>
      <c r="D12" s="636"/>
      <c r="E12" s="26">
        <v>41</v>
      </c>
      <c r="F12" s="233">
        <v>2105</v>
      </c>
      <c r="G12" s="226">
        <f t="shared" ref="G12:G15" si="20">E12*F12</f>
        <v>86305</v>
      </c>
      <c r="H12" s="21" t="s">
        <v>35</v>
      </c>
      <c r="I12" s="231">
        <v>26</v>
      </c>
      <c r="J12" s="23">
        <v>1500</v>
      </c>
      <c r="K12" s="9">
        <f>J12/I12</f>
        <v>57.692307692307693</v>
      </c>
      <c r="L12" s="231">
        <v>26</v>
      </c>
      <c r="M12" s="10">
        <f>F12/V12*60</f>
        <v>1435.2272727272732</v>
      </c>
      <c r="N12" s="9">
        <f t="shared" ref="N12:N20" si="21">M12/L12</f>
        <v>55.201048951048968</v>
      </c>
      <c r="O12" s="11">
        <f t="shared" ref="O12" si="22">L12-I12</f>
        <v>0</v>
      </c>
      <c r="P12" s="12">
        <f t="shared" ref="P12" si="23">N12-K12</f>
        <v>-2.4912587412587257</v>
      </c>
      <c r="Q12" s="227">
        <f>N12/K12</f>
        <v>0.95681818181818212</v>
      </c>
      <c r="R12" s="571">
        <f>Q16</f>
        <v>0.95351100314523751</v>
      </c>
      <c r="S12" s="24">
        <v>0.20833333333333334</v>
      </c>
      <c r="T12" s="24">
        <v>0.26944444444444443</v>
      </c>
      <c r="U12" s="226"/>
      <c r="V12" s="232">
        <f>(T12-S12)*24*60</f>
        <v>87.999999999999972</v>
      </c>
      <c r="W12" s="15"/>
      <c r="X12" s="15"/>
      <c r="Y12" s="617"/>
      <c r="Z12" s="617"/>
      <c r="AA12" s="11">
        <f t="shared" si="2"/>
        <v>-64.772727272726797</v>
      </c>
      <c r="AB12" s="227">
        <f t="shared" si="19"/>
        <v>0.95681818181818212</v>
      </c>
      <c r="AC12" s="571">
        <f>AB16</f>
        <v>0.95351100314523751</v>
      </c>
    </row>
    <row r="13" spans="1:29" ht="16.5" customHeight="1">
      <c r="A13" s="642" t="s">
        <v>172</v>
      </c>
      <c r="B13" s="233" t="s">
        <v>40</v>
      </c>
      <c r="C13" s="636" t="s">
        <v>45</v>
      </c>
      <c r="D13" s="636"/>
      <c r="E13" s="26">
        <v>39.619999999999997</v>
      </c>
      <c r="F13" s="233">
        <v>5082</v>
      </c>
      <c r="G13" s="226">
        <f t="shared" si="20"/>
        <v>201348.84</v>
      </c>
      <c r="H13" s="21" t="s">
        <v>35</v>
      </c>
      <c r="I13" s="231">
        <v>19</v>
      </c>
      <c r="J13" s="23">
        <v>1500</v>
      </c>
      <c r="K13" s="9">
        <f>J13/I13</f>
        <v>78.94736842105263</v>
      </c>
      <c r="L13" s="231">
        <v>19</v>
      </c>
      <c r="M13" s="10">
        <f>F13/V13*60</f>
        <v>1431.549295774648</v>
      </c>
      <c r="N13" s="9">
        <f t="shared" si="21"/>
        <v>75.344699777613059</v>
      </c>
      <c r="O13" s="11">
        <f>L13-I13</f>
        <v>0</v>
      </c>
      <c r="P13" s="12">
        <f>N13-K13</f>
        <v>-3.6026686434395714</v>
      </c>
      <c r="Q13" s="227">
        <f>N13/K13</f>
        <v>0.95436619718309879</v>
      </c>
      <c r="R13" s="571"/>
      <c r="S13" s="24">
        <v>0.27499999999999997</v>
      </c>
      <c r="T13" s="24">
        <v>0.42291666666666661</v>
      </c>
      <c r="U13" s="226">
        <f>IF(S13=TIME(17,0,0),"",(S13-T12)*24*60)</f>
        <v>7.9999999999999716</v>
      </c>
      <c r="V13" s="232">
        <f>(T13-S13)*24*60</f>
        <v>212.99999999999997</v>
      </c>
      <c r="W13" s="13"/>
      <c r="X13" s="13"/>
      <c r="Y13" s="617"/>
      <c r="Z13" s="617"/>
      <c r="AA13" s="11">
        <f t="shared" si="2"/>
        <v>-68.450704225351956</v>
      </c>
      <c r="AB13" s="227">
        <f t="shared" si="19"/>
        <v>0.95436619718309867</v>
      </c>
      <c r="AC13" s="571"/>
    </row>
    <row r="14" spans="1:29" ht="16.5" customHeight="1">
      <c r="A14" s="642" t="s">
        <v>172</v>
      </c>
      <c r="B14" s="233" t="s">
        <v>36</v>
      </c>
      <c r="C14" s="636" t="s">
        <v>49</v>
      </c>
      <c r="D14" s="636"/>
      <c r="E14" s="26">
        <v>50.98</v>
      </c>
      <c r="F14" s="233">
        <v>3107</v>
      </c>
      <c r="G14" s="226">
        <f t="shared" si="20"/>
        <v>158394.85999999999</v>
      </c>
      <c r="H14" s="21" t="s">
        <v>35</v>
      </c>
      <c r="I14" s="231">
        <v>16</v>
      </c>
      <c r="J14" s="23">
        <v>2000</v>
      </c>
      <c r="K14" s="9">
        <f t="shared" ref="K14:K15" si="24">J14/I14</f>
        <v>125</v>
      </c>
      <c r="L14" s="231">
        <v>16</v>
      </c>
      <c r="M14" s="10">
        <f t="shared" ref="M14:M15" si="25">F14/V14*60</f>
        <v>1902.2448979591843</v>
      </c>
      <c r="N14" s="9">
        <f t="shared" si="21"/>
        <v>118.89030612244902</v>
      </c>
      <c r="O14" s="11">
        <f t="shared" ref="O14:O15" si="26">L14-I14</f>
        <v>0</v>
      </c>
      <c r="P14" s="12">
        <f t="shared" ref="P14:P15" si="27">N14-K14</f>
        <v>-6.1096938775509813</v>
      </c>
      <c r="Q14" s="227">
        <f t="shared" ref="Q14:Q20" si="28">N14/K14</f>
        <v>0.95112244897959219</v>
      </c>
      <c r="R14" s="571"/>
      <c r="S14" s="24">
        <v>0.70833333333333337</v>
      </c>
      <c r="T14" s="24">
        <v>0.77638888888888891</v>
      </c>
      <c r="U14" s="226" t="str">
        <f t="shared" ref="U14:U15" si="29">IF(S14=TIME(17,0,0),"",(S14-T13)*24*60)</f>
        <v/>
      </c>
      <c r="V14" s="232">
        <f t="shared" ref="V14:V15" si="30">(T14-S14)*24*60</f>
        <v>97.999999999999972</v>
      </c>
      <c r="W14" s="13"/>
      <c r="X14" s="13"/>
      <c r="Y14" s="617"/>
      <c r="Z14" s="617"/>
      <c r="AA14" s="11">
        <f t="shared" si="2"/>
        <v>-97.7551020408157</v>
      </c>
      <c r="AB14" s="227">
        <f t="shared" si="19"/>
        <v>0.95112244897959219</v>
      </c>
      <c r="AC14" s="571"/>
    </row>
    <row r="15" spans="1:29" ht="16.5" customHeight="1">
      <c r="A15" s="642" t="s">
        <v>172</v>
      </c>
      <c r="B15" s="233" t="s">
        <v>36</v>
      </c>
      <c r="C15" s="636" t="s">
        <v>50</v>
      </c>
      <c r="D15" s="636"/>
      <c r="E15" s="26">
        <v>50.92</v>
      </c>
      <c r="F15" s="233">
        <v>3430</v>
      </c>
      <c r="G15" s="226">
        <f t="shared" si="20"/>
        <v>174655.6</v>
      </c>
      <c r="H15" s="21" t="s">
        <v>35</v>
      </c>
      <c r="I15" s="231">
        <v>15</v>
      </c>
      <c r="J15" s="23">
        <v>2000</v>
      </c>
      <c r="K15" s="9">
        <f t="shared" si="24"/>
        <v>133.33333333333334</v>
      </c>
      <c r="L15" s="231">
        <v>15</v>
      </c>
      <c r="M15" s="10">
        <f t="shared" si="25"/>
        <v>1905.5555555555566</v>
      </c>
      <c r="N15" s="9">
        <f t="shared" si="21"/>
        <v>127.03703703703711</v>
      </c>
      <c r="O15" s="11">
        <f t="shared" si="26"/>
        <v>0</v>
      </c>
      <c r="P15" s="12">
        <f t="shared" si="27"/>
        <v>-6.2962962962962337</v>
      </c>
      <c r="Q15" s="227">
        <f t="shared" si="28"/>
        <v>0.95277777777777828</v>
      </c>
      <c r="R15" s="571"/>
      <c r="S15" s="24">
        <v>0.77986111111111112</v>
      </c>
      <c r="T15" s="24">
        <v>0.85486111111111107</v>
      </c>
      <c r="U15" s="226">
        <f t="shared" si="29"/>
        <v>4.9999999999999822</v>
      </c>
      <c r="V15" s="232">
        <f t="shared" si="30"/>
        <v>107.99999999999994</v>
      </c>
      <c r="W15" s="13"/>
      <c r="X15" s="13"/>
      <c r="Y15" s="617"/>
      <c r="Z15" s="617"/>
      <c r="AA15" s="11">
        <f t="shared" si="2"/>
        <v>-94.444444444443434</v>
      </c>
      <c r="AB15" s="227">
        <f t="shared" si="19"/>
        <v>0.95277777777777828</v>
      </c>
      <c r="AC15" s="571"/>
    </row>
    <row r="16" spans="1:29" ht="16.5" customHeight="1">
      <c r="A16" s="642" t="s">
        <v>172</v>
      </c>
      <c r="B16" s="26" t="s">
        <v>982</v>
      </c>
      <c r="C16" s="629"/>
      <c r="D16" s="629"/>
      <c r="E16" s="228"/>
      <c r="F16" s="27"/>
      <c r="G16" s="9"/>
      <c r="H16" s="233"/>
      <c r="I16" s="16">
        <v>19</v>
      </c>
      <c r="J16" s="23">
        <v>1750</v>
      </c>
      <c r="K16" s="9">
        <f>J16/I16</f>
        <v>92.10526315789474</v>
      </c>
      <c r="L16" s="16">
        <v>19</v>
      </c>
      <c r="M16" s="10">
        <f>AVERAGE(M12:M15)</f>
        <v>1668.6442555041656</v>
      </c>
      <c r="N16" s="9">
        <f t="shared" si="21"/>
        <v>87.823381868640297</v>
      </c>
      <c r="O16" s="11">
        <f>L16-I16</f>
        <v>0</v>
      </c>
      <c r="P16" s="12">
        <f>N16-K16</f>
        <v>-4.2818812892544429</v>
      </c>
      <c r="Q16" s="227">
        <f t="shared" si="28"/>
        <v>0.95351100314523751</v>
      </c>
      <c r="R16" s="571"/>
      <c r="S16" s="24"/>
      <c r="T16" s="24"/>
      <c r="U16" s="226"/>
      <c r="V16" s="232"/>
      <c r="W16" s="9"/>
      <c r="X16" s="9"/>
      <c r="Y16" s="617"/>
      <c r="Z16" s="617"/>
      <c r="AA16" s="11">
        <f t="shared" si="2"/>
        <v>-81.355744495834415</v>
      </c>
      <c r="AB16" s="227">
        <f t="shared" si="19"/>
        <v>0.95351100314523751</v>
      </c>
      <c r="AC16" s="571"/>
    </row>
    <row r="17" spans="1:29" ht="15.75" customHeight="1">
      <c r="A17" s="639" t="s">
        <v>175</v>
      </c>
      <c r="B17" s="26" t="s">
        <v>43</v>
      </c>
      <c r="C17" s="636" t="s">
        <v>51</v>
      </c>
      <c r="D17" s="636"/>
      <c r="E17" s="26">
        <v>43.14</v>
      </c>
      <c r="F17" s="233">
        <v>1400</v>
      </c>
      <c r="G17" s="226">
        <f t="shared" ref="G17:G20" si="31">E17*F17</f>
        <v>60396</v>
      </c>
      <c r="H17" s="21" t="s">
        <v>35</v>
      </c>
      <c r="I17" s="231">
        <v>17</v>
      </c>
      <c r="J17" s="23">
        <v>2000</v>
      </c>
      <c r="K17" s="9">
        <f t="shared" ref="K17:K21" si="32">J17/I17</f>
        <v>117.64705882352941</v>
      </c>
      <c r="L17" s="231">
        <v>17</v>
      </c>
      <c r="M17" s="10">
        <f t="shared" ref="M17:M20" si="33">F17/V17*60</f>
        <v>1909.090909090909</v>
      </c>
      <c r="N17" s="9">
        <f t="shared" si="21"/>
        <v>112.29946524064171</v>
      </c>
      <c r="O17" s="11">
        <f t="shared" ref="O17:O20" si="34">L17-I17</f>
        <v>0</v>
      </c>
      <c r="P17" s="12">
        <f t="shared" ref="P17:P20" si="35">N17-K17</f>
        <v>-5.347593582887697</v>
      </c>
      <c r="Q17" s="227">
        <f t="shared" si="28"/>
        <v>0.95454545454545459</v>
      </c>
      <c r="R17" s="571">
        <f>Q21</f>
        <v>0.95665803064859678</v>
      </c>
      <c r="S17" s="24">
        <v>0.20833333333333334</v>
      </c>
      <c r="T17" s="24">
        <v>0.2388888888888889</v>
      </c>
      <c r="U17" s="226"/>
      <c r="V17" s="232">
        <f>(T17-S17)*24*60</f>
        <v>44</v>
      </c>
      <c r="W17" s="15"/>
      <c r="X17" s="15"/>
      <c r="Y17" s="617"/>
      <c r="Z17" s="617"/>
      <c r="AA17" s="11">
        <f t="shared" si="2"/>
        <v>-90.909090909090992</v>
      </c>
      <c r="AB17" s="227">
        <f t="shared" si="19"/>
        <v>0.95454545454545447</v>
      </c>
      <c r="AC17" s="571">
        <f>AB21</f>
        <v>0.95665803064859678</v>
      </c>
    </row>
    <row r="18" spans="1:29" ht="15.75" customHeight="1">
      <c r="A18" s="640" t="s">
        <v>175</v>
      </c>
      <c r="B18" s="26" t="s">
        <v>36</v>
      </c>
      <c r="C18" s="636" t="s">
        <v>53</v>
      </c>
      <c r="D18" s="636"/>
      <c r="E18" s="26">
        <v>53.68</v>
      </c>
      <c r="F18" s="233">
        <v>2079</v>
      </c>
      <c r="G18" s="226">
        <f t="shared" si="31"/>
        <v>111600.72</v>
      </c>
      <c r="H18" s="21" t="s">
        <v>35</v>
      </c>
      <c r="I18" s="231">
        <v>16</v>
      </c>
      <c r="J18" s="23">
        <v>2000</v>
      </c>
      <c r="K18" s="9">
        <f t="shared" si="32"/>
        <v>125</v>
      </c>
      <c r="L18" s="231">
        <v>16</v>
      </c>
      <c r="M18" s="10">
        <f t="shared" si="33"/>
        <v>1919.076923076924</v>
      </c>
      <c r="N18" s="9">
        <f t="shared" si="21"/>
        <v>119.94230769230775</v>
      </c>
      <c r="O18" s="11">
        <f t="shared" si="34"/>
        <v>0</v>
      </c>
      <c r="P18" s="12">
        <f t="shared" si="35"/>
        <v>-5.0576923076922498</v>
      </c>
      <c r="Q18" s="227">
        <f t="shared" si="28"/>
        <v>0.95953846153846201</v>
      </c>
      <c r="R18" s="571"/>
      <c r="S18" s="24">
        <v>0.24236111111111111</v>
      </c>
      <c r="T18" s="24">
        <v>0.28749999999999998</v>
      </c>
      <c r="U18" s="226">
        <f>IF(S18=TIME(17,0,0),"",(S18-T17)*24*60)</f>
        <v>4.9999999999999822</v>
      </c>
      <c r="V18" s="232">
        <f t="shared" ref="V18:V20" si="36">(T18-S18)*24*60</f>
        <v>64.999999999999972</v>
      </c>
      <c r="W18" s="13"/>
      <c r="X18" s="226"/>
      <c r="Y18" s="617"/>
      <c r="Z18" s="617"/>
      <c r="AA18" s="11">
        <f t="shared" si="2"/>
        <v>-80.923076923075996</v>
      </c>
      <c r="AB18" s="227">
        <f t="shared" si="19"/>
        <v>0.95953846153846201</v>
      </c>
      <c r="AC18" s="571"/>
    </row>
    <row r="19" spans="1:29" ht="15.75" customHeight="1">
      <c r="A19" s="640" t="s">
        <v>175</v>
      </c>
      <c r="B19" s="26" t="s">
        <v>36</v>
      </c>
      <c r="C19" s="636" t="s">
        <v>52</v>
      </c>
      <c r="D19" s="636"/>
      <c r="E19" s="26">
        <v>57.73</v>
      </c>
      <c r="F19" s="233">
        <v>3368</v>
      </c>
      <c r="G19" s="226">
        <f t="shared" si="31"/>
        <v>194434.63999999998</v>
      </c>
      <c r="H19" s="21" t="s">
        <v>35</v>
      </c>
      <c r="I19" s="231">
        <v>15</v>
      </c>
      <c r="J19" s="23">
        <v>2000</v>
      </c>
      <c r="K19" s="9">
        <f t="shared" si="32"/>
        <v>133.33333333333334</v>
      </c>
      <c r="L19" s="231">
        <v>15</v>
      </c>
      <c r="M19" s="10">
        <f t="shared" si="33"/>
        <v>1906.4150943396221</v>
      </c>
      <c r="N19" s="9">
        <f t="shared" si="21"/>
        <v>127.09433962264147</v>
      </c>
      <c r="O19" s="11">
        <f t="shared" si="34"/>
        <v>0</v>
      </c>
      <c r="P19" s="12">
        <f t="shared" si="35"/>
        <v>-6.2389937106918723</v>
      </c>
      <c r="Q19" s="227">
        <f t="shared" si="28"/>
        <v>0.95320754716981093</v>
      </c>
      <c r="R19" s="571"/>
      <c r="S19" s="24">
        <v>0.29236111111111107</v>
      </c>
      <c r="T19" s="24">
        <v>0.3659722222222222</v>
      </c>
      <c r="U19" s="226">
        <f t="shared" ref="U19:U20" si="37">IF(S19=TIME(17,0,0),"",(S19-T18)*24*60)</f>
        <v>6.9999999999999751</v>
      </c>
      <c r="V19" s="232">
        <f t="shared" si="36"/>
        <v>106.00000000000003</v>
      </c>
      <c r="W19" s="13"/>
      <c r="X19" s="226"/>
      <c r="Y19" s="617"/>
      <c r="Z19" s="617"/>
      <c r="AA19" s="11">
        <f t="shared" si="2"/>
        <v>-93.584905660377899</v>
      </c>
      <c r="AB19" s="227">
        <f t="shared" si="19"/>
        <v>0.95320754716981104</v>
      </c>
      <c r="AC19" s="571"/>
    </row>
    <row r="20" spans="1:29" ht="15.75" customHeight="1">
      <c r="A20" s="640" t="s">
        <v>983</v>
      </c>
      <c r="B20" s="26" t="s">
        <v>36</v>
      </c>
      <c r="C20" s="636" t="s">
        <v>55</v>
      </c>
      <c r="D20" s="636"/>
      <c r="E20" s="26">
        <v>54.09</v>
      </c>
      <c r="F20" s="233">
        <v>2910</v>
      </c>
      <c r="G20" s="226">
        <f t="shared" si="31"/>
        <v>157401.90000000002</v>
      </c>
      <c r="H20" s="21" t="s">
        <v>35</v>
      </c>
      <c r="I20" s="231">
        <v>19</v>
      </c>
      <c r="J20" s="23">
        <v>2000</v>
      </c>
      <c r="K20" s="9">
        <f t="shared" si="32"/>
        <v>105.26315789473684</v>
      </c>
      <c r="L20" s="231">
        <v>19</v>
      </c>
      <c r="M20" s="10">
        <f t="shared" si="33"/>
        <v>1918.6813186813188</v>
      </c>
      <c r="N20" s="9">
        <f t="shared" si="21"/>
        <v>100.98322729901678</v>
      </c>
      <c r="O20" s="11">
        <f t="shared" si="34"/>
        <v>0</v>
      </c>
      <c r="P20" s="12">
        <f t="shared" si="35"/>
        <v>-4.2799305957200602</v>
      </c>
      <c r="Q20" s="227">
        <f t="shared" si="28"/>
        <v>0.95934065934065937</v>
      </c>
      <c r="R20" s="571"/>
      <c r="S20" s="24">
        <v>0.70833333333333337</v>
      </c>
      <c r="T20" s="24">
        <v>0.77152777777777781</v>
      </c>
      <c r="U20" s="226" t="str">
        <f t="shared" si="37"/>
        <v/>
      </c>
      <c r="V20" s="232">
        <f t="shared" si="36"/>
        <v>91</v>
      </c>
      <c r="W20" s="13"/>
      <c r="X20" s="226"/>
      <c r="Y20" s="617"/>
      <c r="Z20" s="617"/>
      <c r="AA20" s="11">
        <f t="shared" si="2"/>
        <v>-81.318681318681229</v>
      </c>
      <c r="AB20" s="227">
        <f t="shared" si="19"/>
        <v>0.95934065934065937</v>
      </c>
      <c r="AC20" s="571"/>
    </row>
    <row r="21" spans="1:29" ht="15.75" customHeight="1">
      <c r="A21" s="640" t="s">
        <v>175</v>
      </c>
      <c r="B21" s="26" t="s">
        <v>168</v>
      </c>
      <c r="C21" s="629"/>
      <c r="D21" s="629"/>
      <c r="E21" s="228"/>
      <c r="F21" s="233"/>
      <c r="G21" s="226"/>
      <c r="H21" s="233"/>
      <c r="I21" s="16">
        <v>16.75</v>
      </c>
      <c r="J21" s="23">
        <v>2000</v>
      </c>
      <c r="K21" s="9">
        <f t="shared" si="32"/>
        <v>119.40298507462687</v>
      </c>
      <c r="L21" s="16">
        <v>16.75</v>
      </c>
      <c r="M21" s="10">
        <f>AVERAGE(M17:M20)</f>
        <v>1913.3160612971935</v>
      </c>
      <c r="N21" s="9">
        <f>M21/L21</f>
        <v>114.22782455505633</v>
      </c>
      <c r="O21" s="11">
        <f>L21-I21</f>
        <v>0</v>
      </c>
      <c r="P21" s="12">
        <f>N21-K21</f>
        <v>-5.1751605195705395</v>
      </c>
      <c r="Q21" s="227">
        <f>N21/K21</f>
        <v>0.95665803064859678</v>
      </c>
      <c r="R21" s="571"/>
      <c r="S21" s="24"/>
      <c r="T21" s="24"/>
      <c r="U21" s="9"/>
      <c r="V21" s="232"/>
      <c r="W21" s="9"/>
      <c r="X21" s="9"/>
      <c r="Y21" s="617"/>
      <c r="Z21" s="617"/>
      <c r="AA21" s="11">
        <f t="shared" si="2"/>
        <v>-86.683938702806472</v>
      </c>
      <c r="AB21" s="227">
        <f t="shared" si="19"/>
        <v>0.95665803064859678</v>
      </c>
      <c r="AC21" s="571"/>
    </row>
    <row r="22" spans="1:29" ht="15.75" customHeight="1">
      <c r="A22" s="635" t="s">
        <v>178</v>
      </c>
      <c r="B22" s="26" t="s">
        <v>46</v>
      </c>
      <c r="C22" s="636" t="s">
        <v>60</v>
      </c>
      <c r="D22" s="636"/>
      <c r="E22" s="26">
        <v>26.2</v>
      </c>
      <c r="F22" s="233">
        <v>4933</v>
      </c>
      <c r="G22" s="226">
        <f t="shared" ref="G22:G28" si="38">E22*F22</f>
        <v>129244.59999999999</v>
      </c>
      <c r="H22" s="21" t="s">
        <v>35</v>
      </c>
      <c r="I22" s="231">
        <v>19</v>
      </c>
      <c r="J22" s="23">
        <v>2400</v>
      </c>
      <c r="K22" s="9">
        <f>J22/I22</f>
        <v>126.31578947368421</v>
      </c>
      <c r="L22" s="231">
        <v>19</v>
      </c>
      <c r="M22" s="10">
        <f t="shared" ref="M22:M28" si="39">F22/V22*60</f>
        <v>2294.4186046511632</v>
      </c>
      <c r="N22" s="9">
        <f t="shared" ref="N22:N28" si="40">M22/L22</f>
        <v>120.75887392900859</v>
      </c>
      <c r="O22" s="11">
        <f t="shared" ref="O22:O28" si="41">L22-I22</f>
        <v>0</v>
      </c>
      <c r="P22" s="12">
        <f t="shared" ref="P22:P28" si="42">N22-K22</f>
        <v>-5.5569155446756184</v>
      </c>
      <c r="Q22" s="227">
        <f t="shared" ref="Q22:Q27" si="43">N22/K22</f>
        <v>0.95600775193798471</v>
      </c>
      <c r="R22" s="571">
        <f>Q29</f>
        <v>0.9558991283694378</v>
      </c>
      <c r="S22" s="24">
        <v>8.3333333333333329E-2</v>
      </c>
      <c r="T22" s="24">
        <v>0.17291666666666666</v>
      </c>
      <c r="U22" s="226"/>
      <c r="V22" s="232">
        <f t="shared" ref="V22:V28" si="44">(T22-S22)*24*60</f>
        <v>129</v>
      </c>
      <c r="W22" s="13">
        <f>T22</f>
        <v>0.17291666666666666</v>
      </c>
      <c r="X22" s="13">
        <f>S23</f>
        <v>0.19444444444444445</v>
      </c>
      <c r="Y22" s="617"/>
      <c r="Z22" s="617"/>
      <c r="AA22" s="11">
        <f t="shared" si="2"/>
        <v>-105.58139534883685</v>
      </c>
      <c r="AB22" s="227">
        <f>M22/J22</f>
        <v>0.9560077519379846</v>
      </c>
      <c r="AC22" s="571">
        <f>AB29</f>
        <v>0.95589912836943769</v>
      </c>
    </row>
    <row r="23" spans="1:29" ht="15.75" customHeight="1">
      <c r="A23" s="635" t="s">
        <v>178</v>
      </c>
      <c r="B23" s="26" t="s">
        <v>46</v>
      </c>
      <c r="C23" s="636" t="s">
        <v>61</v>
      </c>
      <c r="D23" s="636"/>
      <c r="E23" s="26">
        <v>31.29</v>
      </c>
      <c r="F23" s="233">
        <v>4300</v>
      </c>
      <c r="G23" s="226">
        <f t="shared" si="38"/>
        <v>134547</v>
      </c>
      <c r="H23" s="21">
        <v>2</v>
      </c>
      <c r="I23" s="231">
        <v>18</v>
      </c>
      <c r="J23" s="23">
        <v>2400</v>
      </c>
      <c r="K23" s="9">
        <f t="shared" ref="K23:K29" si="45">J23/I23</f>
        <v>133.33333333333334</v>
      </c>
      <c r="L23" s="231">
        <v>18</v>
      </c>
      <c r="M23" s="10">
        <f t="shared" si="39"/>
        <v>2283.1858407079635</v>
      </c>
      <c r="N23" s="9">
        <f t="shared" si="40"/>
        <v>126.84365781710909</v>
      </c>
      <c r="O23" s="11">
        <f t="shared" si="41"/>
        <v>0</v>
      </c>
      <c r="P23" s="12">
        <f t="shared" si="42"/>
        <v>-6.4896755162242528</v>
      </c>
      <c r="Q23" s="227">
        <f t="shared" si="43"/>
        <v>0.95132743362831806</v>
      </c>
      <c r="R23" s="571"/>
      <c r="S23" s="24">
        <v>0.19444444444444445</v>
      </c>
      <c r="T23" s="24">
        <v>0.2729166666666667</v>
      </c>
      <c r="U23" s="226">
        <f>(S23-T22)*24*60</f>
        <v>31.000000000000011</v>
      </c>
      <c r="V23" s="232">
        <f t="shared" si="44"/>
        <v>113.00000000000004</v>
      </c>
      <c r="W23" s="13"/>
      <c r="X23" s="13"/>
      <c r="Y23" s="617"/>
      <c r="Z23" s="617"/>
      <c r="AA23" s="11">
        <f t="shared" si="2"/>
        <v>-116.81415929203649</v>
      </c>
      <c r="AB23" s="227">
        <f t="shared" ref="AB23:AB28" si="46">M23/J23</f>
        <v>0.95132743362831818</v>
      </c>
      <c r="AC23" s="571"/>
    </row>
    <row r="24" spans="1:29" ht="15.75" customHeight="1">
      <c r="A24" s="635" t="s">
        <v>178</v>
      </c>
      <c r="B24" s="26" t="s">
        <v>46</v>
      </c>
      <c r="C24" s="636" t="s">
        <v>59</v>
      </c>
      <c r="D24" s="636"/>
      <c r="E24" s="26">
        <v>26.18</v>
      </c>
      <c r="F24" s="233">
        <v>4436</v>
      </c>
      <c r="G24" s="226">
        <f t="shared" si="38"/>
        <v>116134.48</v>
      </c>
      <c r="H24" s="21" t="s">
        <v>35</v>
      </c>
      <c r="I24" s="231">
        <v>19</v>
      </c>
      <c r="J24" s="23">
        <v>2400</v>
      </c>
      <c r="K24" s="9">
        <f t="shared" si="45"/>
        <v>126.31578947368421</v>
      </c>
      <c r="L24" s="231">
        <v>19</v>
      </c>
      <c r="M24" s="10">
        <f t="shared" si="39"/>
        <v>2294.4827586206898</v>
      </c>
      <c r="N24" s="9">
        <f t="shared" si="40"/>
        <v>120.76225045372051</v>
      </c>
      <c r="O24" s="11">
        <f t="shared" si="41"/>
        <v>0</v>
      </c>
      <c r="P24" s="12">
        <f t="shared" si="42"/>
        <v>-5.5535390199636936</v>
      </c>
      <c r="Q24" s="227">
        <f t="shared" si="43"/>
        <v>0.9560344827586208</v>
      </c>
      <c r="R24" s="571"/>
      <c r="S24" s="24">
        <v>0.27708333333333335</v>
      </c>
      <c r="T24" s="24">
        <v>0.3576388888888889</v>
      </c>
      <c r="U24" s="226">
        <f t="shared" ref="U24:U28" si="47">(S24-T23)*24*60</f>
        <v>5.9999999999999787</v>
      </c>
      <c r="V24" s="232">
        <f t="shared" si="44"/>
        <v>115.99999999999999</v>
      </c>
      <c r="W24" s="13"/>
      <c r="X24" s="13"/>
      <c r="Y24" s="617"/>
      <c r="Z24" s="617"/>
      <c r="AA24" s="11">
        <f t="shared" si="2"/>
        <v>-105.51724137931024</v>
      </c>
      <c r="AB24" s="227">
        <f t="shared" si="46"/>
        <v>0.95603448275862069</v>
      </c>
      <c r="AC24" s="571"/>
    </row>
    <row r="25" spans="1:29" ht="15.75" customHeight="1">
      <c r="A25" s="635" t="s">
        <v>984</v>
      </c>
      <c r="B25" s="26" t="s">
        <v>46</v>
      </c>
      <c r="C25" s="636" t="s">
        <v>56</v>
      </c>
      <c r="D25" s="636"/>
      <c r="E25" s="26">
        <v>26.2</v>
      </c>
      <c r="F25" s="233">
        <v>5418</v>
      </c>
      <c r="G25" s="226">
        <f t="shared" si="38"/>
        <v>141951.6</v>
      </c>
      <c r="H25" s="21" t="s">
        <v>35</v>
      </c>
      <c r="I25" s="231">
        <v>20</v>
      </c>
      <c r="J25" s="23">
        <v>2400</v>
      </c>
      <c r="K25" s="9">
        <f t="shared" si="45"/>
        <v>120</v>
      </c>
      <c r="L25" s="231">
        <v>20</v>
      </c>
      <c r="M25" s="10">
        <f t="shared" si="39"/>
        <v>2289.2957746478878</v>
      </c>
      <c r="N25" s="9">
        <f t="shared" si="40"/>
        <v>114.4647887323944</v>
      </c>
      <c r="O25" s="11">
        <f t="shared" si="41"/>
        <v>0</v>
      </c>
      <c r="P25" s="12">
        <f t="shared" si="42"/>
        <v>-5.5352112676056038</v>
      </c>
      <c r="Q25" s="227">
        <f t="shared" si="43"/>
        <v>0.95387323943661995</v>
      </c>
      <c r="R25" s="571"/>
      <c r="S25" s="24">
        <v>0.36319444444444443</v>
      </c>
      <c r="T25" s="24">
        <v>0.46180555555555552</v>
      </c>
      <c r="U25" s="226">
        <f t="shared" si="47"/>
        <v>7.9999999999999716</v>
      </c>
      <c r="V25" s="232">
        <f t="shared" si="44"/>
        <v>141.99999999999997</v>
      </c>
      <c r="W25" s="13"/>
      <c r="X25" s="13"/>
      <c r="Y25" s="617"/>
      <c r="Z25" s="617"/>
      <c r="AA25" s="11">
        <f t="shared" si="2"/>
        <v>-110.70422535211219</v>
      </c>
      <c r="AB25" s="227">
        <f t="shared" si="46"/>
        <v>0.95387323943661995</v>
      </c>
      <c r="AC25" s="571"/>
    </row>
    <row r="26" spans="1:29" ht="15.75" customHeight="1">
      <c r="A26" s="635" t="s">
        <v>178</v>
      </c>
      <c r="B26" s="26" t="s">
        <v>46</v>
      </c>
      <c r="C26" s="636" t="s">
        <v>62</v>
      </c>
      <c r="D26" s="636"/>
      <c r="E26" s="26">
        <v>25</v>
      </c>
      <c r="F26" s="233">
        <v>2700</v>
      </c>
      <c r="G26" s="226">
        <f t="shared" si="38"/>
        <v>67500</v>
      </c>
      <c r="H26" s="21">
        <v>2</v>
      </c>
      <c r="I26" s="231">
        <v>15</v>
      </c>
      <c r="J26" s="23">
        <v>2400</v>
      </c>
      <c r="K26" s="9">
        <f t="shared" si="45"/>
        <v>160</v>
      </c>
      <c r="L26" s="231">
        <v>15</v>
      </c>
      <c r="M26" s="10">
        <f t="shared" si="39"/>
        <v>2314.2857142857147</v>
      </c>
      <c r="N26" s="9">
        <f t="shared" si="40"/>
        <v>154.28571428571431</v>
      </c>
      <c r="O26" s="11">
        <f t="shared" si="41"/>
        <v>0</v>
      </c>
      <c r="P26" s="12">
        <f t="shared" si="42"/>
        <v>-5.714285714285694</v>
      </c>
      <c r="Q26" s="227">
        <f t="shared" si="43"/>
        <v>0.96428571428571441</v>
      </c>
      <c r="R26" s="571"/>
      <c r="S26" s="24">
        <v>0.46527777777777773</v>
      </c>
      <c r="T26" s="24">
        <v>0.51388888888888884</v>
      </c>
      <c r="U26" s="226">
        <f t="shared" si="47"/>
        <v>4.9999999999999822</v>
      </c>
      <c r="V26" s="232">
        <f t="shared" si="44"/>
        <v>69.999999999999986</v>
      </c>
      <c r="W26" s="13">
        <f>T26</f>
        <v>0.51388888888888884</v>
      </c>
      <c r="X26" s="13">
        <f>S27</f>
        <v>0.55347222222222214</v>
      </c>
      <c r="Y26" s="617"/>
      <c r="Z26" s="617"/>
      <c r="AA26" s="11">
        <f t="shared" si="2"/>
        <v>-85.714285714285325</v>
      </c>
      <c r="AB26" s="227">
        <f t="shared" si="46"/>
        <v>0.96428571428571441</v>
      </c>
      <c r="AC26" s="571"/>
    </row>
    <row r="27" spans="1:29" ht="15.75" customHeight="1">
      <c r="A27" s="635" t="s">
        <v>178</v>
      </c>
      <c r="B27" s="26" t="s">
        <v>46</v>
      </c>
      <c r="C27" s="636" t="s">
        <v>61</v>
      </c>
      <c r="D27" s="636"/>
      <c r="E27" s="26">
        <v>31.29</v>
      </c>
      <c r="F27" s="233">
        <v>5789</v>
      </c>
      <c r="G27" s="226">
        <f t="shared" si="38"/>
        <v>181137.81</v>
      </c>
      <c r="H27" s="21" t="s">
        <v>35</v>
      </c>
      <c r="I27" s="231">
        <v>18</v>
      </c>
      <c r="J27" s="23">
        <v>2400</v>
      </c>
      <c r="K27" s="9">
        <f t="shared" si="45"/>
        <v>133.33333333333334</v>
      </c>
      <c r="L27" s="231">
        <v>18</v>
      </c>
      <c r="M27" s="10">
        <f t="shared" si="39"/>
        <v>2285.1315789473692</v>
      </c>
      <c r="N27" s="9">
        <f t="shared" si="40"/>
        <v>126.95175438596496</v>
      </c>
      <c r="O27" s="11">
        <f t="shared" si="41"/>
        <v>0</v>
      </c>
      <c r="P27" s="12">
        <f t="shared" si="42"/>
        <v>-6.3815789473683822</v>
      </c>
      <c r="Q27" s="227">
        <f t="shared" si="43"/>
        <v>0.9521381578947371</v>
      </c>
      <c r="R27" s="571"/>
      <c r="S27" s="24">
        <v>0.55347222222222214</v>
      </c>
      <c r="T27" s="24">
        <v>0.65902777777777766</v>
      </c>
      <c r="U27" s="226">
        <f t="shared" si="47"/>
        <v>56.999999999999957</v>
      </c>
      <c r="V27" s="232">
        <f t="shared" si="44"/>
        <v>151.99999999999994</v>
      </c>
      <c r="W27" s="13"/>
      <c r="X27" s="13"/>
      <c r="Y27" s="617"/>
      <c r="Z27" s="617"/>
      <c r="AA27" s="11">
        <f t="shared" si="2"/>
        <v>-114.86842105263077</v>
      </c>
      <c r="AB27" s="227">
        <f t="shared" si="46"/>
        <v>0.95213815789473721</v>
      </c>
      <c r="AC27" s="571"/>
    </row>
    <row r="28" spans="1:29" ht="15.75" customHeight="1">
      <c r="A28" s="635" t="s">
        <v>178</v>
      </c>
      <c r="B28" s="26" t="s">
        <v>46</v>
      </c>
      <c r="C28" s="636" t="s">
        <v>62</v>
      </c>
      <c r="D28" s="636"/>
      <c r="E28" s="26">
        <v>25</v>
      </c>
      <c r="F28" s="233">
        <v>2260</v>
      </c>
      <c r="G28" s="226">
        <f t="shared" si="38"/>
        <v>56500</v>
      </c>
      <c r="H28" s="21" t="s">
        <v>35</v>
      </c>
      <c r="I28" s="231">
        <v>15</v>
      </c>
      <c r="J28" s="23">
        <v>2400</v>
      </c>
      <c r="K28" s="9">
        <f t="shared" si="45"/>
        <v>160</v>
      </c>
      <c r="L28" s="231">
        <v>15</v>
      </c>
      <c r="M28" s="10">
        <f t="shared" si="39"/>
        <v>2298.3050847457644</v>
      </c>
      <c r="N28" s="9">
        <f t="shared" si="40"/>
        <v>153.22033898305096</v>
      </c>
      <c r="O28" s="11">
        <f t="shared" si="41"/>
        <v>0</v>
      </c>
      <c r="P28" s="12">
        <f t="shared" si="42"/>
        <v>-6.779661016949035</v>
      </c>
      <c r="Q28" s="227">
        <f>N28/K28</f>
        <v>0.95762711864406858</v>
      </c>
      <c r="R28" s="571"/>
      <c r="S28" s="24">
        <v>0.66249999999999987</v>
      </c>
      <c r="T28" s="24">
        <v>0.70347222222222205</v>
      </c>
      <c r="U28" s="226">
        <f t="shared" si="47"/>
        <v>4.9999999999999822</v>
      </c>
      <c r="V28" s="232">
        <f t="shared" si="44"/>
        <v>58.99999999999995</v>
      </c>
      <c r="W28" s="13"/>
      <c r="X28" s="13"/>
      <c r="Y28" s="617"/>
      <c r="Z28" s="617"/>
      <c r="AA28" s="11">
        <f t="shared" si="2"/>
        <v>-101.69491525423564</v>
      </c>
      <c r="AB28" s="227">
        <f t="shared" si="46"/>
        <v>0.95762711864406846</v>
      </c>
      <c r="AC28" s="571"/>
    </row>
    <row r="29" spans="1:29" ht="15.75" customHeight="1">
      <c r="A29" s="635" t="s">
        <v>984</v>
      </c>
      <c r="B29" s="26" t="s">
        <v>168</v>
      </c>
      <c r="C29" s="629"/>
      <c r="D29" s="629"/>
      <c r="E29" s="228"/>
      <c r="F29" s="233"/>
      <c r="G29" s="226"/>
      <c r="H29" s="233"/>
      <c r="I29" s="16">
        <v>17.714285714285715</v>
      </c>
      <c r="J29" s="23">
        <v>2400</v>
      </c>
      <c r="K29" s="9">
        <f t="shared" si="45"/>
        <v>135.48387096774192</v>
      </c>
      <c r="L29" s="16">
        <v>17.714285714285715</v>
      </c>
      <c r="M29" s="10">
        <f>AVERAGE(M22:M28)</f>
        <v>2294.1579080866504</v>
      </c>
      <c r="N29" s="9">
        <f>M29/L29</f>
        <v>129.50891416618188</v>
      </c>
      <c r="O29" s="11">
        <f>L29-I29</f>
        <v>0</v>
      </c>
      <c r="P29" s="12">
        <f>N29-K29</f>
        <v>-5.9749568015600403</v>
      </c>
      <c r="Q29" s="227">
        <f>N29/K29</f>
        <v>0.9558991283694378</v>
      </c>
      <c r="R29" s="571"/>
      <c r="S29" s="24"/>
      <c r="T29" s="24"/>
      <c r="U29" s="226"/>
      <c r="V29" s="232"/>
      <c r="W29" s="226"/>
      <c r="X29" s="226"/>
      <c r="Y29" s="617"/>
      <c r="Z29" s="617"/>
      <c r="AA29" s="11">
        <f t="shared" si="2"/>
        <v>-105.84209191334958</v>
      </c>
      <c r="AB29" s="227">
        <f>M29/J29</f>
        <v>0.95589912836943769</v>
      </c>
      <c r="AC29" s="571"/>
    </row>
    <row r="30" spans="1:29" ht="15.75" customHeight="1">
      <c r="A30" s="637" t="s">
        <v>985</v>
      </c>
      <c r="B30" s="26" t="s">
        <v>46</v>
      </c>
      <c r="C30" s="616" t="s">
        <v>63</v>
      </c>
      <c r="D30" s="616"/>
      <c r="E30" s="26">
        <v>26.2</v>
      </c>
      <c r="F30" s="233">
        <v>4300</v>
      </c>
      <c r="G30" s="226">
        <f t="shared" ref="G30:G37" si="48">E30*F30</f>
        <v>112660</v>
      </c>
      <c r="H30" s="21">
        <v>2</v>
      </c>
      <c r="I30" s="231">
        <v>18</v>
      </c>
      <c r="J30" s="23">
        <v>2400</v>
      </c>
      <c r="K30" s="9">
        <f>J30/I30</f>
        <v>133.33333333333334</v>
      </c>
      <c r="L30" s="231">
        <v>18</v>
      </c>
      <c r="M30" s="10">
        <f>F30/V30*60</f>
        <v>2303.5714285714294</v>
      </c>
      <c r="N30" s="9">
        <f>M30/L30</f>
        <v>127.97619047619052</v>
      </c>
      <c r="O30" s="11">
        <f t="shared" ref="O30:O37" si="49">L30-I30</f>
        <v>0</v>
      </c>
      <c r="P30" s="12">
        <f t="shared" ref="P30:P46" si="50">N30-K30</f>
        <v>-5.3571428571428186</v>
      </c>
      <c r="Q30" s="227">
        <f t="shared" ref="Q30:Q42" si="51">N30/K30</f>
        <v>0.95982142857142883</v>
      </c>
      <c r="R30" s="571">
        <f>Q38</f>
        <v>0.95816952395728006</v>
      </c>
      <c r="S30" s="24">
        <v>8.3333333333333329E-2</v>
      </c>
      <c r="T30" s="24">
        <v>0.16111111111111109</v>
      </c>
      <c r="U30" s="226"/>
      <c r="V30" s="232">
        <f t="shared" ref="V30:V37" si="52">(T30-S30)*24*60</f>
        <v>111.99999999999997</v>
      </c>
      <c r="W30" s="15">
        <f>T30</f>
        <v>0.16111111111111109</v>
      </c>
      <c r="X30" s="15">
        <f>S31</f>
        <v>0.17986111111111111</v>
      </c>
      <c r="Y30" s="617"/>
      <c r="Z30" s="617"/>
      <c r="AA30" s="11">
        <f t="shared" si="2"/>
        <v>-96.428571428570649</v>
      </c>
      <c r="AB30" s="227">
        <f>M30/J30</f>
        <v>0.95982142857142894</v>
      </c>
      <c r="AC30" s="571">
        <f>AB38</f>
        <v>0.95816952395727994</v>
      </c>
    </row>
    <row r="31" spans="1:29" ht="15.75" customHeight="1">
      <c r="A31" s="637" t="s">
        <v>181</v>
      </c>
      <c r="B31" s="26" t="s">
        <v>46</v>
      </c>
      <c r="C31" s="616" t="s">
        <v>64</v>
      </c>
      <c r="D31" s="616"/>
      <c r="E31" s="26">
        <v>26.39</v>
      </c>
      <c r="F31" s="233">
        <v>4200</v>
      </c>
      <c r="G31" s="226">
        <f t="shared" si="48"/>
        <v>110838</v>
      </c>
      <c r="H31" s="21">
        <v>2</v>
      </c>
      <c r="I31" s="231">
        <v>19</v>
      </c>
      <c r="J31" s="23">
        <v>2400</v>
      </c>
      <c r="K31" s="9">
        <f t="shared" ref="K31:K45" si="53">J31/I31</f>
        <v>126.31578947368421</v>
      </c>
      <c r="L31" s="231">
        <v>19</v>
      </c>
      <c r="M31" s="10">
        <f t="shared" ref="M31:M37" si="54">F31/V31*60</f>
        <v>2290.9090909090914</v>
      </c>
      <c r="N31" s="9">
        <f t="shared" ref="N31:N37" si="55">M31/L31</f>
        <v>120.57416267942587</v>
      </c>
      <c r="O31" s="11">
        <f t="shared" si="49"/>
        <v>0</v>
      </c>
      <c r="P31" s="12">
        <f t="shared" si="50"/>
        <v>-5.7416267942583374</v>
      </c>
      <c r="Q31" s="227">
        <f t="shared" si="51"/>
        <v>0.95454545454545481</v>
      </c>
      <c r="R31" s="571"/>
      <c r="S31" s="24">
        <v>0.17986111111111111</v>
      </c>
      <c r="T31" s="24">
        <v>0.25624999999999998</v>
      </c>
      <c r="U31" s="226">
        <f>(S31-T30)*24*60</f>
        <v>27.000000000000025</v>
      </c>
      <c r="V31" s="232">
        <f t="shared" si="52"/>
        <v>109.99999999999997</v>
      </c>
      <c r="W31" s="226"/>
      <c r="X31" s="226"/>
      <c r="Y31" s="617"/>
      <c r="Z31" s="617"/>
      <c r="AA31" s="11">
        <f t="shared" si="2"/>
        <v>-109.09090909090855</v>
      </c>
      <c r="AB31" s="227">
        <f t="shared" ref="AB31:AB58" si="56">M31/J31</f>
        <v>0.95454545454545481</v>
      </c>
      <c r="AC31" s="571"/>
    </row>
    <row r="32" spans="1:29">
      <c r="A32" s="638" t="s">
        <v>181</v>
      </c>
      <c r="B32" s="26" t="s">
        <v>46</v>
      </c>
      <c r="C32" s="616" t="s">
        <v>87</v>
      </c>
      <c r="D32" s="616"/>
      <c r="E32" s="26">
        <v>20.52</v>
      </c>
      <c r="F32" s="233">
        <v>5507</v>
      </c>
      <c r="G32" s="226">
        <f t="shared" si="48"/>
        <v>113003.64</v>
      </c>
      <c r="H32" s="21" t="s">
        <v>35</v>
      </c>
      <c r="I32" s="231">
        <v>18</v>
      </c>
      <c r="J32" s="23">
        <v>2400</v>
      </c>
      <c r="K32" s="9">
        <f t="shared" si="53"/>
        <v>133.33333333333334</v>
      </c>
      <c r="L32" s="231">
        <v>18</v>
      </c>
      <c r="M32" s="10">
        <f t="shared" si="54"/>
        <v>2294.5833333333339</v>
      </c>
      <c r="N32" s="9">
        <f t="shared" si="55"/>
        <v>127.47685185185189</v>
      </c>
      <c r="O32" s="11">
        <f t="shared" si="49"/>
        <v>0</v>
      </c>
      <c r="P32" s="12">
        <f t="shared" si="50"/>
        <v>-5.8564814814814525</v>
      </c>
      <c r="Q32" s="227">
        <f t="shared" si="51"/>
        <v>0.95607638888888913</v>
      </c>
      <c r="R32" s="571"/>
      <c r="S32" s="24">
        <v>0.25972222222222219</v>
      </c>
      <c r="T32" s="24">
        <v>0.35972222222222217</v>
      </c>
      <c r="U32" s="226">
        <f t="shared" ref="U32:U37" si="57">(S32-T31)*24*60</f>
        <v>4.9999999999999822</v>
      </c>
      <c r="V32" s="232">
        <f t="shared" si="52"/>
        <v>143.99999999999997</v>
      </c>
      <c r="W32" s="226"/>
      <c r="X32" s="226"/>
      <c r="Y32" s="617"/>
      <c r="Z32" s="617"/>
      <c r="AA32" s="11">
        <f t="shared" si="2"/>
        <v>-105.41666666666606</v>
      </c>
      <c r="AB32" s="227">
        <f t="shared" si="56"/>
        <v>0.95607638888888913</v>
      </c>
      <c r="AC32" s="571"/>
    </row>
    <row r="33" spans="1:29">
      <c r="A33" s="638" t="s">
        <v>181</v>
      </c>
      <c r="B33" s="26" t="s">
        <v>46</v>
      </c>
      <c r="C33" s="616" t="s">
        <v>48</v>
      </c>
      <c r="D33" s="616"/>
      <c r="E33" s="26">
        <v>22.35</v>
      </c>
      <c r="F33" s="233">
        <v>2092</v>
      </c>
      <c r="G33" s="226">
        <f t="shared" si="48"/>
        <v>46756.200000000004</v>
      </c>
      <c r="H33" s="21" t="s">
        <v>35</v>
      </c>
      <c r="I33" s="231">
        <v>16</v>
      </c>
      <c r="J33" s="23">
        <v>2400</v>
      </c>
      <c r="K33" s="9">
        <f t="shared" si="53"/>
        <v>150</v>
      </c>
      <c r="L33" s="231">
        <v>16</v>
      </c>
      <c r="M33" s="10">
        <f t="shared" si="54"/>
        <v>2324.4444444444457</v>
      </c>
      <c r="N33" s="9">
        <f t="shared" si="55"/>
        <v>145.27777777777786</v>
      </c>
      <c r="O33" s="11">
        <f t="shared" si="49"/>
        <v>0</v>
      </c>
      <c r="P33" s="12">
        <f t="shared" si="50"/>
        <v>-4.7222222222221433</v>
      </c>
      <c r="Q33" s="227">
        <f t="shared" si="51"/>
        <v>0.968518518518519</v>
      </c>
      <c r="R33" s="571"/>
      <c r="S33" s="24">
        <v>0.36388888888888882</v>
      </c>
      <c r="T33" s="24">
        <v>0.4013888888888888</v>
      </c>
      <c r="U33" s="226">
        <f t="shared" si="57"/>
        <v>5.9999999999999787</v>
      </c>
      <c r="V33" s="232">
        <f t="shared" si="52"/>
        <v>53.999999999999972</v>
      </c>
      <c r="W33" s="13"/>
      <c r="X33" s="13"/>
      <c r="Y33" s="617"/>
      <c r="Z33" s="617"/>
      <c r="AA33" s="11">
        <f t="shared" si="2"/>
        <v>-75.555555555554292</v>
      </c>
      <c r="AB33" s="227">
        <f t="shared" si="56"/>
        <v>0.968518518518519</v>
      </c>
      <c r="AC33" s="571"/>
    </row>
    <row r="34" spans="1:29">
      <c r="A34" s="638" t="s">
        <v>181</v>
      </c>
      <c r="B34" s="26" t="s">
        <v>46</v>
      </c>
      <c r="C34" s="616" t="s">
        <v>65</v>
      </c>
      <c r="D34" s="616"/>
      <c r="E34" s="26">
        <v>24.43</v>
      </c>
      <c r="F34" s="233">
        <v>3900</v>
      </c>
      <c r="G34" s="226">
        <f t="shared" si="48"/>
        <v>95277</v>
      </c>
      <c r="H34" s="21">
        <v>2</v>
      </c>
      <c r="I34" s="231">
        <v>15</v>
      </c>
      <c r="J34" s="23">
        <v>2400</v>
      </c>
      <c r="K34" s="9">
        <f t="shared" si="53"/>
        <v>160</v>
      </c>
      <c r="L34" s="231">
        <v>15</v>
      </c>
      <c r="M34" s="10">
        <f t="shared" si="54"/>
        <v>2294.1176470588243</v>
      </c>
      <c r="N34" s="9">
        <f t="shared" si="55"/>
        <v>152.94117647058829</v>
      </c>
      <c r="O34" s="11">
        <f t="shared" si="49"/>
        <v>0</v>
      </c>
      <c r="P34" s="12">
        <f t="shared" si="50"/>
        <v>-7.0588235294117112</v>
      </c>
      <c r="Q34" s="227">
        <f t="shared" si="51"/>
        <v>0.95588235294117685</v>
      </c>
      <c r="R34" s="571"/>
      <c r="S34" s="24">
        <v>0.40555555555555545</v>
      </c>
      <c r="T34" s="24">
        <v>0.47638888888888875</v>
      </c>
      <c r="U34" s="226">
        <f t="shared" si="57"/>
        <v>5.9999999999999787</v>
      </c>
      <c r="V34" s="232">
        <f t="shared" si="52"/>
        <v>101.99999999999996</v>
      </c>
      <c r="W34" s="13">
        <f>T34</f>
        <v>0.47638888888888875</v>
      </c>
      <c r="X34" s="13">
        <f>S35</f>
        <v>0.51597222222222205</v>
      </c>
      <c r="Y34" s="617"/>
      <c r="Z34" s="617"/>
      <c r="AA34" s="11">
        <f t="shared" si="2"/>
        <v>-105.88235294117567</v>
      </c>
      <c r="AB34" s="227">
        <f t="shared" si="56"/>
        <v>0.95588235294117685</v>
      </c>
      <c r="AC34" s="571"/>
    </row>
    <row r="35" spans="1:29">
      <c r="A35" s="638" t="s">
        <v>181</v>
      </c>
      <c r="B35" s="26" t="s">
        <v>46</v>
      </c>
      <c r="C35" s="616" t="s">
        <v>65</v>
      </c>
      <c r="D35" s="616"/>
      <c r="E35" s="26">
        <v>24.43</v>
      </c>
      <c r="F35" s="233">
        <v>5739</v>
      </c>
      <c r="G35" s="226">
        <f t="shared" si="48"/>
        <v>140203.76999999999</v>
      </c>
      <c r="H35" s="21" t="s">
        <v>35</v>
      </c>
      <c r="I35" s="231">
        <v>15</v>
      </c>
      <c r="J35" s="23">
        <v>2400</v>
      </c>
      <c r="K35" s="9">
        <f t="shared" si="53"/>
        <v>160</v>
      </c>
      <c r="L35" s="231">
        <v>15</v>
      </c>
      <c r="M35" s="10">
        <f t="shared" si="54"/>
        <v>2295.6000000000008</v>
      </c>
      <c r="N35" s="9">
        <f t="shared" si="55"/>
        <v>153.04000000000005</v>
      </c>
      <c r="O35" s="11">
        <f t="shared" si="49"/>
        <v>0</v>
      </c>
      <c r="P35" s="12">
        <f t="shared" si="50"/>
        <v>-6.9599999999999511</v>
      </c>
      <c r="Q35" s="227">
        <f t="shared" si="51"/>
        <v>0.95650000000000035</v>
      </c>
      <c r="R35" s="571"/>
      <c r="S35" s="24">
        <v>0.51597222222222205</v>
      </c>
      <c r="T35" s="24">
        <v>0.62013888888888868</v>
      </c>
      <c r="U35" s="226">
        <f t="shared" si="57"/>
        <v>56.999999999999957</v>
      </c>
      <c r="V35" s="232">
        <f t="shared" si="52"/>
        <v>149.99999999999994</v>
      </c>
      <c r="W35" s="13"/>
      <c r="X35" s="13"/>
      <c r="Y35" s="617"/>
      <c r="Z35" s="617"/>
      <c r="AA35" s="11">
        <f t="shared" si="2"/>
        <v>-104.39999999999918</v>
      </c>
      <c r="AB35" s="227">
        <f t="shared" si="56"/>
        <v>0.95650000000000035</v>
      </c>
      <c r="AC35" s="571"/>
    </row>
    <row r="36" spans="1:29">
      <c r="A36" s="638" t="s">
        <v>181</v>
      </c>
      <c r="B36" s="26" t="s">
        <v>46</v>
      </c>
      <c r="C36" s="616" t="s">
        <v>63</v>
      </c>
      <c r="D36" s="616"/>
      <c r="E36" s="26">
        <v>26.2</v>
      </c>
      <c r="F36" s="233">
        <v>3164</v>
      </c>
      <c r="G36" s="226">
        <f t="shared" si="48"/>
        <v>82896.800000000003</v>
      </c>
      <c r="H36" s="21" t="s">
        <v>35</v>
      </c>
      <c r="I36" s="231">
        <v>18</v>
      </c>
      <c r="J36" s="23">
        <v>2400</v>
      </c>
      <c r="K36" s="9">
        <f t="shared" si="53"/>
        <v>133.33333333333334</v>
      </c>
      <c r="L36" s="231">
        <v>18</v>
      </c>
      <c r="M36" s="10">
        <f t="shared" si="54"/>
        <v>2287.2289156626498</v>
      </c>
      <c r="N36" s="9">
        <f t="shared" si="55"/>
        <v>127.06827309236944</v>
      </c>
      <c r="O36" s="11">
        <f t="shared" si="49"/>
        <v>0</v>
      </c>
      <c r="P36" s="12">
        <f t="shared" si="50"/>
        <v>-6.2650602409639049</v>
      </c>
      <c r="Q36" s="227">
        <f t="shared" si="51"/>
        <v>0.95301204819277074</v>
      </c>
      <c r="R36" s="571"/>
      <c r="S36" s="24">
        <v>0.62499999999999978</v>
      </c>
      <c r="T36" s="24">
        <v>0.68263888888888868</v>
      </c>
      <c r="U36" s="226">
        <f t="shared" si="57"/>
        <v>6.9999999999999751</v>
      </c>
      <c r="V36" s="232">
        <f t="shared" si="52"/>
        <v>83.000000000000028</v>
      </c>
      <c r="W36" s="13"/>
      <c r="X36" s="13"/>
      <c r="Y36" s="621"/>
      <c r="Z36" s="622"/>
      <c r="AA36" s="11">
        <f t="shared" si="2"/>
        <v>-112.7710843373502</v>
      </c>
      <c r="AB36" s="227">
        <f t="shared" si="56"/>
        <v>0.95301204819277074</v>
      </c>
      <c r="AC36" s="571"/>
    </row>
    <row r="37" spans="1:29">
      <c r="A37" s="638" t="s">
        <v>181</v>
      </c>
      <c r="B37" s="26" t="s">
        <v>46</v>
      </c>
      <c r="C37" s="616" t="s">
        <v>64</v>
      </c>
      <c r="D37" s="616"/>
      <c r="E37" s="26">
        <v>26.39</v>
      </c>
      <c r="F37" s="233">
        <v>2883</v>
      </c>
      <c r="G37" s="226">
        <f t="shared" si="48"/>
        <v>76082.37</v>
      </c>
      <c r="H37" s="21" t="s">
        <v>35</v>
      </c>
      <c r="I37" s="231">
        <v>19</v>
      </c>
      <c r="J37" s="23">
        <v>2400</v>
      </c>
      <c r="K37" s="9">
        <f t="shared" si="53"/>
        <v>126.31578947368421</v>
      </c>
      <c r="L37" s="231">
        <v>19</v>
      </c>
      <c r="M37" s="10">
        <f t="shared" si="54"/>
        <v>2306.3999999999983</v>
      </c>
      <c r="N37" s="9">
        <f t="shared" si="55"/>
        <v>121.38947368421043</v>
      </c>
      <c r="O37" s="11">
        <f t="shared" si="49"/>
        <v>0</v>
      </c>
      <c r="P37" s="12">
        <f t="shared" si="50"/>
        <v>-4.9263157894737759</v>
      </c>
      <c r="Q37" s="227">
        <f t="shared" si="51"/>
        <v>0.9609999999999993</v>
      </c>
      <c r="R37" s="571"/>
      <c r="S37" s="24">
        <v>0.68819444444444422</v>
      </c>
      <c r="T37" s="24">
        <v>0.74027777777777759</v>
      </c>
      <c r="U37" s="226">
        <f t="shared" si="57"/>
        <v>7.9999999999999716</v>
      </c>
      <c r="V37" s="232">
        <f t="shared" si="52"/>
        <v>75.000000000000057</v>
      </c>
      <c r="W37" s="13"/>
      <c r="X37" s="13"/>
      <c r="Y37" s="621"/>
      <c r="Z37" s="622"/>
      <c r="AA37" s="11">
        <f t="shared" si="2"/>
        <v>-93.600000000001728</v>
      </c>
      <c r="AB37" s="227">
        <f t="shared" si="56"/>
        <v>0.9609999999999993</v>
      </c>
      <c r="AC37" s="571"/>
    </row>
    <row r="38" spans="1:29">
      <c r="A38" s="638" t="s">
        <v>181</v>
      </c>
      <c r="B38" s="27" t="s">
        <v>168</v>
      </c>
      <c r="C38" s="629"/>
      <c r="D38" s="629"/>
      <c r="E38" s="228"/>
      <c r="F38" s="27"/>
      <c r="G38" s="9"/>
      <c r="H38" s="233"/>
      <c r="I38" s="16">
        <v>17.25</v>
      </c>
      <c r="J38" s="23">
        <v>2400</v>
      </c>
      <c r="K38" s="9">
        <f t="shared" si="53"/>
        <v>139.13043478260869</v>
      </c>
      <c r="L38" s="16">
        <v>17.25</v>
      </c>
      <c r="M38" s="10">
        <f>AVERAGE(M30:M37)</f>
        <v>2299.606857497472</v>
      </c>
      <c r="N38" s="9">
        <f>M38/L38</f>
        <v>133.31054246362157</v>
      </c>
      <c r="O38" s="11">
        <f>L38-I38</f>
        <v>0</v>
      </c>
      <c r="P38" s="12">
        <f t="shared" si="50"/>
        <v>-5.8198923189871152</v>
      </c>
      <c r="Q38" s="227">
        <f t="shared" si="51"/>
        <v>0.95816952395728006</v>
      </c>
      <c r="R38" s="571"/>
      <c r="S38" s="24"/>
      <c r="T38" s="24"/>
      <c r="U38" s="9"/>
      <c r="V38" s="232"/>
      <c r="W38" s="9"/>
      <c r="X38" s="9"/>
      <c r="Y38" s="617"/>
      <c r="Z38" s="617"/>
      <c r="AA38" s="11">
        <f t="shared" si="2"/>
        <v>-100.39314250252801</v>
      </c>
      <c r="AB38" s="227">
        <f t="shared" si="56"/>
        <v>0.95816952395727994</v>
      </c>
      <c r="AC38" s="571"/>
    </row>
    <row r="39" spans="1:29" ht="15.75" customHeight="1">
      <c r="A39" s="630" t="s">
        <v>186</v>
      </c>
      <c r="B39" s="26" t="s">
        <v>67</v>
      </c>
      <c r="C39" s="627" t="s">
        <v>68</v>
      </c>
      <c r="D39" s="628"/>
      <c r="E39" s="26">
        <v>21.13</v>
      </c>
      <c r="F39" s="233">
        <v>5466</v>
      </c>
      <c r="G39" s="226">
        <f t="shared" ref="G39:G45" si="58">E39*F39</f>
        <v>115496.58</v>
      </c>
      <c r="H39" s="21" t="s">
        <v>35</v>
      </c>
      <c r="I39" s="231">
        <v>10</v>
      </c>
      <c r="J39" s="23">
        <v>3000</v>
      </c>
      <c r="K39" s="9">
        <f t="shared" si="53"/>
        <v>300</v>
      </c>
      <c r="L39" s="231">
        <v>10</v>
      </c>
      <c r="M39" s="10">
        <f t="shared" ref="M39:M40" si="59">F39/V39*60</f>
        <v>2876.8421052631588</v>
      </c>
      <c r="N39" s="10">
        <f t="shared" ref="N39:N46" si="60">M39/L39</f>
        <v>287.68421052631589</v>
      </c>
      <c r="O39" s="11">
        <f t="shared" ref="O39:O46" si="61">L39-I39</f>
        <v>0</v>
      </c>
      <c r="P39" s="12">
        <f t="shared" si="50"/>
        <v>-12.315789473684106</v>
      </c>
      <c r="Q39" s="227">
        <f t="shared" si="51"/>
        <v>0.95894736842105299</v>
      </c>
      <c r="R39" s="582">
        <f>Q46</f>
        <v>0.95931659044677131</v>
      </c>
      <c r="S39" s="24">
        <v>8.3333333333333329E-2</v>
      </c>
      <c r="T39" s="24">
        <v>0.16249999999999998</v>
      </c>
      <c r="U39" s="15"/>
      <c r="V39" s="232">
        <f t="shared" ref="V39:V45" si="62">(T39-S39)*24*60</f>
        <v>113.99999999999997</v>
      </c>
      <c r="W39" s="13">
        <f>T39</f>
        <v>0.16249999999999998</v>
      </c>
      <c r="X39" s="13">
        <f>S40</f>
        <v>0.18333333333333332</v>
      </c>
      <c r="Y39" s="621"/>
      <c r="Z39" s="622"/>
      <c r="AA39" s="11">
        <f t="shared" si="2"/>
        <v>-123.15789473684117</v>
      </c>
      <c r="AB39" s="227">
        <f t="shared" si="56"/>
        <v>0.95894736842105299</v>
      </c>
      <c r="AC39" s="582">
        <f>AB46</f>
        <v>0.95931659044677142</v>
      </c>
    </row>
    <row r="40" spans="1:29" ht="15.75" customHeight="1">
      <c r="A40" s="631" t="s">
        <v>186</v>
      </c>
      <c r="B40" s="26" t="s">
        <v>67</v>
      </c>
      <c r="C40" s="627" t="s">
        <v>69</v>
      </c>
      <c r="D40" s="628"/>
      <c r="E40" s="26">
        <v>27.17</v>
      </c>
      <c r="F40" s="233">
        <v>4100</v>
      </c>
      <c r="G40" s="226">
        <f t="shared" si="58"/>
        <v>111397</v>
      </c>
      <c r="H40" s="21">
        <v>2</v>
      </c>
      <c r="I40" s="231">
        <v>10</v>
      </c>
      <c r="J40" s="23">
        <v>3000</v>
      </c>
      <c r="K40" s="9">
        <f t="shared" si="53"/>
        <v>300</v>
      </c>
      <c r="L40" s="231">
        <v>10</v>
      </c>
      <c r="M40" s="10">
        <f t="shared" si="59"/>
        <v>2860.4651162790692</v>
      </c>
      <c r="N40" s="10">
        <f t="shared" si="60"/>
        <v>286.04651162790691</v>
      </c>
      <c r="O40" s="11">
        <f t="shared" si="61"/>
        <v>0</v>
      </c>
      <c r="P40" s="12">
        <f t="shared" si="50"/>
        <v>-13.953488372093091</v>
      </c>
      <c r="Q40" s="227">
        <f t="shared" si="51"/>
        <v>0.95348837209302306</v>
      </c>
      <c r="R40" s="583"/>
      <c r="S40" s="24">
        <v>0.18333333333333332</v>
      </c>
      <c r="T40" s="24">
        <v>0.24305555555555555</v>
      </c>
      <c r="U40" s="226">
        <f>(S40-T39)*24*60</f>
        <v>30.000000000000014</v>
      </c>
      <c r="V40" s="232">
        <f t="shared" si="62"/>
        <v>86.000000000000014</v>
      </c>
      <c r="W40" s="13"/>
      <c r="X40" s="13"/>
      <c r="Y40" s="621"/>
      <c r="Z40" s="622"/>
      <c r="AA40" s="11">
        <f t="shared" si="2"/>
        <v>-139.53488372093079</v>
      </c>
      <c r="AB40" s="227">
        <f t="shared" si="56"/>
        <v>0.95348837209302306</v>
      </c>
      <c r="AC40" s="583"/>
    </row>
    <row r="41" spans="1:29" ht="15.75" customHeight="1">
      <c r="A41" s="631" t="s">
        <v>986</v>
      </c>
      <c r="B41" s="26" t="s">
        <v>67</v>
      </c>
      <c r="C41" s="627" t="s">
        <v>70</v>
      </c>
      <c r="D41" s="628"/>
      <c r="E41" s="26">
        <v>35.119999999999997</v>
      </c>
      <c r="F41" s="233">
        <v>5034</v>
      </c>
      <c r="G41" s="226">
        <f t="shared" si="58"/>
        <v>176794.08</v>
      </c>
      <c r="H41" s="21" t="s">
        <v>35</v>
      </c>
      <c r="I41" s="231">
        <v>10</v>
      </c>
      <c r="J41" s="23">
        <v>3000</v>
      </c>
      <c r="K41" s="9">
        <f t="shared" si="53"/>
        <v>300</v>
      </c>
      <c r="L41" s="231">
        <v>10</v>
      </c>
      <c r="M41" s="10">
        <f>F41/V41*60</f>
        <v>2876.5714285714275</v>
      </c>
      <c r="N41" s="10">
        <f t="shared" si="60"/>
        <v>287.65714285714273</v>
      </c>
      <c r="O41" s="11">
        <f t="shared" si="61"/>
        <v>0</v>
      </c>
      <c r="P41" s="12">
        <f t="shared" si="50"/>
        <v>-12.34285714285727</v>
      </c>
      <c r="Q41" s="227">
        <f t="shared" si="51"/>
        <v>0.95885714285714241</v>
      </c>
      <c r="R41" s="583"/>
      <c r="S41" s="24">
        <v>0.24722222222222223</v>
      </c>
      <c r="T41" s="24">
        <v>0.32013888888888892</v>
      </c>
      <c r="U41" s="226">
        <f t="shared" ref="U41:U45" si="63">(S41-T40)*24*60</f>
        <v>6.0000000000000187</v>
      </c>
      <c r="V41" s="232">
        <f t="shared" si="62"/>
        <v>105.00000000000003</v>
      </c>
      <c r="W41" s="13"/>
      <c r="X41" s="13"/>
      <c r="Y41" s="621"/>
      <c r="Z41" s="622"/>
      <c r="AA41" s="11">
        <f t="shared" si="2"/>
        <v>-123.42857142857247</v>
      </c>
      <c r="AB41" s="227">
        <f t="shared" si="56"/>
        <v>0.95885714285714252</v>
      </c>
      <c r="AC41" s="583"/>
    </row>
    <row r="42" spans="1:29" ht="15.75" customHeight="1">
      <c r="A42" s="631" t="s">
        <v>986</v>
      </c>
      <c r="B42" s="26" t="s">
        <v>67</v>
      </c>
      <c r="C42" s="627" t="s">
        <v>71</v>
      </c>
      <c r="D42" s="628"/>
      <c r="E42" s="26">
        <v>35.869999999999997</v>
      </c>
      <c r="F42" s="233">
        <v>3214</v>
      </c>
      <c r="G42" s="226">
        <f t="shared" si="58"/>
        <v>115286.18</v>
      </c>
      <c r="H42" s="21" t="s">
        <v>35</v>
      </c>
      <c r="I42" s="231">
        <v>10</v>
      </c>
      <c r="J42" s="23">
        <v>3000</v>
      </c>
      <c r="K42" s="9">
        <f t="shared" si="53"/>
        <v>300</v>
      </c>
      <c r="L42" s="231">
        <v>10</v>
      </c>
      <c r="M42" s="10">
        <f t="shared" ref="M42:M45" si="64">F42/V42*60</f>
        <v>2878.2089552238804</v>
      </c>
      <c r="N42" s="10">
        <f t="shared" si="60"/>
        <v>287.82089552238801</v>
      </c>
      <c r="O42" s="11">
        <f t="shared" si="61"/>
        <v>0</v>
      </c>
      <c r="P42" s="12">
        <f t="shared" si="50"/>
        <v>-12.179104477611986</v>
      </c>
      <c r="Q42" s="227">
        <f t="shared" si="51"/>
        <v>0.95940298507462674</v>
      </c>
      <c r="R42" s="583"/>
      <c r="S42" s="24">
        <v>0.32430555555555557</v>
      </c>
      <c r="T42" s="24">
        <v>0.37083333333333335</v>
      </c>
      <c r="U42" s="226">
        <f t="shared" si="63"/>
        <v>5.9999999999999787</v>
      </c>
      <c r="V42" s="232">
        <f t="shared" si="62"/>
        <v>67</v>
      </c>
      <c r="W42" s="13"/>
      <c r="X42" s="13"/>
      <c r="Y42" s="621"/>
      <c r="Z42" s="622"/>
      <c r="AA42" s="11">
        <f t="shared" si="2"/>
        <v>-121.79104477611963</v>
      </c>
      <c r="AB42" s="227">
        <f t="shared" si="56"/>
        <v>0.95940298507462674</v>
      </c>
      <c r="AC42" s="583"/>
    </row>
    <row r="43" spans="1:29" ht="15.75" customHeight="1">
      <c r="A43" s="631" t="s">
        <v>986</v>
      </c>
      <c r="B43" s="26" t="s">
        <v>67</v>
      </c>
      <c r="C43" s="627" t="s">
        <v>72</v>
      </c>
      <c r="D43" s="628"/>
      <c r="E43" s="26">
        <v>36.14</v>
      </c>
      <c r="F43" s="233">
        <v>1900</v>
      </c>
      <c r="G43" s="226">
        <f t="shared" si="58"/>
        <v>68666</v>
      </c>
      <c r="H43" s="21" t="s">
        <v>35</v>
      </c>
      <c r="I43" s="231">
        <v>8</v>
      </c>
      <c r="J43" s="23">
        <v>3000</v>
      </c>
      <c r="K43" s="9">
        <f t="shared" si="53"/>
        <v>375</v>
      </c>
      <c r="L43" s="231">
        <v>8</v>
      </c>
      <c r="M43" s="10">
        <f t="shared" si="64"/>
        <v>2923.0769230769215</v>
      </c>
      <c r="N43" s="10">
        <f t="shared" si="60"/>
        <v>365.38461538461519</v>
      </c>
      <c r="O43" s="11">
        <f t="shared" si="61"/>
        <v>0</v>
      </c>
      <c r="P43" s="12">
        <f t="shared" si="50"/>
        <v>-9.6153846153848122</v>
      </c>
      <c r="Q43" s="227">
        <f>N43/K43</f>
        <v>0.97435897435897378</v>
      </c>
      <c r="R43" s="583"/>
      <c r="S43" s="24">
        <v>0.37430555555555556</v>
      </c>
      <c r="T43" s="24">
        <v>0.40138888888888891</v>
      </c>
      <c r="U43" s="226">
        <f t="shared" si="63"/>
        <v>4.9999999999999822</v>
      </c>
      <c r="V43" s="232">
        <f t="shared" si="62"/>
        <v>39.000000000000021</v>
      </c>
      <c r="W43" s="13"/>
      <c r="X43" s="13"/>
      <c r="Y43" s="621"/>
      <c r="Z43" s="622"/>
      <c r="AA43" s="11">
        <f t="shared" si="2"/>
        <v>-76.923076923078497</v>
      </c>
      <c r="AB43" s="227">
        <f t="shared" si="56"/>
        <v>0.97435897435897378</v>
      </c>
      <c r="AC43" s="583"/>
    </row>
    <row r="44" spans="1:29" ht="15.75" customHeight="1">
      <c r="A44" s="631" t="s">
        <v>986</v>
      </c>
      <c r="B44" s="26" t="s">
        <v>67</v>
      </c>
      <c r="C44" s="627" t="s">
        <v>664</v>
      </c>
      <c r="D44" s="628"/>
      <c r="E44" s="26">
        <v>34.36</v>
      </c>
      <c r="F44" s="233">
        <v>5909</v>
      </c>
      <c r="G44" s="226">
        <f t="shared" si="58"/>
        <v>203033.24</v>
      </c>
      <c r="H44" s="21" t="s">
        <v>35</v>
      </c>
      <c r="I44" s="231">
        <v>10</v>
      </c>
      <c r="J44" s="23">
        <v>3000</v>
      </c>
      <c r="K44" s="9">
        <f t="shared" si="53"/>
        <v>300</v>
      </c>
      <c r="L44" s="231">
        <v>10</v>
      </c>
      <c r="M44" s="10">
        <f t="shared" si="64"/>
        <v>2859.1935483870957</v>
      </c>
      <c r="N44" s="10">
        <f t="shared" si="60"/>
        <v>285.91935483870958</v>
      </c>
      <c r="O44" s="11">
        <f t="shared" si="61"/>
        <v>0</v>
      </c>
      <c r="P44" s="12">
        <f t="shared" si="50"/>
        <v>-14.08064516129042</v>
      </c>
      <c r="Q44" s="227">
        <f t="shared" ref="Q44:Q46" si="65">N44/K44</f>
        <v>0.95306451612903198</v>
      </c>
      <c r="R44" s="583"/>
      <c r="S44" s="24">
        <v>0.40694444444444444</v>
      </c>
      <c r="T44" s="24">
        <v>0.49305555555555558</v>
      </c>
      <c r="U44" s="226">
        <f t="shared" si="63"/>
        <v>7.9999999999999716</v>
      </c>
      <c r="V44" s="232">
        <f t="shared" si="62"/>
        <v>124.00000000000004</v>
      </c>
      <c r="W44" s="13">
        <f>T44</f>
        <v>0.49305555555555558</v>
      </c>
      <c r="X44" s="13">
        <f>S45</f>
        <v>0.53402777777777777</v>
      </c>
      <c r="Y44" s="621"/>
      <c r="Z44" s="622"/>
      <c r="AA44" s="11">
        <f t="shared" si="2"/>
        <v>-140.80645161290431</v>
      </c>
      <c r="AB44" s="227">
        <f t="shared" si="56"/>
        <v>0.95306451612903187</v>
      </c>
      <c r="AC44" s="583"/>
    </row>
    <row r="45" spans="1:29" ht="15.75" customHeight="1">
      <c r="A45" s="631" t="s">
        <v>186</v>
      </c>
      <c r="B45" s="26" t="s">
        <v>67</v>
      </c>
      <c r="C45" s="627" t="s">
        <v>69</v>
      </c>
      <c r="D45" s="628"/>
      <c r="E45" s="26">
        <v>27.17</v>
      </c>
      <c r="F45" s="233">
        <v>2967</v>
      </c>
      <c r="G45" s="226">
        <f t="shared" si="58"/>
        <v>80613.39</v>
      </c>
      <c r="H45" s="21" t="s">
        <v>35</v>
      </c>
      <c r="I45" s="231">
        <v>10</v>
      </c>
      <c r="J45" s="23">
        <v>3000</v>
      </c>
      <c r="K45" s="9">
        <f t="shared" si="53"/>
        <v>300</v>
      </c>
      <c r="L45" s="231">
        <v>10</v>
      </c>
      <c r="M45" s="10">
        <f t="shared" si="64"/>
        <v>2871.2903225806481</v>
      </c>
      <c r="N45" s="10">
        <f t="shared" si="60"/>
        <v>287.1290322580648</v>
      </c>
      <c r="O45" s="11">
        <f t="shared" si="61"/>
        <v>0</v>
      </c>
      <c r="P45" s="12">
        <f t="shared" si="50"/>
        <v>-12.870967741935203</v>
      </c>
      <c r="Q45" s="227">
        <f t="shared" si="65"/>
        <v>0.95709677419354933</v>
      </c>
      <c r="R45" s="583"/>
      <c r="S45" s="24">
        <v>0.53402777777777777</v>
      </c>
      <c r="T45" s="24">
        <v>0.57708333333333328</v>
      </c>
      <c r="U45" s="226">
        <f t="shared" si="63"/>
        <v>58.99999999999995</v>
      </c>
      <c r="V45" s="232">
        <f t="shared" si="62"/>
        <v>61.999999999999943</v>
      </c>
      <c r="W45" s="13"/>
      <c r="X45" s="13"/>
      <c r="Y45" s="621"/>
      <c r="Z45" s="622"/>
      <c r="AA45" s="11">
        <f t="shared" si="2"/>
        <v>-128.70967741935192</v>
      </c>
      <c r="AB45" s="227">
        <f t="shared" si="56"/>
        <v>0.95709677419354933</v>
      </c>
      <c r="AC45" s="583"/>
    </row>
    <row r="46" spans="1:29" ht="15.75" customHeight="1">
      <c r="A46" s="632" t="s">
        <v>186</v>
      </c>
      <c r="B46" s="26" t="s">
        <v>987</v>
      </c>
      <c r="C46" s="625"/>
      <c r="D46" s="626"/>
      <c r="E46" s="225"/>
      <c r="F46" s="233"/>
      <c r="G46" s="226"/>
      <c r="H46" s="233"/>
      <c r="I46" s="16">
        <v>9.7142857142857135</v>
      </c>
      <c r="J46" s="23">
        <v>3000</v>
      </c>
      <c r="K46" s="9">
        <f>J46/I46</f>
        <v>308.82352941176475</v>
      </c>
      <c r="L46" s="16">
        <v>9.7142857142857135</v>
      </c>
      <c r="M46" s="10">
        <f>AVERAGE(M39:M45)</f>
        <v>2877.9497713403143</v>
      </c>
      <c r="N46" s="9">
        <f t="shared" si="60"/>
        <v>296.25953528503237</v>
      </c>
      <c r="O46" s="11">
        <f t="shared" si="61"/>
        <v>0</v>
      </c>
      <c r="P46" s="12">
        <f t="shared" si="50"/>
        <v>-12.563994126732382</v>
      </c>
      <c r="Q46" s="227">
        <f t="shared" si="65"/>
        <v>0.95931659044677131</v>
      </c>
      <c r="R46" s="584"/>
      <c r="S46" s="24"/>
      <c r="T46" s="24"/>
      <c r="U46" s="226"/>
      <c r="V46" s="232"/>
      <c r="W46" s="13"/>
      <c r="X46" s="13"/>
      <c r="Y46" s="621"/>
      <c r="Z46" s="622"/>
      <c r="AA46" s="11">
        <f t="shared" si="2"/>
        <v>-122.05022865968567</v>
      </c>
      <c r="AB46" s="227">
        <f t="shared" si="56"/>
        <v>0.95931659044677142</v>
      </c>
      <c r="AC46" s="584"/>
    </row>
    <row r="47" spans="1:29" ht="15.75" customHeight="1">
      <c r="A47" s="633" t="s">
        <v>188</v>
      </c>
      <c r="B47" s="26" t="s">
        <v>40</v>
      </c>
      <c r="C47" s="616" t="s">
        <v>73</v>
      </c>
      <c r="D47" s="616"/>
      <c r="E47" s="26">
        <v>46</v>
      </c>
      <c r="F47" s="28">
        <v>3254</v>
      </c>
      <c r="G47" s="226">
        <f t="shared" ref="G47:G52" si="66">E47*F47</f>
        <v>149684</v>
      </c>
      <c r="H47" s="21" t="s">
        <v>35</v>
      </c>
      <c r="I47" s="231">
        <v>17</v>
      </c>
      <c r="J47" s="23">
        <v>2000</v>
      </c>
      <c r="K47" s="9">
        <f t="shared" ref="K47:K52" si="67">J47/I47</f>
        <v>117.64705882352941</v>
      </c>
      <c r="L47" s="231">
        <v>17</v>
      </c>
      <c r="M47" s="10">
        <f t="shared" ref="M47:M52" si="68">F47/V47*60</f>
        <v>1914.1176470588227</v>
      </c>
      <c r="N47" s="10">
        <f>M47/L47</f>
        <v>112.59515570934252</v>
      </c>
      <c r="O47" s="11">
        <f>L47-I47</f>
        <v>0</v>
      </c>
      <c r="P47" s="12">
        <f>N47-K47</f>
        <v>-5.0519031141868851</v>
      </c>
      <c r="Q47" s="227">
        <f>N47/K47</f>
        <v>0.95705882352941152</v>
      </c>
      <c r="R47" s="571">
        <f>Q53</f>
        <v>0.95988898462813432</v>
      </c>
      <c r="S47" s="24">
        <v>0.29166666666666669</v>
      </c>
      <c r="T47" s="24">
        <v>0.36250000000000004</v>
      </c>
      <c r="U47" s="15"/>
      <c r="V47" s="232">
        <f t="shared" ref="V47:V52" si="69">(T47-S47)*24*60</f>
        <v>102.00000000000004</v>
      </c>
      <c r="W47" s="15"/>
      <c r="X47" s="15"/>
      <c r="Y47" s="617"/>
      <c r="Z47" s="617"/>
      <c r="AA47" s="11">
        <f t="shared" si="2"/>
        <v>-85.88235294117726</v>
      </c>
      <c r="AB47" s="227">
        <f t="shared" si="56"/>
        <v>0.95705882352941141</v>
      </c>
      <c r="AC47" s="571">
        <f>AB53</f>
        <v>0.95988898462813432</v>
      </c>
    </row>
    <row r="48" spans="1:29" ht="15.75" customHeight="1">
      <c r="A48" s="633" t="s">
        <v>188</v>
      </c>
      <c r="B48" s="26" t="s">
        <v>36</v>
      </c>
      <c r="C48" s="616" t="s">
        <v>75</v>
      </c>
      <c r="D48" s="616"/>
      <c r="E48" s="26">
        <v>54.09</v>
      </c>
      <c r="F48" s="28">
        <v>1358</v>
      </c>
      <c r="G48" s="226">
        <f t="shared" si="66"/>
        <v>73454.22</v>
      </c>
      <c r="H48" s="21" t="s">
        <v>35</v>
      </c>
      <c r="I48" s="231">
        <v>16</v>
      </c>
      <c r="J48" s="23">
        <v>2000</v>
      </c>
      <c r="K48" s="9">
        <f t="shared" si="67"/>
        <v>125</v>
      </c>
      <c r="L48" s="231">
        <v>16</v>
      </c>
      <c r="M48" s="10">
        <f t="shared" si="68"/>
        <v>1939.9999999999993</v>
      </c>
      <c r="N48" s="10">
        <f t="shared" ref="N48:N52" si="70">M48/L48</f>
        <v>121.24999999999996</v>
      </c>
      <c r="O48" s="11">
        <f t="shared" ref="O48:O52" si="71">L48-I48</f>
        <v>0</v>
      </c>
      <c r="P48" s="12">
        <f t="shared" ref="P48:P52" si="72">N48-K48</f>
        <v>-3.7500000000000426</v>
      </c>
      <c r="Q48" s="227">
        <f t="shared" ref="Q48:Q52" si="73">N48/K48</f>
        <v>0.96999999999999964</v>
      </c>
      <c r="R48" s="571"/>
      <c r="S48" s="24">
        <v>0.36805555555555558</v>
      </c>
      <c r="T48" s="24">
        <v>0.39722222222222225</v>
      </c>
      <c r="U48" s="226">
        <f>IF(S48=TIME(17,0,0),"",(S48-T47)*24*60)</f>
        <v>7.9999999999999716</v>
      </c>
      <c r="V48" s="232">
        <f t="shared" si="69"/>
        <v>42.000000000000014</v>
      </c>
      <c r="W48" s="13"/>
      <c r="X48" s="13"/>
      <c r="Y48" s="617"/>
      <c r="Z48" s="617"/>
      <c r="AA48" s="11">
        <f t="shared" si="2"/>
        <v>-60.000000000000682</v>
      </c>
      <c r="AB48" s="227">
        <f t="shared" si="56"/>
        <v>0.96999999999999964</v>
      </c>
      <c r="AC48" s="571"/>
    </row>
    <row r="49" spans="1:29" ht="15.75" customHeight="1">
      <c r="A49" s="633" t="s">
        <v>188</v>
      </c>
      <c r="B49" s="26" t="s">
        <v>40</v>
      </c>
      <c r="C49" s="627" t="s">
        <v>74</v>
      </c>
      <c r="D49" s="628"/>
      <c r="E49" s="26">
        <v>46</v>
      </c>
      <c r="F49" s="28">
        <v>3369</v>
      </c>
      <c r="G49" s="226">
        <f t="shared" si="66"/>
        <v>154974</v>
      </c>
      <c r="H49" s="21" t="s">
        <v>35</v>
      </c>
      <c r="I49" s="231">
        <v>17</v>
      </c>
      <c r="J49" s="23">
        <v>2000</v>
      </c>
      <c r="K49" s="9">
        <f t="shared" si="67"/>
        <v>117.64705882352941</v>
      </c>
      <c r="L49" s="231">
        <v>17</v>
      </c>
      <c r="M49" s="10">
        <f t="shared" si="68"/>
        <v>1906.9811320754711</v>
      </c>
      <c r="N49" s="10">
        <f t="shared" si="70"/>
        <v>112.17536071032183</v>
      </c>
      <c r="O49" s="11">
        <f t="shared" si="71"/>
        <v>0</v>
      </c>
      <c r="P49" s="12">
        <f t="shared" si="72"/>
        <v>-5.4716981132075801</v>
      </c>
      <c r="Q49" s="227">
        <f t="shared" si="73"/>
        <v>0.95349056603773552</v>
      </c>
      <c r="R49" s="571"/>
      <c r="S49" s="24">
        <v>0.40277777777777779</v>
      </c>
      <c r="T49" s="24">
        <v>0.47638888888888892</v>
      </c>
      <c r="U49" s="226">
        <f t="shared" ref="U49:U52" si="74">IF(S49=TIME(17,0,0),"",(S49-T48)*24*60)</f>
        <v>7.9999999999999716</v>
      </c>
      <c r="V49" s="232">
        <f t="shared" si="69"/>
        <v>106.00000000000003</v>
      </c>
      <c r="W49" s="13"/>
      <c r="X49" s="13"/>
      <c r="Y49" s="223"/>
      <c r="Z49" s="224"/>
      <c r="AA49" s="11">
        <f t="shared" si="2"/>
        <v>-93.018867924528877</v>
      </c>
      <c r="AB49" s="227">
        <f t="shared" si="56"/>
        <v>0.95349056603773552</v>
      </c>
      <c r="AC49" s="571"/>
    </row>
    <row r="50" spans="1:29" ht="15.75" customHeight="1">
      <c r="A50" s="633" t="s">
        <v>188</v>
      </c>
      <c r="B50" s="26" t="s">
        <v>36</v>
      </c>
      <c r="C50" s="229" t="s">
        <v>76</v>
      </c>
      <c r="D50" s="230"/>
      <c r="E50" s="26">
        <v>55.56</v>
      </c>
      <c r="F50" s="28">
        <v>2513</v>
      </c>
      <c r="G50" s="226">
        <f t="shared" si="66"/>
        <v>139622.28</v>
      </c>
      <c r="H50" s="21" t="s">
        <v>35</v>
      </c>
      <c r="I50" s="231">
        <v>17</v>
      </c>
      <c r="J50" s="23">
        <v>2000</v>
      </c>
      <c r="K50" s="9">
        <f t="shared" si="67"/>
        <v>117.64705882352941</v>
      </c>
      <c r="L50" s="231">
        <v>17</v>
      </c>
      <c r="M50" s="10">
        <f t="shared" si="68"/>
        <v>1908.6075949367078</v>
      </c>
      <c r="N50" s="10">
        <f t="shared" si="70"/>
        <v>112.27103499627692</v>
      </c>
      <c r="O50" s="11">
        <f t="shared" si="71"/>
        <v>0</v>
      </c>
      <c r="P50" s="12">
        <f t="shared" si="72"/>
        <v>-5.3760238272524816</v>
      </c>
      <c r="Q50" s="227">
        <f t="shared" si="73"/>
        <v>0.95430379746835392</v>
      </c>
      <c r="R50" s="571"/>
      <c r="S50" s="24">
        <v>0.70833333333333337</v>
      </c>
      <c r="T50" s="24">
        <v>0.76319444444444451</v>
      </c>
      <c r="U50" s="226" t="str">
        <f t="shared" si="74"/>
        <v/>
      </c>
      <c r="V50" s="232">
        <f t="shared" si="69"/>
        <v>79.000000000000043</v>
      </c>
      <c r="W50" s="13"/>
      <c r="X50" s="13"/>
      <c r="Y50" s="223"/>
      <c r="Z50" s="224"/>
      <c r="AA50" s="11">
        <f t="shared" si="2"/>
        <v>-91.392405063292244</v>
      </c>
      <c r="AB50" s="227">
        <f t="shared" si="56"/>
        <v>0.95430379746835392</v>
      </c>
      <c r="AC50" s="571"/>
    </row>
    <row r="51" spans="1:29" ht="15.75" customHeight="1">
      <c r="A51" s="633" t="s">
        <v>188</v>
      </c>
      <c r="B51" s="26" t="s">
        <v>36</v>
      </c>
      <c r="C51" s="229" t="s">
        <v>77</v>
      </c>
      <c r="D51" s="230"/>
      <c r="E51" s="26">
        <v>55.32</v>
      </c>
      <c r="F51" s="28">
        <v>1928</v>
      </c>
      <c r="G51" s="226">
        <f t="shared" si="66"/>
        <v>106656.96000000001</v>
      </c>
      <c r="H51" s="21" t="s">
        <v>35</v>
      </c>
      <c r="I51" s="231">
        <v>15</v>
      </c>
      <c r="J51" s="23">
        <v>2000</v>
      </c>
      <c r="K51" s="9">
        <f t="shared" si="67"/>
        <v>133.33333333333334</v>
      </c>
      <c r="L51" s="231">
        <v>15</v>
      </c>
      <c r="M51" s="10">
        <f t="shared" si="68"/>
        <v>1928.0000000000016</v>
      </c>
      <c r="N51" s="10">
        <f t="shared" si="70"/>
        <v>128.53333333333345</v>
      </c>
      <c r="O51" s="11">
        <f t="shared" si="71"/>
        <v>0</v>
      </c>
      <c r="P51" s="12">
        <f t="shared" si="72"/>
        <v>-4.7999999999998977</v>
      </c>
      <c r="Q51" s="227">
        <f t="shared" si="73"/>
        <v>0.96400000000000075</v>
      </c>
      <c r="R51" s="571"/>
      <c r="S51" s="24">
        <v>0.76875000000000004</v>
      </c>
      <c r="T51" s="24">
        <v>0.81041666666666667</v>
      </c>
      <c r="U51" s="226">
        <f t="shared" si="74"/>
        <v>7.9999999999999716</v>
      </c>
      <c r="V51" s="232">
        <f t="shared" si="69"/>
        <v>59.999999999999943</v>
      </c>
      <c r="W51" s="13"/>
      <c r="X51" s="13"/>
      <c r="Y51" s="223"/>
      <c r="Z51" s="224"/>
      <c r="AA51" s="11">
        <f t="shared" si="2"/>
        <v>-71.999999999998408</v>
      </c>
      <c r="AB51" s="227">
        <f t="shared" si="56"/>
        <v>0.96400000000000075</v>
      </c>
      <c r="AC51" s="571"/>
    </row>
    <row r="52" spans="1:29" ht="15.75" customHeight="1">
      <c r="A52" s="633" t="s">
        <v>188</v>
      </c>
      <c r="B52" s="26" t="s">
        <v>36</v>
      </c>
      <c r="C52" s="627" t="s">
        <v>78</v>
      </c>
      <c r="D52" s="628"/>
      <c r="E52" s="26">
        <v>57.73</v>
      </c>
      <c r="F52" s="28">
        <v>1417</v>
      </c>
      <c r="G52" s="226">
        <f t="shared" si="66"/>
        <v>81803.409999999989</v>
      </c>
      <c r="H52" s="21" t="s">
        <v>35</v>
      </c>
      <c r="I52" s="231">
        <v>16</v>
      </c>
      <c r="J52" s="23">
        <v>1500</v>
      </c>
      <c r="K52" s="9">
        <f t="shared" si="67"/>
        <v>93.75</v>
      </c>
      <c r="L52" s="231">
        <v>16</v>
      </c>
      <c r="M52" s="10">
        <f t="shared" si="68"/>
        <v>1441.0169491525435</v>
      </c>
      <c r="N52" s="10">
        <f t="shared" si="70"/>
        <v>90.063559322033967</v>
      </c>
      <c r="O52" s="11">
        <f t="shared" si="71"/>
        <v>0</v>
      </c>
      <c r="P52" s="12">
        <f t="shared" si="72"/>
        <v>-3.6864406779660328</v>
      </c>
      <c r="Q52" s="227">
        <f t="shared" si="73"/>
        <v>0.96067796610169565</v>
      </c>
      <c r="R52" s="571"/>
      <c r="S52" s="24">
        <v>0.81597222222222221</v>
      </c>
      <c r="T52" s="24">
        <v>0.8569444444444444</v>
      </c>
      <c r="U52" s="226">
        <f t="shared" si="74"/>
        <v>7.9999999999999716</v>
      </c>
      <c r="V52" s="232">
        <f t="shared" si="69"/>
        <v>58.99999999999995</v>
      </c>
      <c r="W52" s="13"/>
      <c r="X52" s="13"/>
      <c r="Y52" s="621"/>
      <c r="Z52" s="622"/>
      <c r="AA52" s="11">
        <f t="shared" si="2"/>
        <v>-58.983050847456525</v>
      </c>
      <c r="AB52" s="227">
        <f t="shared" si="56"/>
        <v>0.96067796610169565</v>
      </c>
      <c r="AC52" s="571"/>
    </row>
    <row r="53" spans="1:29">
      <c r="A53" s="634" t="s">
        <v>188</v>
      </c>
      <c r="B53" s="26" t="s">
        <v>168</v>
      </c>
      <c r="C53" s="629"/>
      <c r="D53" s="629"/>
      <c r="E53" s="228"/>
      <c r="F53" s="27"/>
      <c r="G53" s="9"/>
      <c r="H53" s="233"/>
      <c r="I53" s="16">
        <v>16.333333333333332</v>
      </c>
      <c r="J53" s="23">
        <v>1916.6666666666667</v>
      </c>
      <c r="K53" s="9">
        <f>J53/I53</f>
        <v>117.34693877551021</v>
      </c>
      <c r="L53" s="16">
        <v>16.333333333333332</v>
      </c>
      <c r="M53" s="10">
        <f>AVERAGE(M47:M52)</f>
        <v>1839.7872205372576</v>
      </c>
      <c r="N53" s="9">
        <f>M53/L53</f>
        <v>112.64003391044434</v>
      </c>
      <c r="O53" s="11">
        <f>L53-I53</f>
        <v>0</v>
      </c>
      <c r="P53" s="12">
        <f>N53-K53</f>
        <v>-4.7069048650658658</v>
      </c>
      <c r="Q53" s="227">
        <f>N53/K53</f>
        <v>0.95988898462813432</v>
      </c>
      <c r="R53" s="571"/>
      <c r="S53" s="25"/>
      <c r="T53" s="24"/>
      <c r="U53" s="9"/>
      <c r="V53" s="232"/>
      <c r="W53" s="9"/>
      <c r="X53" s="9"/>
      <c r="Y53" s="617"/>
      <c r="Z53" s="617"/>
      <c r="AA53" s="11">
        <f t="shared" si="2"/>
        <v>-76.879446129409189</v>
      </c>
      <c r="AB53" s="227">
        <f t="shared" si="56"/>
        <v>0.95988898462813432</v>
      </c>
      <c r="AC53" s="571"/>
    </row>
    <row r="54" spans="1:29" ht="15.75" customHeight="1">
      <c r="A54" s="623" t="s">
        <v>190</v>
      </c>
      <c r="B54" s="233" t="s">
        <v>40</v>
      </c>
      <c r="C54" s="616" t="s">
        <v>82</v>
      </c>
      <c r="D54" s="616"/>
      <c r="E54" s="26">
        <v>26.97</v>
      </c>
      <c r="F54" s="28">
        <v>3506</v>
      </c>
      <c r="G54" s="226">
        <f t="shared" ref="G54:G57" si="75">E54*F54</f>
        <v>94556.819999999992</v>
      </c>
      <c r="H54" s="21" t="s">
        <v>35</v>
      </c>
      <c r="I54" s="231">
        <v>8</v>
      </c>
      <c r="J54" s="23">
        <v>1500</v>
      </c>
      <c r="K54" s="9">
        <f t="shared" ref="K54:K57" si="76">J54/I54</f>
        <v>187.5</v>
      </c>
      <c r="L54" s="231">
        <v>8</v>
      </c>
      <c r="M54" s="10">
        <f t="shared" ref="M54:M57" si="77">F54/V54*60</f>
        <v>1431.0204081632653</v>
      </c>
      <c r="N54" s="9">
        <f>M54/L54</f>
        <v>178.87755102040816</v>
      </c>
      <c r="O54" s="11">
        <f t="shared" ref="O54:O57" si="78">L54-I54</f>
        <v>0</v>
      </c>
      <c r="P54" s="12">
        <f t="shared" ref="P54:P57" si="79">N54-K54</f>
        <v>-8.6224489795918373</v>
      </c>
      <c r="Q54" s="227">
        <f>N54/K54</f>
        <v>0.95401360544217684</v>
      </c>
      <c r="R54" s="571">
        <f>Q58</f>
        <v>0.95402177392140608</v>
      </c>
      <c r="S54" s="24">
        <v>0.20833333333333334</v>
      </c>
      <c r="T54" s="24">
        <v>0.31041666666666667</v>
      </c>
      <c r="U54" s="226"/>
      <c r="V54" s="232">
        <f t="shared" ref="V54:V57" si="80">(T54-S54)*24*60</f>
        <v>147</v>
      </c>
      <c r="W54" s="15"/>
      <c r="X54" s="15"/>
      <c r="Y54" s="617"/>
      <c r="Z54" s="617"/>
      <c r="AA54" s="11">
        <f t="shared" si="2"/>
        <v>-68.979591836734699</v>
      </c>
      <c r="AB54" s="227">
        <f t="shared" si="56"/>
        <v>0.95401360544217684</v>
      </c>
      <c r="AC54" s="571">
        <f>AB58</f>
        <v>0.95402177392140597</v>
      </c>
    </row>
    <row r="55" spans="1:29" ht="15.75" customHeight="1">
      <c r="A55" s="623" t="s">
        <v>190</v>
      </c>
      <c r="B55" s="233" t="s">
        <v>67</v>
      </c>
      <c r="C55" s="616" t="s">
        <v>79</v>
      </c>
      <c r="D55" s="616"/>
      <c r="E55" s="26">
        <v>26.78</v>
      </c>
      <c r="F55" s="28">
        <v>2905</v>
      </c>
      <c r="G55" s="226">
        <f t="shared" si="75"/>
        <v>77795.900000000009</v>
      </c>
      <c r="H55" s="21" t="s">
        <v>35</v>
      </c>
      <c r="I55" s="231">
        <v>10</v>
      </c>
      <c r="J55" s="23">
        <v>3000</v>
      </c>
      <c r="K55" s="9">
        <f t="shared" si="76"/>
        <v>300</v>
      </c>
      <c r="L55" s="231">
        <v>10</v>
      </c>
      <c r="M55" s="10">
        <f t="shared" si="77"/>
        <v>2857.3770491803266</v>
      </c>
      <c r="N55" s="9">
        <f t="shared" ref="N55:N57" si="81">M55/L55</f>
        <v>285.73770491803265</v>
      </c>
      <c r="O55" s="11">
        <f t="shared" si="78"/>
        <v>0</v>
      </c>
      <c r="P55" s="12">
        <f t="shared" si="79"/>
        <v>-14.262295081967352</v>
      </c>
      <c r="Q55" s="227">
        <f t="shared" ref="Q55:Q57" si="82">N55/K55</f>
        <v>0.95245901639344221</v>
      </c>
      <c r="R55" s="571"/>
      <c r="S55" s="24">
        <v>0.31527777777777777</v>
      </c>
      <c r="T55" s="24">
        <v>0.3576388888888889</v>
      </c>
      <c r="U55" s="226">
        <f>(S55-T54)*24*60</f>
        <v>6.9999999999999751</v>
      </c>
      <c r="V55" s="232">
        <f t="shared" si="80"/>
        <v>61.000000000000021</v>
      </c>
      <c r="W55" s="226"/>
      <c r="X55" s="226"/>
      <c r="Y55" s="617"/>
      <c r="Z55" s="617"/>
      <c r="AA55" s="11">
        <f t="shared" si="2"/>
        <v>-142.62295081967341</v>
      </c>
      <c r="AB55" s="227">
        <f t="shared" si="56"/>
        <v>0.95245901639344221</v>
      </c>
      <c r="AC55" s="571"/>
    </row>
    <row r="56" spans="1:29" ht="15.75" customHeight="1">
      <c r="A56" s="623" t="s">
        <v>190</v>
      </c>
      <c r="B56" s="233" t="s">
        <v>67</v>
      </c>
      <c r="C56" s="616" t="s">
        <v>83</v>
      </c>
      <c r="D56" s="616"/>
      <c r="E56" s="26">
        <v>35.369999999999997</v>
      </c>
      <c r="F56" s="28">
        <v>1578</v>
      </c>
      <c r="G56" s="226">
        <f t="shared" si="75"/>
        <v>55813.859999999993</v>
      </c>
      <c r="H56" s="21" t="s">
        <v>35</v>
      </c>
      <c r="I56" s="231">
        <v>10</v>
      </c>
      <c r="J56" s="23">
        <v>3000</v>
      </c>
      <c r="K56" s="9">
        <f t="shared" si="76"/>
        <v>300</v>
      </c>
      <c r="L56" s="231">
        <v>10</v>
      </c>
      <c r="M56" s="10">
        <f t="shared" si="77"/>
        <v>2869.0909090909122</v>
      </c>
      <c r="N56" s="9">
        <f t="shared" si="81"/>
        <v>286.90909090909122</v>
      </c>
      <c r="O56" s="11">
        <f t="shared" si="78"/>
        <v>0</v>
      </c>
      <c r="P56" s="12">
        <f t="shared" si="79"/>
        <v>-13.090909090908781</v>
      </c>
      <c r="Q56" s="227">
        <f t="shared" si="82"/>
        <v>0.95636363636363741</v>
      </c>
      <c r="R56" s="571"/>
      <c r="S56" s="24">
        <v>0.36319444444444443</v>
      </c>
      <c r="T56" s="24">
        <v>0.38611111111111107</v>
      </c>
      <c r="U56" s="226">
        <f t="shared" ref="U56:U57" si="83">(S56-T55)*24*60</f>
        <v>7.9999999999999716</v>
      </c>
      <c r="V56" s="232">
        <f t="shared" si="80"/>
        <v>32.999999999999964</v>
      </c>
      <c r="W56" s="226"/>
      <c r="X56" s="226"/>
      <c r="Y56" s="617"/>
      <c r="Z56" s="617"/>
      <c r="AA56" s="11">
        <f t="shared" si="2"/>
        <v>-130.90909090908781</v>
      </c>
      <c r="AB56" s="227">
        <f t="shared" si="56"/>
        <v>0.95636363636363741</v>
      </c>
      <c r="AC56" s="571"/>
    </row>
    <row r="57" spans="1:29" ht="15.75" customHeight="1">
      <c r="A57" s="623" t="s">
        <v>190</v>
      </c>
      <c r="B57" s="233" t="s">
        <v>67</v>
      </c>
      <c r="C57" s="616" t="s">
        <v>666</v>
      </c>
      <c r="D57" s="616"/>
      <c r="E57" s="26">
        <v>37.880000000000003</v>
      </c>
      <c r="F57" s="28">
        <v>7340</v>
      </c>
      <c r="G57" s="226">
        <f t="shared" si="75"/>
        <v>278039.2</v>
      </c>
      <c r="H57" s="21" t="s">
        <v>35</v>
      </c>
      <c r="I57" s="231">
        <v>11</v>
      </c>
      <c r="J57" s="23">
        <v>3000</v>
      </c>
      <c r="K57" s="9">
        <f t="shared" si="76"/>
        <v>272.72727272727275</v>
      </c>
      <c r="L57" s="231">
        <v>11</v>
      </c>
      <c r="M57" s="10">
        <f t="shared" si="77"/>
        <v>2859.7402597402597</v>
      </c>
      <c r="N57" s="9">
        <f t="shared" si="81"/>
        <v>259.97638724911451</v>
      </c>
      <c r="O57" s="11">
        <f t="shared" si="78"/>
        <v>0</v>
      </c>
      <c r="P57" s="12">
        <f t="shared" si="79"/>
        <v>-12.750885478158239</v>
      </c>
      <c r="Q57" s="227">
        <f t="shared" si="82"/>
        <v>0.95324675324675312</v>
      </c>
      <c r="R57" s="571"/>
      <c r="S57" s="24">
        <v>0.39027777777777772</v>
      </c>
      <c r="T57" s="24">
        <v>0.49722222222222218</v>
      </c>
      <c r="U57" s="226">
        <f t="shared" si="83"/>
        <v>5.9999999999999787</v>
      </c>
      <c r="V57" s="232">
        <f t="shared" si="80"/>
        <v>154</v>
      </c>
      <c r="W57" s="226"/>
      <c r="X57" s="226"/>
      <c r="Y57" s="617"/>
      <c r="Z57" s="617"/>
      <c r="AA57" s="11">
        <f t="shared" si="2"/>
        <v>-140.25974025974028</v>
      </c>
      <c r="AB57" s="227">
        <f t="shared" si="56"/>
        <v>0.95324675324675323</v>
      </c>
      <c r="AC57" s="571"/>
    </row>
    <row r="58" spans="1:29">
      <c r="A58" s="624" t="s">
        <v>190</v>
      </c>
      <c r="B58" s="26" t="s">
        <v>168</v>
      </c>
      <c r="C58" s="629"/>
      <c r="D58" s="629"/>
      <c r="E58" s="228"/>
      <c r="F58" s="27"/>
      <c r="G58" s="9"/>
      <c r="H58" s="233"/>
      <c r="I58" s="16">
        <v>9.75</v>
      </c>
      <c r="J58" s="23">
        <v>2625</v>
      </c>
      <c r="K58" s="9">
        <f>J58/I58</f>
        <v>269.23076923076923</v>
      </c>
      <c r="L58" s="16">
        <v>9.75</v>
      </c>
      <c r="M58" s="10">
        <f>AVERAGE(M54:M57)</f>
        <v>2504.3071565436908</v>
      </c>
      <c r="N58" s="9">
        <f>M58/L58</f>
        <v>256.85201605576316</v>
      </c>
      <c r="O58" s="11">
        <f>L58-I58</f>
        <v>0</v>
      </c>
      <c r="P58" s="12">
        <f>N58-K58</f>
        <v>-12.378753175006068</v>
      </c>
      <c r="Q58" s="227">
        <f>N58/K58</f>
        <v>0.95402177392140608</v>
      </c>
      <c r="R58" s="571"/>
      <c r="S58" s="24"/>
      <c r="T58" s="24"/>
      <c r="U58" s="9"/>
      <c r="V58" s="232"/>
      <c r="W58" s="9"/>
      <c r="X58" s="9"/>
      <c r="Y58" s="617"/>
      <c r="Z58" s="617"/>
      <c r="AA58" s="11">
        <f t="shared" si="2"/>
        <v>-120.69284345630922</v>
      </c>
      <c r="AB58" s="227">
        <f t="shared" si="56"/>
        <v>0.95402177392140597</v>
      </c>
      <c r="AC58" s="571"/>
    </row>
    <row r="59" spans="1:29" ht="15.75" customHeight="1">
      <c r="A59" s="618" t="s">
        <v>193</v>
      </c>
      <c r="B59" s="233" t="s">
        <v>46</v>
      </c>
      <c r="C59" s="616" t="s">
        <v>84</v>
      </c>
      <c r="D59" s="616"/>
      <c r="E59" s="26">
        <v>20.2</v>
      </c>
      <c r="F59" s="233">
        <v>2930</v>
      </c>
      <c r="G59" s="226">
        <f t="shared" ref="G59:G68" si="84">E59*F59</f>
        <v>59186</v>
      </c>
      <c r="H59" s="21" t="s">
        <v>35</v>
      </c>
      <c r="I59" s="231">
        <v>19</v>
      </c>
      <c r="J59" s="23">
        <v>2400</v>
      </c>
      <c r="K59" s="9">
        <f t="shared" ref="K59:K69" si="85">J59/I59</f>
        <v>126.31578947368421</v>
      </c>
      <c r="L59" s="231">
        <v>19</v>
      </c>
      <c r="M59" s="10">
        <f>F59/V59*60</f>
        <v>2283.1168831168825</v>
      </c>
      <c r="N59" s="9">
        <f t="shared" ref="N59:N68" si="86">M59/L59</f>
        <v>120.16404647983592</v>
      </c>
      <c r="O59" s="11">
        <f t="shared" ref="O59:O68" si="87">L59-I59</f>
        <v>0</v>
      </c>
      <c r="P59" s="12">
        <f t="shared" ref="P59:P68" si="88">N59-K59</f>
        <v>-6.1517429938482877</v>
      </c>
      <c r="Q59" s="227">
        <f>N59/K59</f>
        <v>0.95129870129870109</v>
      </c>
      <c r="R59" s="571">
        <f>Q69</f>
        <v>0.95606812823286402</v>
      </c>
      <c r="S59" s="24">
        <v>8.3333333333333329E-2</v>
      </c>
      <c r="T59" s="24">
        <v>0.13680555555555557</v>
      </c>
      <c r="U59" s="15"/>
      <c r="V59" s="232">
        <f t="shared" ref="V59:V68" si="89">(T59-S59)*24*60</f>
        <v>77.000000000000014</v>
      </c>
      <c r="W59" s="13">
        <f>T59</f>
        <v>0.13680555555555557</v>
      </c>
      <c r="X59" s="13">
        <f>S60</f>
        <v>0.15763888888888891</v>
      </c>
      <c r="Y59" s="617"/>
      <c r="Z59" s="617"/>
      <c r="AA59" s="11">
        <f t="shared" si="2"/>
        <v>-116.88311688311751</v>
      </c>
      <c r="AB59" s="227">
        <f>M59/J59</f>
        <v>0.95129870129870109</v>
      </c>
      <c r="AC59" s="571">
        <f>AB69</f>
        <v>0.95606812823286402</v>
      </c>
    </row>
    <row r="60" spans="1:29" ht="15.75" customHeight="1">
      <c r="A60" s="619" t="s">
        <v>988</v>
      </c>
      <c r="B60" s="233" t="s">
        <v>46</v>
      </c>
      <c r="C60" s="616" t="s">
        <v>85</v>
      </c>
      <c r="D60" s="616"/>
      <c r="E60" s="26">
        <v>19.02</v>
      </c>
      <c r="F60" s="233">
        <v>4200</v>
      </c>
      <c r="G60" s="226">
        <f t="shared" si="84"/>
        <v>79884</v>
      </c>
      <c r="H60" s="21">
        <v>2</v>
      </c>
      <c r="I60" s="231">
        <v>15</v>
      </c>
      <c r="J60" s="23">
        <v>2400</v>
      </c>
      <c r="K60" s="9">
        <f t="shared" si="85"/>
        <v>160</v>
      </c>
      <c r="L60" s="231">
        <v>15</v>
      </c>
      <c r="M60" s="10">
        <f t="shared" ref="M60:M68" si="90">F60/V60*60</f>
        <v>2290.9090909090914</v>
      </c>
      <c r="N60" s="9">
        <f t="shared" si="86"/>
        <v>152.72727272727278</v>
      </c>
      <c r="O60" s="11">
        <f t="shared" si="87"/>
        <v>0</v>
      </c>
      <c r="P60" s="12">
        <f t="shared" si="88"/>
        <v>-7.2727272727272236</v>
      </c>
      <c r="Q60" s="227">
        <f t="shared" ref="Q60:Q69" si="91">N60/K60</f>
        <v>0.95454545454545481</v>
      </c>
      <c r="R60" s="571"/>
      <c r="S60" s="24">
        <v>0.15763888888888891</v>
      </c>
      <c r="T60" s="24">
        <v>0.23402777777777778</v>
      </c>
      <c r="U60" s="226">
        <f>(S60-T59)*24*60</f>
        <v>30.000000000000014</v>
      </c>
      <c r="V60" s="232">
        <f t="shared" si="89"/>
        <v>109.99999999999997</v>
      </c>
      <c r="W60" s="13"/>
      <c r="X60" s="13"/>
      <c r="Y60" s="617"/>
      <c r="Z60" s="617"/>
      <c r="AA60" s="11">
        <f t="shared" si="2"/>
        <v>-109.09090909090855</v>
      </c>
      <c r="AB60" s="227">
        <f t="shared" ref="AB60:AB69" si="92">M60/J60</f>
        <v>0.95454545454545481</v>
      </c>
      <c r="AC60" s="571"/>
    </row>
    <row r="61" spans="1:29" ht="15.75" customHeight="1">
      <c r="A61" s="619" t="s">
        <v>988</v>
      </c>
      <c r="B61" s="233" t="s">
        <v>46</v>
      </c>
      <c r="C61" s="616" t="s">
        <v>88</v>
      </c>
      <c r="D61" s="616"/>
      <c r="E61" s="26">
        <v>24.25</v>
      </c>
      <c r="F61" s="233">
        <v>2500</v>
      </c>
      <c r="G61" s="226">
        <f t="shared" si="84"/>
        <v>60625</v>
      </c>
      <c r="H61" s="21">
        <v>2</v>
      </c>
      <c r="I61" s="231">
        <v>17</v>
      </c>
      <c r="J61" s="23">
        <v>2400</v>
      </c>
      <c r="K61" s="9">
        <f t="shared" si="85"/>
        <v>141.1764705882353</v>
      </c>
      <c r="L61" s="231">
        <v>17</v>
      </c>
      <c r="M61" s="10">
        <f t="shared" si="90"/>
        <v>2307.692307692309</v>
      </c>
      <c r="N61" s="9">
        <f t="shared" si="86"/>
        <v>135.74660633484172</v>
      </c>
      <c r="O61" s="11">
        <f t="shared" si="87"/>
        <v>0</v>
      </c>
      <c r="P61" s="12">
        <f t="shared" si="88"/>
        <v>-5.429864253393589</v>
      </c>
      <c r="Q61" s="227">
        <f t="shared" si="91"/>
        <v>0.96153846153846212</v>
      </c>
      <c r="R61" s="571"/>
      <c r="S61" s="24">
        <v>0.23819444444444446</v>
      </c>
      <c r="T61" s="24">
        <v>0.28333333333333333</v>
      </c>
      <c r="U61" s="226">
        <f t="shared" ref="U61:U68" si="93">(S61-T60)*24*60</f>
        <v>6.0000000000000187</v>
      </c>
      <c r="V61" s="232">
        <f t="shared" si="89"/>
        <v>64.999999999999972</v>
      </c>
      <c r="W61" s="13"/>
      <c r="X61" s="13"/>
      <c r="Y61" s="617"/>
      <c r="Z61" s="617"/>
      <c r="AA61" s="11">
        <f t="shared" si="2"/>
        <v>-92.307692307691013</v>
      </c>
      <c r="AB61" s="227">
        <f t="shared" si="92"/>
        <v>0.96153846153846212</v>
      </c>
      <c r="AC61" s="571"/>
    </row>
    <row r="62" spans="1:29" ht="15.75" customHeight="1">
      <c r="A62" s="619" t="s">
        <v>989</v>
      </c>
      <c r="B62" s="233" t="s">
        <v>46</v>
      </c>
      <c r="C62" s="616" t="s">
        <v>47</v>
      </c>
      <c r="D62" s="616"/>
      <c r="E62" s="26">
        <v>24.45</v>
      </c>
      <c r="F62" s="233">
        <v>2747</v>
      </c>
      <c r="G62" s="226">
        <f t="shared" si="84"/>
        <v>67164.149999999994</v>
      </c>
      <c r="H62" s="21" t="s">
        <v>35</v>
      </c>
      <c r="I62" s="231">
        <v>20</v>
      </c>
      <c r="J62" s="23">
        <v>2400</v>
      </c>
      <c r="K62" s="9">
        <f t="shared" si="85"/>
        <v>120</v>
      </c>
      <c r="L62" s="231">
        <v>20</v>
      </c>
      <c r="M62" s="10">
        <f t="shared" si="90"/>
        <v>2289.166666666667</v>
      </c>
      <c r="N62" s="9">
        <f t="shared" si="86"/>
        <v>114.45833333333334</v>
      </c>
      <c r="O62" s="11">
        <f t="shared" si="87"/>
        <v>0</v>
      </c>
      <c r="P62" s="12">
        <f t="shared" si="88"/>
        <v>-5.5416666666666572</v>
      </c>
      <c r="Q62" s="227">
        <f t="shared" si="91"/>
        <v>0.95381944444444455</v>
      </c>
      <c r="R62" s="571"/>
      <c r="S62" s="24">
        <v>0.28888888888888886</v>
      </c>
      <c r="T62" s="24">
        <v>0.33888888888888885</v>
      </c>
      <c r="U62" s="226">
        <f t="shared" si="93"/>
        <v>7.9999999999999716</v>
      </c>
      <c r="V62" s="232">
        <f t="shared" si="89"/>
        <v>71.999999999999986</v>
      </c>
      <c r="W62" s="13"/>
      <c r="X62" s="13"/>
      <c r="Y62" s="617"/>
      <c r="Z62" s="617"/>
      <c r="AA62" s="11">
        <f t="shared" si="2"/>
        <v>-110.83333333333303</v>
      </c>
      <c r="AB62" s="227">
        <f t="shared" si="92"/>
        <v>0.95381944444444455</v>
      </c>
      <c r="AC62" s="571"/>
    </row>
    <row r="63" spans="1:29" ht="15.75" customHeight="1">
      <c r="A63" s="619" t="s">
        <v>989</v>
      </c>
      <c r="B63" s="233" t="s">
        <v>46</v>
      </c>
      <c r="C63" s="616" t="s">
        <v>66</v>
      </c>
      <c r="D63" s="616"/>
      <c r="E63" s="26">
        <v>24.25</v>
      </c>
      <c r="F63" s="233">
        <v>3300</v>
      </c>
      <c r="G63" s="226">
        <f t="shared" si="84"/>
        <v>80025</v>
      </c>
      <c r="H63" s="21">
        <v>2</v>
      </c>
      <c r="I63" s="231">
        <v>14</v>
      </c>
      <c r="J63" s="23">
        <v>2400</v>
      </c>
      <c r="K63" s="9">
        <f t="shared" si="85"/>
        <v>171.42857142857142</v>
      </c>
      <c r="L63" s="231">
        <v>14</v>
      </c>
      <c r="M63" s="10">
        <f t="shared" si="90"/>
        <v>2302.3255813953483</v>
      </c>
      <c r="N63" s="9">
        <f t="shared" si="86"/>
        <v>164.45182724252487</v>
      </c>
      <c r="O63" s="11">
        <f t="shared" si="87"/>
        <v>0</v>
      </c>
      <c r="P63" s="12">
        <f t="shared" si="88"/>
        <v>-6.9767441860465453</v>
      </c>
      <c r="Q63" s="227">
        <f t="shared" si="91"/>
        <v>0.95930232558139517</v>
      </c>
      <c r="R63" s="571"/>
      <c r="S63" s="24">
        <v>0.3430555555555555</v>
      </c>
      <c r="T63" s="24">
        <v>0.40277777777777773</v>
      </c>
      <c r="U63" s="226">
        <f t="shared" si="93"/>
        <v>5.9999999999999787</v>
      </c>
      <c r="V63" s="232">
        <f t="shared" si="89"/>
        <v>86.000000000000014</v>
      </c>
      <c r="W63" s="13"/>
      <c r="X63" s="13"/>
      <c r="Y63" s="617"/>
      <c r="Z63" s="617"/>
      <c r="AA63" s="11">
        <f t="shared" si="2"/>
        <v>-97.674418604651692</v>
      </c>
      <c r="AB63" s="227">
        <f t="shared" si="92"/>
        <v>0.95930232558139517</v>
      </c>
      <c r="AC63" s="571"/>
    </row>
    <row r="64" spans="1:29" ht="15.75" customHeight="1">
      <c r="A64" s="619" t="s">
        <v>988</v>
      </c>
      <c r="B64" s="233" t="s">
        <v>46</v>
      </c>
      <c r="C64" s="616" t="s">
        <v>58</v>
      </c>
      <c r="D64" s="616"/>
      <c r="E64" s="26">
        <v>25.98</v>
      </c>
      <c r="F64" s="233">
        <v>2057</v>
      </c>
      <c r="G64" s="226">
        <f t="shared" si="84"/>
        <v>53440.86</v>
      </c>
      <c r="H64" s="21" t="s">
        <v>35</v>
      </c>
      <c r="I64" s="231">
        <v>17</v>
      </c>
      <c r="J64" s="23">
        <v>2400</v>
      </c>
      <c r="K64" s="9">
        <f t="shared" si="85"/>
        <v>141.1764705882353</v>
      </c>
      <c r="L64" s="231">
        <v>17</v>
      </c>
      <c r="M64" s="10">
        <f t="shared" si="90"/>
        <v>2285.5555555555566</v>
      </c>
      <c r="N64" s="9">
        <f t="shared" si="86"/>
        <v>134.44444444444451</v>
      </c>
      <c r="O64" s="11">
        <f t="shared" si="87"/>
        <v>0</v>
      </c>
      <c r="P64" s="12">
        <f t="shared" si="88"/>
        <v>-6.7320261437907902</v>
      </c>
      <c r="Q64" s="227">
        <f t="shared" si="91"/>
        <v>0.95231481481481528</v>
      </c>
      <c r="R64" s="571"/>
      <c r="S64" s="24">
        <v>0.40833333333333327</v>
      </c>
      <c r="T64" s="24">
        <v>0.44583333333333325</v>
      </c>
      <c r="U64" s="226">
        <f t="shared" si="93"/>
        <v>7.9999999999999716</v>
      </c>
      <c r="V64" s="232">
        <f t="shared" si="89"/>
        <v>53.999999999999972</v>
      </c>
      <c r="W64" s="13"/>
      <c r="X64" s="13"/>
      <c r="Y64" s="617"/>
      <c r="Z64" s="617"/>
      <c r="AA64" s="11">
        <f t="shared" si="2"/>
        <v>-114.44444444444343</v>
      </c>
      <c r="AB64" s="227">
        <f t="shared" si="92"/>
        <v>0.95231481481481528</v>
      </c>
      <c r="AC64" s="571"/>
    </row>
    <row r="65" spans="1:29" ht="15.75" customHeight="1">
      <c r="A65" s="619" t="s">
        <v>988</v>
      </c>
      <c r="B65" s="233" t="s">
        <v>46</v>
      </c>
      <c r="C65" s="616" t="s">
        <v>57</v>
      </c>
      <c r="D65" s="616"/>
      <c r="E65" s="26">
        <v>20.52</v>
      </c>
      <c r="F65" s="233">
        <v>3608</v>
      </c>
      <c r="G65" s="226">
        <f t="shared" si="84"/>
        <v>74036.160000000003</v>
      </c>
      <c r="H65" s="21" t="s">
        <v>35</v>
      </c>
      <c r="I65" s="231">
        <v>18</v>
      </c>
      <c r="J65" s="23">
        <v>2400</v>
      </c>
      <c r="K65" s="9">
        <f t="shared" si="85"/>
        <v>133.33333333333334</v>
      </c>
      <c r="L65" s="231">
        <v>18</v>
      </c>
      <c r="M65" s="10">
        <f t="shared" si="90"/>
        <v>2302.9787234042537</v>
      </c>
      <c r="N65" s="9">
        <f t="shared" si="86"/>
        <v>127.94326241134743</v>
      </c>
      <c r="O65" s="11">
        <f t="shared" si="87"/>
        <v>0</v>
      </c>
      <c r="P65" s="12">
        <f t="shared" si="88"/>
        <v>-5.3900709219859095</v>
      </c>
      <c r="Q65" s="227">
        <f t="shared" si="91"/>
        <v>0.95957446808510571</v>
      </c>
      <c r="R65" s="571"/>
      <c r="S65" s="24">
        <v>0.4499999999999999</v>
      </c>
      <c r="T65" s="24">
        <v>0.51527777777777772</v>
      </c>
      <c r="U65" s="226">
        <f t="shared" si="93"/>
        <v>5.9999999999999787</v>
      </c>
      <c r="V65" s="232">
        <f t="shared" si="89"/>
        <v>94.000000000000071</v>
      </c>
      <c r="W65" s="13">
        <f>T65</f>
        <v>0.51527777777777772</v>
      </c>
      <c r="X65" s="13">
        <f>S66</f>
        <v>0.55416666666666659</v>
      </c>
      <c r="Y65" s="621"/>
      <c r="Z65" s="622"/>
      <c r="AA65" s="11">
        <f t="shared" si="2"/>
        <v>-97.021276595746258</v>
      </c>
      <c r="AB65" s="227">
        <f t="shared" si="92"/>
        <v>0.95957446808510571</v>
      </c>
      <c r="AC65" s="571"/>
    </row>
    <row r="66" spans="1:29" ht="15.75" customHeight="1">
      <c r="A66" s="619" t="s">
        <v>989</v>
      </c>
      <c r="B66" s="233" t="s">
        <v>46</v>
      </c>
      <c r="C66" s="616" t="s">
        <v>85</v>
      </c>
      <c r="D66" s="616"/>
      <c r="E66" s="26">
        <v>19.02</v>
      </c>
      <c r="F66" s="233">
        <v>6761</v>
      </c>
      <c r="G66" s="226">
        <f t="shared" si="84"/>
        <v>128594.22</v>
      </c>
      <c r="H66" s="21" t="s">
        <v>35</v>
      </c>
      <c r="I66" s="231">
        <v>15</v>
      </c>
      <c r="J66" s="23">
        <v>2400</v>
      </c>
      <c r="K66" s="9">
        <f t="shared" si="85"/>
        <v>160</v>
      </c>
      <c r="L66" s="231">
        <v>15</v>
      </c>
      <c r="M66" s="10">
        <f t="shared" si="90"/>
        <v>2291.8644067796613</v>
      </c>
      <c r="N66" s="9">
        <f t="shared" si="86"/>
        <v>152.79096045197741</v>
      </c>
      <c r="O66" s="11">
        <f t="shared" si="87"/>
        <v>0</v>
      </c>
      <c r="P66" s="12">
        <f t="shared" si="88"/>
        <v>-7.209039548022588</v>
      </c>
      <c r="Q66" s="227">
        <f t="shared" si="91"/>
        <v>0.95494350282485885</v>
      </c>
      <c r="R66" s="571"/>
      <c r="S66" s="24">
        <v>0.55416666666666659</v>
      </c>
      <c r="T66" s="24">
        <v>0.67708333333333326</v>
      </c>
      <c r="U66" s="226">
        <f t="shared" si="93"/>
        <v>55.999999999999957</v>
      </c>
      <c r="V66" s="232">
        <f t="shared" si="89"/>
        <v>177</v>
      </c>
      <c r="W66" s="13"/>
      <c r="X66" s="13"/>
      <c r="Y66" s="621"/>
      <c r="Z66" s="622"/>
      <c r="AA66" s="11">
        <f t="shared" si="2"/>
        <v>-108.13559322033871</v>
      </c>
      <c r="AB66" s="227">
        <f t="shared" si="92"/>
        <v>0.95494350282485885</v>
      </c>
      <c r="AC66" s="571"/>
    </row>
    <row r="67" spans="1:29" ht="15.75" customHeight="1">
      <c r="A67" s="619" t="s">
        <v>990</v>
      </c>
      <c r="B67" s="233" t="s">
        <v>46</v>
      </c>
      <c r="C67" s="616" t="s">
        <v>66</v>
      </c>
      <c r="D67" s="616"/>
      <c r="E67" s="26">
        <v>24.25</v>
      </c>
      <c r="F67" s="233">
        <v>2212</v>
      </c>
      <c r="G67" s="226">
        <f t="shared" si="84"/>
        <v>53641</v>
      </c>
      <c r="H67" s="21" t="s">
        <v>35</v>
      </c>
      <c r="I67" s="231">
        <v>14</v>
      </c>
      <c r="J67" s="23">
        <v>2400</v>
      </c>
      <c r="K67" s="9">
        <f t="shared" si="85"/>
        <v>171.42857142857142</v>
      </c>
      <c r="L67" s="231">
        <v>14</v>
      </c>
      <c r="M67" s="10">
        <f t="shared" si="90"/>
        <v>2288.2758620689674</v>
      </c>
      <c r="N67" s="9">
        <f t="shared" si="86"/>
        <v>163.4482758620691</v>
      </c>
      <c r="O67" s="11">
        <f t="shared" si="87"/>
        <v>0</v>
      </c>
      <c r="P67" s="12">
        <f t="shared" si="88"/>
        <v>-7.9802955665023205</v>
      </c>
      <c r="Q67" s="227">
        <f t="shared" si="91"/>
        <v>0.95344827586206982</v>
      </c>
      <c r="R67" s="571"/>
      <c r="S67" s="24">
        <v>0.68124999999999991</v>
      </c>
      <c r="T67" s="24">
        <v>0.72152777777777766</v>
      </c>
      <c r="U67" s="226">
        <f t="shared" si="93"/>
        <v>5.9999999999999787</v>
      </c>
      <c r="V67" s="232">
        <f t="shared" si="89"/>
        <v>57.999999999999957</v>
      </c>
      <c r="W67" s="13"/>
      <c r="X67" s="13"/>
      <c r="Y67" s="621"/>
      <c r="Z67" s="622"/>
      <c r="AA67" s="11">
        <f t="shared" si="2"/>
        <v>-111.7241379310326</v>
      </c>
      <c r="AB67" s="227">
        <f t="shared" si="92"/>
        <v>0.95344827586206971</v>
      </c>
      <c r="AC67" s="571"/>
    </row>
    <row r="68" spans="1:29" ht="15.75" customHeight="1">
      <c r="A68" s="619" t="s">
        <v>990</v>
      </c>
      <c r="B68" s="233" t="s">
        <v>46</v>
      </c>
      <c r="C68" s="616" t="s">
        <v>88</v>
      </c>
      <c r="D68" s="616"/>
      <c r="E68" s="26">
        <v>24.25</v>
      </c>
      <c r="F68" s="233">
        <v>1843</v>
      </c>
      <c r="G68" s="226">
        <f t="shared" si="84"/>
        <v>44692.75</v>
      </c>
      <c r="H68" s="21" t="s">
        <v>35</v>
      </c>
      <c r="I68" s="231">
        <v>17</v>
      </c>
      <c r="J68" s="23">
        <v>2400</v>
      </c>
      <c r="K68" s="9">
        <f t="shared" si="85"/>
        <v>141.1764705882353</v>
      </c>
      <c r="L68" s="231">
        <v>17</v>
      </c>
      <c r="M68" s="10">
        <f t="shared" si="90"/>
        <v>2303.7500000000005</v>
      </c>
      <c r="N68" s="9">
        <f t="shared" si="86"/>
        <v>135.51470588235296</v>
      </c>
      <c r="O68" s="11">
        <f t="shared" si="87"/>
        <v>0</v>
      </c>
      <c r="P68" s="12">
        <f t="shared" si="88"/>
        <v>-5.6617647058823479</v>
      </c>
      <c r="Q68" s="227">
        <f t="shared" si="91"/>
        <v>0.95989583333333339</v>
      </c>
      <c r="R68" s="571"/>
      <c r="S68" s="24">
        <v>0.72499999999999987</v>
      </c>
      <c r="T68" s="24">
        <v>0.75833333333333319</v>
      </c>
      <c r="U68" s="226">
        <f t="shared" si="93"/>
        <v>4.9999999999999822</v>
      </c>
      <c r="V68" s="232">
        <f t="shared" si="89"/>
        <v>47.999999999999986</v>
      </c>
      <c r="W68" s="13"/>
      <c r="X68" s="13"/>
      <c r="Y68" s="621"/>
      <c r="Z68" s="622"/>
      <c r="AA68" s="11">
        <f t="shared" si="2"/>
        <v>-96.249999999999545</v>
      </c>
      <c r="AB68" s="227">
        <f t="shared" si="92"/>
        <v>0.9598958333333335</v>
      </c>
      <c r="AC68" s="571"/>
    </row>
    <row r="69" spans="1:29" ht="16.5" customHeight="1">
      <c r="A69" s="620" t="s">
        <v>990</v>
      </c>
      <c r="B69" s="26" t="s">
        <v>991</v>
      </c>
      <c r="C69" s="625"/>
      <c r="D69" s="626"/>
      <c r="E69" s="228"/>
      <c r="F69" s="27"/>
      <c r="G69" s="9"/>
      <c r="H69" s="233"/>
      <c r="I69" s="16">
        <v>16.600000000000001</v>
      </c>
      <c r="J69" s="23">
        <v>2400</v>
      </c>
      <c r="K69" s="9">
        <f t="shared" si="85"/>
        <v>144.57831325301203</v>
      </c>
      <c r="L69" s="16">
        <v>16.600000000000001</v>
      </c>
      <c r="M69" s="10">
        <f>AVERAGE(M59:M68)</f>
        <v>2294.5635077588736</v>
      </c>
      <c r="N69" s="9">
        <f>M69/L69</f>
        <v>138.22671733487189</v>
      </c>
      <c r="O69" s="11">
        <f>L69-I69</f>
        <v>0</v>
      </c>
      <c r="P69" s="12">
        <f>N69-K69</f>
        <v>-6.3515959181401342</v>
      </c>
      <c r="Q69" s="227">
        <f t="shared" si="91"/>
        <v>0.95606812823286402</v>
      </c>
      <c r="R69" s="571"/>
      <c r="S69" s="24"/>
      <c r="T69" s="24"/>
      <c r="U69" s="9"/>
      <c r="V69" s="232"/>
      <c r="W69" s="9"/>
      <c r="X69" s="9"/>
      <c r="Y69" s="617"/>
      <c r="Z69" s="617"/>
      <c r="AA69" s="11">
        <f t="shared" ref="AA69" si="94">M69-J69</f>
        <v>-105.43649224112642</v>
      </c>
      <c r="AB69" s="227">
        <f t="shared" si="92"/>
        <v>0.95606812823286402</v>
      </c>
      <c r="AC69" s="571"/>
    </row>
    <row r="70" spans="1:29">
      <c r="D70" s="17"/>
      <c r="E70" s="17"/>
    </row>
  </sheetData>
  <mergeCells count="186">
    <mergeCell ref="AC59:AC69"/>
    <mergeCell ref="C60:D60"/>
    <mergeCell ref="Y60:Z60"/>
    <mergeCell ref="C61:D61"/>
    <mergeCell ref="Y61:Z61"/>
    <mergeCell ref="C62:D62"/>
    <mergeCell ref="Y62:Z62"/>
    <mergeCell ref="C63:D63"/>
    <mergeCell ref="Y63:Z63"/>
    <mergeCell ref="C64:D64"/>
    <mergeCell ref="A59:A69"/>
    <mergeCell ref="C59:D59"/>
    <mergeCell ref="R59:R69"/>
    <mergeCell ref="Y59:Z59"/>
    <mergeCell ref="Y64:Z64"/>
    <mergeCell ref="C65:D65"/>
    <mergeCell ref="Y65:Z65"/>
    <mergeCell ref="A54:A58"/>
    <mergeCell ref="C54:D54"/>
    <mergeCell ref="R54:R58"/>
    <mergeCell ref="Y54:Z54"/>
    <mergeCell ref="C69:D69"/>
    <mergeCell ref="Y69:Z69"/>
    <mergeCell ref="C66:D66"/>
    <mergeCell ref="Y66:Z66"/>
    <mergeCell ref="C67:D67"/>
    <mergeCell ref="Y67:Z67"/>
    <mergeCell ref="C68:D68"/>
    <mergeCell ref="Y68:Z68"/>
    <mergeCell ref="AC54:AC58"/>
    <mergeCell ref="C55:D55"/>
    <mergeCell ref="Y55:Z55"/>
    <mergeCell ref="C56:D56"/>
    <mergeCell ref="Y56:Z56"/>
    <mergeCell ref="C57:D57"/>
    <mergeCell ref="AC47:AC53"/>
    <mergeCell ref="C48:D48"/>
    <mergeCell ref="Y48:Z48"/>
    <mergeCell ref="C49:D49"/>
    <mergeCell ref="C52:D52"/>
    <mergeCell ref="Y52:Z52"/>
    <mergeCell ref="C53:D53"/>
    <mergeCell ref="Y53:Z53"/>
    <mergeCell ref="Y57:Z57"/>
    <mergeCell ref="C58:D58"/>
    <mergeCell ref="Y58:Z58"/>
    <mergeCell ref="A47:A53"/>
    <mergeCell ref="C47:D47"/>
    <mergeCell ref="R47:R53"/>
    <mergeCell ref="Y47:Z47"/>
    <mergeCell ref="AC39:AC46"/>
    <mergeCell ref="C40:D40"/>
    <mergeCell ref="Y40:Z40"/>
    <mergeCell ref="C41:D41"/>
    <mergeCell ref="Y41:Z41"/>
    <mergeCell ref="C42:D42"/>
    <mergeCell ref="Y42:Z42"/>
    <mergeCell ref="C43:D43"/>
    <mergeCell ref="Y43:Z43"/>
    <mergeCell ref="C44:D44"/>
    <mergeCell ref="A39:A46"/>
    <mergeCell ref="C39:D39"/>
    <mergeCell ref="R39:R46"/>
    <mergeCell ref="Y39:Z39"/>
    <mergeCell ref="Y44:Z44"/>
    <mergeCell ref="C45:D45"/>
    <mergeCell ref="Y45:Z45"/>
    <mergeCell ref="C46:D46"/>
    <mergeCell ref="Y46:Z46"/>
    <mergeCell ref="AC30:AC38"/>
    <mergeCell ref="C31:D31"/>
    <mergeCell ref="Y31:Z31"/>
    <mergeCell ref="C32:D32"/>
    <mergeCell ref="Y32:Z32"/>
    <mergeCell ref="C33:D33"/>
    <mergeCell ref="Y33:Z33"/>
    <mergeCell ref="C34:D34"/>
    <mergeCell ref="Y34:Z34"/>
    <mergeCell ref="C35:D35"/>
    <mergeCell ref="Y37:Z37"/>
    <mergeCell ref="C38:D38"/>
    <mergeCell ref="Y38:Z38"/>
    <mergeCell ref="A22:A29"/>
    <mergeCell ref="C22:D22"/>
    <mergeCell ref="R22:R29"/>
    <mergeCell ref="Y22:Z22"/>
    <mergeCell ref="C29:D29"/>
    <mergeCell ref="Y29:Z29"/>
    <mergeCell ref="A30:A38"/>
    <mergeCell ref="C30:D30"/>
    <mergeCell ref="R30:R38"/>
    <mergeCell ref="Y30:Z30"/>
    <mergeCell ref="Y35:Z35"/>
    <mergeCell ref="C36:D36"/>
    <mergeCell ref="Y36:Z36"/>
    <mergeCell ref="C37:D37"/>
    <mergeCell ref="AC22:AC29"/>
    <mergeCell ref="C23:D23"/>
    <mergeCell ref="Y23:Z23"/>
    <mergeCell ref="C24:D24"/>
    <mergeCell ref="Y24:Z24"/>
    <mergeCell ref="C25:D25"/>
    <mergeCell ref="AC17:AC21"/>
    <mergeCell ref="C18:D18"/>
    <mergeCell ref="Y18:Z18"/>
    <mergeCell ref="C19:D19"/>
    <mergeCell ref="Y19:Z19"/>
    <mergeCell ref="C20:D20"/>
    <mergeCell ref="Y20:Z20"/>
    <mergeCell ref="C21:D21"/>
    <mergeCell ref="Y21:Z21"/>
    <mergeCell ref="Y25:Z25"/>
    <mergeCell ref="C26:D26"/>
    <mergeCell ref="Y26:Z26"/>
    <mergeCell ref="C27:D27"/>
    <mergeCell ref="Y27:Z27"/>
    <mergeCell ref="C28:D28"/>
    <mergeCell ref="Y28:Z28"/>
    <mergeCell ref="A17:A21"/>
    <mergeCell ref="C17:D17"/>
    <mergeCell ref="R17:R21"/>
    <mergeCell ref="Y17:Z17"/>
    <mergeCell ref="C13:D13"/>
    <mergeCell ref="Y13:Z13"/>
    <mergeCell ref="C14:D14"/>
    <mergeCell ref="Y14:Z14"/>
    <mergeCell ref="C15:D15"/>
    <mergeCell ref="Y15:Z15"/>
    <mergeCell ref="AC9:AC11"/>
    <mergeCell ref="C10:D10"/>
    <mergeCell ref="Y10:Z10"/>
    <mergeCell ref="C11:D11"/>
    <mergeCell ref="Y11:Z11"/>
    <mergeCell ref="A12:A16"/>
    <mergeCell ref="C12:D12"/>
    <mergeCell ref="R12:R16"/>
    <mergeCell ref="Y12:Z12"/>
    <mergeCell ref="AC12:AC16"/>
    <mergeCell ref="C16:D16"/>
    <mergeCell ref="Y16:Z16"/>
    <mergeCell ref="C8:D8"/>
    <mergeCell ref="Y8:Z8"/>
    <mergeCell ref="A9:A11"/>
    <mergeCell ref="C9:D9"/>
    <mergeCell ref="R9:R11"/>
    <mergeCell ref="Y9:Z9"/>
    <mergeCell ref="AC3:AC4"/>
    <mergeCell ref="A5:A8"/>
    <mergeCell ref="C5:D5"/>
    <mergeCell ref="R5:R8"/>
    <mergeCell ref="Y5:Z5"/>
    <mergeCell ref="AC5:AC8"/>
    <mergeCell ref="C6:D6"/>
    <mergeCell ref="Y6:Z6"/>
    <mergeCell ref="C7:D7"/>
    <mergeCell ref="Y7:Z7"/>
    <mergeCell ref="U3:U4"/>
    <mergeCell ref="V3:V4"/>
    <mergeCell ref="W3:X3"/>
    <mergeCell ref="Y3:Z4"/>
    <mergeCell ref="AA3:AA4"/>
    <mergeCell ref="AB3:AB4"/>
    <mergeCell ref="N3:N4"/>
    <mergeCell ref="O3:O4"/>
    <mergeCell ref="S1:X2"/>
    <mergeCell ref="Y1:Z2"/>
    <mergeCell ref="AA1:AC2"/>
    <mergeCell ref="A3:A4"/>
    <mergeCell ref="B3:B4"/>
    <mergeCell ref="C3:D4"/>
    <mergeCell ref="E3:E4"/>
    <mergeCell ref="F3:F4"/>
    <mergeCell ref="G3:G4"/>
    <mergeCell ref="I1:K2"/>
    <mergeCell ref="L1:N2"/>
    <mergeCell ref="O1:R2"/>
    <mergeCell ref="P3:P4"/>
    <mergeCell ref="Q3:Q4"/>
    <mergeCell ref="R3:R4"/>
    <mergeCell ref="S3:T3"/>
    <mergeCell ref="H3:H4"/>
    <mergeCell ref="I3:I4"/>
    <mergeCell ref="J3:J4"/>
    <mergeCell ref="K3:K4"/>
    <mergeCell ref="L3:L4"/>
    <mergeCell ref="M3:M4"/>
  </mergeCells>
  <phoneticPr fontId="3" type="noConversion"/>
  <conditionalFormatting sqref="O57:O64 O69 O5:O9 O11:O13 O46:O54 O16:O44">
    <cfRule type="cellIs" dxfId="766" priority="57" operator="greaterThan">
      <formula>0</formula>
    </cfRule>
  </conditionalFormatting>
  <conditionalFormatting sqref="P5:P7 P57 AA57 P59:P64 P22:P28 P54 P9 P11:P13 P17:P20 P47:P52 P30:P44 AA5:AA54 AA59:AA69">
    <cfRule type="cellIs" dxfId="765" priority="61" operator="lessThan">
      <formula>0</formula>
    </cfRule>
  </conditionalFormatting>
  <conditionalFormatting sqref="AB57 Q57:Q64 Q69 Q5:Q9 Q11:Q13 Q46:Q54 Q16:Q44 AB5:AB54 AB59:AB69">
    <cfRule type="cellIs" dxfId="764" priority="58" operator="greaterThan">
      <formula>1</formula>
    </cfRule>
    <cfRule type="cellIs" dxfId="763" priority="59" operator="lessThan">
      <formula>0.8</formula>
    </cfRule>
  </conditionalFormatting>
  <conditionalFormatting sqref="AC12:AC13 R12:R13 AC57 R57:R64 R69 AC5:AC9 R5:R9 R16:R44 AC16:AC44 AC46:AC54 R46:R54">
    <cfRule type="cellIs" dxfId="762" priority="63" operator="lessThan">
      <formula>0.8</formula>
    </cfRule>
  </conditionalFormatting>
  <conditionalFormatting sqref="AC39">
    <cfRule type="cellIs" dxfId="761" priority="65" operator="lessThan">
      <formula>0.8</formula>
    </cfRule>
  </conditionalFormatting>
  <conditionalFormatting sqref="AC17:AC20">
    <cfRule type="cellIs" dxfId="760" priority="62" operator="lessThan">
      <formula>0.8</formula>
    </cfRule>
  </conditionalFormatting>
  <conditionalFormatting sqref="AC22">
    <cfRule type="cellIs" dxfId="759" priority="64" operator="lessThan">
      <formula>0.8</formula>
    </cfRule>
  </conditionalFormatting>
  <conditionalFormatting sqref="AC30:AC37">
    <cfRule type="cellIs" dxfId="758" priority="60" operator="lessThan">
      <formula>0.8</formula>
    </cfRule>
  </conditionalFormatting>
  <conditionalFormatting sqref="AA58">
    <cfRule type="cellIs" dxfId="757" priority="56" operator="lessThan">
      <formula>0</formula>
    </cfRule>
  </conditionalFormatting>
  <conditionalFormatting sqref="AB58">
    <cfRule type="cellIs" dxfId="756" priority="54" operator="greaterThan">
      <formula>1</formula>
    </cfRule>
    <cfRule type="cellIs" dxfId="755" priority="55" operator="lessThan">
      <formula>0.8</formula>
    </cfRule>
  </conditionalFormatting>
  <conditionalFormatting sqref="O14:O15">
    <cfRule type="cellIs" dxfId="754" priority="49" operator="greaterThan">
      <formula>0</formula>
    </cfRule>
  </conditionalFormatting>
  <conditionalFormatting sqref="P14:P15">
    <cfRule type="cellIs" dxfId="753" priority="52" operator="lessThan">
      <formula>0</formula>
    </cfRule>
  </conditionalFormatting>
  <conditionalFormatting sqref="Q14:Q15">
    <cfRule type="cellIs" dxfId="752" priority="50" operator="greaterThan">
      <formula>1</formula>
    </cfRule>
    <cfRule type="cellIs" dxfId="751" priority="51" operator="lessThan">
      <formula>0.8</formula>
    </cfRule>
  </conditionalFormatting>
  <conditionalFormatting sqref="R14:R15 AC14:AC15">
    <cfRule type="cellIs" dxfId="750" priority="53" operator="lessThan">
      <formula>0.8</formula>
    </cfRule>
  </conditionalFormatting>
  <conditionalFormatting sqref="O10">
    <cfRule type="cellIs" dxfId="749" priority="45" operator="greaterThan">
      <formula>0</formula>
    </cfRule>
  </conditionalFormatting>
  <conditionalFormatting sqref="P10">
    <cfRule type="cellIs" dxfId="748" priority="48" operator="lessThan">
      <formula>0</formula>
    </cfRule>
  </conditionalFormatting>
  <conditionalFormatting sqref="Q10">
    <cfRule type="cellIs" dxfId="747" priority="46" operator="greaterThan">
      <formula>1</formula>
    </cfRule>
    <cfRule type="cellIs" dxfId="746" priority="47" operator="lessThan">
      <formula>0.8</formula>
    </cfRule>
  </conditionalFormatting>
  <conditionalFormatting sqref="O56">
    <cfRule type="cellIs" dxfId="745" priority="40" operator="greaterThan">
      <formula>0</formula>
    </cfRule>
  </conditionalFormatting>
  <conditionalFormatting sqref="P56 AA56">
    <cfRule type="cellIs" dxfId="744" priority="43" operator="lessThan">
      <formula>0</formula>
    </cfRule>
  </conditionalFormatting>
  <conditionalFormatting sqref="Q56 AB56">
    <cfRule type="cellIs" dxfId="743" priority="41" operator="greaterThan">
      <formula>1</formula>
    </cfRule>
    <cfRule type="cellIs" dxfId="742" priority="42" operator="lessThan">
      <formula>0.8</formula>
    </cfRule>
  </conditionalFormatting>
  <conditionalFormatting sqref="R56 AC56">
    <cfRule type="cellIs" dxfId="741" priority="44" operator="lessThan">
      <formula>0.8</formula>
    </cfRule>
  </conditionalFormatting>
  <conditionalFormatting sqref="O65">
    <cfRule type="cellIs" dxfId="740" priority="35" operator="greaterThan">
      <formula>0</formula>
    </cfRule>
  </conditionalFormatting>
  <conditionalFormatting sqref="P65">
    <cfRule type="cellIs" dxfId="739" priority="38" operator="lessThan">
      <formula>0</formula>
    </cfRule>
  </conditionalFormatting>
  <conditionalFormatting sqref="Q65">
    <cfRule type="cellIs" dxfId="738" priority="36" operator="greaterThan">
      <formula>1</formula>
    </cfRule>
    <cfRule type="cellIs" dxfId="737" priority="37" operator="lessThan">
      <formula>0.8</formula>
    </cfRule>
  </conditionalFormatting>
  <conditionalFormatting sqref="R65">
    <cfRule type="cellIs" dxfId="736" priority="39" operator="lessThan">
      <formula>0.8</formula>
    </cfRule>
  </conditionalFormatting>
  <conditionalFormatting sqref="O45">
    <cfRule type="cellIs" dxfId="735" priority="29" operator="greaterThan">
      <formula>0</formula>
    </cfRule>
  </conditionalFormatting>
  <conditionalFormatting sqref="P45">
    <cfRule type="cellIs" dxfId="734" priority="33" operator="lessThan">
      <formula>0</formula>
    </cfRule>
  </conditionalFormatting>
  <conditionalFormatting sqref="Q45">
    <cfRule type="cellIs" dxfId="733" priority="30" operator="greaterThan">
      <formula>1</formula>
    </cfRule>
    <cfRule type="cellIs" dxfId="732" priority="31" operator="lessThan">
      <formula>0.8</formula>
    </cfRule>
  </conditionalFormatting>
  <conditionalFormatting sqref="R45 AC45">
    <cfRule type="cellIs" dxfId="731" priority="34" operator="lessThan">
      <formula>0.8</formula>
    </cfRule>
  </conditionalFormatting>
  <conditionalFormatting sqref="AC45">
    <cfRule type="cellIs" dxfId="730" priority="32" operator="lessThan">
      <formula>0.8</formula>
    </cfRule>
  </conditionalFormatting>
  <conditionalFormatting sqref="O55">
    <cfRule type="cellIs" dxfId="729" priority="24" operator="greaterThan">
      <formula>0</formula>
    </cfRule>
  </conditionalFormatting>
  <conditionalFormatting sqref="P55 AA55">
    <cfRule type="cellIs" dxfId="728" priority="27" operator="lessThan">
      <formula>0</formula>
    </cfRule>
  </conditionalFormatting>
  <conditionalFormatting sqref="Q55 AB55">
    <cfRule type="cellIs" dxfId="727" priority="25" operator="greaterThan">
      <formula>1</formula>
    </cfRule>
    <cfRule type="cellIs" dxfId="726" priority="26" operator="lessThan">
      <formula>0.8</formula>
    </cfRule>
  </conditionalFormatting>
  <conditionalFormatting sqref="R55 AC55">
    <cfRule type="cellIs" dxfId="725" priority="28" operator="lessThan">
      <formula>0.8</formula>
    </cfRule>
  </conditionalFormatting>
  <conditionalFormatting sqref="P8">
    <cfRule type="cellIs" dxfId="724" priority="23" operator="lessThan">
      <formula>0</formula>
    </cfRule>
  </conditionalFormatting>
  <conditionalFormatting sqref="P16">
    <cfRule type="cellIs" dxfId="723" priority="22" operator="lessThan">
      <formula>0</formula>
    </cfRule>
  </conditionalFormatting>
  <conditionalFormatting sqref="P21">
    <cfRule type="cellIs" dxfId="722" priority="21" operator="lessThan">
      <formula>0</formula>
    </cfRule>
  </conditionalFormatting>
  <conditionalFormatting sqref="P29">
    <cfRule type="cellIs" dxfId="721" priority="20" operator="lessThan">
      <formula>0</formula>
    </cfRule>
  </conditionalFormatting>
  <conditionalFormatting sqref="P46">
    <cfRule type="cellIs" dxfId="720" priority="19" operator="lessThan">
      <formula>0</formula>
    </cfRule>
  </conditionalFormatting>
  <conditionalFormatting sqref="P53">
    <cfRule type="cellIs" dxfId="719" priority="18" operator="lessThan">
      <formula>0</formula>
    </cfRule>
  </conditionalFormatting>
  <conditionalFormatting sqref="P58">
    <cfRule type="cellIs" dxfId="718" priority="17" operator="lessThan">
      <formula>0</formula>
    </cfRule>
  </conditionalFormatting>
  <conditionalFormatting sqref="P69">
    <cfRule type="cellIs" dxfId="717" priority="16" operator="lessThan">
      <formula>0</formula>
    </cfRule>
  </conditionalFormatting>
  <conditionalFormatting sqref="O66">
    <cfRule type="cellIs" dxfId="716" priority="11" operator="greaterThan">
      <formula>0</formula>
    </cfRule>
  </conditionalFormatting>
  <conditionalFormatting sqref="P66">
    <cfRule type="cellIs" dxfId="715" priority="14" operator="lessThan">
      <formula>0</formula>
    </cfRule>
  </conditionalFormatting>
  <conditionalFormatting sqref="Q66">
    <cfRule type="cellIs" dxfId="714" priority="12" operator="greaterThan">
      <formula>1</formula>
    </cfRule>
    <cfRule type="cellIs" dxfId="713" priority="13" operator="lessThan">
      <formula>0.8</formula>
    </cfRule>
  </conditionalFormatting>
  <conditionalFormatting sqref="R66">
    <cfRule type="cellIs" dxfId="712" priority="15" operator="lessThan">
      <formula>0.8</formula>
    </cfRule>
  </conditionalFormatting>
  <conditionalFormatting sqref="O67">
    <cfRule type="cellIs" dxfId="711" priority="6" operator="greaterThan">
      <formula>0</formula>
    </cfRule>
  </conditionalFormatting>
  <conditionalFormatting sqref="P67">
    <cfRule type="cellIs" dxfId="710" priority="9" operator="lessThan">
      <formula>0</formula>
    </cfRule>
  </conditionalFormatting>
  <conditionalFormatting sqref="Q67">
    <cfRule type="cellIs" dxfId="709" priority="7" operator="greaterThan">
      <formula>1</formula>
    </cfRule>
    <cfRule type="cellIs" dxfId="708" priority="8" operator="lessThan">
      <formula>0.8</formula>
    </cfRule>
  </conditionalFormatting>
  <conditionalFormatting sqref="R67">
    <cfRule type="cellIs" dxfId="707" priority="10" operator="lessThan">
      <formula>0.8</formula>
    </cfRule>
  </conditionalFormatting>
  <conditionalFormatting sqref="O68">
    <cfRule type="cellIs" dxfId="706" priority="1" operator="greaterThan">
      <formula>0</formula>
    </cfRule>
  </conditionalFormatting>
  <conditionalFormatting sqref="P68">
    <cfRule type="cellIs" dxfId="705" priority="4" operator="lessThan">
      <formula>0</formula>
    </cfRule>
  </conditionalFormatting>
  <conditionalFormatting sqref="Q68">
    <cfRule type="cellIs" dxfId="704" priority="2" operator="greaterThan">
      <formula>1</formula>
    </cfRule>
    <cfRule type="cellIs" dxfId="703" priority="3" operator="lessThan">
      <formula>0.8</formula>
    </cfRule>
  </conditionalFormatting>
  <conditionalFormatting sqref="R68">
    <cfRule type="cellIs" dxfId="702" priority="5" operator="lessThan">
      <formula>0.8</formula>
    </cfRule>
  </conditionalFormatting>
  <dataValidations count="1">
    <dataValidation type="list" allowBlank="1" showInputMessage="1" showErrorMessage="1" sqref="Z8 Y5:Z7 Y8:Y57 Z10:Z54 Y58:Z69">
      <formula1>#REF!</formula1>
    </dataValidation>
  </dataValidations>
  <pageMargins left="0" right="0" top="0" bottom="0" header="0" footer="0"/>
  <pageSetup paperSize="9" scale="11" orientation="landscape" horizontalDpi="300" verticalDpi="300" r:id="rId1"/>
</worksheet>
</file>

<file path=xl/worksheets/sheet4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工作表34"/>
  <dimension ref="B1:Q28"/>
  <sheetViews>
    <sheetView zoomScale="85" zoomScaleNormal="85" workbookViewId="0">
      <selection activeCell="I37" sqref="I37"/>
    </sheetView>
  </sheetViews>
  <sheetFormatPr defaultColWidth="8.75" defaultRowHeight="15.75"/>
  <cols>
    <col min="1" max="1" width="8.75" style="30"/>
    <col min="2" max="2" width="17.875" style="30" customWidth="1"/>
    <col min="3" max="3" width="9.25" style="37" customWidth="1"/>
    <col min="4" max="13" width="12.625" style="30" customWidth="1"/>
    <col min="14" max="14" width="11" style="30" bestFit="1" customWidth="1"/>
    <col min="15" max="15" width="17.75" style="30" bestFit="1" customWidth="1"/>
    <col min="16" max="16" width="12.25" style="30" bestFit="1" customWidth="1"/>
    <col min="17" max="22" width="9.25" style="30" customWidth="1"/>
    <col min="23" max="23" width="10.75" style="30" customWidth="1"/>
    <col min="24" max="24" width="11" style="30" customWidth="1"/>
    <col min="25" max="16384" width="8.75" style="30"/>
  </cols>
  <sheetData>
    <row r="1" spans="2:17" ht="27.75" customHeight="1">
      <c r="B1" s="552" t="s">
        <v>900</v>
      </c>
      <c r="C1" s="552"/>
      <c r="D1" s="552"/>
      <c r="E1" s="552"/>
      <c r="F1" s="552"/>
      <c r="G1" s="552"/>
      <c r="H1" s="552"/>
      <c r="I1" s="552"/>
      <c r="J1" s="552"/>
      <c r="K1" s="29"/>
      <c r="L1" s="29"/>
      <c r="M1" s="29"/>
      <c r="N1" s="29"/>
      <c r="O1" s="29"/>
      <c r="P1" s="29"/>
    </row>
    <row r="2" spans="2:17" ht="27.75" customHeight="1">
      <c r="B2" s="553"/>
      <c r="C2" s="553"/>
      <c r="D2" s="553"/>
      <c r="E2" s="553"/>
      <c r="F2" s="553"/>
      <c r="G2" s="553"/>
      <c r="H2" s="553"/>
      <c r="I2" s="553"/>
      <c r="J2" s="553"/>
      <c r="K2" s="31"/>
      <c r="L2" s="31"/>
      <c r="M2" s="31"/>
      <c r="N2" s="29"/>
      <c r="O2" s="29"/>
      <c r="P2" s="29"/>
    </row>
    <row r="3" spans="2:17" ht="46.5" customHeight="1">
      <c r="B3" s="32" t="s">
        <v>901</v>
      </c>
      <c r="C3" s="554" t="str">
        <f>TEXT('1011 4度C'!A2,"yyyy.mm.ddaaaa")</f>
        <v>2025.10.11星期六</v>
      </c>
      <c r="D3" s="555"/>
      <c r="E3" s="32" t="s">
        <v>902</v>
      </c>
      <c r="F3" s="556">
        <f>'1011 4度C'!D1</f>
        <v>141185</v>
      </c>
      <c r="G3" s="557"/>
      <c r="H3" s="32" t="s">
        <v>90</v>
      </c>
      <c r="I3" s="558">
        <f>'1011 4度C'!F1</f>
        <v>4738977.28</v>
      </c>
      <c r="J3" s="559"/>
      <c r="K3" s="33"/>
      <c r="L3" s="34"/>
      <c r="M3" s="35"/>
      <c r="N3" s="35"/>
    </row>
    <row r="4" spans="2:17" ht="28.5" customHeight="1">
      <c r="B4" s="560" t="s">
        <v>903</v>
      </c>
      <c r="C4" s="542" t="s">
        <v>904</v>
      </c>
      <c r="D4" s="543"/>
      <c r="E4" s="563" t="s">
        <v>905</v>
      </c>
      <c r="F4" s="564"/>
      <c r="G4" s="563" t="s">
        <v>906</v>
      </c>
      <c r="H4" s="564"/>
      <c r="I4" s="563" t="s">
        <v>207</v>
      </c>
      <c r="J4" s="564"/>
      <c r="L4" s="35"/>
      <c r="M4" s="35"/>
      <c r="N4" s="35"/>
    </row>
    <row r="5" spans="2:17" ht="28.5" customHeight="1">
      <c r="B5" s="561"/>
      <c r="C5" s="542" t="s">
        <v>907</v>
      </c>
      <c r="D5" s="543"/>
      <c r="E5" s="542" t="s">
        <v>908</v>
      </c>
      <c r="F5" s="543"/>
      <c r="G5" s="544" t="s">
        <v>909</v>
      </c>
      <c r="H5" s="545"/>
      <c r="I5" s="546" t="s">
        <v>910</v>
      </c>
      <c r="J5" s="547"/>
      <c r="K5" s="35"/>
      <c r="L5" s="35"/>
      <c r="M5" s="35"/>
      <c r="N5" s="35"/>
    </row>
    <row r="6" spans="2:17" ht="28.5" customHeight="1">
      <c r="B6" s="561"/>
      <c r="C6" s="542" t="s">
        <v>92</v>
      </c>
      <c r="D6" s="543"/>
      <c r="E6" s="548">
        <f>AVERAGE(D13:M13)</f>
        <v>152.59148804951514</v>
      </c>
      <c r="F6" s="549">
        <f>AVERAGE(D27:O27,D13:J13)</f>
        <v>159.21598070086989</v>
      </c>
      <c r="G6" s="550">
        <f>AVERAGE(D13:J13)</f>
        <v>159.21598070086989</v>
      </c>
      <c r="H6" s="551"/>
      <c r="I6" s="550">
        <f>AVERAGE(K13:M13)</f>
        <v>137.13433852968737</v>
      </c>
      <c r="J6" s="551"/>
      <c r="K6" s="35"/>
      <c r="L6" s="35"/>
      <c r="M6" s="35"/>
      <c r="N6" s="35"/>
    </row>
    <row r="7" spans="2:17" ht="28.5" customHeight="1">
      <c r="B7" s="561"/>
      <c r="C7" s="532" t="s">
        <v>93</v>
      </c>
      <c r="D7" s="533"/>
      <c r="E7" s="534">
        <f>AVERAGE(D14:M14)</f>
        <v>146.50439474644756</v>
      </c>
      <c r="F7" s="535">
        <f>AVERAGE(D28:O28,D14:J14)</f>
        <v>152.97011335516268</v>
      </c>
      <c r="G7" s="536">
        <f>AVERAGE(D14:J14)</f>
        <v>152.97011335516268</v>
      </c>
      <c r="H7" s="537"/>
      <c r="I7" s="536">
        <f>AVERAGE(K14:M14)</f>
        <v>131.41771799277893</v>
      </c>
      <c r="J7" s="537"/>
      <c r="K7" s="35"/>
      <c r="L7" s="35"/>
      <c r="M7" s="35"/>
      <c r="N7" s="35"/>
    </row>
    <row r="8" spans="2:17" ht="28.5" customHeight="1">
      <c r="B8" s="562"/>
      <c r="C8" s="532" t="s">
        <v>94</v>
      </c>
      <c r="D8" s="533"/>
      <c r="E8" s="538">
        <f>AVERAGE(D15:M15)</f>
        <v>0.95956578145901017</v>
      </c>
      <c r="F8" s="539">
        <f>AVERAGE(D15:J15,D29:O29)</f>
        <v>0.9601323581751301</v>
      </c>
      <c r="G8" s="540">
        <f>AVERAGE(D15:J15)</f>
        <v>0.9601323581751301</v>
      </c>
      <c r="H8" s="541"/>
      <c r="I8" s="540">
        <f>AVERAGE(K15:M15)</f>
        <v>0.9582437691213973</v>
      </c>
      <c r="J8" s="541"/>
      <c r="K8" s="36" t="s">
        <v>911</v>
      </c>
      <c r="L8" s="35"/>
      <c r="M8" s="35"/>
      <c r="N8" s="35"/>
    </row>
    <row r="9" spans="2:17" ht="28.5" customHeight="1" thickBot="1">
      <c r="H9" s="38"/>
      <c r="N9" s="35"/>
      <c r="O9" s="35"/>
      <c r="P9" s="35"/>
      <c r="Q9" s="35"/>
    </row>
    <row r="10" spans="2:17" ht="30" customHeight="1">
      <c r="B10" s="515" t="s">
        <v>912</v>
      </c>
      <c r="C10" s="516"/>
      <c r="D10" s="517" t="s">
        <v>913</v>
      </c>
      <c r="E10" s="518"/>
      <c r="F10" s="518"/>
      <c r="G10" s="518"/>
      <c r="H10" s="518"/>
      <c r="I10" s="518"/>
      <c r="J10" s="519"/>
      <c r="K10" s="520" t="s">
        <v>214</v>
      </c>
      <c r="L10" s="521"/>
      <c r="M10" s="522"/>
      <c r="P10" s="39"/>
      <c r="Q10" s="39"/>
    </row>
    <row r="11" spans="2:17" ht="17.25" customHeight="1">
      <c r="B11" s="523" t="s">
        <v>914</v>
      </c>
      <c r="C11" s="524"/>
      <c r="D11" s="40">
        <v>1</v>
      </c>
      <c r="E11" s="41">
        <v>2</v>
      </c>
      <c r="F11" s="41">
        <v>3</v>
      </c>
      <c r="G11" s="41">
        <v>4</v>
      </c>
      <c r="H11" s="41">
        <v>5</v>
      </c>
      <c r="I11" s="41">
        <v>6</v>
      </c>
      <c r="J11" s="42">
        <v>7</v>
      </c>
      <c r="K11" s="40">
        <v>1</v>
      </c>
      <c r="L11" s="41">
        <v>2</v>
      </c>
      <c r="M11" s="42">
        <v>3</v>
      </c>
      <c r="P11" s="39"/>
      <c r="Q11" s="39"/>
    </row>
    <row r="12" spans="2:17" ht="34.15" customHeight="1">
      <c r="B12" s="525"/>
      <c r="C12" s="526"/>
      <c r="D12" s="43" t="s">
        <v>96</v>
      </c>
      <c r="E12" s="44" t="s">
        <v>97</v>
      </c>
      <c r="F12" s="44" t="s">
        <v>98</v>
      </c>
      <c r="G12" s="44" t="s">
        <v>99</v>
      </c>
      <c r="H12" s="44" t="s">
        <v>100</v>
      </c>
      <c r="I12" s="44" t="s">
        <v>101</v>
      </c>
      <c r="J12" s="45" t="s">
        <v>102</v>
      </c>
      <c r="K12" s="43" t="s">
        <v>103</v>
      </c>
      <c r="L12" s="44" t="s">
        <v>104</v>
      </c>
      <c r="M12" s="45" t="s">
        <v>105</v>
      </c>
    </row>
    <row r="13" spans="2:17" ht="40.15" customHeight="1">
      <c r="B13" s="527" t="s">
        <v>915</v>
      </c>
      <c r="C13" s="46" t="s">
        <v>916</v>
      </c>
      <c r="D13" s="47">
        <f>SUMIFS('1011 4度C'!$K:$K,'1011 4度C'!$A:$A,"新豐6線",'1011 4度C'!$B:$B,"平均")</f>
        <v>125</v>
      </c>
      <c r="E13" s="48">
        <f>SUMIFS('1011 4度C'!$K:$K,'1011 4度C'!$A:$A,"新豐2線",'1011 4度C'!$B:$B,"平均")</f>
        <v>81.081081081081081</v>
      </c>
      <c r="F13" s="49">
        <f>SUMIFS('1011 4度C'!$K:$K,'1011 4度C'!$A:$A,"新豐5線",'1011 4度C'!$B:$B,"平均")</f>
        <v>92.10526315789474</v>
      </c>
      <c r="G13" s="49">
        <f>SUMIFS('1011 4度C'!$K:$K,'1011 4度C'!$A:$A,"新豐7線",'1011 4度C'!$B:$B,"平均")</f>
        <v>119.40298507462687</v>
      </c>
      <c r="H13" s="49">
        <f>SUMIFS('1011 4度C'!$K:$K,'1011 4度C'!$A:$A,"新豐3線",'1011 4度C'!$B:$B,"平均")</f>
        <v>310.34482758620692</v>
      </c>
      <c r="I13" s="49">
        <f>SUMIFS('1011 4度C'!$K:$K,'1011 4度C'!$A:$A,"新豐1線",'1011 4度C'!$B:$B,"平均")</f>
        <v>117.34693877551021</v>
      </c>
      <c r="J13" s="50">
        <f>SUMIFS('1011 4度C'!$K:$K,'1011 4度C'!$A:$A,"新豐10線",'1011 4度C'!$B:$B,"平均")</f>
        <v>269.23076923076923</v>
      </c>
      <c r="K13" s="51">
        <f>SUMIFS('1011 4度C'!$K:$K,'1011 4度C'!$A:$A,"新豐8線",'1011 4度C'!$B:$B,"平均")</f>
        <v>131.86813186813188</v>
      </c>
      <c r="L13" s="52">
        <f>SUMIFS('1011 4度C'!$K:$K,'1011 4度C'!$A:$A,"新豐9線",'1011 4度C'!$B:$B,"平均")</f>
        <v>139.53488372093022</v>
      </c>
      <c r="M13" s="50">
        <f>SUMIFS('1011 4度C'!$K:$K,'1011 4度C'!$A:$A,"新豐4線",'1011 4度C'!$B:$B,"平均")</f>
        <v>140</v>
      </c>
    </row>
    <row r="14" spans="2:17" ht="39.6" customHeight="1">
      <c r="B14" s="528"/>
      <c r="C14" s="53" t="s">
        <v>917</v>
      </c>
      <c r="D14" s="54">
        <f>SUMIFS('1011 4度C'!$N:$N,'1011 4度C'!$A:$A,"新豐6線",'1011 4度C'!$B:$B,"平均")</f>
        <v>120.75633874239342</v>
      </c>
      <c r="E14" s="55">
        <f>SUMIFS('1011 4度C'!$N:$N,'1011 4度C'!$A:$A,"新豐2線",'1011 4度C'!$B:$B,"平均")</f>
        <v>77.216923465521589</v>
      </c>
      <c r="F14" s="55">
        <f>SUMIFS('1011 4度C'!$N:$N,'1011 4度C'!$A:$A,"新豐5線",'1011 4度C'!$B:$B,"平均")</f>
        <v>87.85867835798129</v>
      </c>
      <c r="G14" s="55">
        <f>SUMIFS('1011 4度C'!$N:$N,'1011 4度C'!$A:$A,"新豐7線",'1011 4度C'!$B:$B,"平均")</f>
        <v>115.1260238465446</v>
      </c>
      <c r="H14" s="55">
        <f>SUMIFS('1011 4度C'!$N:$N,'1011 4度C'!$A:$A,"新豐3線",'1011 4度C'!$B:$B,"平均")</f>
        <v>297.31465858708606</v>
      </c>
      <c r="I14" s="55">
        <f>SUMIFS('1011 4度C'!$N:$N,'1011 4度C'!$A:$A,"新豐1線",'1011 4度C'!$B:$B,"平均")</f>
        <v>112.90931050094918</v>
      </c>
      <c r="J14" s="56">
        <f>SUMIFS('1011 4度C'!$N:$N,'1011 4度C'!$A:$A,"新豐10線",'1011 4度C'!$B:$B,"平均")</f>
        <v>259.60885998566255</v>
      </c>
      <c r="K14" s="57">
        <f>SUMIFS('1011 4度C'!$N:$N,'1011 4度C'!$A:$A,"新豐8線",'1011 4度C'!$B:$B,"平均")</f>
        <v>125.89042854969512</v>
      </c>
      <c r="L14" s="58">
        <f>SUMIFS('1011 4度C'!$N:$N,'1011 4度C'!$A:$A,"新豐9線",'1011 4度C'!$B:$B,"平均")</f>
        <v>133.7957876256695</v>
      </c>
      <c r="M14" s="56">
        <f>SUMIFS('1011 4度C'!$N:$N,'1011 4度C'!$A:$A,"新豐4線",'1011 4度C'!$B:$B,"平均")</f>
        <v>134.56693780297218</v>
      </c>
    </row>
    <row r="15" spans="2:17" ht="40.15" customHeight="1">
      <c r="B15" s="529"/>
      <c r="C15" s="59" t="s">
        <v>129</v>
      </c>
      <c r="D15" s="60">
        <f t="shared" ref="D15:M15" si="0">D14/D13</f>
        <v>0.96605070993914743</v>
      </c>
      <c r="E15" s="61">
        <f t="shared" si="0"/>
        <v>0.9523420560747663</v>
      </c>
      <c r="F15" s="61">
        <f t="shared" si="0"/>
        <v>0.9538942221723683</v>
      </c>
      <c r="G15" s="61">
        <f t="shared" si="0"/>
        <v>0.96418044971481098</v>
      </c>
      <c r="H15" s="61">
        <f t="shared" si="0"/>
        <v>0.9580138998917217</v>
      </c>
      <c r="I15" s="61">
        <f t="shared" si="0"/>
        <v>0.96218368948634947</v>
      </c>
      <c r="J15" s="62">
        <f t="shared" si="0"/>
        <v>0.9642614799467466</v>
      </c>
      <c r="K15" s="60">
        <f t="shared" si="0"/>
        <v>0.95466908316852117</v>
      </c>
      <c r="L15" s="61">
        <f t="shared" si="0"/>
        <v>0.9588698113172982</v>
      </c>
      <c r="M15" s="62">
        <f t="shared" si="0"/>
        <v>0.96119241287837265</v>
      </c>
    </row>
    <row r="16" spans="2:17" ht="17.25" customHeight="1">
      <c r="B16" s="530" t="s">
        <v>918</v>
      </c>
      <c r="C16" s="63" t="s">
        <v>919</v>
      </c>
      <c r="D16" s="64">
        <f>VLOOKUP("新豐6線",'1011 4度C'!$A:$T,19,0)</f>
        <v>0.70833333333333337</v>
      </c>
      <c r="E16" s="24">
        <f>VLOOKUP("新豐2線",'1011 4度C'!$A:$T,19,0)</f>
        <v>0.20833333333333334</v>
      </c>
      <c r="F16" s="24">
        <f>VLOOKUP("新豐5線",'1011 4度C'!$A:$T,19,0)</f>
        <v>0.20833333333333334</v>
      </c>
      <c r="G16" s="24">
        <f>VLOOKUP("新豐7線",'1011 4度C'!$A:$T,19,0)</f>
        <v>0.20833333333333334</v>
      </c>
      <c r="H16" s="24">
        <f>VLOOKUP("新豐3線",'1011 4度C'!$A:$T,19,0)</f>
        <v>8.3333333333333329E-2</v>
      </c>
      <c r="I16" s="24">
        <f>VLOOKUP("新豐1線",'1011 4度C'!$A:$T,19,0)</f>
        <v>0.29166666666666669</v>
      </c>
      <c r="J16" s="65">
        <f>VLOOKUP("新豐10線",'1011 4度C'!$A:$T,19,0)</f>
        <v>0.20833333333333334</v>
      </c>
      <c r="K16" s="66">
        <f>VLOOKUP("新豐8線",'1011 4度C'!$A:$T,19,0)</f>
        <v>8.3333333333333329E-2</v>
      </c>
      <c r="L16" s="67">
        <f>VLOOKUP("新豐9線",'1011 4度C'!$A:$T,19,0)</f>
        <v>8.3333333333333329E-2</v>
      </c>
      <c r="M16" s="68">
        <f>VLOOKUP("新豐4線",'1011 4度C'!$A:$T,19,0)</f>
        <v>8.3333333333333329E-2</v>
      </c>
    </row>
    <row r="17" spans="2:13" ht="17.25" customHeight="1">
      <c r="B17" s="531"/>
      <c r="C17" s="63" t="s">
        <v>920</v>
      </c>
      <c r="D17" s="66">
        <f>LOOKUP(2,1/(('1011 4度C'!$A:$A="新豐6線")*('1011 4度C'!$T:$T&lt;&gt;"")),'1011 4度C'!$T:$T)</f>
        <v>0.82569444444444451</v>
      </c>
      <c r="E17" s="24">
        <f>LOOKUP(2,1/(('1011 4度C'!$A:$A="新豐2線")*('1011 4度C'!$T:$T&lt;&gt;"")),'1011 4度C'!$T:$T)</f>
        <v>0.42986111111111114</v>
      </c>
      <c r="F17" s="24">
        <f>LOOKUP(2,1/(('1011 4度C'!$A:$A="新豐5線")*('1011 4度C'!$T:$T&lt;&gt;"")),'1011 4度C'!$T:$T)</f>
        <v>0.83888888888888891</v>
      </c>
      <c r="G17" s="24">
        <f>LOOKUP(2,1/(('1011 4度C'!$A:$A="新豐7線")*('1011 4度C'!$T:$T&lt;&gt;"")),'1011 4度C'!$T:$T)</f>
        <v>0.76597222222222228</v>
      </c>
      <c r="H17" s="24">
        <f>LOOKUP(2,1/(('1011 4度C'!$A:$A="新豐3線")*('1011 4度C'!$T:$T&lt;&gt;"")),'1011 4度C'!$T:$T)</f>
        <v>0.43541666666666656</v>
      </c>
      <c r="I17" s="24">
        <f>LOOKUP(2,1/(('1011 4度C'!$A:$A="新豐1線")*('1011 4度C'!$T:$T&lt;&gt;"")),'1011 4度C'!$T:$T)</f>
        <v>0.84236111111111112</v>
      </c>
      <c r="J17" s="65">
        <f>LOOKUP(2,1/(('1011 4度C'!$A:$A="新豐10線")*('1011 4度C'!$T:$T&lt;&gt;"")),'1011 4度C'!$T:$T)</f>
        <v>0.45694444444444438</v>
      </c>
      <c r="K17" s="64">
        <f>LOOKUP(2,1/(('1011 4度C'!$A:$A="新豐8線")*('1011 4度C'!$T:$T&lt;&gt;"")),'1011 4度C'!$T:$T)</f>
        <v>0.48402777777777767</v>
      </c>
      <c r="L17" s="24">
        <f>LOOKUP(2,1/(('1011 4度C'!$A:$A="新豐9線")*('1011 4度C'!$T:$T&lt;&gt;"")),'1011 4度C'!$T:$T)</f>
        <v>0.49861111111111112</v>
      </c>
      <c r="M17" s="65">
        <f>LOOKUP(2,1/(('1011 4度C'!$A:$A="新豐4線")*('1011 4度C'!$T:$T&lt;&gt;"")),'1011 4度C'!$T:$T)</f>
        <v>0.51874999999999982</v>
      </c>
    </row>
    <row r="18" spans="2:13" ht="17.25" customHeight="1">
      <c r="B18" s="509" t="s">
        <v>108</v>
      </c>
      <c r="C18" s="510"/>
      <c r="D18" s="69">
        <f>SUMIFS('1011 4度C'!$I:$I,'1011 4度C'!$A:$A,"新豐6線",'1011 4度C'!$B:$B,"平均")</f>
        <v>16</v>
      </c>
      <c r="E18" s="70">
        <f>SUMIFS('1011 4度C'!$I:$I,'1011 4度C'!$A:$A,"新豐2線",'1011 4度C'!$B:$B,"平均")</f>
        <v>18.5</v>
      </c>
      <c r="F18" s="70">
        <f>SUMIFS('1011 4度C'!$I:$I,'1011 4度C'!$A:$A,"新豐5線",'1011 4度C'!$B:$B,"平均")</f>
        <v>19</v>
      </c>
      <c r="G18" s="70">
        <f>SUMIFS('1011 4度C'!$I:$I,'1011 4度C'!$A:$A,"新豐7線",'1011 4度C'!$B:$B,"平均")</f>
        <v>16.75</v>
      </c>
      <c r="H18" s="70">
        <f>SUMIFS('1011 4度C'!$I:$I,'1011 4度C'!$A:$A,"新豐3線",'1011 4度C'!$B:$B,"平均")</f>
        <v>9.6666666666666661</v>
      </c>
      <c r="I18" s="70">
        <f>SUMIFS('1011 4度C'!$I:$I,'1011 4度C'!$A:$A,"新豐1線",'1011 4度C'!$B:$B,"平均")</f>
        <v>16.333333333333332</v>
      </c>
      <c r="J18" s="71">
        <f>SUMIFS('1011 4度C'!$I:$I,'1011 4度C'!$A:$A,"新豐10線",'1011 4度C'!$B:$B,"平均")</f>
        <v>9.75</v>
      </c>
      <c r="K18" s="69">
        <f>SUMIFS('1011 4度C'!$I:$I,'1011 4度C'!$A:$A,"新豐8線",'1011 4度C'!$B:$B,"平均")</f>
        <v>18.2</v>
      </c>
      <c r="L18" s="70">
        <f>SUMIFS('1011 4度C'!$I:$I,'1011 4度C'!$A:$A,"新豐9線",'1011 4度C'!$B:$B,"平均")</f>
        <v>17.2</v>
      </c>
      <c r="M18" s="71">
        <f>SUMIFS('1011 4度C'!$I:$I,'1011 4度C'!$A:$A,"新豐4線",'1011 4度C'!$B:$B,"平均")</f>
        <v>17.142857142857142</v>
      </c>
    </row>
    <row r="19" spans="2:13" ht="17.25" customHeight="1">
      <c r="B19" s="509" t="s">
        <v>224</v>
      </c>
      <c r="C19" s="510"/>
      <c r="D19" s="72" t="s">
        <v>109</v>
      </c>
      <c r="E19" s="73" t="s">
        <v>110</v>
      </c>
      <c r="F19" s="73" t="s">
        <v>134</v>
      </c>
      <c r="G19" s="73" t="s">
        <v>921</v>
      </c>
      <c r="H19" s="73" t="s">
        <v>111</v>
      </c>
      <c r="I19" s="73" t="s">
        <v>109</v>
      </c>
      <c r="J19" s="74" t="s">
        <v>111</v>
      </c>
      <c r="K19" s="72" t="s">
        <v>922</v>
      </c>
      <c r="L19" s="73" t="s">
        <v>922</v>
      </c>
      <c r="M19" s="74" t="s">
        <v>922</v>
      </c>
    </row>
    <row r="20" spans="2:13" ht="17.25" customHeight="1">
      <c r="B20" s="509" t="s">
        <v>923</v>
      </c>
      <c r="C20" s="510"/>
      <c r="D20" s="72"/>
      <c r="E20" s="73"/>
      <c r="F20" s="73" t="s">
        <v>924</v>
      </c>
      <c r="G20" s="73" t="s">
        <v>109</v>
      </c>
      <c r="H20" s="73"/>
      <c r="I20" s="73"/>
      <c r="J20" s="74"/>
      <c r="K20" s="72"/>
      <c r="L20" s="73"/>
      <c r="M20" s="74"/>
    </row>
    <row r="21" spans="2:13" ht="17.25" customHeight="1" thickBot="1">
      <c r="B21" s="511" t="s">
        <v>141</v>
      </c>
      <c r="C21" s="512"/>
      <c r="D21" s="75"/>
      <c r="E21" s="76" t="s">
        <v>925</v>
      </c>
      <c r="F21" s="513" t="s">
        <v>926</v>
      </c>
      <c r="G21" s="514"/>
      <c r="H21" s="76" t="s">
        <v>927</v>
      </c>
      <c r="I21" s="76" t="s">
        <v>928</v>
      </c>
      <c r="J21" s="77" t="s">
        <v>927</v>
      </c>
      <c r="K21" s="78"/>
      <c r="L21" s="76"/>
      <c r="M21" s="77"/>
    </row>
    <row r="22" spans="2:13" ht="17.25" customHeight="1"/>
    <row r="23" spans="2:13" ht="17.25" customHeight="1"/>
    <row r="24" spans="2:13" ht="17.25" customHeight="1"/>
    <row r="25" spans="2:13" ht="37.5" customHeight="1"/>
    <row r="26" spans="2:13" ht="35.25" customHeight="1"/>
    <row r="27" spans="2:13" ht="35.25" customHeight="1"/>
    <row r="28" spans="2:13" ht="39.75" customHeight="1"/>
  </sheetData>
  <mergeCells count="36">
    <mergeCell ref="B1:J2"/>
    <mergeCell ref="C3:D3"/>
    <mergeCell ref="F3:G3"/>
    <mergeCell ref="I3:J3"/>
    <mergeCell ref="B4:B8"/>
    <mergeCell ref="C4:D4"/>
    <mergeCell ref="E4:F4"/>
    <mergeCell ref="G4:H4"/>
    <mergeCell ref="I4:J4"/>
    <mergeCell ref="C5:D5"/>
    <mergeCell ref="E5:F5"/>
    <mergeCell ref="G5:H5"/>
    <mergeCell ref="I5:J5"/>
    <mergeCell ref="C6:D6"/>
    <mergeCell ref="E6:F6"/>
    <mergeCell ref="G6:H6"/>
    <mergeCell ref="I6:J6"/>
    <mergeCell ref="B16:B17"/>
    <mergeCell ref="C7:D7"/>
    <mergeCell ref="E7:F7"/>
    <mergeCell ref="G7:H7"/>
    <mergeCell ref="I7:J7"/>
    <mergeCell ref="C8:D8"/>
    <mergeCell ref="E8:F8"/>
    <mergeCell ref="G8:H8"/>
    <mergeCell ref="I8:J8"/>
    <mergeCell ref="B10:C10"/>
    <mergeCell ref="D10:J10"/>
    <mergeCell ref="B20:C20"/>
    <mergeCell ref="B21:C21"/>
    <mergeCell ref="F21:G21"/>
    <mergeCell ref="K10:M10"/>
    <mergeCell ref="B11:C12"/>
    <mergeCell ref="B13:B15"/>
    <mergeCell ref="B18:C18"/>
    <mergeCell ref="B19:C19"/>
  </mergeCells>
  <phoneticPr fontId="3" type="noConversion"/>
  <conditionalFormatting sqref="D15:M15">
    <cfRule type="cellIs" dxfId="701" priority="1" operator="lessThan">
      <formula>0.8</formula>
    </cfRule>
  </conditionalFormatting>
  <pageMargins left="0.7" right="0.7" top="0.75" bottom="0.75" header="0.3" footer="0.3"/>
  <pageSetup paperSize="9" orientation="portrait" horizontalDpi="300" verticalDpi="300" r:id="rId1"/>
</worksheet>
</file>

<file path=xl/worksheets/sheet4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工作表138">
    <pageSetUpPr fitToPage="1"/>
  </sheetPr>
  <dimension ref="A1:AC61"/>
  <sheetViews>
    <sheetView zoomScale="80" zoomScaleNormal="80" workbookViewId="0">
      <pane ySplit="4" topLeftCell="A5" activePane="bottomLeft" state="frozen"/>
      <selection activeCell="F25" sqref="F25"/>
      <selection pane="bottomLeft" activeCell="F25" sqref="F25"/>
    </sheetView>
  </sheetViews>
  <sheetFormatPr defaultColWidth="8" defaultRowHeight="15.75"/>
  <cols>
    <col min="1" max="1" width="15.125" style="5" customWidth="1"/>
    <col min="2" max="2" width="19.375" style="5" customWidth="1"/>
    <col min="3" max="3" width="15.25" style="5" customWidth="1"/>
    <col min="4" max="4" width="17.5" style="5" customWidth="1"/>
    <col min="5" max="5" width="7.5" style="5" bestFit="1" customWidth="1"/>
    <col min="6" max="6" width="14.375" style="5" bestFit="1" customWidth="1"/>
    <col min="7" max="7" width="14.375" style="5" customWidth="1"/>
    <col min="8" max="8" width="8" style="5" customWidth="1"/>
    <col min="9" max="9" width="5.875" style="5" customWidth="1"/>
    <col min="10" max="10" width="10.625" style="5" customWidth="1"/>
    <col min="11" max="11" width="14.625" style="5" customWidth="1"/>
    <col min="12" max="12" width="7.25" style="5" bestFit="1" customWidth="1"/>
    <col min="13" max="13" width="8" style="5" customWidth="1"/>
    <col min="14" max="14" width="12" style="5" customWidth="1"/>
    <col min="15" max="15" width="6" style="5" customWidth="1"/>
    <col min="16" max="16" width="9.25" style="5" customWidth="1"/>
    <col min="17" max="17" width="11.5" style="5" customWidth="1"/>
    <col min="18" max="18" width="8.5" style="5" customWidth="1"/>
    <col min="19" max="19" width="10.125" style="5" bestFit="1" customWidth="1"/>
    <col min="20" max="20" width="7.625" style="5" bestFit="1" customWidth="1"/>
    <col min="21" max="21" width="10.25" style="5" bestFit="1" customWidth="1"/>
    <col min="22" max="22" width="8.75" style="18" customWidth="1"/>
    <col min="23" max="23" width="7.375" style="5" customWidth="1"/>
    <col min="24" max="24" width="6.875" style="5" bestFit="1" customWidth="1"/>
    <col min="25" max="25" width="12.75" style="5" customWidth="1"/>
    <col min="26" max="26" width="18.875" style="5" customWidth="1"/>
    <col min="27" max="27" width="13.125" style="5" bestFit="1" customWidth="1"/>
    <col min="28" max="28" width="10.375" style="5" customWidth="1"/>
    <col min="29" max="29" width="9.375" style="5" customWidth="1"/>
    <col min="30" max="30" width="8" style="5"/>
    <col min="31" max="31" width="24.625" style="5" bestFit="1" customWidth="1"/>
    <col min="32" max="16384" width="8" style="5"/>
  </cols>
  <sheetData>
    <row r="1" spans="1:29" ht="26.25" customHeight="1">
      <c r="A1" s="1" t="s">
        <v>929</v>
      </c>
      <c r="B1" s="1"/>
      <c r="C1" s="2" t="s">
        <v>930</v>
      </c>
      <c r="D1" s="3">
        <f>SUM(F5:F60)</f>
        <v>141185</v>
      </c>
      <c r="E1" s="214" t="s">
        <v>931</v>
      </c>
      <c r="F1" s="1">
        <f>SUM(G5:G60)</f>
        <v>4738977.28</v>
      </c>
      <c r="G1" s="1" t="s">
        <v>149</v>
      </c>
      <c r="H1" s="4">
        <f>L8+L11+L40+L47+L16+L52+L27+L33+L21+L60</f>
        <v>158.54285714285714</v>
      </c>
      <c r="I1" s="652" t="s">
        <v>932</v>
      </c>
      <c r="J1" s="652"/>
      <c r="K1" s="652"/>
      <c r="L1" s="652" t="s">
        <v>933</v>
      </c>
      <c r="M1" s="652"/>
      <c r="N1" s="652"/>
      <c r="O1" s="652" t="s">
        <v>934</v>
      </c>
      <c r="P1" s="652"/>
      <c r="Q1" s="652"/>
      <c r="R1" s="652"/>
      <c r="S1" s="652" t="s">
        <v>935</v>
      </c>
      <c r="T1" s="652"/>
      <c r="U1" s="652"/>
      <c r="V1" s="652"/>
      <c r="W1" s="652"/>
      <c r="X1" s="652"/>
      <c r="Y1" s="652" t="s">
        <v>936</v>
      </c>
      <c r="Z1" s="652"/>
      <c r="AA1" s="652" t="s">
        <v>937</v>
      </c>
      <c r="AB1" s="653"/>
      <c r="AC1" s="653"/>
    </row>
    <row r="2" spans="1:29" ht="26.25" customHeight="1">
      <c r="A2" s="19">
        <v>45941</v>
      </c>
      <c r="B2" s="20" t="s">
        <v>397</v>
      </c>
      <c r="C2" s="2" t="s">
        <v>915</v>
      </c>
      <c r="D2" s="6">
        <f>AVERAGE(N8,N11,N40,N47,N16,N52,N21,N27,N33,N60)</f>
        <v>146.50439474644756</v>
      </c>
      <c r="E2" s="7" t="s">
        <v>2</v>
      </c>
      <c r="F2" s="8">
        <f>F1/D1</f>
        <v>33.56572780394518</v>
      </c>
      <c r="G2" s="1" t="s">
        <v>244</v>
      </c>
      <c r="H2" s="222">
        <f>COUNT(H5:H60)</f>
        <v>0</v>
      </c>
      <c r="I2" s="652"/>
      <c r="J2" s="652"/>
      <c r="K2" s="652"/>
      <c r="L2" s="652"/>
      <c r="M2" s="652"/>
      <c r="N2" s="652"/>
      <c r="O2" s="652"/>
      <c r="P2" s="652"/>
      <c r="Q2" s="652"/>
      <c r="R2" s="652"/>
      <c r="S2" s="652"/>
      <c r="T2" s="652"/>
      <c r="U2" s="652"/>
      <c r="V2" s="652"/>
      <c r="W2" s="652"/>
      <c r="X2" s="652"/>
      <c r="Y2" s="652"/>
      <c r="Z2" s="652"/>
      <c r="AA2" s="653"/>
      <c r="AB2" s="653"/>
      <c r="AC2" s="653"/>
    </row>
    <row r="3" spans="1:29" ht="23.25" customHeight="1">
      <c r="A3" s="617" t="s">
        <v>3</v>
      </c>
      <c r="B3" s="617" t="s">
        <v>938</v>
      </c>
      <c r="C3" s="617" t="s">
        <v>939</v>
      </c>
      <c r="D3" s="617"/>
      <c r="E3" s="654" t="s">
        <v>940</v>
      </c>
      <c r="F3" s="617" t="s">
        <v>941</v>
      </c>
      <c r="G3" s="654" t="s">
        <v>942</v>
      </c>
      <c r="H3" s="646" t="s">
        <v>943</v>
      </c>
      <c r="I3" s="645" t="s">
        <v>10</v>
      </c>
      <c r="J3" s="649" t="s">
        <v>944</v>
      </c>
      <c r="K3" s="651" t="s">
        <v>945</v>
      </c>
      <c r="L3" s="645" t="s">
        <v>946</v>
      </c>
      <c r="M3" s="649" t="s">
        <v>947</v>
      </c>
      <c r="N3" s="651" t="s">
        <v>1</v>
      </c>
      <c r="O3" s="645" t="s">
        <v>948</v>
      </c>
      <c r="P3" s="651" t="s">
        <v>915</v>
      </c>
      <c r="Q3" s="650" t="s">
        <v>949</v>
      </c>
      <c r="R3" s="633" t="s">
        <v>13</v>
      </c>
      <c r="S3" s="617" t="s">
        <v>14</v>
      </c>
      <c r="T3" s="617"/>
      <c r="U3" s="646" t="s">
        <v>15</v>
      </c>
      <c r="V3" s="646" t="s">
        <v>950</v>
      </c>
      <c r="W3" s="617" t="s">
        <v>951</v>
      </c>
      <c r="X3" s="617"/>
      <c r="Y3" s="647" t="s">
        <v>952</v>
      </c>
      <c r="Z3" s="648"/>
      <c r="AA3" s="649" t="s">
        <v>944</v>
      </c>
      <c r="AB3" s="650" t="s">
        <v>953</v>
      </c>
      <c r="AC3" s="633" t="s">
        <v>954</v>
      </c>
    </row>
    <row r="4" spans="1:29">
      <c r="A4" s="617"/>
      <c r="B4" s="617"/>
      <c r="C4" s="617"/>
      <c r="D4" s="617"/>
      <c r="E4" s="655"/>
      <c r="F4" s="617"/>
      <c r="G4" s="655"/>
      <c r="H4" s="646"/>
      <c r="I4" s="645"/>
      <c r="J4" s="649"/>
      <c r="K4" s="651"/>
      <c r="L4" s="645"/>
      <c r="M4" s="649"/>
      <c r="N4" s="651"/>
      <c r="O4" s="645"/>
      <c r="P4" s="651"/>
      <c r="Q4" s="650"/>
      <c r="R4" s="633"/>
      <c r="S4" s="214" t="s">
        <v>18</v>
      </c>
      <c r="T4" s="214" t="s">
        <v>19</v>
      </c>
      <c r="U4" s="646"/>
      <c r="V4" s="646"/>
      <c r="W4" s="214" t="s">
        <v>955</v>
      </c>
      <c r="X4" s="214" t="s">
        <v>956</v>
      </c>
      <c r="Y4" s="648"/>
      <c r="Z4" s="648"/>
      <c r="AA4" s="649"/>
      <c r="AB4" s="650"/>
      <c r="AC4" s="633"/>
    </row>
    <row r="5" spans="1:29">
      <c r="A5" s="644" t="s">
        <v>957</v>
      </c>
      <c r="B5" s="26" t="s">
        <v>36</v>
      </c>
      <c r="C5" s="601" t="s">
        <v>37</v>
      </c>
      <c r="D5" s="601"/>
      <c r="E5" s="26">
        <v>46.93</v>
      </c>
      <c r="F5" s="221">
        <v>978</v>
      </c>
      <c r="G5" s="214">
        <f>E5*F5</f>
        <v>45897.54</v>
      </c>
      <c r="H5" s="21" t="s">
        <v>35</v>
      </c>
      <c r="I5" s="219">
        <v>16</v>
      </c>
      <c r="J5" s="23">
        <v>2000</v>
      </c>
      <c r="K5" s="9">
        <f>J5/I5</f>
        <v>125</v>
      </c>
      <c r="L5" s="219">
        <v>16</v>
      </c>
      <c r="M5" s="10">
        <f>F5/V5*60</f>
        <v>1955.9999999999966</v>
      </c>
      <c r="N5" s="9">
        <f>M5/L5</f>
        <v>122.24999999999979</v>
      </c>
      <c r="O5" s="11">
        <f t="shared" ref="O5:O7" si="0">L5-I5</f>
        <v>0</v>
      </c>
      <c r="P5" s="12">
        <f t="shared" ref="P5:P7" si="1">N5-K5</f>
        <v>-2.7500000000002132</v>
      </c>
      <c r="Q5" s="215">
        <f>N5/K5</f>
        <v>0.97799999999999832</v>
      </c>
      <c r="R5" s="571">
        <f>Q8</f>
        <v>0.96605070993914743</v>
      </c>
      <c r="S5" s="24">
        <v>0.70833333333333337</v>
      </c>
      <c r="T5" s="24">
        <v>0.72916666666666674</v>
      </c>
      <c r="U5" s="214"/>
      <c r="V5" s="220">
        <f>(T5-S5)*24*60</f>
        <v>30.000000000000053</v>
      </c>
      <c r="W5" s="13"/>
      <c r="X5" s="14"/>
      <c r="Y5" s="617"/>
      <c r="Z5" s="617"/>
      <c r="AA5" s="11">
        <f t="shared" ref="AA5:AA60" si="2">M5-J5</f>
        <v>-44.000000000003411</v>
      </c>
      <c r="AB5" s="215">
        <f t="shared" ref="AB5:AB7" si="3">M5/J5</f>
        <v>0.97799999999999832</v>
      </c>
      <c r="AC5" s="571">
        <f>AB8</f>
        <v>0.96605070993914743</v>
      </c>
    </row>
    <row r="6" spans="1:29">
      <c r="A6" s="645" t="s">
        <v>21</v>
      </c>
      <c r="B6" s="26" t="s">
        <v>36</v>
      </c>
      <c r="C6" s="601" t="s">
        <v>38</v>
      </c>
      <c r="D6" s="601"/>
      <c r="E6" s="26">
        <v>50.49</v>
      </c>
      <c r="F6" s="221">
        <v>2174</v>
      </c>
      <c r="G6" s="214">
        <f t="shared" ref="G6:G7" si="4">E6*F6</f>
        <v>109765.26000000001</v>
      </c>
      <c r="H6" s="21" t="s">
        <v>35</v>
      </c>
      <c r="I6" s="219">
        <v>15</v>
      </c>
      <c r="J6" s="23">
        <v>2000</v>
      </c>
      <c r="K6" s="9">
        <f t="shared" ref="K6:K7" si="5">J6/I6</f>
        <v>133.33333333333334</v>
      </c>
      <c r="L6" s="219">
        <v>15</v>
      </c>
      <c r="M6" s="10">
        <f>F6/V6*60</f>
        <v>1918.2352941176446</v>
      </c>
      <c r="N6" s="9">
        <f t="shared" ref="N6:N7" si="6">M6/L6</f>
        <v>127.88235294117631</v>
      </c>
      <c r="O6" s="11">
        <f t="shared" si="0"/>
        <v>0</v>
      </c>
      <c r="P6" s="12">
        <f t="shared" si="1"/>
        <v>-5.4509803921570352</v>
      </c>
      <c r="Q6" s="215">
        <f t="shared" ref="Q6:Q7" si="7">N6/K6</f>
        <v>0.95911764705882219</v>
      </c>
      <c r="R6" s="571"/>
      <c r="S6" s="24">
        <v>0.73333333333333339</v>
      </c>
      <c r="T6" s="24">
        <v>0.78055555555555567</v>
      </c>
      <c r="U6" s="214">
        <f>IF(S6=TIME(17,0,0),"",(S6-T5)*24*60)</f>
        <v>5.9999999999999787</v>
      </c>
      <c r="V6" s="220">
        <f>(T6-S6)*24*60</f>
        <v>68.000000000000085</v>
      </c>
      <c r="W6" s="13"/>
      <c r="X6" s="13"/>
      <c r="Y6" s="617"/>
      <c r="Z6" s="617"/>
      <c r="AA6" s="11">
        <f t="shared" si="2"/>
        <v>-81.764705882355429</v>
      </c>
      <c r="AB6" s="215">
        <f t="shared" si="3"/>
        <v>0.9591176470588223</v>
      </c>
      <c r="AC6" s="571"/>
    </row>
    <row r="7" spans="1:29">
      <c r="A7" s="645" t="s">
        <v>21</v>
      </c>
      <c r="B7" s="26" t="s">
        <v>36</v>
      </c>
      <c r="C7" s="594" t="s">
        <v>39</v>
      </c>
      <c r="D7" s="595"/>
      <c r="E7" s="26">
        <v>50.67</v>
      </c>
      <c r="F7" s="221">
        <v>1858</v>
      </c>
      <c r="G7" s="214">
        <f t="shared" si="4"/>
        <v>94144.86</v>
      </c>
      <c r="H7" s="21" t="s">
        <v>35</v>
      </c>
      <c r="I7" s="219">
        <v>17</v>
      </c>
      <c r="J7" s="23">
        <v>2000</v>
      </c>
      <c r="K7" s="9">
        <f t="shared" si="5"/>
        <v>117.64705882352941</v>
      </c>
      <c r="L7" s="219">
        <v>17</v>
      </c>
      <c r="M7" s="10">
        <f t="shared" ref="M7" si="8">F7/V7*60</f>
        <v>1922.0689655172428</v>
      </c>
      <c r="N7" s="9">
        <f t="shared" si="6"/>
        <v>113.0628803245437</v>
      </c>
      <c r="O7" s="11">
        <f t="shared" si="0"/>
        <v>0</v>
      </c>
      <c r="P7" s="12">
        <f t="shared" si="1"/>
        <v>-4.5841784989857075</v>
      </c>
      <c r="Q7" s="215">
        <f t="shared" si="7"/>
        <v>0.96103448275862147</v>
      </c>
      <c r="R7" s="571"/>
      <c r="S7" s="24">
        <v>0.78541666666666676</v>
      </c>
      <c r="T7" s="24">
        <v>0.82569444444444451</v>
      </c>
      <c r="U7" s="214">
        <f t="shared" ref="U7" si="9">IF(S7=TIME(17,0,0),"",(S7-T6)*24*60)</f>
        <v>6.9999999999999751</v>
      </c>
      <c r="V7" s="220">
        <f t="shared" ref="V7" si="10">(T7-S7)*24*60</f>
        <v>57.999999999999957</v>
      </c>
      <c r="W7" s="13"/>
      <c r="X7" s="13"/>
      <c r="Y7" s="621"/>
      <c r="Z7" s="622"/>
      <c r="AA7" s="11">
        <f t="shared" si="2"/>
        <v>-77.931034482757241</v>
      </c>
      <c r="AB7" s="215">
        <f t="shared" si="3"/>
        <v>0.96103448275862136</v>
      </c>
      <c r="AC7" s="571"/>
    </row>
    <row r="8" spans="1:29">
      <c r="A8" s="645" t="s">
        <v>21</v>
      </c>
      <c r="B8" s="26" t="s">
        <v>22</v>
      </c>
      <c r="C8" s="629"/>
      <c r="D8" s="629"/>
      <c r="E8" s="216"/>
      <c r="F8" s="27"/>
      <c r="G8" s="9"/>
      <c r="H8" s="221"/>
      <c r="I8" s="16">
        <v>16</v>
      </c>
      <c r="J8" s="23">
        <v>2000</v>
      </c>
      <c r="K8" s="9">
        <f>J8/I8</f>
        <v>125</v>
      </c>
      <c r="L8" s="16">
        <v>16</v>
      </c>
      <c r="M8" s="10">
        <f>AVERAGE(M5:M7)</f>
        <v>1932.1014198782948</v>
      </c>
      <c r="N8" s="9">
        <f>M8/L8</f>
        <v>120.75633874239342</v>
      </c>
      <c r="O8" s="11">
        <f>L8-I8</f>
        <v>0</v>
      </c>
      <c r="P8" s="12">
        <f>N8-K8</f>
        <v>-4.2436612576065755</v>
      </c>
      <c r="Q8" s="215">
        <f>N8/K8</f>
        <v>0.96605070993914743</v>
      </c>
      <c r="R8" s="571"/>
      <c r="S8" s="24"/>
      <c r="T8" s="24"/>
      <c r="U8" s="214"/>
      <c r="V8" s="220"/>
      <c r="W8" s="9"/>
      <c r="X8" s="9"/>
      <c r="Y8" s="617"/>
      <c r="Z8" s="617"/>
      <c r="AA8" s="11">
        <f t="shared" si="2"/>
        <v>-67.898580121705209</v>
      </c>
      <c r="AB8" s="215">
        <f>M8/J8</f>
        <v>0.96605070993914743</v>
      </c>
      <c r="AC8" s="571"/>
    </row>
    <row r="9" spans="1:29" ht="15.75" customHeight="1">
      <c r="A9" s="643" t="s">
        <v>169</v>
      </c>
      <c r="B9" s="26" t="s">
        <v>40</v>
      </c>
      <c r="C9" s="594" t="s">
        <v>42</v>
      </c>
      <c r="D9" s="595"/>
      <c r="E9" s="26">
        <v>39.36</v>
      </c>
      <c r="F9" s="221">
        <v>2379</v>
      </c>
      <c r="G9" s="214">
        <f t="shared" ref="G9:G10" si="11">E9*F9</f>
        <v>93637.440000000002</v>
      </c>
      <c r="H9" s="21" t="s">
        <v>35</v>
      </c>
      <c r="I9" s="219">
        <v>20</v>
      </c>
      <c r="J9" s="23">
        <v>1500</v>
      </c>
      <c r="K9" s="9">
        <f t="shared" ref="K9:K10" si="12">J9/I9</f>
        <v>75</v>
      </c>
      <c r="L9" s="219">
        <v>20</v>
      </c>
      <c r="M9" s="10">
        <f t="shared" ref="M9:M10" si="13">F9/V9*60</f>
        <v>1427.3999999999999</v>
      </c>
      <c r="N9" s="9">
        <f t="shared" ref="N9:N10" si="14">M9/L9</f>
        <v>71.36999999999999</v>
      </c>
      <c r="O9" s="11">
        <f t="shared" ref="O9:O10" si="15">L9-I9</f>
        <v>0</v>
      </c>
      <c r="P9" s="12">
        <f>N9-K9</f>
        <v>-3.6300000000000097</v>
      </c>
      <c r="Q9" s="215">
        <f>N9/K9</f>
        <v>0.95159999999999989</v>
      </c>
      <c r="R9" s="571">
        <f>Q11</f>
        <v>0.9523420560747663</v>
      </c>
      <c r="S9" s="24">
        <v>0.20833333333333334</v>
      </c>
      <c r="T9" s="24">
        <v>0.27777777777777779</v>
      </c>
      <c r="U9" s="214"/>
      <c r="V9" s="220">
        <f t="shared" ref="V9:V10" si="16">(T9-S9)*24*60</f>
        <v>100</v>
      </c>
      <c r="W9" s="13"/>
      <c r="X9" s="13"/>
      <c r="Y9" s="617"/>
      <c r="Z9" s="617"/>
      <c r="AA9" s="11">
        <f t="shared" si="2"/>
        <v>-72.600000000000136</v>
      </c>
      <c r="AB9" s="215">
        <f>M9/J9</f>
        <v>0.95159999999999989</v>
      </c>
      <c r="AC9" s="571">
        <f>AB11</f>
        <v>0.9523420560747663</v>
      </c>
    </row>
    <row r="10" spans="1:29" ht="15.75" customHeight="1">
      <c r="A10" s="643" t="s">
        <v>169</v>
      </c>
      <c r="B10" s="26" t="s">
        <v>40</v>
      </c>
      <c r="C10" s="594" t="s">
        <v>41</v>
      </c>
      <c r="D10" s="595"/>
      <c r="E10" s="26">
        <v>39.799999999999997</v>
      </c>
      <c r="F10" s="221">
        <v>5099</v>
      </c>
      <c r="G10" s="214">
        <f t="shared" si="11"/>
        <v>202940.19999999998</v>
      </c>
      <c r="H10" s="21" t="s">
        <v>35</v>
      </c>
      <c r="I10" s="219">
        <v>17</v>
      </c>
      <c r="J10" s="23">
        <v>1500</v>
      </c>
      <c r="K10" s="9">
        <f t="shared" si="12"/>
        <v>88.235294117647058</v>
      </c>
      <c r="L10" s="219">
        <v>17</v>
      </c>
      <c r="M10" s="10">
        <f t="shared" si="13"/>
        <v>1429.6261682242989</v>
      </c>
      <c r="N10" s="9">
        <f t="shared" si="14"/>
        <v>84.095656954370526</v>
      </c>
      <c r="O10" s="11">
        <f t="shared" si="15"/>
        <v>0</v>
      </c>
      <c r="P10" s="12">
        <f t="shared" ref="P10" si="17">N10-K10</f>
        <v>-4.1396371632765323</v>
      </c>
      <c r="Q10" s="215">
        <f t="shared" ref="Q10" si="18">N10/K10</f>
        <v>0.95308411214953259</v>
      </c>
      <c r="R10" s="571"/>
      <c r="S10" s="24">
        <v>0.28125</v>
      </c>
      <c r="T10" s="24">
        <v>0.42986111111111114</v>
      </c>
      <c r="U10" s="214">
        <f>IF(S10=TIME(17,0,0),"",(S10-T9)*24*60)</f>
        <v>4.9999999999999822</v>
      </c>
      <c r="V10" s="220">
        <f t="shared" si="16"/>
        <v>214.00000000000003</v>
      </c>
      <c r="W10" s="13"/>
      <c r="X10" s="13"/>
      <c r="Y10" s="617"/>
      <c r="Z10" s="617"/>
      <c r="AA10" s="11">
        <f t="shared" si="2"/>
        <v>-70.373831775701092</v>
      </c>
      <c r="AB10" s="215">
        <f t="shared" ref="AB10:AB21" si="19">M10/J10</f>
        <v>0.95308411214953259</v>
      </c>
      <c r="AC10" s="571"/>
    </row>
    <row r="11" spans="1:29" ht="16.5" customHeight="1">
      <c r="A11" s="643" t="s">
        <v>169</v>
      </c>
      <c r="B11" s="26" t="s">
        <v>22</v>
      </c>
      <c r="C11" s="629"/>
      <c r="D11" s="629"/>
      <c r="E11" s="216"/>
      <c r="F11" s="23"/>
      <c r="G11" s="10"/>
      <c r="H11" s="221"/>
      <c r="I11" s="16">
        <v>18.5</v>
      </c>
      <c r="J11" s="23">
        <v>1500</v>
      </c>
      <c r="K11" s="9">
        <f>J11/I11</f>
        <v>81.081081081081081</v>
      </c>
      <c r="L11" s="16">
        <v>18.5</v>
      </c>
      <c r="M11" s="10">
        <f>AVERAGE(M9:M10)</f>
        <v>1428.5130841121495</v>
      </c>
      <c r="N11" s="9">
        <f>M11/L11</f>
        <v>77.216923465521589</v>
      </c>
      <c r="O11" s="11">
        <f>L11-I11</f>
        <v>0</v>
      </c>
      <c r="P11" s="12">
        <f>N11-K11</f>
        <v>-3.8641576155594919</v>
      </c>
      <c r="Q11" s="215">
        <f>N11/K11</f>
        <v>0.9523420560747663</v>
      </c>
      <c r="R11" s="571"/>
      <c r="S11" s="24"/>
      <c r="T11" s="24"/>
      <c r="U11" s="9"/>
      <c r="V11" s="220"/>
      <c r="W11" s="9"/>
      <c r="X11" s="9"/>
      <c r="Y11" s="617"/>
      <c r="Z11" s="617"/>
      <c r="AA11" s="11">
        <f t="shared" si="2"/>
        <v>-71.4869158878505</v>
      </c>
      <c r="AB11" s="215">
        <f t="shared" si="19"/>
        <v>0.9523420560747663</v>
      </c>
      <c r="AC11" s="571"/>
    </row>
    <row r="12" spans="1:29" ht="16.5" customHeight="1">
      <c r="A12" s="641" t="s">
        <v>24</v>
      </c>
      <c r="B12" s="221" t="s">
        <v>43</v>
      </c>
      <c r="C12" s="636" t="s">
        <v>44</v>
      </c>
      <c r="D12" s="636"/>
      <c r="E12" s="26">
        <v>41</v>
      </c>
      <c r="F12" s="221">
        <v>2049</v>
      </c>
      <c r="G12" s="214">
        <f t="shared" ref="G12:G15" si="20">E12*F12</f>
        <v>84009</v>
      </c>
      <c r="H12" s="21" t="s">
        <v>35</v>
      </c>
      <c r="I12" s="219">
        <v>26</v>
      </c>
      <c r="J12" s="23">
        <v>1500</v>
      </c>
      <c r="K12" s="9">
        <f>J12/I12</f>
        <v>57.692307692307693</v>
      </c>
      <c r="L12" s="219">
        <v>26</v>
      </c>
      <c r="M12" s="10">
        <f>F12/V12*60</f>
        <v>1429.5348837209308</v>
      </c>
      <c r="N12" s="9">
        <f t="shared" ref="N12:N20" si="21">M12/L12</f>
        <v>54.982110912343494</v>
      </c>
      <c r="O12" s="11">
        <f t="shared" ref="O12" si="22">L12-I12</f>
        <v>0</v>
      </c>
      <c r="P12" s="12">
        <f t="shared" ref="P12" si="23">N12-K12</f>
        <v>-2.7101967799641997</v>
      </c>
      <c r="Q12" s="215">
        <f>N12/K12</f>
        <v>0.95302325581395386</v>
      </c>
      <c r="R12" s="571">
        <f>Q16</f>
        <v>0.9538942221723683</v>
      </c>
      <c r="S12" s="24">
        <v>0.20833333333333334</v>
      </c>
      <c r="T12" s="24">
        <v>0.26805555555555555</v>
      </c>
      <c r="U12" s="214"/>
      <c r="V12" s="220">
        <f>(T12-S12)*24*60</f>
        <v>85.999999999999972</v>
      </c>
      <c r="W12" s="15"/>
      <c r="X12" s="15"/>
      <c r="Y12" s="617"/>
      <c r="Z12" s="617"/>
      <c r="AA12" s="11">
        <f t="shared" si="2"/>
        <v>-70.465116279069207</v>
      </c>
      <c r="AB12" s="215">
        <f t="shared" si="19"/>
        <v>0.95302325581395386</v>
      </c>
      <c r="AC12" s="571">
        <f>AB16</f>
        <v>0.9538942221723683</v>
      </c>
    </row>
    <row r="13" spans="1:29" ht="16.5" customHeight="1">
      <c r="A13" s="642" t="s">
        <v>24</v>
      </c>
      <c r="B13" s="221" t="s">
        <v>40</v>
      </c>
      <c r="C13" s="636" t="s">
        <v>45</v>
      </c>
      <c r="D13" s="636"/>
      <c r="E13" s="26">
        <v>39.619999999999997</v>
      </c>
      <c r="F13" s="221">
        <v>3793</v>
      </c>
      <c r="G13" s="214">
        <f t="shared" si="20"/>
        <v>150278.66</v>
      </c>
      <c r="H13" s="21" t="s">
        <v>35</v>
      </c>
      <c r="I13" s="219">
        <v>19</v>
      </c>
      <c r="J13" s="23">
        <v>1500</v>
      </c>
      <c r="K13" s="9">
        <f>J13/I13</f>
        <v>78.94736842105263</v>
      </c>
      <c r="L13" s="219">
        <v>19</v>
      </c>
      <c r="M13" s="10">
        <f>F13/V13*60</f>
        <v>1431.3207547169811</v>
      </c>
      <c r="N13" s="9">
        <f t="shared" si="21"/>
        <v>75.33267130089375</v>
      </c>
      <c r="O13" s="11">
        <f>L13-I13</f>
        <v>0</v>
      </c>
      <c r="P13" s="12">
        <f>N13-K13</f>
        <v>-3.6146971201588798</v>
      </c>
      <c r="Q13" s="215">
        <f>N13/K13</f>
        <v>0.95421383647798752</v>
      </c>
      <c r="R13" s="571"/>
      <c r="S13" s="24">
        <v>0.2722222222222222</v>
      </c>
      <c r="T13" s="24">
        <v>0.38263888888888886</v>
      </c>
      <c r="U13" s="214">
        <f>IF(S13=TIME(17,0,0),"",(S13-T12)*24*60)</f>
        <v>5.9999999999999787</v>
      </c>
      <c r="V13" s="220">
        <f>(T13-S13)*24*60</f>
        <v>159</v>
      </c>
      <c r="W13" s="13"/>
      <c r="X13" s="13"/>
      <c r="Y13" s="617"/>
      <c r="Z13" s="617"/>
      <c r="AA13" s="11">
        <f t="shared" si="2"/>
        <v>-68.679245283018872</v>
      </c>
      <c r="AB13" s="215">
        <f t="shared" si="19"/>
        <v>0.95421383647798741</v>
      </c>
      <c r="AC13" s="571"/>
    </row>
    <row r="14" spans="1:29" ht="16.5" customHeight="1">
      <c r="A14" s="642" t="s">
        <v>24</v>
      </c>
      <c r="B14" s="221" t="s">
        <v>36</v>
      </c>
      <c r="C14" s="636" t="s">
        <v>49</v>
      </c>
      <c r="D14" s="636"/>
      <c r="E14" s="26">
        <v>50.98</v>
      </c>
      <c r="F14" s="221">
        <v>2739</v>
      </c>
      <c r="G14" s="214">
        <f t="shared" si="20"/>
        <v>139634.22</v>
      </c>
      <c r="H14" s="21" t="s">
        <v>35</v>
      </c>
      <c r="I14" s="219">
        <v>16</v>
      </c>
      <c r="J14" s="23">
        <v>2000</v>
      </c>
      <c r="K14" s="9">
        <f t="shared" ref="K14:K15" si="24">J14/I14</f>
        <v>125</v>
      </c>
      <c r="L14" s="219">
        <v>16</v>
      </c>
      <c r="M14" s="10">
        <f t="shared" ref="M14:M15" si="25">F14/V14*60</f>
        <v>1910.9302325581393</v>
      </c>
      <c r="N14" s="9">
        <f t="shared" si="21"/>
        <v>119.43313953488371</v>
      </c>
      <c r="O14" s="11">
        <f t="shared" ref="O14:O15" si="26">L14-I14</f>
        <v>0</v>
      </c>
      <c r="P14" s="12">
        <f t="shared" ref="P14:P15" si="27">N14-K14</f>
        <v>-5.5668604651162923</v>
      </c>
      <c r="Q14" s="215">
        <f t="shared" ref="Q14:Q20" si="28">N14/K14</f>
        <v>0.95546511627906971</v>
      </c>
      <c r="R14" s="571"/>
      <c r="S14" s="24">
        <v>0.70833333333333337</v>
      </c>
      <c r="T14" s="24">
        <v>0.7680555555555556</v>
      </c>
      <c r="U14" s="214" t="str">
        <f t="shared" ref="U14:U15" si="29">IF(S14=TIME(17,0,0),"",(S14-T13)*24*60)</f>
        <v/>
      </c>
      <c r="V14" s="220">
        <f t="shared" ref="V14:V15" si="30">(T14-S14)*24*60</f>
        <v>86.000000000000014</v>
      </c>
      <c r="W14" s="13"/>
      <c r="X14" s="13"/>
      <c r="Y14" s="617"/>
      <c r="Z14" s="617"/>
      <c r="AA14" s="11">
        <f t="shared" si="2"/>
        <v>-89.069767441860677</v>
      </c>
      <c r="AB14" s="215">
        <f t="shared" si="19"/>
        <v>0.95546511627906971</v>
      </c>
      <c r="AC14" s="571"/>
    </row>
    <row r="15" spans="1:29" ht="16.5" customHeight="1">
      <c r="A15" s="642" t="s">
        <v>24</v>
      </c>
      <c r="B15" s="221" t="s">
        <v>36</v>
      </c>
      <c r="C15" s="636" t="s">
        <v>50</v>
      </c>
      <c r="D15" s="636"/>
      <c r="E15" s="26">
        <v>50.92</v>
      </c>
      <c r="F15" s="221">
        <v>3017</v>
      </c>
      <c r="G15" s="214">
        <f t="shared" si="20"/>
        <v>153625.64000000001</v>
      </c>
      <c r="H15" s="21" t="s">
        <v>35</v>
      </c>
      <c r="I15" s="219">
        <v>15</v>
      </c>
      <c r="J15" s="23">
        <v>2000</v>
      </c>
      <c r="K15" s="9">
        <f t="shared" si="24"/>
        <v>133.33333333333334</v>
      </c>
      <c r="L15" s="219">
        <v>15</v>
      </c>
      <c r="M15" s="10">
        <f t="shared" si="25"/>
        <v>1905.4736842105267</v>
      </c>
      <c r="N15" s="9">
        <f t="shared" si="21"/>
        <v>127.03157894736844</v>
      </c>
      <c r="O15" s="11">
        <f t="shared" si="26"/>
        <v>0</v>
      </c>
      <c r="P15" s="12">
        <f t="shared" si="27"/>
        <v>-6.3017543859648981</v>
      </c>
      <c r="Q15" s="215">
        <f t="shared" si="28"/>
        <v>0.95273684210526322</v>
      </c>
      <c r="R15" s="571"/>
      <c r="S15" s="24">
        <v>0.7729166666666667</v>
      </c>
      <c r="T15" s="24">
        <v>0.83888888888888891</v>
      </c>
      <c r="U15" s="214">
        <f t="shared" si="29"/>
        <v>6.9999999999999751</v>
      </c>
      <c r="V15" s="220">
        <f t="shared" si="30"/>
        <v>94.999999999999986</v>
      </c>
      <c r="W15" s="13"/>
      <c r="X15" s="13"/>
      <c r="Y15" s="617"/>
      <c r="Z15" s="617"/>
      <c r="AA15" s="11">
        <f t="shared" si="2"/>
        <v>-94.526315789473301</v>
      </c>
      <c r="AB15" s="215">
        <f t="shared" si="19"/>
        <v>0.95273684210526333</v>
      </c>
      <c r="AC15" s="571"/>
    </row>
    <row r="16" spans="1:29" ht="16.5" customHeight="1">
      <c r="A16" s="642" t="s">
        <v>24</v>
      </c>
      <c r="B16" s="26" t="s">
        <v>22</v>
      </c>
      <c r="C16" s="629"/>
      <c r="D16" s="629"/>
      <c r="E16" s="216"/>
      <c r="F16" s="27"/>
      <c r="G16" s="9"/>
      <c r="H16" s="221"/>
      <c r="I16" s="16">
        <v>19</v>
      </c>
      <c r="J16" s="23">
        <v>1750</v>
      </c>
      <c r="K16" s="9">
        <f>J16/I16</f>
        <v>92.10526315789474</v>
      </c>
      <c r="L16" s="16">
        <v>19</v>
      </c>
      <c r="M16" s="10">
        <f>AVERAGE(M12:M15)</f>
        <v>1669.3148888016444</v>
      </c>
      <c r="N16" s="9">
        <f t="shared" si="21"/>
        <v>87.85867835798129</v>
      </c>
      <c r="O16" s="11">
        <f>L16-I16</f>
        <v>0</v>
      </c>
      <c r="P16" s="12">
        <f>N16-K16</f>
        <v>-4.2465847999134496</v>
      </c>
      <c r="Q16" s="215">
        <f t="shared" si="28"/>
        <v>0.9538942221723683</v>
      </c>
      <c r="R16" s="571"/>
      <c r="S16" s="24"/>
      <c r="T16" s="24"/>
      <c r="U16" s="214"/>
      <c r="V16" s="220"/>
      <c r="W16" s="9"/>
      <c r="X16" s="9"/>
      <c r="Y16" s="617"/>
      <c r="Z16" s="617"/>
      <c r="AA16" s="11">
        <f t="shared" si="2"/>
        <v>-80.685111198355571</v>
      </c>
      <c r="AB16" s="215">
        <f t="shared" si="19"/>
        <v>0.9538942221723683</v>
      </c>
      <c r="AC16" s="571"/>
    </row>
    <row r="17" spans="1:29" ht="15.75" customHeight="1">
      <c r="A17" s="639" t="s">
        <v>26</v>
      </c>
      <c r="B17" s="26" t="s">
        <v>43</v>
      </c>
      <c r="C17" s="636" t="s">
        <v>51</v>
      </c>
      <c r="D17" s="636"/>
      <c r="E17" s="26">
        <v>43.14</v>
      </c>
      <c r="F17" s="221">
        <v>1076</v>
      </c>
      <c r="G17" s="214">
        <f t="shared" ref="G17:G20" si="31">E17*F17</f>
        <v>46418.64</v>
      </c>
      <c r="H17" s="21" t="s">
        <v>35</v>
      </c>
      <c r="I17" s="219">
        <v>17</v>
      </c>
      <c r="J17" s="23">
        <v>2000</v>
      </c>
      <c r="K17" s="9">
        <f t="shared" ref="K17:K21" si="32">J17/I17</f>
        <v>117.64705882352941</v>
      </c>
      <c r="L17" s="219">
        <v>17</v>
      </c>
      <c r="M17" s="10">
        <f t="shared" ref="M17:M20" si="33">F17/V17*60</f>
        <v>1956.3636363636365</v>
      </c>
      <c r="N17" s="9">
        <f t="shared" si="21"/>
        <v>115.08021390374333</v>
      </c>
      <c r="O17" s="11">
        <f t="shared" ref="O17:O20" si="34">L17-I17</f>
        <v>0</v>
      </c>
      <c r="P17" s="12">
        <f t="shared" ref="P17:P20" si="35">N17-K17</f>
        <v>-2.5668449197860781</v>
      </c>
      <c r="Q17" s="215">
        <f t="shared" si="28"/>
        <v>0.97818181818181837</v>
      </c>
      <c r="R17" s="571">
        <f>Q21</f>
        <v>0.96418044971481098</v>
      </c>
      <c r="S17" s="24">
        <v>0.20833333333333334</v>
      </c>
      <c r="T17" s="24">
        <v>0.23125000000000001</v>
      </c>
      <c r="U17" s="214"/>
      <c r="V17" s="220">
        <f>(T17-S17)*24*60</f>
        <v>33</v>
      </c>
      <c r="W17" s="15"/>
      <c r="X17" s="15"/>
      <c r="Y17" s="617"/>
      <c r="Z17" s="617"/>
      <c r="AA17" s="11">
        <f t="shared" si="2"/>
        <v>-43.636363636363512</v>
      </c>
      <c r="AB17" s="215">
        <f t="shared" si="19"/>
        <v>0.97818181818181826</v>
      </c>
      <c r="AC17" s="571">
        <f>AB21</f>
        <v>0.96418044971481109</v>
      </c>
    </row>
    <row r="18" spans="1:29" ht="15.75" customHeight="1">
      <c r="A18" s="640" t="s">
        <v>26</v>
      </c>
      <c r="B18" s="26" t="s">
        <v>36</v>
      </c>
      <c r="C18" s="636" t="s">
        <v>53</v>
      </c>
      <c r="D18" s="636"/>
      <c r="E18" s="26">
        <v>53.68</v>
      </c>
      <c r="F18" s="221">
        <v>1699</v>
      </c>
      <c r="G18" s="214">
        <f t="shared" si="31"/>
        <v>91202.319999999992</v>
      </c>
      <c r="H18" s="21" t="s">
        <v>35</v>
      </c>
      <c r="I18" s="219">
        <v>16</v>
      </c>
      <c r="J18" s="23">
        <v>2000</v>
      </c>
      <c r="K18" s="9">
        <f t="shared" si="32"/>
        <v>125</v>
      </c>
      <c r="L18" s="219">
        <v>16</v>
      </c>
      <c r="M18" s="10">
        <f t="shared" si="33"/>
        <v>1923.3962264150937</v>
      </c>
      <c r="N18" s="9">
        <f t="shared" si="21"/>
        <v>120.21226415094335</v>
      </c>
      <c r="O18" s="11">
        <f t="shared" si="34"/>
        <v>0</v>
      </c>
      <c r="P18" s="12">
        <f t="shared" si="35"/>
        <v>-4.7877358490566451</v>
      </c>
      <c r="Q18" s="215">
        <f t="shared" si="28"/>
        <v>0.96169811320754683</v>
      </c>
      <c r="R18" s="571"/>
      <c r="S18" s="24">
        <v>0.23611111111111113</v>
      </c>
      <c r="T18" s="24">
        <v>0.2729166666666667</v>
      </c>
      <c r="U18" s="214">
        <f>IF(S18=TIME(17,0,0),"",(S18-T17)*24*60)</f>
        <v>7.0000000000000151</v>
      </c>
      <c r="V18" s="220">
        <f t="shared" ref="V18:V20" si="36">(T18-S18)*24*60</f>
        <v>53.000000000000014</v>
      </c>
      <c r="W18" s="13"/>
      <c r="X18" s="214"/>
      <c r="Y18" s="617"/>
      <c r="Z18" s="617"/>
      <c r="AA18" s="11">
        <f t="shared" si="2"/>
        <v>-76.603773584906321</v>
      </c>
      <c r="AB18" s="215">
        <f t="shared" si="19"/>
        <v>0.96169811320754683</v>
      </c>
      <c r="AC18" s="571"/>
    </row>
    <row r="19" spans="1:29" ht="15.75" customHeight="1">
      <c r="A19" s="640" t="s">
        <v>26</v>
      </c>
      <c r="B19" s="26" t="s">
        <v>36</v>
      </c>
      <c r="C19" s="636" t="s">
        <v>52</v>
      </c>
      <c r="D19" s="636"/>
      <c r="E19" s="26">
        <v>57.73</v>
      </c>
      <c r="F19" s="221">
        <v>2567</v>
      </c>
      <c r="G19" s="214">
        <f t="shared" si="31"/>
        <v>148192.91</v>
      </c>
      <c r="H19" s="21" t="s">
        <v>35</v>
      </c>
      <c r="I19" s="219">
        <v>15</v>
      </c>
      <c r="J19" s="23">
        <v>2000</v>
      </c>
      <c r="K19" s="9">
        <f t="shared" si="32"/>
        <v>133.33333333333334</v>
      </c>
      <c r="L19" s="219">
        <v>15</v>
      </c>
      <c r="M19" s="10">
        <f t="shared" si="33"/>
        <v>1925.2499999999995</v>
      </c>
      <c r="N19" s="9">
        <f t="shared" si="21"/>
        <v>128.34999999999997</v>
      </c>
      <c r="O19" s="11">
        <f t="shared" si="34"/>
        <v>0</v>
      </c>
      <c r="P19" s="12">
        <f t="shared" si="35"/>
        <v>-4.9833333333333769</v>
      </c>
      <c r="Q19" s="215">
        <f t="shared" si="28"/>
        <v>0.96262499999999973</v>
      </c>
      <c r="R19" s="571"/>
      <c r="S19" s="24">
        <v>0.27638888888888891</v>
      </c>
      <c r="T19" s="24">
        <v>0.33194444444444449</v>
      </c>
      <c r="U19" s="214">
        <f t="shared" ref="U19:U20" si="37">IF(S19=TIME(17,0,0),"",(S19-T18)*24*60)</f>
        <v>4.9999999999999822</v>
      </c>
      <c r="V19" s="220">
        <f t="shared" si="36"/>
        <v>80.000000000000028</v>
      </c>
      <c r="W19" s="13"/>
      <c r="X19" s="214"/>
      <c r="Y19" s="617"/>
      <c r="Z19" s="617"/>
      <c r="AA19" s="11">
        <f t="shared" si="2"/>
        <v>-74.750000000000455</v>
      </c>
      <c r="AB19" s="215">
        <f t="shared" si="19"/>
        <v>0.96262499999999973</v>
      </c>
      <c r="AC19" s="571"/>
    </row>
    <row r="20" spans="1:29" ht="15.75" customHeight="1">
      <c r="A20" s="640" t="s">
        <v>26</v>
      </c>
      <c r="B20" s="26" t="s">
        <v>36</v>
      </c>
      <c r="C20" s="636" t="s">
        <v>55</v>
      </c>
      <c r="D20" s="636"/>
      <c r="E20" s="26">
        <v>54.09</v>
      </c>
      <c r="F20" s="221">
        <v>2640</v>
      </c>
      <c r="G20" s="214">
        <f t="shared" si="31"/>
        <v>142797.6</v>
      </c>
      <c r="H20" s="21" t="s">
        <v>35</v>
      </c>
      <c r="I20" s="219">
        <v>19</v>
      </c>
      <c r="J20" s="23">
        <v>2000</v>
      </c>
      <c r="K20" s="9">
        <f t="shared" si="32"/>
        <v>105.26315789473684</v>
      </c>
      <c r="L20" s="219">
        <v>19</v>
      </c>
      <c r="M20" s="10">
        <f t="shared" si="33"/>
        <v>1908.4337349397586</v>
      </c>
      <c r="N20" s="9">
        <f t="shared" si="21"/>
        <v>100.44388078630308</v>
      </c>
      <c r="O20" s="11">
        <f t="shared" si="34"/>
        <v>0</v>
      </c>
      <c r="P20" s="12">
        <f t="shared" si="35"/>
        <v>-4.8192771084337522</v>
      </c>
      <c r="Q20" s="215">
        <f t="shared" si="28"/>
        <v>0.95421686746987933</v>
      </c>
      <c r="R20" s="571"/>
      <c r="S20" s="24">
        <v>0.70833333333333337</v>
      </c>
      <c r="T20" s="24">
        <v>0.76597222222222228</v>
      </c>
      <c r="U20" s="214" t="str">
        <f t="shared" si="37"/>
        <v/>
      </c>
      <c r="V20" s="220">
        <f t="shared" si="36"/>
        <v>83.000000000000028</v>
      </c>
      <c r="W20" s="13"/>
      <c r="X20" s="214"/>
      <c r="Y20" s="617"/>
      <c r="Z20" s="617"/>
      <c r="AA20" s="11">
        <f t="shared" si="2"/>
        <v>-91.566265060241449</v>
      </c>
      <c r="AB20" s="215">
        <f t="shared" si="19"/>
        <v>0.95421686746987933</v>
      </c>
      <c r="AC20" s="571"/>
    </row>
    <row r="21" spans="1:29" ht="15.75" customHeight="1">
      <c r="A21" s="640" t="s">
        <v>26</v>
      </c>
      <c r="B21" s="26" t="s">
        <v>22</v>
      </c>
      <c r="C21" s="629"/>
      <c r="D21" s="629"/>
      <c r="E21" s="216"/>
      <c r="F21" s="221"/>
      <c r="G21" s="214"/>
      <c r="H21" s="221"/>
      <c r="I21" s="16">
        <v>16.75</v>
      </c>
      <c r="J21" s="23">
        <v>2000</v>
      </c>
      <c r="K21" s="9">
        <f t="shared" si="32"/>
        <v>119.40298507462687</v>
      </c>
      <c r="L21" s="16">
        <v>16.75</v>
      </c>
      <c r="M21" s="10">
        <f>AVERAGE(M17:M20)</f>
        <v>1928.3608994296221</v>
      </c>
      <c r="N21" s="9">
        <f>M21/L21</f>
        <v>115.1260238465446</v>
      </c>
      <c r="O21" s="11">
        <f>L21-I21</f>
        <v>0</v>
      </c>
      <c r="P21" s="12">
        <f>N21-K21</f>
        <v>-4.2769612280822713</v>
      </c>
      <c r="Q21" s="215">
        <f>N21/K21</f>
        <v>0.96418044971481098</v>
      </c>
      <c r="R21" s="571"/>
      <c r="S21" s="24"/>
      <c r="T21" s="24"/>
      <c r="U21" s="9"/>
      <c r="V21" s="220"/>
      <c r="W21" s="9"/>
      <c r="X21" s="9"/>
      <c r="Y21" s="617"/>
      <c r="Z21" s="617"/>
      <c r="AA21" s="11">
        <f t="shared" si="2"/>
        <v>-71.639100570377877</v>
      </c>
      <c r="AB21" s="215">
        <f t="shared" si="19"/>
        <v>0.96418044971481109</v>
      </c>
      <c r="AC21" s="571"/>
    </row>
    <row r="22" spans="1:29" ht="15.75" customHeight="1">
      <c r="A22" s="635" t="s">
        <v>28</v>
      </c>
      <c r="B22" s="26" t="s">
        <v>46</v>
      </c>
      <c r="C22" s="636" t="s">
        <v>60</v>
      </c>
      <c r="D22" s="636"/>
      <c r="E22" s="26">
        <v>26.2</v>
      </c>
      <c r="F22" s="221">
        <v>3273</v>
      </c>
      <c r="G22" s="214">
        <f t="shared" ref="G22:G26" si="38">E22*F22</f>
        <v>85752.599999999991</v>
      </c>
      <c r="H22" s="21" t="s">
        <v>35</v>
      </c>
      <c r="I22" s="219">
        <v>19</v>
      </c>
      <c r="J22" s="23">
        <v>2400</v>
      </c>
      <c r="K22" s="9">
        <f>J22/I22</f>
        <v>126.31578947368421</v>
      </c>
      <c r="L22" s="219">
        <v>19</v>
      </c>
      <c r="M22" s="10">
        <f t="shared" ref="M22:M26" si="39">F22/V22*60</f>
        <v>2283.4883720930238</v>
      </c>
      <c r="N22" s="9">
        <f t="shared" ref="N22:N26" si="40">M22/L22</f>
        <v>120.18359853121179</v>
      </c>
      <c r="O22" s="11">
        <f t="shared" ref="O22:O26" si="41">L22-I22</f>
        <v>0</v>
      </c>
      <c r="P22" s="12">
        <f t="shared" ref="P22:P26" si="42">N22-K22</f>
        <v>-6.1321909424724197</v>
      </c>
      <c r="Q22" s="215">
        <f t="shared" ref="Q22:Q26" si="43">N22/K22</f>
        <v>0.95145348837209331</v>
      </c>
      <c r="R22" s="571">
        <f>Q27</f>
        <v>0.95466908316852117</v>
      </c>
      <c r="S22" s="24">
        <v>8.3333333333333329E-2</v>
      </c>
      <c r="T22" s="24">
        <v>0.14305555555555555</v>
      </c>
      <c r="U22" s="214"/>
      <c r="V22" s="220">
        <f t="shared" ref="V22:V26" si="44">(T22-S22)*24*60</f>
        <v>85.999999999999986</v>
      </c>
      <c r="W22" s="13">
        <f>T22</f>
        <v>0.14305555555555555</v>
      </c>
      <c r="X22" s="13">
        <f>S23</f>
        <v>0.16388888888888889</v>
      </c>
      <c r="Y22" s="617"/>
      <c r="Z22" s="617"/>
      <c r="AA22" s="11">
        <f t="shared" si="2"/>
        <v>-116.51162790697617</v>
      </c>
      <c r="AB22" s="215">
        <f>M22/J22</f>
        <v>0.95145348837209331</v>
      </c>
      <c r="AC22" s="571">
        <f>AB27</f>
        <v>0.95466908316852117</v>
      </c>
    </row>
    <row r="23" spans="1:29" ht="15.75" customHeight="1">
      <c r="A23" s="635" t="s">
        <v>28</v>
      </c>
      <c r="B23" s="26" t="s">
        <v>46</v>
      </c>
      <c r="C23" s="636" t="s">
        <v>61</v>
      </c>
      <c r="D23" s="636"/>
      <c r="E23" s="26">
        <v>31.29</v>
      </c>
      <c r="F23" s="221">
        <v>6746</v>
      </c>
      <c r="G23" s="214">
        <f t="shared" si="38"/>
        <v>211082.34</v>
      </c>
      <c r="H23" s="21" t="s">
        <v>35</v>
      </c>
      <c r="I23" s="219">
        <v>18</v>
      </c>
      <c r="J23" s="23">
        <v>2400</v>
      </c>
      <c r="K23" s="9">
        <f t="shared" ref="K23:K27" si="45">J23/I23</f>
        <v>133.33333333333334</v>
      </c>
      <c r="L23" s="219">
        <v>18</v>
      </c>
      <c r="M23" s="10">
        <f t="shared" si="39"/>
        <v>2286.7796610169498</v>
      </c>
      <c r="N23" s="9">
        <f t="shared" si="40"/>
        <v>127.04331450094166</v>
      </c>
      <c r="O23" s="11">
        <f t="shared" si="41"/>
        <v>0</v>
      </c>
      <c r="P23" s="12">
        <f t="shared" si="42"/>
        <v>-6.2900188323916808</v>
      </c>
      <c r="Q23" s="215">
        <f t="shared" si="43"/>
        <v>0.95282485875706235</v>
      </c>
      <c r="R23" s="571"/>
      <c r="S23" s="24">
        <v>0.16388888888888889</v>
      </c>
      <c r="T23" s="24">
        <v>0.28680555555555554</v>
      </c>
      <c r="U23" s="214">
        <f>(S23-T22)*24*60</f>
        <v>30.000000000000014</v>
      </c>
      <c r="V23" s="220">
        <f t="shared" si="44"/>
        <v>176.99999999999994</v>
      </c>
      <c r="W23" s="13"/>
      <c r="X23" s="13"/>
      <c r="Y23" s="617"/>
      <c r="Z23" s="617"/>
      <c r="AA23" s="11">
        <f t="shared" si="2"/>
        <v>-113.22033898305017</v>
      </c>
      <c r="AB23" s="215">
        <f t="shared" ref="AB23:AB26" si="46">M23/J23</f>
        <v>0.95282485875706247</v>
      </c>
      <c r="AC23" s="571"/>
    </row>
    <row r="24" spans="1:29" ht="15.75" customHeight="1">
      <c r="A24" s="635" t="s">
        <v>28</v>
      </c>
      <c r="B24" s="26" t="s">
        <v>46</v>
      </c>
      <c r="C24" s="636" t="s">
        <v>59</v>
      </c>
      <c r="D24" s="636"/>
      <c r="E24" s="26">
        <v>26.18</v>
      </c>
      <c r="F24" s="221">
        <v>2921</v>
      </c>
      <c r="G24" s="214">
        <f t="shared" si="38"/>
        <v>76471.78</v>
      </c>
      <c r="H24" s="21" t="s">
        <v>35</v>
      </c>
      <c r="I24" s="219">
        <v>19</v>
      </c>
      <c r="J24" s="23">
        <v>2400</v>
      </c>
      <c r="K24" s="9">
        <f t="shared" si="45"/>
        <v>126.31578947368421</v>
      </c>
      <c r="L24" s="219">
        <v>19</v>
      </c>
      <c r="M24" s="10">
        <f t="shared" si="39"/>
        <v>2306.052631578948</v>
      </c>
      <c r="N24" s="9">
        <f t="shared" si="40"/>
        <v>121.37119113573411</v>
      </c>
      <c r="O24" s="11">
        <f t="shared" si="41"/>
        <v>0</v>
      </c>
      <c r="P24" s="12">
        <f t="shared" si="42"/>
        <v>-4.9445983379500973</v>
      </c>
      <c r="Q24" s="215">
        <f t="shared" si="43"/>
        <v>0.96085526315789505</v>
      </c>
      <c r="R24" s="571"/>
      <c r="S24" s="24">
        <v>0.29166666666666663</v>
      </c>
      <c r="T24" s="24">
        <v>0.34444444444444439</v>
      </c>
      <c r="U24" s="214">
        <f t="shared" ref="U24:U26" si="47">(S24-T23)*24*60</f>
        <v>6.9999999999999751</v>
      </c>
      <c r="V24" s="220">
        <f t="shared" si="44"/>
        <v>75.999999999999972</v>
      </c>
      <c r="W24" s="13"/>
      <c r="X24" s="13"/>
      <c r="Y24" s="617"/>
      <c r="Z24" s="617"/>
      <c r="AA24" s="11">
        <f t="shared" si="2"/>
        <v>-93.947368421052033</v>
      </c>
      <c r="AB24" s="215">
        <f t="shared" si="46"/>
        <v>0.96085526315789493</v>
      </c>
      <c r="AC24" s="571"/>
    </row>
    <row r="25" spans="1:29" ht="15.75" customHeight="1">
      <c r="A25" s="635" t="s">
        <v>28</v>
      </c>
      <c r="B25" s="26" t="s">
        <v>46</v>
      </c>
      <c r="C25" s="636" t="s">
        <v>56</v>
      </c>
      <c r="D25" s="636"/>
      <c r="E25" s="26">
        <v>26.2</v>
      </c>
      <c r="F25" s="221">
        <v>3671</v>
      </c>
      <c r="G25" s="214">
        <f t="shared" si="38"/>
        <v>96180.2</v>
      </c>
      <c r="H25" s="21" t="s">
        <v>35</v>
      </c>
      <c r="I25" s="219">
        <v>20</v>
      </c>
      <c r="J25" s="23">
        <v>2400</v>
      </c>
      <c r="K25" s="9">
        <f t="shared" si="45"/>
        <v>120</v>
      </c>
      <c r="L25" s="219">
        <v>20</v>
      </c>
      <c r="M25" s="10">
        <f t="shared" si="39"/>
        <v>2294.3750000000005</v>
      </c>
      <c r="N25" s="9">
        <f t="shared" si="40"/>
        <v>114.71875000000003</v>
      </c>
      <c r="O25" s="11">
        <f t="shared" si="41"/>
        <v>0</v>
      </c>
      <c r="P25" s="12">
        <f t="shared" si="42"/>
        <v>-5.2812499999999716</v>
      </c>
      <c r="Q25" s="215">
        <f t="shared" si="43"/>
        <v>0.95598958333333361</v>
      </c>
      <c r="R25" s="571"/>
      <c r="S25" s="24">
        <v>0.34999999999999992</v>
      </c>
      <c r="T25" s="24">
        <v>0.41666666666666657</v>
      </c>
      <c r="U25" s="214">
        <f t="shared" si="47"/>
        <v>7.9999999999999716</v>
      </c>
      <c r="V25" s="220">
        <f t="shared" si="44"/>
        <v>95.999999999999972</v>
      </c>
      <c r="W25" s="13"/>
      <c r="X25" s="13"/>
      <c r="Y25" s="617"/>
      <c r="Z25" s="617"/>
      <c r="AA25" s="11">
        <f t="shared" si="2"/>
        <v>-105.62499999999955</v>
      </c>
      <c r="AB25" s="215">
        <f t="shared" si="46"/>
        <v>0.9559895833333335</v>
      </c>
      <c r="AC25" s="571"/>
    </row>
    <row r="26" spans="1:29" ht="15.75" customHeight="1">
      <c r="A26" s="635" t="s">
        <v>28</v>
      </c>
      <c r="B26" s="26" t="s">
        <v>46</v>
      </c>
      <c r="C26" s="636" t="s">
        <v>62</v>
      </c>
      <c r="D26" s="636"/>
      <c r="E26" s="26">
        <v>25</v>
      </c>
      <c r="F26" s="221">
        <v>3428</v>
      </c>
      <c r="G26" s="214">
        <f t="shared" si="38"/>
        <v>85700</v>
      </c>
      <c r="H26" s="21" t="s">
        <v>35</v>
      </c>
      <c r="I26" s="219">
        <v>15</v>
      </c>
      <c r="J26" s="23">
        <v>2400</v>
      </c>
      <c r="K26" s="9">
        <f t="shared" si="45"/>
        <v>160</v>
      </c>
      <c r="L26" s="219">
        <v>15</v>
      </c>
      <c r="M26" s="10">
        <f t="shared" si="39"/>
        <v>2285.3333333333335</v>
      </c>
      <c r="N26" s="9">
        <f t="shared" si="40"/>
        <v>152.35555555555555</v>
      </c>
      <c r="O26" s="11">
        <f t="shared" si="41"/>
        <v>0</v>
      </c>
      <c r="P26" s="12">
        <f t="shared" si="42"/>
        <v>-7.6444444444444457</v>
      </c>
      <c r="Q26" s="215">
        <f t="shared" si="43"/>
        <v>0.95222222222222219</v>
      </c>
      <c r="R26" s="571"/>
      <c r="S26" s="24">
        <v>0.42152777777777767</v>
      </c>
      <c r="T26" s="24">
        <v>0.48402777777777767</v>
      </c>
      <c r="U26" s="214">
        <f t="shared" si="47"/>
        <v>6.9999999999999751</v>
      </c>
      <c r="V26" s="220">
        <f t="shared" si="44"/>
        <v>90</v>
      </c>
      <c r="W26" s="13"/>
      <c r="X26" s="13"/>
      <c r="Y26" s="617"/>
      <c r="Z26" s="617"/>
      <c r="AA26" s="11">
        <f t="shared" si="2"/>
        <v>-114.66666666666652</v>
      </c>
      <c r="AB26" s="215">
        <f t="shared" si="46"/>
        <v>0.9522222222222223</v>
      </c>
      <c r="AC26" s="571"/>
    </row>
    <row r="27" spans="1:29" ht="15.75" customHeight="1">
      <c r="A27" s="635" t="s">
        <v>28</v>
      </c>
      <c r="B27" s="26" t="s">
        <v>22</v>
      </c>
      <c r="C27" s="629"/>
      <c r="D27" s="629"/>
      <c r="E27" s="216"/>
      <c r="F27" s="221"/>
      <c r="G27" s="214"/>
      <c r="H27" s="221"/>
      <c r="I27" s="16">
        <v>18.2</v>
      </c>
      <c r="J27" s="23">
        <v>2400</v>
      </c>
      <c r="K27" s="9">
        <f t="shared" si="45"/>
        <v>131.86813186813188</v>
      </c>
      <c r="L27" s="16">
        <v>18.2</v>
      </c>
      <c r="M27" s="10">
        <f>AVERAGE(M22:M26)</f>
        <v>2291.2057996044509</v>
      </c>
      <c r="N27" s="9">
        <f>M27/L27</f>
        <v>125.89042854969512</v>
      </c>
      <c r="O27" s="11">
        <f>L27-I27</f>
        <v>0</v>
      </c>
      <c r="P27" s="12">
        <f>N27-K27</f>
        <v>-5.9777033184367667</v>
      </c>
      <c r="Q27" s="215">
        <f>N27/K27</f>
        <v>0.95466908316852117</v>
      </c>
      <c r="R27" s="571"/>
      <c r="S27" s="24"/>
      <c r="T27" s="24"/>
      <c r="U27" s="214"/>
      <c r="V27" s="220"/>
      <c r="W27" s="214"/>
      <c r="X27" s="214"/>
      <c r="Y27" s="617"/>
      <c r="Z27" s="617"/>
      <c r="AA27" s="11">
        <f t="shared" si="2"/>
        <v>-108.79420039554907</v>
      </c>
      <c r="AB27" s="215">
        <f>M27/J27</f>
        <v>0.95466908316852117</v>
      </c>
      <c r="AC27" s="571"/>
    </row>
    <row r="28" spans="1:29" ht="15.75" customHeight="1">
      <c r="A28" s="637" t="s">
        <v>181</v>
      </c>
      <c r="B28" s="26" t="s">
        <v>46</v>
      </c>
      <c r="C28" s="616" t="s">
        <v>63</v>
      </c>
      <c r="D28" s="616"/>
      <c r="E28" s="26">
        <v>26.2</v>
      </c>
      <c r="F28" s="221">
        <v>4931</v>
      </c>
      <c r="G28" s="214">
        <f t="shared" ref="G28:G32" si="48">E28*F28</f>
        <v>129192.2</v>
      </c>
      <c r="H28" s="21" t="s">
        <v>35</v>
      </c>
      <c r="I28" s="219">
        <v>18</v>
      </c>
      <c r="J28" s="23">
        <v>2400</v>
      </c>
      <c r="K28" s="9">
        <f>J28/I28</f>
        <v>133.33333333333334</v>
      </c>
      <c r="L28" s="219">
        <v>18</v>
      </c>
      <c r="M28" s="10">
        <f>F28/V28*60</f>
        <v>2293.4883720930234</v>
      </c>
      <c r="N28" s="9">
        <f>M28/L28</f>
        <v>127.41602067183463</v>
      </c>
      <c r="O28" s="11">
        <f t="shared" ref="O28:O32" si="49">L28-I28</f>
        <v>0</v>
      </c>
      <c r="P28" s="12">
        <f t="shared" ref="P28:P40" si="50">N28-K28</f>
        <v>-5.9173126614987126</v>
      </c>
      <c r="Q28" s="215">
        <f t="shared" ref="Q28:Q37" si="51">N28/K28</f>
        <v>0.95562015503875963</v>
      </c>
      <c r="R28" s="571">
        <f>Q33</f>
        <v>0.9588698113172982</v>
      </c>
      <c r="S28" s="24">
        <v>8.3333333333333329E-2</v>
      </c>
      <c r="T28" s="24">
        <v>0.17291666666666666</v>
      </c>
      <c r="U28" s="214"/>
      <c r="V28" s="220">
        <f t="shared" ref="V28:V32" si="52">(T28-S28)*24*60</f>
        <v>129</v>
      </c>
      <c r="W28" s="15">
        <f>T28</f>
        <v>0.17291666666666666</v>
      </c>
      <c r="X28" s="15">
        <f>S29</f>
        <v>0.19236111111111112</v>
      </c>
      <c r="Y28" s="617"/>
      <c r="Z28" s="617"/>
      <c r="AA28" s="11">
        <f t="shared" si="2"/>
        <v>-106.51162790697663</v>
      </c>
      <c r="AB28" s="215">
        <f>M28/J28</f>
        <v>0.95562015503875974</v>
      </c>
      <c r="AC28" s="571">
        <f>AB33</f>
        <v>0.95886981131729798</v>
      </c>
    </row>
    <row r="29" spans="1:29" ht="15.75" customHeight="1">
      <c r="A29" s="637" t="s">
        <v>181</v>
      </c>
      <c r="B29" s="26" t="s">
        <v>46</v>
      </c>
      <c r="C29" s="616" t="s">
        <v>64</v>
      </c>
      <c r="D29" s="616"/>
      <c r="E29" s="26">
        <v>26.39</v>
      </c>
      <c r="F29" s="221">
        <v>4728</v>
      </c>
      <c r="G29" s="214">
        <f t="shared" si="48"/>
        <v>124771.92</v>
      </c>
      <c r="H29" s="21" t="s">
        <v>35</v>
      </c>
      <c r="I29" s="219">
        <v>19</v>
      </c>
      <c r="J29" s="23">
        <v>2400</v>
      </c>
      <c r="K29" s="9">
        <f t="shared" ref="K29:K39" si="53">J29/I29</f>
        <v>126.31578947368421</v>
      </c>
      <c r="L29" s="219">
        <v>19</v>
      </c>
      <c r="M29" s="10">
        <f t="shared" ref="M29:M32" si="54">F29/V29*60</f>
        <v>2287.7419354838712</v>
      </c>
      <c r="N29" s="9">
        <f t="shared" ref="N29:N32" si="55">M29/L29</f>
        <v>120.40747028862479</v>
      </c>
      <c r="O29" s="11">
        <f t="shared" si="49"/>
        <v>0</v>
      </c>
      <c r="P29" s="12">
        <f t="shared" si="50"/>
        <v>-5.9083191850594119</v>
      </c>
      <c r="Q29" s="215">
        <f t="shared" si="51"/>
        <v>0.95322580645161303</v>
      </c>
      <c r="R29" s="571"/>
      <c r="S29" s="24">
        <v>0.19236111111111112</v>
      </c>
      <c r="T29" s="24">
        <v>0.27847222222222223</v>
      </c>
      <c r="U29" s="214">
        <f>(S29-T28)*24*60</f>
        <v>28.000000000000021</v>
      </c>
      <c r="V29" s="220">
        <f t="shared" si="52"/>
        <v>123.99999999999999</v>
      </c>
      <c r="W29" s="214"/>
      <c r="X29" s="214"/>
      <c r="Y29" s="617"/>
      <c r="Z29" s="617"/>
      <c r="AA29" s="11">
        <f t="shared" si="2"/>
        <v>-112.2580645161288</v>
      </c>
      <c r="AB29" s="215">
        <f t="shared" ref="AB29:AB52" si="56">M29/J29</f>
        <v>0.95322580645161303</v>
      </c>
      <c r="AC29" s="571"/>
    </row>
    <row r="30" spans="1:29">
      <c r="A30" s="638" t="s">
        <v>181</v>
      </c>
      <c r="B30" s="26" t="s">
        <v>46</v>
      </c>
      <c r="C30" s="616" t="s">
        <v>87</v>
      </c>
      <c r="D30" s="616"/>
      <c r="E30" s="26">
        <v>20.52</v>
      </c>
      <c r="F30" s="221">
        <v>3490</v>
      </c>
      <c r="G30" s="214">
        <f t="shared" si="48"/>
        <v>71614.8</v>
      </c>
      <c r="H30" s="21" t="s">
        <v>35</v>
      </c>
      <c r="I30" s="219">
        <v>18</v>
      </c>
      <c r="J30" s="23">
        <v>2400</v>
      </c>
      <c r="K30" s="9">
        <f t="shared" si="53"/>
        <v>133.33333333333334</v>
      </c>
      <c r="L30" s="219">
        <v>18</v>
      </c>
      <c r="M30" s="10">
        <f t="shared" si="54"/>
        <v>2301.098901098901</v>
      </c>
      <c r="N30" s="9">
        <f t="shared" si="55"/>
        <v>127.83882783882784</v>
      </c>
      <c r="O30" s="11">
        <f t="shared" si="49"/>
        <v>0</v>
      </c>
      <c r="P30" s="12">
        <f t="shared" si="50"/>
        <v>-5.4945054945055034</v>
      </c>
      <c r="Q30" s="215">
        <f t="shared" si="51"/>
        <v>0.95879120879120872</v>
      </c>
      <c r="R30" s="571"/>
      <c r="S30" s="24">
        <v>0.28333333333333333</v>
      </c>
      <c r="T30" s="24">
        <v>0.34652777777777777</v>
      </c>
      <c r="U30" s="214">
        <f t="shared" ref="U30:U32" si="57">(S30-T29)*24*60</f>
        <v>6.9999999999999751</v>
      </c>
      <c r="V30" s="220">
        <f t="shared" si="52"/>
        <v>91</v>
      </c>
      <c r="W30" s="214"/>
      <c r="X30" s="214"/>
      <c r="Y30" s="617"/>
      <c r="Z30" s="617"/>
      <c r="AA30" s="11">
        <f t="shared" si="2"/>
        <v>-98.901098901098976</v>
      </c>
      <c r="AB30" s="215">
        <f t="shared" si="56"/>
        <v>0.95879120879120872</v>
      </c>
      <c r="AC30" s="571"/>
    </row>
    <row r="31" spans="1:29">
      <c r="A31" s="638" t="s">
        <v>181</v>
      </c>
      <c r="B31" s="26" t="s">
        <v>46</v>
      </c>
      <c r="C31" s="616" t="s">
        <v>48</v>
      </c>
      <c r="D31" s="616"/>
      <c r="E31" s="26">
        <v>22.35</v>
      </c>
      <c r="F31" s="221">
        <v>1405</v>
      </c>
      <c r="G31" s="214">
        <f t="shared" si="48"/>
        <v>31401.750000000004</v>
      </c>
      <c r="H31" s="21" t="s">
        <v>35</v>
      </c>
      <c r="I31" s="219">
        <v>16</v>
      </c>
      <c r="J31" s="23">
        <v>2400</v>
      </c>
      <c r="K31" s="9">
        <f t="shared" si="53"/>
        <v>150</v>
      </c>
      <c r="L31" s="219">
        <v>16</v>
      </c>
      <c r="M31" s="10">
        <f t="shared" si="54"/>
        <v>2341.6666666666652</v>
      </c>
      <c r="N31" s="9">
        <f t="shared" si="55"/>
        <v>146.35416666666657</v>
      </c>
      <c r="O31" s="11">
        <f t="shared" si="49"/>
        <v>0</v>
      </c>
      <c r="P31" s="12">
        <f t="shared" si="50"/>
        <v>-3.6458333333334281</v>
      </c>
      <c r="Q31" s="215">
        <f t="shared" si="51"/>
        <v>0.97569444444444386</v>
      </c>
      <c r="R31" s="571"/>
      <c r="S31" s="24">
        <v>0.35069444444444442</v>
      </c>
      <c r="T31" s="24">
        <v>0.37569444444444444</v>
      </c>
      <c r="U31" s="214">
        <f t="shared" si="57"/>
        <v>5.9999999999999787</v>
      </c>
      <c r="V31" s="220">
        <f t="shared" si="52"/>
        <v>36.000000000000028</v>
      </c>
      <c r="W31" s="13"/>
      <c r="X31" s="13"/>
      <c r="Y31" s="617"/>
      <c r="Z31" s="617"/>
      <c r="AA31" s="11">
        <f t="shared" si="2"/>
        <v>-58.333333333334849</v>
      </c>
      <c r="AB31" s="215">
        <f t="shared" si="56"/>
        <v>0.97569444444444386</v>
      </c>
      <c r="AC31" s="571"/>
    </row>
    <row r="32" spans="1:29">
      <c r="A32" s="638" t="s">
        <v>181</v>
      </c>
      <c r="B32" s="26" t="s">
        <v>46</v>
      </c>
      <c r="C32" s="616" t="s">
        <v>65</v>
      </c>
      <c r="D32" s="616"/>
      <c r="E32" s="26">
        <v>24.43</v>
      </c>
      <c r="F32" s="221">
        <v>6543</v>
      </c>
      <c r="G32" s="214">
        <f t="shared" si="48"/>
        <v>159845.49</v>
      </c>
      <c r="H32" s="21" t="s">
        <v>35</v>
      </c>
      <c r="I32" s="219">
        <v>15</v>
      </c>
      <c r="J32" s="23">
        <v>2400</v>
      </c>
      <c r="K32" s="9">
        <f t="shared" si="53"/>
        <v>160</v>
      </c>
      <c r="L32" s="219">
        <v>15</v>
      </c>
      <c r="M32" s="10">
        <f t="shared" si="54"/>
        <v>2282.4418604651155</v>
      </c>
      <c r="N32" s="9">
        <f t="shared" si="55"/>
        <v>152.16279069767435</v>
      </c>
      <c r="O32" s="11">
        <f t="shared" si="49"/>
        <v>0</v>
      </c>
      <c r="P32" s="12">
        <f t="shared" si="50"/>
        <v>-7.8372093023256468</v>
      </c>
      <c r="Q32" s="215">
        <f t="shared" si="51"/>
        <v>0.95101744186046466</v>
      </c>
      <c r="R32" s="571"/>
      <c r="S32" s="24">
        <v>0.37916666666666665</v>
      </c>
      <c r="T32" s="24">
        <v>0.49861111111111112</v>
      </c>
      <c r="U32" s="214">
        <f t="shared" si="57"/>
        <v>4.9999999999999822</v>
      </c>
      <c r="V32" s="220">
        <f t="shared" si="52"/>
        <v>172.00000000000003</v>
      </c>
      <c r="W32" s="13"/>
      <c r="X32" s="13"/>
      <c r="Y32" s="617"/>
      <c r="Z32" s="617"/>
      <c r="AA32" s="11">
        <f t="shared" si="2"/>
        <v>-117.5581395348845</v>
      </c>
      <c r="AB32" s="215">
        <f t="shared" si="56"/>
        <v>0.95101744186046477</v>
      </c>
      <c r="AC32" s="571"/>
    </row>
    <row r="33" spans="1:29">
      <c r="A33" s="638" t="s">
        <v>181</v>
      </c>
      <c r="B33" s="27" t="s">
        <v>22</v>
      </c>
      <c r="C33" s="629"/>
      <c r="D33" s="629"/>
      <c r="E33" s="216"/>
      <c r="F33" s="27"/>
      <c r="G33" s="9"/>
      <c r="H33" s="221"/>
      <c r="I33" s="16">
        <v>17.2</v>
      </c>
      <c r="J33" s="23">
        <v>2400</v>
      </c>
      <c r="K33" s="9">
        <f t="shared" si="53"/>
        <v>139.53488372093022</v>
      </c>
      <c r="L33" s="16">
        <v>17.2</v>
      </c>
      <c r="M33" s="10">
        <f>AVERAGE(M28:M32)</f>
        <v>2301.2875471615152</v>
      </c>
      <c r="N33" s="9">
        <f>M33/L33</f>
        <v>133.7957876256695</v>
      </c>
      <c r="O33" s="11">
        <f>L33-I33</f>
        <v>0</v>
      </c>
      <c r="P33" s="12">
        <f t="shared" si="50"/>
        <v>-5.7390960952607202</v>
      </c>
      <c r="Q33" s="215">
        <f t="shared" si="51"/>
        <v>0.9588698113172982</v>
      </c>
      <c r="R33" s="571"/>
      <c r="S33" s="24"/>
      <c r="T33" s="24"/>
      <c r="U33" s="9"/>
      <c r="V33" s="220"/>
      <c r="W33" s="9"/>
      <c r="X33" s="9"/>
      <c r="Y33" s="617"/>
      <c r="Z33" s="617"/>
      <c r="AA33" s="11">
        <f t="shared" si="2"/>
        <v>-98.712452838484751</v>
      </c>
      <c r="AB33" s="215">
        <f t="shared" si="56"/>
        <v>0.95886981131729798</v>
      </c>
      <c r="AC33" s="571"/>
    </row>
    <row r="34" spans="1:29" ht="15.75" customHeight="1">
      <c r="A34" s="630" t="s">
        <v>30</v>
      </c>
      <c r="B34" s="26" t="s">
        <v>67</v>
      </c>
      <c r="C34" s="627" t="s">
        <v>68</v>
      </c>
      <c r="D34" s="628"/>
      <c r="E34" s="26">
        <v>21.13</v>
      </c>
      <c r="F34" s="221">
        <v>4087</v>
      </c>
      <c r="G34" s="214">
        <f t="shared" ref="G34:G39" si="58">E34*F34</f>
        <v>86358.31</v>
      </c>
      <c r="H34" s="21" t="s">
        <v>35</v>
      </c>
      <c r="I34" s="219">
        <v>10</v>
      </c>
      <c r="J34" s="23">
        <v>3000</v>
      </c>
      <c r="K34" s="9">
        <f t="shared" si="53"/>
        <v>300</v>
      </c>
      <c r="L34" s="219">
        <v>10</v>
      </c>
      <c r="M34" s="10">
        <f t="shared" ref="M34:M35" si="59">F34/V34*60</f>
        <v>2851.3953488372099</v>
      </c>
      <c r="N34" s="10">
        <f t="shared" ref="N34:N40" si="60">M34/L34</f>
        <v>285.13953488372101</v>
      </c>
      <c r="O34" s="11">
        <f t="shared" ref="O34:O40" si="61">L34-I34</f>
        <v>0</v>
      </c>
      <c r="P34" s="12">
        <f t="shared" si="50"/>
        <v>-14.860465116278988</v>
      </c>
      <c r="Q34" s="215">
        <f t="shared" si="51"/>
        <v>0.95046511627907004</v>
      </c>
      <c r="R34" s="582">
        <f>Q40</f>
        <v>0.9580138998917217</v>
      </c>
      <c r="S34" s="24">
        <v>8.3333333333333329E-2</v>
      </c>
      <c r="T34" s="24">
        <v>0.14305555555555555</v>
      </c>
      <c r="U34" s="15"/>
      <c r="V34" s="220">
        <f t="shared" ref="V34:V39" si="62">(T34-S34)*24*60</f>
        <v>85.999999999999986</v>
      </c>
      <c r="W34" s="13">
        <f>T34</f>
        <v>0.14305555555555555</v>
      </c>
      <c r="X34" s="13">
        <f>S35</f>
        <v>0.16180555555555554</v>
      </c>
      <c r="Y34" s="621"/>
      <c r="Z34" s="622"/>
      <c r="AA34" s="11">
        <f t="shared" si="2"/>
        <v>-148.60465116279011</v>
      </c>
      <c r="AB34" s="215">
        <f t="shared" si="56"/>
        <v>0.95046511627906993</v>
      </c>
      <c r="AC34" s="582">
        <f>AB40</f>
        <v>0.9580138998917217</v>
      </c>
    </row>
    <row r="35" spans="1:29" ht="15.75" customHeight="1">
      <c r="A35" s="631" t="s">
        <v>30</v>
      </c>
      <c r="B35" s="26" t="s">
        <v>67</v>
      </c>
      <c r="C35" s="627" t="s">
        <v>69</v>
      </c>
      <c r="D35" s="628"/>
      <c r="E35" s="26">
        <v>27.17</v>
      </c>
      <c r="F35" s="221">
        <v>5106</v>
      </c>
      <c r="G35" s="214">
        <f t="shared" si="58"/>
        <v>138730.02000000002</v>
      </c>
      <c r="H35" s="21" t="s">
        <v>35</v>
      </c>
      <c r="I35" s="219">
        <v>10</v>
      </c>
      <c r="J35" s="23">
        <v>3000</v>
      </c>
      <c r="K35" s="9">
        <f t="shared" si="53"/>
        <v>300</v>
      </c>
      <c r="L35" s="219">
        <v>10</v>
      </c>
      <c r="M35" s="10">
        <f t="shared" si="59"/>
        <v>2863.1775700934577</v>
      </c>
      <c r="N35" s="10">
        <f t="shared" si="60"/>
        <v>286.31775700934577</v>
      </c>
      <c r="O35" s="11">
        <f t="shared" si="61"/>
        <v>0</v>
      </c>
      <c r="P35" s="12">
        <f t="shared" si="50"/>
        <v>-13.682242990654231</v>
      </c>
      <c r="Q35" s="215">
        <f t="shared" si="51"/>
        <v>0.95439252336448588</v>
      </c>
      <c r="R35" s="583"/>
      <c r="S35" s="24">
        <v>0.16180555555555554</v>
      </c>
      <c r="T35" s="24">
        <v>0.2361111111111111</v>
      </c>
      <c r="U35" s="214">
        <f>(S35-T34)*24*60</f>
        <v>26.999999999999986</v>
      </c>
      <c r="V35" s="220">
        <f t="shared" si="62"/>
        <v>107.00000000000001</v>
      </c>
      <c r="W35" s="13"/>
      <c r="X35" s="13"/>
      <c r="Y35" s="621"/>
      <c r="Z35" s="622"/>
      <c r="AA35" s="11">
        <f t="shared" si="2"/>
        <v>-136.82242990654231</v>
      </c>
      <c r="AB35" s="215">
        <f t="shared" si="56"/>
        <v>0.95439252336448588</v>
      </c>
      <c r="AC35" s="583"/>
    </row>
    <row r="36" spans="1:29" ht="15.75" customHeight="1">
      <c r="A36" s="631" t="s">
        <v>30</v>
      </c>
      <c r="B36" s="26" t="s">
        <v>67</v>
      </c>
      <c r="C36" s="627" t="s">
        <v>70</v>
      </c>
      <c r="D36" s="628"/>
      <c r="E36" s="26">
        <v>35.119999999999997</v>
      </c>
      <c r="F36" s="221">
        <v>3787</v>
      </c>
      <c r="G36" s="214">
        <f t="shared" si="58"/>
        <v>132999.44</v>
      </c>
      <c r="H36" s="21" t="s">
        <v>35</v>
      </c>
      <c r="I36" s="219">
        <v>10</v>
      </c>
      <c r="J36" s="23">
        <v>3000</v>
      </c>
      <c r="K36" s="9">
        <f t="shared" si="53"/>
        <v>300</v>
      </c>
      <c r="L36" s="219">
        <v>10</v>
      </c>
      <c r="M36" s="10">
        <f>F36/V36*60</f>
        <v>2876.2025316455697</v>
      </c>
      <c r="N36" s="10">
        <f t="shared" si="60"/>
        <v>287.62025316455697</v>
      </c>
      <c r="O36" s="11">
        <f t="shared" si="61"/>
        <v>0</v>
      </c>
      <c r="P36" s="12">
        <f t="shared" si="50"/>
        <v>-12.379746835443029</v>
      </c>
      <c r="Q36" s="215">
        <f t="shared" si="51"/>
        <v>0.95873417721518994</v>
      </c>
      <c r="R36" s="583"/>
      <c r="S36" s="24">
        <v>0.24097222222222223</v>
      </c>
      <c r="T36" s="24">
        <v>0.29583333333333334</v>
      </c>
      <c r="U36" s="214">
        <f t="shared" ref="U36:U39" si="63">(S36-T35)*24*60</f>
        <v>7.0000000000000151</v>
      </c>
      <c r="V36" s="220">
        <f t="shared" si="62"/>
        <v>79</v>
      </c>
      <c r="W36" s="13"/>
      <c r="X36" s="13"/>
      <c r="Y36" s="621"/>
      <c r="Z36" s="622"/>
      <c r="AA36" s="11">
        <f t="shared" si="2"/>
        <v>-123.79746835443029</v>
      </c>
      <c r="AB36" s="215">
        <f t="shared" si="56"/>
        <v>0.95873417721518994</v>
      </c>
      <c r="AC36" s="583"/>
    </row>
    <row r="37" spans="1:29" ht="15.75" customHeight="1">
      <c r="A37" s="631" t="s">
        <v>30</v>
      </c>
      <c r="B37" s="26" t="s">
        <v>67</v>
      </c>
      <c r="C37" s="627" t="s">
        <v>71</v>
      </c>
      <c r="D37" s="628"/>
      <c r="E37" s="26">
        <v>35.869999999999997</v>
      </c>
      <c r="F37" s="221">
        <v>2611</v>
      </c>
      <c r="G37" s="214">
        <f t="shared" si="58"/>
        <v>93656.569999999992</v>
      </c>
      <c r="H37" s="21" t="s">
        <v>35</v>
      </c>
      <c r="I37" s="219">
        <v>10</v>
      </c>
      <c r="J37" s="23">
        <v>3000</v>
      </c>
      <c r="K37" s="9">
        <f t="shared" si="53"/>
        <v>300</v>
      </c>
      <c r="L37" s="219">
        <v>10</v>
      </c>
      <c r="M37" s="10">
        <f t="shared" ref="M37:M39" si="64">F37/V37*60</f>
        <v>2901.1111111111127</v>
      </c>
      <c r="N37" s="10">
        <f t="shared" si="60"/>
        <v>290.11111111111126</v>
      </c>
      <c r="O37" s="11">
        <f t="shared" si="61"/>
        <v>0</v>
      </c>
      <c r="P37" s="12">
        <f t="shared" si="50"/>
        <v>-9.8888888888887436</v>
      </c>
      <c r="Q37" s="215">
        <f t="shared" si="51"/>
        <v>0.96703703703703747</v>
      </c>
      <c r="R37" s="583"/>
      <c r="S37" s="24">
        <v>0.30138888888888887</v>
      </c>
      <c r="T37" s="24">
        <v>0.33888888888888885</v>
      </c>
      <c r="U37" s="214">
        <f t="shared" si="63"/>
        <v>7.9999999999999716</v>
      </c>
      <c r="V37" s="220">
        <f t="shared" si="62"/>
        <v>53.999999999999972</v>
      </c>
      <c r="W37" s="13"/>
      <c r="X37" s="13"/>
      <c r="Y37" s="621"/>
      <c r="Z37" s="622"/>
      <c r="AA37" s="11">
        <f t="shared" si="2"/>
        <v>-98.888888888887323</v>
      </c>
      <c r="AB37" s="215">
        <f t="shared" si="56"/>
        <v>0.96703703703703758</v>
      </c>
      <c r="AC37" s="583"/>
    </row>
    <row r="38" spans="1:29" ht="15.75" customHeight="1">
      <c r="A38" s="631" t="s">
        <v>30</v>
      </c>
      <c r="B38" s="26" t="s">
        <v>67</v>
      </c>
      <c r="C38" s="627" t="s">
        <v>72</v>
      </c>
      <c r="D38" s="628"/>
      <c r="E38" s="26">
        <v>36.14</v>
      </c>
      <c r="F38" s="221">
        <v>1593</v>
      </c>
      <c r="G38" s="214">
        <f t="shared" si="58"/>
        <v>57571.020000000004</v>
      </c>
      <c r="H38" s="21" t="s">
        <v>35</v>
      </c>
      <c r="I38" s="219">
        <v>8</v>
      </c>
      <c r="J38" s="23">
        <v>3000</v>
      </c>
      <c r="K38" s="9">
        <f t="shared" si="53"/>
        <v>375</v>
      </c>
      <c r="L38" s="219">
        <v>8</v>
      </c>
      <c r="M38" s="10">
        <f t="shared" si="64"/>
        <v>2896.3636363636392</v>
      </c>
      <c r="N38" s="10">
        <f t="shared" si="60"/>
        <v>362.0454545454549</v>
      </c>
      <c r="O38" s="11">
        <f t="shared" si="61"/>
        <v>0</v>
      </c>
      <c r="P38" s="12">
        <f t="shared" si="50"/>
        <v>-12.954545454545098</v>
      </c>
      <c r="Q38" s="215">
        <f>N38/K38</f>
        <v>0.96545454545454645</v>
      </c>
      <c r="R38" s="583"/>
      <c r="S38" s="24">
        <v>0.34236111111111106</v>
      </c>
      <c r="T38" s="24">
        <v>0.3652777777777777</v>
      </c>
      <c r="U38" s="214">
        <f t="shared" si="63"/>
        <v>4.9999999999999822</v>
      </c>
      <c r="V38" s="220">
        <f t="shared" si="62"/>
        <v>32.999999999999964</v>
      </c>
      <c r="W38" s="13"/>
      <c r="X38" s="13"/>
      <c r="Y38" s="621"/>
      <c r="Z38" s="622"/>
      <c r="AA38" s="11">
        <f t="shared" si="2"/>
        <v>-103.63636363636078</v>
      </c>
      <c r="AB38" s="215">
        <f t="shared" si="56"/>
        <v>0.96545454545454645</v>
      </c>
      <c r="AC38" s="583"/>
    </row>
    <row r="39" spans="1:29" ht="15.75" customHeight="1">
      <c r="A39" s="631" t="s">
        <v>30</v>
      </c>
      <c r="B39" s="26" t="s">
        <v>67</v>
      </c>
      <c r="C39" s="627" t="s">
        <v>664</v>
      </c>
      <c r="D39" s="628"/>
      <c r="E39" s="26">
        <v>34.36</v>
      </c>
      <c r="F39" s="221">
        <v>4522</v>
      </c>
      <c r="G39" s="214">
        <f t="shared" si="58"/>
        <v>155375.91999999998</v>
      </c>
      <c r="H39" s="21" t="s">
        <v>35</v>
      </c>
      <c r="I39" s="219">
        <v>10</v>
      </c>
      <c r="J39" s="23">
        <v>3000</v>
      </c>
      <c r="K39" s="9">
        <f t="shared" si="53"/>
        <v>300</v>
      </c>
      <c r="L39" s="219">
        <v>10</v>
      </c>
      <c r="M39" s="10">
        <f t="shared" si="64"/>
        <v>2856.0000000000005</v>
      </c>
      <c r="N39" s="10">
        <f t="shared" si="60"/>
        <v>285.60000000000002</v>
      </c>
      <c r="O39" s="11">
        <f t="shared" si="61"/>
        <v>0</v>
      </c>
      <c r="P39" s="12">
        <f t="shared" si="50"/>
        <v>-14.399999999999977</v>
      </c>
      <c r="Q39" s="215">
        <f t="shared" ref="Q39:Q40" si="65">N39/K39</f>
        <v>0.95200000000000007</v>
      </c>
      <c r="R39" s="583"/>
      <c r="S39" s="24">
        <v>0.36944444444444435</v>
      </c>
      <c r="T39" s="24">
        <v>0.43541666666666656</v>
      </c>
      <c r="U39" s="214">
        <f t="shared" si="63"/>
        <v>5.9999999999999787</v>
      </c>
      <c r="V39" s="220">
        <f t="shared" si="62"/>
        <v>94.999999999999986</v>
      </c>
      <c r="W39" s="13"/>
      <c r="X39" s="13"/>
      <c r="Y39" s="621"/>
      <c r="Z39" s="622"/>
      <c r="AA39" s="11">
        <f t="shared" si="2"/>
        <v>-143.99999999999955</v>
      </c>
      <c r="AB39" s="215">
        <f t="shared" si="56"/>
        <v>0.95200000000000018</v>
      </c>
      <c r="AC39" s="583"/>
    </row>
    <row r="40" spans="1:29" ht="15.75" customHeight="1">
      <c r="A40" s="632" t="s">
        <v>30</v>
      </c>
      <c r="B40" s="26" t="s">
        <v>22</v>
      </c>
      <c r="C40" s="625"/>
      <c r="D40" s="626"/>
      <c r="E40" s="213"/>
      <c r="F40" s="221"/>
      <c r="G40" s="214"/>
      <c r="H40" s="221"/>
      <c r="I40" s="16">
        <v>9.6666666666666661</v>
      </c>
      <c r="J40" s="23">
        <v>3000</v>
      </c>
      <c r="K40" s="9">
        <f>J40/I40</f>
        <v>310.34482758620692</v>
      </c>
      <c r="L40" s="16">
        <v>9.6666666666666661</v>
      </c>
      <c r="M40" s="10">
        <f>AVERAGE(M34:M39)</f>
        <v>2874.0416996751651</v>
      </c>
      <c r="N40" s="9">
        <f t="shared" si="60"/>
        <v>297.31465858708606</v>
      </c>
      <c r="O40" s="11">
        <f t="shared" si="61"/>
        <v>0</v>
      </c>
      <c r="P40" s="12">
        <f t="shared" si="50"/>
        <v>-13.03016899912086</v>
      </c>
      <c r="Q40" s="215">
        <f t="shared" si="65"/>
        <v>0.9580138998917217</v>
      </c>
      <c r="R40" s="584"/>
      <c r="S40" s="24"/>
      <c r="T40" s="24"/>
      <c r="U40" s="214"/>
      <c r="V40" s="220"/>
      <c r="W40" s="13"/>
      <c r="X40" s="13"/>
      <c r="Y40" s="621"/>
      <c r="Z40" s="622"/>
      <c r="AA40" s="11">
        <f t="shared" si="2"/>
        <v>-125.95830032483491</v>
      </c>
      <c r="AB40" s="215">
        <f t="shared" si="56"/>
        <v>0.9580138998917217</v>
      </c>
      <c r="AC40" s="584"/>
    </row>
    <row r="41" spans="1:29" ht="15.75" customHeight="1">
      <c r="A41" s="633" t="s">
        <v>31</v>
      </c>
      <c r="B41" s="26" t="s">
        <v>40</v>
      </c>
      <c r="C41" s="616" t="s">
        <v>73</v>
      </c>
      <c r="D41" s="616"/>
      <c r="E41" s="26">
        <v>46</v>
      </c>
      <c r="F41" s="28">
        <v>2302</v>
      </c>
      <c r="G41" s="214">
        <f t="shared" ref="G41:G46" si="66">E41*F41</f>
        <v>105892</v>
      </c>
      <c r="H41" s="21" t="s">
        <v>35</v>
      </c>
      <c r="I41" s="219">
        <v>17</v>
      </c>
      <c r="J41" s="23">
        <v>2000</v>
      </c>
      <c r="K41" s="9">
        <f t="shared" ref="K41:K46" si="67">J41/I41</f>
        <v>117.64705882352941</v>
      </c>
      <c r="L41" s="219">
        <v>17</v>
      </c>
      <c r="M41" s="10">
        <f t="shared" ref="M41:M46" si="68">F41/V41*60</f>
        <v>1918.3333333333337</v>
      </c>
      <c r="N41" s="10">
        <f>M41/L41</f>
        <v>112.84313725490199</v>
      </c>
      <c r="O41" s="11">
        <f>L41-I41</f>
        <v>0</v>
      </c>
      <c r="P41" s="12">
        <f>N41-K41</f>
        <v>-4.8039215686274161</v>
      </c>
      <c r="Q41" s="215">
        <f>N41/K41</f>
        <v>0.95916666666666694</v>
      </c>
      <c r="R41" s="571">
        <f>Q47</f>
        <v>0.96218368948634947</v>
      </c>
      <c r="S41" s="24">
        <v>0.29166666666666669</v>
      </c>
      <c r="T41" s="24">
        <v>0.34166666666666667</v>
      </c>
      <c r="U41" s="15"/>
      <c r="V41" s="220">
        <f t="shared" ref="V41:V46" si="69">(T41-S41)*24*60</f>
        <v>71.999999999999986</v>
      </c>
      <c r="W41" s="15"/>
      <c r="X41" s="15"/>
      <c r="Y41" s="617"/>
      <c r="Z41" s="617"/>
      <c r="AA41" s="11">
        <f t="shared" si="2"/>
        <v>-81.666666666666288</v>
      </c>
      <c r="AB41" s="215">
        <f t="shared" si="56"/>
        <v>0.95916666666666683</v>
      </c>
      <c r="AC41" s="571">
        <f>AB47</f>
        <v>0.96218368948634947</v>
      </c>
    </row>
    <row r="42" spans="1:29" ht="15.75" customHeight="1">
      <c r="A42" s="633" t="s">
        <v>31</v>
      </c>
      <c r="B42" s="26" t="s">
        <v>36</v>
      </c>
      <c r="C42" s="616" t="s">
        <v>75</v>
      </c>
      <c r="D42" s="616"/>
      <c r="E42" s="26">
        <v>54.09</v>
      </c>
      <c r="F42" s="28">
        <v>1010</v>
      </c>
      <c r="G42" s="214">
        <f t="shared" si="66"/>
        <v>54630.9</v>
      </c>
      <c r="H42" s="21" t="s">
        <v>35</v>
      </c>
      <c r="I42" s="219">
        <v>16</v>
      </c>
      <c r="J42" s="23">
        <v>2000</v>
      </c>
      <c r="K42" s="9">
        <f t="shared" si="67"/>
        <v>125</v>
      </c>
      <c r="L42" s="219">
        <v>16</v>
      </c>
      <c r="M42" s="10">
        <f t="shared" si="68"/>
        <v>1954.8387096774213</v>
      </c>
      <c r="N42" s="10">
        <f t="shared" ref="N42:N46" si="70">M42/L42</f>
        <v>122.17741935483883</v>
      </c>
      <c r="O42" s="11">
        <f t="shared" ref="O42:O46" si="71">L42-I42</f>
        <v>0</v>
      </c>
      <c r="P42" s="12">
        <f t="shared" ref="P42:P46" si="72">N42-K42</f>
        <v>-2.8225806451611675</v>
      </c>
      <c r="Q42" s="215">
        <f t="shared" ref="Q42:Q46" si="73">N42/K42</f>
        <v>0.97741935483871067</v>
      </c>
      <c r="R42" s="571"/>
      <c r="S42" s="24">
        <v>0.34513888888888888</v>
      </c>
      <c r="T42" s="24">
        <v>0.36666666666666664</v>
      </c>
      <c r="U42" s="214">
        <f>IF(S42=TIME(17,0,0),"",(S42-T41)*24*60)</f>
        <v>4.9999999999999822</v>
      </c>
      <c r="V42" s="220">
        <f t="shared" si="69"/>
        <v>30.999999999999972</v>
      </c>
      <c r="W42" s="13"/>
      <c r="X42" s="13"/>
      <c r="Y42" s="617"/>
      <c r="Z42" s="617"/>
      <c r="AA42" s="11">
        <f t="shared" si="2"/>
        <v>-45.161290322578679</v>
      </c>
      <c r="AB42" s="215">
        <f t="shared" si="56"/>
        <v>0.97741935483871067</v>
      </c>
      <c r="AC42" s="571"/>
    </row>
    <row r="43" spans="1:29" ht="15.75" customHeight="1">
      <c r="A43" s="633" t="s">
        <v>31</v>
      </c>
      <c r="B43" s="26" t="s">
        <v>40</v>
      </c>
      <c r="C43" s="627" t="s">
        <v>74</v>
      </c>
      <c r="D43" s="628"/>
      <c r="E43" s="26">
        <v>46</v>
      </c>
      <c r="F43" s="28">
        <v>2500</v>
      </c>
      <c r="G43" s="214">
        <f t="shared" si="66"/>
        <v>115000</v>
      </c>
      <c r="H43" s="21" t="s">
        <v>35</v>
      </c>
      <c r="I43" s="219">
        <v>17</v>
      </c>
      <c r="J43" s="23">
        <v>2000</v>
      </c>
      <c r="K43" s="9">
        <f t="shared" si="67"/>
        <v>117.64705882352941</v>
      </c>
      <c r="L43" s="219">
        <v>17</v>
      </c>
      <c r="M43" s="10">
        <f t="shared" si="68"/>
        <v>1923.076923076924</v>
      </c>
      <c r="N43" s="10">
        <f t="shared" si="70"/>
        <v>113.12217194570141</v>
      </c>
      <c r="O43" s="11">
        <f t="shared" si="71"/>
        <v>0</v>
      </c>
      <c r="P43" s="12">
        <f t="shared" si="72"/>
        <v>-4.5248868778279956</v>
      </c>
      <c r="Q43" s="215">
        <f t="shared" si="73"/>
        <v>0.96153846153846201</v>
      </c>
      <c r="R43" s="571"/>
      <c r="S43" s="24">
        <v>0.37083333333333329</v>
      </c>
      <c r="T43" s="24">
        <v>0.42499999999999993</v>
      </c>
      <c r="U43" s="214">
        <f t="shared" ref="U43:U46" si="74">IF(S43=TIME(17,0,0),"",(S43-T42)*24*60)</f>
        <v>5.9999999999999787</v>
      </c>
      <c r="V43" s="220">
        <f t="shared" si="69"/>
        <v>77.999999999999957</v>
      </c>
      <c r="W43" s="13"/>
      <c r="X43" s="13"/>
      <c r="Y43" s="211"/>
      <c r="Z43" s="212"/>
      <c r="AA43" s="11">
        <f t="shared" si="2"/>
        <v>-76.923076923075996</v>
      </c>
      <c r="AB43" s="215">
        <f t="shared" si="56"/>
        <v>0.96153846153846201</v>
      </c>
      <c r="AC43" s="571"/>
    </row>
    <row r="44" spans="1:29" ht="15.75" customHeight="1">
      <c r="A44" s="633" t="s">
        <v>31</v>
      </c>
      <c r="B44" s="26" t="s">
        <v>36</v>
      </c>
      <c r="C44" s="217" t="s">
        <v>76</v>
      </c>
      <c r="D44" s="218"/>
      <c r="E44" s="26">
        <v>55.56</v>
      </c>
      <c r="F44" s="28">
        <v>2196</v>
      </c>
      <c r="G44" s="214">
        <f t="shared" si="66"/>
        <v>122009.76000000001</v>
      </c>
      <c r="H44" s="21" t="s">
        <v>35</v>
      </c>
      <c r="I44" s="219">
        <v>17</v>
      </c>
      <c r="J44" s="23">
        <v>2000</v>
      </c>
      <c r="K44" s="9">
        <f t="shared" si="67"/>
        <v>117.64705882352941</v>
      </c>
      <c r="L44" s="219">
        <v>17</v>
      </c>
      <c r="M44" s="10">
        <f t="shared" si="68"/>
        <v>1909.5652173913024</v>
      </c>
      <c r="N44" s="10">
        <f t="shared" si="70"/>
        <v>112.32736572890015</v>
      </c>
      <c r="O44" s="11">
        <f t="shared" si="71"/>
        <v>0</v>
      </c>
      <c r="P44" s="12">
        <f t="shared" si="72"/>
        <v>-5.3196930946292582</v>
      </c>
      <c r="Q44" s="215">
        <f t="shared" si="73"/>
        <v>0.95478260869565135</v>
      </c>
      <c r="R44" s="571"/>
      <c r="S44" s="24">
        <v>0.70833333333333337</v>
      </c>
      <c r="T44" s="24">
        <v>0.75625000000000009</v>
      </c>
      <c r="U44" s="214" t="str">
        <f t="shared" si="74"/>
        <v/>
      </c>
      <c r="V44" s="220">
        <f t="shared" si="69"/>
        <v>69.000000000000071</v>
      </c>
      <c r="W44" s="13"/>
      <c r="X44" s="13"/>
      <c r="Y44" s="211"/>
      <c r="Z44" s="212"/>
      <c r="AA44" s="11">
        <f t="shared" si="2"/>
        <v>-90.43478260869756</v>
      </c>
      <c r="AB44" s="215">
        <f t="shared" si="56"/>
        <v>0.95478260869565124</v>
      </c>
      <c r="AC44" s="571"/>
    </row>
    <row r="45" spans="1:29" ht="15.75" customHeight="1">
      <c r="A45" s="633" t="s">
        <v>31</v>
      </c>
      <c r="B45" s="26" t="s">
        <v>36</v>
      </c>
      <c r="C45" s="217" t="s">
        <v>77</v>
      </c>
      <c r="D45" s="218"/>
      <c r="E45" s="26">
        <v>55.32</v>
      </c>
      <c r="F45" s="28">
        <v>1716</v>
      </c>
      <c r="G45" s="214">
        <f t="shared" si="66"/>
        <v>94929.12</v>
      </c>
      <c r="H45" s="21" t="s">
        <v>35</v>
      </c>
      <c r="I45" s="219">
        <v>15</v>
      </c>
      <c r="J45" s="23">
        <v>2000</v>
      </c>
      <c r="K45" s="9">
        <f t="shared" si="67"/>
        <v>133.33333333333334</v>
      </c>
      <c r="L45" s="219">
        <v>15</v>
      </c>
      <c r="M45" s="10">
        <f t="shared" si="68"/>
        <v>1906.6666666666677</v>
      </c>
      <c r="N45" s="10">
        <f t="shared" si="70"/>
        <v>127.11111111111117</v>
      </c>
      <c r="O45" s="11">
        <f t="shared" si="71"/>
        <v>0</v>
      </c>
      <c r="P45" s="12">
        <f t="shared" si="72"/>
        <v>-6.2222222222221717</v>
      </c>
      <c r="Q45" s="215">
        <f t="shared" si="73"/>
        <v>0.9533333333333337</v>
      </c>
      <c r="R45" s="571"/>
      <c r="S45" s="24">
        <v>0.76180555555555562</v>
      </c>
      <c r="T45" s="24">
        <v>0.7993055555555556</v>
      </c>
      <c r="U45" s="214">
        <f t="shared" si="74"/>
        <v>7.9999999999999716</v>
      </c>
      <c r="V45" s="220">
        <f t="shared" si="69"/>
        <v>53.999999999999972</v>
      </c>
      <c r="W45" s="13"/>
      <c r="X45" s="13"/>
      <c r="Y45" s="211"/>
      <c r="Z45" s="212"/>
      <c r="AA45" s="11">
        <f t="shared" si="2"/>
        <v>-93.333333333332348</v>
      </c>
      <c r="AB45" s="215">
        <f t="shared" si="56"/>
        <v>0.95333333333333381</v>
      </c>
      <c r="AC45" s="571"/>
    </row>
    <row r="46" spans="1:29" ht="15.75" customHeight="1">
      <c r="A46" s="633" t="s">
        <v>31</v>
      </c>
      <c r="B46" s="26" t="s">
        <v>36</v>
      </c>
      <c r="C46" s="627" t="s">
        <v>78</v>
      </c>
      <c r="D46" s="628"/>
      <c r="E46" s="26">
        <v>57.73</v>
      </c>
      <c r="F46" s="28">
        <v>1380</v>
      </c>
      <c r="G46" s="214">
        <f t="shared" si="66"/>
        <v>79667.399999999994</v>
      </c>
      <c r="H46" s="21" t="s">
        <v>35</v>
      </c>
      <c r="I46" s="219">
        <v>16</v>
      </c>
      <c r="J46" s="23">
        <v>1500</v>
      </c>
      <c r="K46" s="9">
        <f t="shared" si="67"/>
        <v>93.75</v>
      </c>
      <c r="L46" s="219">
        <v>16</v>
      </c>
      <c r="M46" s="10">
        <f t="shared" si="68"/>
        <v>1452.6315789473695</v>
      </c>
      <c r="N46" s="10">
        <f t="shared" si="70"/>
        <v>90.789473684210591</v>
      </c>
      <c r="O46" s="11">
        <f t="shared" si="71"/>
        <v>0</v>
      </c>
      <c r="P46" s="12">
        <f t="shared" si="72"/>
        <v>-2.9605263157894086</v>
      </c>
      <c r="Q46" s="215">
        <f t="shared" si="73"/>
        <v>0.96842105263157963</v>
      </c>
      <c r="R46" s="571"/>
      <c r="S46" s="24">
        <v>0.80277777777777781</v>
      </c>
      <c r="T46" s="24">
        <v>0.84236111111111112</v>
      </c>
      <c r="U46" s="214">
        <f t="shared" si="74"/>
        <v>4.9999999999999822</v>
      </c>
      <c r="V46" s="220">
        <f t="shared" si="69"/>
        <v>56.999999999999957</v>
      </c>
      <c r="W46" s="13"/>
      <c r="X46" s="13"/>
      <c r="Y46" s="621"/>
      <c r="Z46" s="622"/>
      <c r="AA46" s="11">
        <f t="shared" si="2"/>
        <v>-47.368421052630538</v>
      </c>
      <c r="AB46" s="215">
        <f t="shared" si="56"/>
        <v>0.96842105263157963</v>
      </c>
      <c r="AC46" s="571"/>
    </row>
    <row r="47" spans="1:29">
      <c r="A47" s="634" t="s">
        <v>31</v>
      </c>
      <c r="B47" s="26" t="s">
        <v>22</v>
      </c>
      <c r="C47" s="629"/>
      <c r="D47" s="629"/>
      <c r="E47" s="216"/>
      <c r="F47" s="27"/>
      <c r="G47" s="9"/>
      <c r="H47" s="221"/>
      <c r="I47" s="16">
        <v>16.333333333333332</v>
      </c>
      <c r="J47" s="23">
        <v>1916.6666666666667</v>
      </c>
      <c r="K47" s="9">
        <f>J47/I47</f>
        <v>117.34693877551021</v>
      </c>
      <c r="L47" s="16">
        <v>16.333333333333332</v>
      </c>
      <c r="M47" s="10">
        <f>AVERAGE(M41:M46)</f>
        <v>1844.1854048488365</v>
      </c>
      <c r="N47" s="9">
        <f>M47/L47</f>
        <v>112.90931050094918</v>
      </c>
      <c r="O47" s="11">
        <f>L47-I47</f>
        <v>0</v>
      </c>
      <c r="P47" s="12">
        <f>N47-K47</f>
        <v>-4.4376282745610354</v>
      </c>
      <c r="Q47" s="215">
        <f>N47/K47</f>
        <v>0.96218368948634947</v>
      </c>
      <c r="R47" s="571"/>
      <c r="S47" s="25"/>
      <c r="T47" s="24"/>
      <c r="U47" s="9"/>
      <c r="V47" s="220"/>
      <c r="W47" s="9"/>
      <c r="X47" s="9"/>
      <c r="Y47" s="617"/>
      <c r="Z47" s="617"/>
      <c r="AA47" s="11">
        <f t="shared" si="2"/>
        <v>-72.481261817830273</v>
      </c>
      <c r="AB47" s="215">
        <f t="shared" si="56"/>
        <v>0.96218368948634947</v>
      </c>
      <c r="AC47" s="571"/>
    </row>
    <row r="48" spans="1:29" ht="15.75" customHeight="1">
      <c r="A48" s="623" t="s">
        <v>32</v>
      </c>
      <c r="B48" s="221" t="s">
        <v>40</v>
      </c>
      <c r="C48" s="616" t="s">
        <v>82</v>
      </c>
      <c r="D48" s="616"/>
      <c r="E48" s="26">
        <v>26.97</v>
      </c>
      <c r="F48" s="28">
        <v>2723</v>
      </c>
      <c r="G48" s="214">
        <f t="shared" ref="G48:G51" si="75">E48*F48</f>
        <v>73439.31</v>
      </c>
      <c r="H48" s="21" t="s">
        <v>35</v>
      </c>
      <c r="I48" s="219">
        <v>8</v>
      </c>
      <c r="J48" s="23">
        <v>1500</v>
      </c>
      <c r="K48" s="9">
        <f t="shared" ref="K48:K51" si="76">J48/I48</f>
        <v>187.5</v>
      </c>
      <c r="L48" s="219">
        <v>8</v>
      </c>
      <c r="M48" s="10">
        <f t="shared" ref="M48:M51" si="77">F48/V48*60</f>
        <v>1433.1578947368425</v>
      </c>
      <c r="N48" s="9">
        <f>M48/L48</f>
        <v>179.14473684210532</v>
      </c>
      <c r="O48" s="11">
        <f t="shared" ref="O48:O51" si="78">L48-I48</f>
        <v>0</v>
      </c>
      <c r="P48" s="12">
        <f t="shared" ref="P48:P51" si="79">N48-K48</f>
        <v>-8.355263157894683</v>
      </c>
      <c r="Q48" s="215">
        <f>N48/K48</f>
        <v>0.95543859649122831</v>
      </c>
      <c r="R48" s="571">
        <f>Q52</f>
        <v>0.9642614799467466</v>
      </c>
      <c r="S48" s="24">
        <v>0.20833333333333334</v>
      </c>
      <c r="T48" s="24">
        <v>0.28749999999999998</v>
      </c>
      <c r="U48" s="214"/>
      <c r="V48" s="220">
        <f t="shared" ref="V48:V51" si="80">(T48-S48)*24*60</f>
        <v>113.99999999999996</v>
      </c>
      <c r="W48" s="15"/>
      <c r="X48" s="15"/>
      <c r="Y48" s="617"/>
      <c r="Z48" s="617"/>
      <c r="AA48" s="11">
        <f t="shared" si="2"/>
        <v>-66.842105263157464</v>
      </c>
      <c r="AB48" s="215">
        <f t="shared" si="56"/>
        <v>0.95543859649122831</v>
      </c>
      <c r="AC48" s="571">
        <f>AB52</f>
        <v>0.9642614799467466</v>
      </c>
    </row>
    <row r="49" spans="1:29" ht="15.75" customHeight="1">
      <c r="A49" s="623" t="s">
        <v>32</v>
      </c>
      <c r="B49" s="221" t="s">
        <v>67</v>
      </c>
      <c r="C49" s="616" t="s">
        <v>79</v>
      </c>
      <c r="D49" s="616"/>
      <c r="E49" s="26">
        <v>26.78</v>
      </c>
      <c r="F49" s="28">
        <v>2269</v>
      </c>
      <c r="G49" s="214">
        <f t="shared" si="75"/>
        <v>60763.82</v>
      </c>
      <c r="H49" s="21" t="s">
        <v>35</v>
      </c>
      <c r="I49" s="219">
        <v>10</v>
      </c>
      <c r="J49" s="23">
        <v>3000</v>
      </c>
      <c r="K49" s="9">
        <f t="shared" si="76"/>
        <v>300</v>
      </c>
      <c r="L49" s="219">
        <v>10</v>
      </c>
      <c r="M49" s="10">
        <f t="shared" si="77"/>
        <v>2896.5957446808516</v>
      </c>
      <c r="N49" s="9">
        <f t="shared" ref="N49:N51" si="81">M49/L49</f>
        <v>289.65957446808517</v>
      </c>
      <c r="O49" s="11">
        <f t="shared" si="78"/>
        <v>0</v>
      </c>
      <c r="P49" s="12">
        <f t="shared" si="79"/>
        <v>-10.340425531914832</v>
      </c>
      <c r="Q49" s="215">
        <f t="shared" ref="Q49:Q51" si="82">N49/K49</f>
        <v>0.96553191489361723</v>
      </c>
      <c r="R49" s="571"/>
      <c r="S49" s="24">
        <v>0.29236111111111107</v>
      </c>
      <c r="T49" s="24">
        <v>0.32499999999999996</v>
      </c>
      <c r="U49" s="214">
        <f>(S49-T48)*24*60</f>
        <v>6.9999999999999751</v>
      </c>
      <c r="V49" s="220">
        <f t="shared" si="80"/>
        <v>46.999999999999993</v>
      </c>
      <c r="W49" s="214"/>
      <c r="X49" s="214"/>
      <c r="Y49" s="617"/>
      <c r="Z49" s="617"/>
      <c r="AA49" s="11">
        <f t="shared" si="2"/>
        <v>-103.40425531914843</v>
      </c>
      <c r="AB49" s="215">
        <f t="shared" si="56"/>
        <v>0.96553191489361723</v>
      </c>
      <c r="AC49" s="571"/>
    </row>
    <row r="50" spans="1:29" ht="15.75" customHeight="1">
      <c r="A50" s="623" t="s">
        <v>32</v>
      </c>
      <c r="B50" s="221" t="s">
        <v>67</v>
      </c>
      <c r="C50" s="616" t="s">
        <v>83</v>
      </c>
      <c r="D50" s="616"/>
      <c r="E50" s="26">
        <v>35.369999999999997</v>
      </c>
      <c r="F50" s="28">
        <v>1413</v>
      </c>
      <c r="G50" s="214">
        <f t="shared" si="75"/>
        <v>49977.81</v>
      </c>
      <c r="H50" s="21" t="s">
        <v>35</v>
      </c>
      <c r="I50" s="219">
        <v>10</v>
      </c>
      <c r="J50" s="23">
        <v>3000</v>
      </c>
      <c r="K50" s="9">
        <f t="shared" si="76"/>
        <v>300</v>
      </c>
      <c r="L50" s="219">
        <v>10</v>
      </c>
      <c r="M50" s="10">
        <f t="shared" si="77"/>
        <v>2923.4482758620711</v>
      </c>
      <c r="N50" s="9">
        <f t="shared" si="81"/>
        <v>292.34482758620709</v>
      </c>
      <c r="O50" s="11">
        <f t="shared" si="78"/>
        <v>0</v>
      </c>
      <c r="P50" s="12">
        <f t="shared" si="79"/>
        <v>-7.6551724137929114</v>
      </c>
      <c r="Q50" s="215">
        <f t="shared" si="82"/>
        <v>0.97448275862069034</v>
      </c>
      <c r="R50" s="571"/>
      <c r="S50" s="24">
        <v>0.32986111111111105</v>
      </c>
      <c r="T50" s="24">
        <v>0.34999999999999992</v>
      </c>
      <c r="U50" s="214">
        <f t="shared" ref="U50:U51" si="83">(S50-T49)*24*60</f>
        <v>6.9999999999999751</v>
      </c>
      <c r="V50" s="220">
        <f t="shared" si="80"/>
        <v>28.999999999999979</v>
      </c>
      <c r="W50" s="214"/>
      <c r="X50" s="214"/>
      <c r="Y50" s="617"/>
      <c r="Z50" s="617"/>
      <c r="AA50" s="11">
        <f t="shared" si="2"/>
        <v>-76.551724137928886</v>
      </c>
      <c r="AB50" s="215">
        <f t="shared" si="56"/>
        <v>0.97448275862069034</v>
      </c>
      <c r="AC50" s="571"/>
    </row>
    <row r="51" spans="1:29" ht="15.75" customHeight="1">
      <c r="A51" s="623" t="s">
        <v>32</v>
      </c>
      <c r="B51" s="221" t="s">
        <v>67</v>
      </c>
      <c r="C51" s="616" t="s">
        <v>666</v>
      </c>
      <c r="D51" s="616"/>
      <c r="E51" s="26">
        <v>37.880000000000003</v>
      </c>
      <c r="F51" s="28">
        <v>7131</v>
      </c>
      <c r="G51" s="214">
        <f t="shared" si="75"/>
        <v>270122.28000000003</v>
      </c>
      <c r="H51" s="21" t="s">
        <v>35</v>
      </c>
      <c r="I51" s="219">
        <v>11</v>
      </c>
      <c r="J51" s="23">
        <v>3000</v>
      </c>
      <c r="K51" s="9">
        <f t="shared" si="76"/>
        <v>272.72727272727275</v>
      </c>
      <c r="L51" s="219">
        <v>11</v>
      </c>
      <c r="M51" s="10">
        <f t="shared" si="77"/>
        <v>2871.5436241610732</v>
      </c>
      <c r="N51" s="9">
        <f t="shared" si="81"/>
        <v>261.04942037827936</v>
      </c>
      <c r="O51" s="11">
        <f t="shared" si="78"/>
        <v>0</v>
      </c>
      <c r="P51" s="12">
        <f t="shared" si="79"/>
        <v>-11.677852348993383</v>
      </c>
      <c r="Q51" s="215">
        <f t="shared" si="82"/>
        <v>0.95718120805369089</v>
      </c>
      <c r="R51" s="571"/>
      <c r="S51" s="24">
        <v>0.35347222222222213</v>
      </c>
      <c r="T51" s="24">
        <v>0.45694444444444438</v>
      </c>
      <c r="U51" s="214">
        <f t="shared" si="83"/>
        <v>4.9999999999999822</v>
      </c>
      <c r="V51" s="220">
        <f t="shared" si="80"/>
        <v>149.00000000000003</v>
      </c>
      <c r="W51" s="214"/>
      <c r="X51" s="214"/>
      <c r="Y51" s="617"/>
      <c r="Z51" s="617"/>
      <c r="AA51" s="11">
        <f t="shared" si="2"/>
        <v>-128.45637583892676</v>
      </c>
      <c r="AB51" s="215">
        <f t="shared" si="56"/>
        <v>0.95718120805369111</v>
      </c>
      <c r="AC51" s="571"/>
    </row>
    <row r="52" spans="1:29">
      <c r="A52" s="624" t="s">
        <v>32</v>
      </c>
      <c r="B52" s="26" t="s">
        <v>22</v>
      </c>
      <c r="C52" s="629"/>
      <c r="D52" s="629"/>
      <c r="E52" s="216"/>
      <c r="F52" s="27"/>
      <c r="G52" s="9"/>
      <c r="H52" s="221"/>
      <c r="I52" s="16">
        <v>9.75</v>
      </c>
      <c r="J52" s="23">
        <v>2625</v>
      </c>
      <c r="K52" s="9">
        <f>J52/I52</f>
        <v>269.23076923076923</v>
      </c>
      <c r="L52" s="16">
        <v>9.75</v>
      </c>
      <c r="M52" s="10">
        <f>AVERAGE(M48:M51)</f>
        <v>2531.1863848602097</v>
      </c>
      <c r="N52" s="9">
        <f>M52/L52</f>
        <v>259.60885998566255</v>
      </c>
      <c r="O52" s="11">
        <f>L52-I52</f>
        <v>0</v>
      </c>
      <c r="P52" s="12">
        <f>N52-K52</f>
        <v>-9.6219092451066786</v>
      </c>
      <c r="Q52" s="215">
        <f>N52/K52</f>
        <v>0.9642614799467466</v>
      </c>
      <c r="R52" s="571"/>
      <c r="S52" s="24"/>
      <c r="T52" s="24"/>
      <c r="U52" s="9"/>
      <c r="V52" s="220"/>
      <c r="W52" s="9"/>
      <c r="X52" s="9"/>
      <c r="Y52" s="617"/>
      <c r="Z52" s="617"/>
      <c r="AA52" s="11">
        <f t="shared" si="2"/>
        <v>-93.813615139790272</v>
      </c>
      <c r="AB52" s="215">
        <f t="shared" si="56"/>
        <v>0.9642614799467466</v>
      </c>
      <c r="AC52" s="571"/>
    </row>
    <row r="53" spans="1:29" ht="15.75" customHeight="1">
      <c r="A53" s="618" t="s">
        <v>33</v>
      </c>
      <c r="B53" s="221" t="s">
        <v>46</v>
      </c>
      <c r="C53" s="616" t="s">
        <v>84</v>
      </c>
      <c r="D53" s="616"/>
      <c r="E53" s="26">
        <v>20.2</v>
      </c>
      <c r="F53" s="221">
        <v>1661</v>
      </c>
      <c r="G53" s="214">
        <f t="shared" ref="G53:G59" si="84">E53*F53</f>
        <v>33552.199999999997</v>
      </c>
      <c r="H53" s="21" t="s">
        <v>35</v>
      </c>
      <c r="I53" s="219">
        <v>19</v>
      </c>
      <c r="J53" s="23">
        <v>2400</v>
      </c>
      <c r="K53" s="9">
        <f t="shared" ref="K53:K60" si="85">J53/I53</f>
        <v>126.31578947368421</v>
      </c>
      <c r="L53" s="219">
        <v>19</v>
      </c>
      <c r="M53" s="10">
        <f>F53/V53*60</f>
        <v>2317.6744186046508</v>
      </c>
      <c r="N53" s="9">
        <f t="shared" ref="N53:N59" si="86">M53/L53</f>
        <v>121.98286413708688</v>
      </c>
      <c r="O53" s="11">
        <f t="shared" ref="O53:O59" si="87">L53-I53</f>
        <v>0</v>
      </c>
      <c r="P53" s="12">
        <f t="shared" ref="P53:P59" si="88">N53-K53</f>
        <v>-4.3329253365973273</v>
      </c>
      <c r="Q53" s="215">
        <f>N53/K53</f>
        <v>0.96569767441860455</v>
      </c>
      <c r="R53" s="571">
        <f>Q60</f>
        <v>0.96119241287837265</v>
      </c>
      <c r="S53" s="24">
        <v>8.3333333333333329E-2</v>
      </c>
      <c r="T53" s="24">
        <v>0.11319444444444444</v>
      </c>
      <c r="U53" s="15"/>
      <c r="V53" s="220">
        <f t="shared" ref="V53:V59" si="89">(T53-S53)*24*60</f>
        <v>43.000000000000007</v>
      </c>
      <c r="W53" s="13">
        <f>T53</f>
        <v>0.11319444444444444</v>
      </c>
      <c r="X53" s="13">
        <f>S54</f>
        <v>0.13194444444444445</v>
      </c>
      <c r="Y53" s="617"/>
      <c r="Z53" s="617"/>
      <c r="AA53" s="11">
        <f t="shared" si="2"/>
        <v>-82.325581395349218</v>
      </c>
      <c r="AB53" s="215">
        <f>M53/J53</f>
        <v>0.96569767441860455</v>
      </c>
      <c r="AC53" s="571">
        <f>AB60</f>
        <v>0.96119241287837265</v>
      </c>
    </row>
    <row r="54" spans="1:29" ht="15.75" customHeight="1">
      <c r="A54" s="619" t="s">
        <v>33</v>
      </c>
      <c r="B54" s="221" t="s">
        <v>46</v>
      </c>
      <c r="C54" s="616" t="s">
        <v>85</v>
      </c>
      <c r="D54" s="616"/>
      <c r="E54" s="26">
        <v>19.02</v>
      </c>
      <c r="F54" s="221">
        <v>7232</v>
      </c>
      <c r="G54" s="214">
        <f t="shared" si="84"/>
        <v>137552.63999999998</v>
      </c>
      <c r="H54" s="21" t="s">
        <v>35</v>
      </c>
      <c r="I54" s="219">
        <v>15</v>
      </c>
      <c r="J54" s="23">
        <v>2400</v>
      </c>
      <c r="K54" s="9">
        <f t="shared" si="85"/>
        <v>160</v>
      </c>
      <c r="L54" s="219">
        <v>15</v>
      </c>
      <c r="M54" s="10">
        <f t="shared" ref="M54:M59" si="90">F54/V54*60</f>
        <v>2283.7894736842104</v>
      </c>
      <c r="N54" s="9">
        <f t="shared" si="86"/>
        <v>152.25263157894736</v>
      </c>
      <c r="O54" s="11">
        <f t="shared" si="87"/>
        <v>0</v>
      </c>
      <c r="P54" s="12">
        <f t="shared" si="88"/>
        <v>-7.7473684210526415</v>
      </c>
      <c r="Q54" s="215">
        <f t="shared" ref="Q54:Q60" si="91">N54/K54</f>
        <v>0.95157894736842097</v>
      </c>
      <c r="R54" s="571"/>
      <c r="S54" s="24">
        <v>0.13194444444444445</v>
      </c>
      <c r="T54" s="24">
        <v>0.2638888888888889</v>
      </c>
      <c r="U54" s="214">
        <f>(S54-T53)*24*60</f>
        <v>27.000000000000004</v>
      </c>
      <c r="V54" s="220">
        <f t="shared" si="89"/>
        <v>190.00000000000003</v>
      </c>
      <c r="W54" s="13"/>
      <c r="X54" s="13"/>
      <c r="Y54" s="617"/>
      <c r="Z54" s="617"/>
      <c r="AA54" s="11">
        <f t="shared" si="2"/>
        <v>-116.21052631578959</v>
      </c>
      <c r="AB54" s="215">
        <f t="shared" ref="AB54:AB60" si="92">M54/J54</f>
        <v>0.95157894736842097</v>
      </c>
      <c r="AC54" s="571"/>
    </row>
    <row r="55" spans="1:29" ht="15.75" customHeight="1">
      <c r="A55" s="619" t="s">
        <v>33</v>
      </c>
      <c r="B55" s="221" t="s">
        <v>46</v>
      </c>
      <c r="C55" s="616" t="s">
        <v>88</v>
      </c>
      <c r="D55" s="616"/>
      <c r="E55" s="26">
        <v>24.25</v>
      </c>
      <c r="F55" s="221">
        <v>2889</v>
      </c>
      <c r="G55" s="214">
        <f t="shared" si="84"/>
        <v>70058.25</v>
      </c>
      <c r="H55" s="21" t="s">
        <v>35</v>
      </c>
      <c r="I55" s="219">
        <v>17</v>
      </c>
      <c r="J55" s="23">
        <v>2400</v>
      </c>
      <c r="K55" s="9">
        <f t="shared" si="85"/>
        <v>141.1764705882353</v>
      </c>
      <c r="L55" s="219">
        <v>17</v>
      </c>
      <c r="M55" s="10">
        <f t="shared" si="90"/>
        <v>2311.2000000000012</v>
      </c>
      <c r="N55" s="9">
        <f t="shared" si="86"/>
        <v>135.95294117647066</v>
      </c>
      <c r="O55" s="11">
        <f t="shared" si="87"/>
        <v>0</v>
      </c>
      <c r="P55" s="12">
        <f t="shared" si="88"/>
        <v>-5.2235294117646447</v>
      </c>
      <c r="Q55" s="215">
        <f t="shared" si="91"/>
        <v>0.96300000000000041</v>
      </c>
      <c r="R55" s="571"/>
      <c r="S55" s="24">
        <v>0.26874999999999999</v>
      </c>
      <c r="T55" s="24">
        <v>0.3208333333333333</v>
      </c>
      <c r="U55" s="214">
        <f t="shared" ref="U55:U59" si="93">(S55-T54)*24*60</f>
        <v>6.9999999999999751</v>
      </c>
      <c r="V55" s="220">
        <f t="shared" si="89"/>
        <v>74.999999999999972</v>
      </c>
      <c r="W55" s="13"/>
      <c r="X55" s="13"/>
      <c r="Y55" s="617"/>
      <c r="Z55" s="617"/>
      <c r="AA55" s="11">
        <f t="shared" si="2"/>
        <v>-88.799999999998818</v>
      </c>
      <c r="AB55" s="215">
        <f t="shared" si="92"/>
        <v>0.96300000000000052</v>
      </c>
      <c r="AC55" s="571"/>
    </row>
    <row r="56" spans="1:29" ht="15.75" customHeight="1">
      <c r="A56" s="619" t="s">
        <v>33</v>
      </c>
      <c r="B56" s="221" t="s">
        <v>46</v>
      </c>
      <c r="C56" s="616" t="s">
        <v>47</v>
      </c>
      <c r="D56" s="616"/>
      <c r="E56" s="26">
        <v>24.45</v>
      </c>
      <c r="F56" s="221">
        <v>1722</v>
      </c>
      <c r="G56" s="214">
        <f t="shared" si="84"/>
        <v>42102.9</v>
      </c>
      <c r="H56" s="21" t="s">
        <v>35</v>
      </c>
      <c r="I56" s="219">
        <v>20</v>
      </c>
      <c r="J56" s="23">
        <v>2400</v>
      </c>
      <c r="K56" s="9">
        <f t="shared" si="85"/>
        <v>120</v>
      </c>
      <c r="L56" s="219">
        <v>20</v>
      </c>
      <c r="M56" s="10">
        <f t="shared" si="90"/>
        <v>2296</v>
      </c>
      <c r="N56" s="9">
        <f t="shared" si="86"/>
        <v>114.8</v>
      </c>
      <c r="O56" s="11">
        <f t="shared" si="87"/>
        <v>0</v>
      </c>
      <c r="P56" s="12">
        <f t="shared" si="88"/>
        <v>-5.2000000000000028</v>
      </c>
      <c r="Q56" s="215">
        <f t="shared" si="91"/>
        <v>0.95666666666666667</v>
      </c>
      <c r="R56" s="571"/>
      <c r="S56" s="24">
        <v>0.32430555555555551</v>
      </c>
      <c r="T56" s="24">
        <v>0.35555555555555551</v>
      </c>
      <c r="U56" s="214">
        <f t="shared" si="93"/>
        <v>4.9999999999999822</v>
      </c>
      <c r="V56" s="220">
        <f t="shared" si="89"/>
        <v>45</v>
      </c>
      <c r="W56" s="13"/>
      <c r="X56" s="13"/>
      <c r="Y56" s="617"/>
      <c r="Z56" s="617"/>
      <c r="AA56" s="11">
        <f t="shared" si="2"/>
        <v>-104</v>
      </c>
      <c r="AB56" s="215">
        <f t="shared" si="92"/>
        <v>0.95666666666666667</v>
      </c>
      <c r="AC56" s="571"/>
    </row>
    <row r="57" spans="1:29" ht="15.75" customHeight="1">
      <c r="A57" s="619" t="s">
        <v>33</v>
      </c>
      <c r="B57" s="221" t="s">
        <v>46</v>
      </c>
      <c r="C57" s="616" t="s">
        <v>66</v>
      </c>
      <c r="D57" s="616"/>
      <c r="E57" s="26">
        <v>24.25</v>
      </c>
      <c r="F57" s="221">
        <v>4498</v>
      </c>
      <c r="G57" s="214">
        <f t="shared" si="84"/>
        <v>109076.5</v>
      </c>
      <c r="H57" s="21" t="s">
        <v>35</v>
      </c>
      <c r="I57" s="219">
        <v>14</v>
      </c>
      <c r="J57" s="23">
        <v>2400</v>
      </c>
      <c r="K57" s="9">
        <f t="shared" si="85"/>
        <v>171.42857142857142</v>
      </c>
      <c r="L57" s="219">
        <v>14</v>
      </c>
      <c r="M57" s="10">
        <f t="shared" si="90"/>
        <v>2287.118644067797</v>
      </c>
      <c r="N57" s="9">
        <f t="shared" si="86"/>
        <v>163.36561743341409</v>
      </c>
      <c r="O57" s="11">
        <f t="shared" si="87"/>
        <v>0</v>
      </c>
      <c r="P57" s="12">
        <f t="shared" si="88"/>
        <v>-8.0629539951573292</v>
      </c>
      <c r="Q57" s="215">
        <f t="shared" si="91"/>
        <v>0.95296610169491558</v>
      </c>
      <c r="R57" s="571"/>
      <c r="S57" s="24">
        <v>0.36041666666666661</v>
      </c>
      <c r="T57" s="24">
        <v>0.44236111111111104</v>
      </c>
      <c r="U57" s="214">
        <f t="shared" si="93"/>
        <v>6.9999999999999751</v>
      </c>
      <c r="V57" s="220">
        <f t="shared" si="89"/>
        <v>117.99999999999999</v>
      </c>
      <c r="W57" s="13"/>
      <c r="X57" s="13"/>
      <c r="Y57" s="617"/>
      <c r="Z57" s="617"/>
      <c r="AA57" s="11">
        <f t="shared" si="2"/>
        <v>-112.88135593220295</v>
      </c>
      <c r="AB57" s="215">
        <f t="shared" si="92"/>
        <v>0.95296610169491547</v>
      </c>
      <c r="AC57" s="571"/>
    </row>
    <row r="58" spans="1:29" ht="15.75" customHeight="1">
      <c r="A58" s="619" t="s">
        <v>33</v>
      </c>
      <c r="B58" s="221" t="s">
        <v>46</v>
      </c>
      <c r="C58" s="616" t="s">
        <v>58</v>
      </c>
      <c r="D58" s="616"/>
      <c r="E58" s="26">
        <v>25.98</v>
      </c>
      <c r="F58" s="221">
        <v>1173</v>
      </c>
      <c r="G58" s="214">
        <f t="shared" si="84"/>
        <v>30474.54</v>
      </c>
      <c r="H58" s="21" t="s">
        <v>35</v>
      </c>
      <c r="I58" s="219">
        <v>17</v>
      </c>
      <c r="J58" s="23">
        <v>2400</v>
      </c>
      <c r="K58" s="9">
        <f t="shared" si="85"/>
        <v>141.1764705882353</v>
      </c>
      <c r="L58" s="219">
        <v>17</v>
      </c>
      <c r="M58" s="10">
        <f t="shared" si="90"/>
        <v>2346.0000000000023</v>
      </c>
      <c r="N58" s="9">
        <f t="shared" si="86"/>
        <v>138.00000000000014</v>
      </c>
      <c r="O58" s="11">
        <f t="shared" si="87"/>
        <v>0</v>
      </c>
      <c r="P58" s="12">
        <f t="shared" si="88"/>
        <v>-3.176470588235162</v>
      </c>
      <c r="Q58" s="215">
        <f t="shared" si="91"/>
        <v>0.97750000000000092</v>
      </c>
      <c r="R58" s="571"/>
      <c r="S58" s="24">
        <v>0.44791666666666657</v>
      </c>
      <c r="T58" s="24">
        <v>0.46874999999999989</v>
      </c>
      <c r="U58" s="214">
        <f t="shared" si="93"/>
        <v>7.9999999999999716</v>
      </c>
      <c r="V58" s="220">
        <f t="shared" si="89"/>
        <v>29.999999999999972</v>
      </c>
      <c r="W58" s="13"/>
      <c r="X58" s="13"/>
      <c r="Y58" s="617"/>
      <c r="Z58" s="617"/>
      <c r="AA58" s="11">
        <f t="shared" si="2"/>
        <v>-53.999999999997726</v>
      </c>
      <c r="AB58" s="215">
        <f t="shared" si="92"/>
        <v>0.97750000000000092</v>
      </c>
      <c r="AC58" s="571"/>
    </row>
    <row r="59" spans="1:29" ht="15.75" customHeight="1">
      <c r="A59" s="619" t="s">
        <v>33</v>
      </c>
      <c r="B59" s="221" t="s">
        <v>46</v>
      </c>
      <c r="C59" s="616" t="s">
        <v>57</v>
      </c>
      <c r="D59" s="616"/>
      <c r="E59" s="26">
        <v>20.52</v>
      </c>
      <c r="F59" s="221">
        <v>2460</v>
      </c>
      <c r="G59" s="214">
        <f t="shared" si="84"/>
        <v>50479.199999999997</v>
      </c>
      <c r="H59" s="21" t="s">
        <v>35</v>
      </c>
      <c r="I59" s="219">
        <v>18</v>
      </c>
      <c r="J59" s="23">
        <v>2400</v>
      </c>
      <c r="K59" s="9">
        <f t="shared" si="85"/>
        <v>133.33333333333334</v>
      </c>
      <c r="L59" s="219">
        <v>18</v>
      </c>
      <c r="M59" s="10">
        <f t="shared" si="90"/>
        <v>2306.2500000000027</v>
      </c>
      <c r="N59" s="9">
        <f t="shared" si="86"/>
        <v>128.12500000000014</v>
      </c>
      <c r="O59" s="11">
        <f t="shared" si="87"/>
        <v>0</v>
      </c>
      <c r="P59" s="12">
        <f t="shared" si="88"/>
        <v>-5.2083333333332007</v>
      </c>
      <c r="Q59" s="215">
        <f t="shared" si="91"/>
        <v>0.960937500000001</v>
      </c>
      <c r="R59" s="571"/>
      <c r="S59" s="24">
        <v>0.47430555555555542</v>
      </c>
      <c r="T59" s="24">
        <v>0.51874999999999982</v>
      </c>
      <c r="U59" s="214">
        <f t="shared" si="93"/>
        <v>7.9999999999999716</v>
      </c>
      <c r="V59" s="220">
        <f t="shared" si="89"/>
        <v>63.999999999999929</v>
      </c>
      <c r="W59" s="13"/>
      <c r="X59" s="13"/>
      <c r="Y59" s="621"/>
      <c r="Z59" s="622"/>
      <c r="AA59" s="11">
        <f t="shared" si="2"/>
        <v>-93.749999999997272</v>
      </c>
      <c r="AB59" s="215">
        <f t="shared" si="92"/>
        <v>0.96093750000000111</v>
      </c>
      <c r="AC59" s="571"/>
    </row>
    <row r="60" spans="1:29" ht="16.5" customHeight="1">
      <c r="A60" s="620" t="s">
        <v>33</v>
      </c>
      <c r="B60" s="26" t="s">
        <v>22</v>
      </c>
      <c r="C60" s="625"/>
      <c r="D60" s="626"/>
      <c r="E60" s="216"/>
      <c r="F60" s="27"/>
      <c r="G60" s="9"/>
      <c r="H60" s="221"/>
      <c r="I60" s="16">
        <v>17.142857142857142</v>
      </c>
      <c r="J60" s="23">
        <v>2400</v>
      </c>
      <c r="K60" s="9">
        <f t="shared" si="85"/>
        <v>140</v>
      </c>
      <c r="L60" s="16">
        <v>17.142857142857142</v>
      </c>
      <c r="M60" s="10">
        <f>AVERAGE(M53:M59)</f>
        <v>2306.8617909080945</v>
      </c>
      <c r="N60" s="9">
        <f>M60/L60</f>
        <v>134.56693780297218</v>
      </c>
      <c r="O60" s="11">
        <f>L60-I60</f>
        <v>0</v>
      </c>
      <c r="P60" s="12">
        <f>N60-K60</f>
        <v>-5.433062197027823</v>
      </c>
      <c r="Q60" s="215">
        <f t="shared" si="91"/>
        <v>0.96119241287837265</v>
      </c>
      <c r="R60" s="571"/>
      <c r="S60" s="24"/>
      <c r="T60" s="24"/>
      <c r="U60" s="9"/>
      <c r="V60" s="220"/>
      <c r="W60" s="9"/>
      <c r="X60" s="9"/>
      <c r="Y60" s="617"/>
      <c r="Z60" s="617"/>
      <c r="AA60" s="11">
        <f t="shared" si="2"/>
        <v>-93.138209091905537</v>
      </c>
      <c r="AB60" s="215">
        <f t="shared" si="92"/>
        <v>0.96119241287837265</v>
      </c>
      <c r="AC60" s="571"/>
    </row>
    <row r="61" spans="1:29">
      <c r="D61" s="17"/>
      <c r="E61" s="17"/>
    </row>
  </sheetData>
  <mergeCells count="168">
    <mergeCell ref="S1:X2"/>
    <mergeCell ref="Y1:Z2"/>
    <mergeCell ref="AA1:AC2"/>
    <mergeCell ref="A3:A4"/>
    <mergeCell ref="B3:B4"/>
    <mergeCell ref="C3:D4"/>
    <mergeCell ref="E3:E4"/>
    <mergeCell ref="F3:F4"/>
    <mergeCell ref="G3:G4"/>
    <mergeCell ref="I1:K2"/>
    <mergeCell ref="L1:N2"/>
    <mergeCell ref="O1:R2"/>
    <mergeCell ref="P3:P4"/>
    <mergeCell ref="Q3:Q4"/>
    <mergeCell ref="R3:R4"/>
    <mergeCell ref="S3:T3"/>
    <mergeCell ref="H3:H4"/>
    <mergeCell ref="I3:I4"/>
    <mergeCell ref="J3:J4"/>
    <mergeCell ref="K3:K4"/>
    <mergeCell ref="L3:L4"/>
    <mergeCell ref="M3:M4"/>
    <mergeCell ref="C8:D8"/>
    <mergeCell ref="Y8:Z8"/>
    <mergeCell ref="A9:A11"/>
    <mergeCell ref="C9:D9"/>
    <mergeCell ref="R9:R11"/>
    <mergeCell ref="Y9:Z9"/>
    <mergeCell ref="AC3:AC4"/>
    <mergeCell ref="A5:A8"/>
    <mergeCell ref="C5:D5"/>
    <mergeCell ref="R5:R8"/>
    <mergeCell ref="Y5:Z5"/>
    <mergeCell ref="AC5:AC8"/>
    <mergeCell ref="C6:D6"/>
    <mergeCell ref="Y6:Z6"/>
    <mergeCell ref="C7:D7"/>
    <mergeCell ref="Y7:Z7"/>
    <mergeCell ref="U3:U4"/>
    <mergeCell ref="V3:V4"/>
    <mergeCell ref="W3:X3"/>
    <mergeCell ref="Y3:Z4"/>
    <mergeCell ref="AA3:AA4"/>
    <mergeCell ref="AB3:AB4"/>
    <mergeCell ref="N3:N4"/>
    <mergeCell ref="O3:O4"/>
    <mergeCell ref="AC9:AC11"/>
    <mergeCell ref="C10:D10"/>
    <mergeCell ref="Y10:Z10"/>
    <mergeCell ref="C11:D11"/>
    <mergeCell ref="Y11:Z11"/>
    <mergeCell ref="A12:A16"/>
    <mergeCell ref="C12:D12"/>
    <mergeCell ref="R12:R16"/>
    <mergeCell ref="Y12:Z12"/>
    <mergeCell ref="AC12:AC16"/>
    <mergeCell ref="C16:D16"/>
    <mergeCell ref="Y16:Z16"/>
    <mergeCell ref="A17:A21"/>
    <mergeCell ref="C17:D17"/>
    <mergeCell ref="R17:R21"/>
    <mergeCell ref="Y17:Z17"/>
    <mergeCell ref="C13:D13"/>
    <mergeCell ref="Y13:Z13"/>
    <mergeCell ref="C14:D14"/>
    <mergeCell ref="Y14:Z14"/>
    <mergeCell ref="C15:D15"/>
    <mergeCell ref="Y15:Z15"/>
    <mergeCell ref="AC22:AC27"/>
    <mergeCell ref="C23:D23"/>
    <mergeCell ref="Y23:Z23"/>
    <mergeCell ref="C24:D24"/>
    <mergeCell ref="Y24:Z24"/>
    <mergeCell ref="C25:D25"/>
    <mergeCell ref="AC17:AC21"/>
    <mergeCell ref="C18:D18"/>
    <mergeCell ref="Y18:Z18"/>
    <mergeCell ref="C19:D19"/>
    <mergeCell ref="Y19:Z19"/>
    <mergeCell ref="C20:D20"/>
    <mergeCell ref="Y20:Z20"/>
    <mergeCell ref="C21:D21"/>
    <mergeCell ref="Y21:Z21"/>
    <mergeCell ref="Y25:Z25"/>
    <mergeCell ref="C26:D26"/>
    <mergeCell ref="Y26:Z26"/>
    <mergeCell ref="C27:D27"/>
    <mergeCell ref="Y27:Z27"/>
    <mergeCell ref="A28:A33"/>
    <mergeCell ref="C28:D28"/>
    <mergeCell ref="R28:R33"/>
    <mergeCell ref="Y28:Z28"/>
    <mergeCell ref="Y33:Z33"/>
    <mergeCell ref="A22:A27"/>
    <mergeCell ref="C22:D22"/>
    <mergeCell ref="R22:R27"/>
    <mergeCell ref="Y22:Z22"/>
    <mergeCell ref="AC28:AC33"/>
    <mergeCell ref="C29:D29"/>
    <mergeCell ref="Y29:Z29"/>
    <mergeCell ref="C30:D30"/>
    <mergeCell ref="Y30:Z30"/>
    <mergeCell ref="C31:D31"/>
    <mergeCell ref="Y31:Z31"/>
    <mergeCell ref="C32:D32"/>
    <mergeCell ref="Y32:Z32"/>
    <mergeCell ref="C33:D33"/>
    <mergeCell ref="A34:A40"/>
    <mergeCell ref="C34:D34"/>
    <mergeCell ref="R34:R40"/>
    <mergeCell ref="Y34:Z34"/>
    <mergeCell ref="AC34:AC40"/>
    <mergeCell ref="C35:D35"/>
    <mergeCell ref="Y35:Z35"/>
    <mergeCell ref="C36:D36"/>
    <mergeCell ref="Y36:Z36"/>
    <mergeCell ref="C37:D37"/>
    <mergeCell ref="Y37:Z37"/>
    <mergeCell ref="C38:D38"/>
    <mergeCell ref="Y38:Z38"/>
    <mergeCell ref="C39:D39"/>
    <mergeCell ref="Y39:Z39"/>
    <mergeCell ref="C40:D40"/>
    <mergeCell ref="Y40:Z40"/>
    <mergeCell ref="Y59:Z59"/>
    <mergeCell ref="C47:D47"/>
    <mergeCell ref="Y47:Z47"/>
    <mergeCell ref="A48:A52"/>
    <mergeCell ref="C48:D48"/>
    <mergeCell ref="R48:R52"/>
    <mergeCell ref="Y48:Z48"/>
    <mergeCell ref="A41:A47"/>
    <mergeCell ref="C41:D41"/>
    <mergeCell ref="R41:R47"/>
    <mergeCell ref="Y41:Z41"/>
    <mergeCell ref="AC48:AC52"/>
    <mergeCell ref="C49:D49"/>
    <mergeCell ref="Y49:Z49"/>
    <mergeCell ref="C50:D50"/>
    <mergeCell ref="Y50:Z50"/>
    <mergeCell ref="C51:D51"/>
    <mergeCell ref="Y51:Z51"/>
    <mergeCell ref="C52:D52"/>
    <mergeCell ref="Y52:Z52"/>
    <mergeCell ref="AC41:AC47"/>
    <mergeCell ref="C42:D42"/>
    <mergeCell ref="Y42:Z42"/>
    <mergeCell ref="C43:D43"/>
    <mergeCell ref="C46:D46"/>
    <mergeCell ref="Y46:Z46"/>
    <mergeCell ref="A53:A60"/>
    <mergeCell ref="C53:D53"/>
    <mergeCell ref="R53:R60"/>
    <mergeCell ref="Y53:Z53"/>
    <mergeCell ref="AC53:AC60"/>
    <mergeCell ref="C54:D54"/>
    <mergeCell ref="Y54:Z54"/>
    <mergeCell ref="C55:D55"/>
    <mergeCell ref="Y55:Z55"/>
    <mergeCell ref="C56:D56"/>
    <mergeCell ref="C60:D60"/>
    <mergeCell ref="Y60:Z60"/>
    <mergeCell ref="Y56:Z56"/>
    <mergeCell ref="C57:D57"/>
    <mergeCell ref="Y57:Z57"/>
    <mergeCell ref="C58:D58"/>
    <mergeCell ref="Y58:Z58"/>
    <mergeCell ref="C59:D59"/>
  </mergeCells>
  <phoneticPr fontId="3" type="noConversion"/>
  <conditionalFormatting sqref="O51:O58 O60 O5:O9 O11:O13 O16:O48">
    <cfRule type="cellIs" dxfId="700" priority="36" operator="greaterThan">
      <formula>0</formula>
    </cfRule>
  </conditionalFormatting>
  <conditionalFormatting sqref="P5:P7 P51 AA51 P53:P58 P48 P9 P11:P13 P17:P20 P41:P46 P22:P26 P28:P39 AA5:AA48 AA53:AA60">
    <cfRule type="cellIs" dxfId="699" priority="40" operator="lessThan">
      <formula>0</formula>
    </cfRule>
  </conditionalFormatting>
  <conditionalFormatting sqref="AB51 Q51:Q58 Q60 Q5:Q9 Q11:Q13 Q16:Q48 AB5:AB48 AB53:AB60">
    <cfRule type="cellIs" dxfId="698" priority="37" operator="greaterThan">
      <formula>1</formula>
    </cfRule>
    <cfRule type="cellIs" dxfId="697" priority="38" operator="lessThan">
      <formula>0.8</formula>
    </cfRule>
  </conditionalFormatting>
  <conditionalFormatting sqref="AC12:AC13 R12:R13 AC51 R51:R58 R60 AC5:AC9 R5:R9 R16:R48 AC16:AC48">
    <cfRule type="cellIs" dxfId="696" priority="42" operator="lessThan">
      <formula>0.8</formula>
    </cfRule>
  </conditionalFormatting>
  <conditionalFormatting sqref="AC34">
    <cfRule type="cellIs" dxfId="695" priority="44" operator="lessThan">
      <formula>0.8</formula>
    </cfRule>
  </conditionalFormatting>
  <conditionalFormatting sqref="AC17:AC20">
    <cfRule type="cellIs" dxfId="694" priority="41" operator="lessThan">
      <formula>0.8</formula>
    </cfRule>
  </conditionalFormatting>
  <conditionalFormatting sqref="AC22">
    <cfRule type="cellIs" dxfId="693" priority="43" operator="lessThan">
      <formula>0.8</formula>
    </cfRule>
  </conditionalFormatting>
  <conditionalFormatting sqref="AC28:AC32">
    <cfRule type="cellIs" dxfId="692" priority="39" operator="lessThan">
      <formula>0.8</formula>
    </cfRule>
  </conditionalFormatting>
  <conditionalFormatting sqref="AA52">
    <cfRule type="cellIs" dxfId="691" priority="35" operator="lessThan">
      <formula>0</formula>
    </cfRule>
  </conditionalFormatting>
  <conditionalFormatting sqref="AB52">
    <cfRule type="cellIs" dxfId="690" priority="33" operator="greaterThan">
      <formula>1</formula>
    </cfRule>
    <cfRule type="cellIs" dxfId="689" priority="34" operator="lessThan">
      <formula>0.8</formula>
    </cfRule>
  </conditionalFormatting>
  <conditionalFormatting sqref="O14:O15">
    <cfRule type="cellIs" dxfId="688" priority="28" operator="greaterThan">
      <formula>0</formula>
    </cfRule>
  </conditionalFormatting>
  <conditionalFormatting sqref="P14:P15">
    <cfRule type="cellIs" dxfId="687" priority="31" operator="lessThan">
      <formula>0</formula>
    </cfRule>
  </conditionalFormatting>
  <conditionalFormatting sqref="Q14:Q15">
    <cfRule type="cellIs" dxfId="686" priority="29" operator="greaterThan">
      <formula>1</formula>
    </cfRule>
    <cfRule type="cellIs" dxfId="685" priority="30" operator="lessThan">
      <formula>0.8</formula>
    </cfRule>
  </conditionalFormatting>
  <conditionalFormatting sqref="R14:R15 AC14:AC15">
    <cfRule type="cellIs" dxfId="684" priority="32" operator="lessThan">
      <formula>0.8</formula>
    </cfRule>
  </conditionalFormatting>
  <conditionalFormatting sqref="O10">
    <cfRule type="cellIs" dxfId="683" priority="24" operator="greaterThan">
      <formula>0</formula>
    </cfRule>
  </conditionalFormatting>
  <conditionalFormatting sqref="P10">
    <cfRule type="cellIs" dxfId="682" priority="27" operator="lessThan">
      <formula>0</formula>
    </cfRule>
  </conditionalFormatting>
  <conditionalFormatting sqref="Q10">
    <cfRule type="cellIs" dxfId="681" priority="25" operator="greaterThan">
      <formula>1</formula>
    </cfRule>
    <cfRule type="cellIs" dxfId="680" priority="26" operator="lessThan">
      <formula>0.8</formula>
    </cfRule>
  </conditionalFormatting>
  <conditionalFormatting sqref="O50">
    <cfRule type="cellIs" dxfId="679" priority="19" operator="greaterThan">
      <formula>0</formula>
    </cfRule>
  </conditionalFormatting>
  <conditionalFormatting sqref="P50 AA50">
    <cfRule type="cellIs" dxfId="678" priority="22" operator="lessThan">
      <formula>0</formula>
    </cfRule>
  </conditionalFormatting>
  <conditionalFormatting sqref="Q50 AB50">
    <cfRule type="cellIs" dxfId="677" priority="20" operator="greaterThan">
      <formula>1</formula>
    </cfRule>
    <cfRule type="cellIs" dxfId="676" priority="21" operator="lessThan">
      <formula>0.8</formula>
    </cfRule>
  </conditionalFormatting>
  <conditionalFormatting sqref="R50 AC50">
    <cfRule type="cellIs" dxfId="675" priority="23" operator="lessThan">
      <formula>0.8</formula>
    </cfRule>
  </conditionalFormatting>
  <conditionalFormatting sqref="O59">
    <cfRule type="cellIs" dxfId="674" priority="14" operator="greaterThan">
      <formula>0</formula>
    </cfRule>
  </conditionalFormatting>
  <conditionalFormatting sqref="P59">
    <cfRule type="cellIs" dxfId="673" priority="17" operator="lessThan">
      <formula>0</formula>
    </cfRule>
  </conditionalFormatting>
  <conditionalFormatting sqref="Q59">
    <cfRule type="cellIs" dxfId="672" priority="15" operator="greaterThan">
      <formula>1</formula>
    </cfRule>
    <cfRule type="cellIs" dxfId="671" priority="16" operator="lessThan">
      <formula>0.8</formula>
    </cfRule>
  </conditionalFormatting>
  <conditionalFormatting sqref="R59">
    <cfRule type="cellIs" dxfId="670" priority="18" operator="lessThan">
      <formula>0.8</formula>
    </cfRule>
  </conditionalFormatting>
  <conditionalFormatting sqref="O49">
    <cfRule type="cellIs" dxfId="669" priority="9" operator="greaterThan">
      <formula>0</formula>
    </cfRule>
  </conditionalFormatting>
  <conditionalFormatting sqref="P49 AA49">
    <cfRule type="cellIs" dxfId="668" priority="12" operator="lessThan">
      <formula>0</formula>
    </cfRule>
  </conditionalFormatting>
  <conditionalFormatting sqref="Q49 AB49">
    <cfRule type="cellIs" dxfId="667" priority="10" operator="greaterThan">
      <formula>1</formula>
    </cfRule>
    <cfRule type="cellIs" dxfId="666" priority="11" operator="lessThan">
      <formula>0.8</formula>
    </cfRule>
  </conditionalFormatting>
  <conditionalFormatting sqref="R49 AC49">
    <cfRule type="cellIs" dxfId="665" priority="13" operator="lessThan">
      <formula>0.8</formula>
    </cfRule>
  </conditionalFormatting>
  <conditionalFormatting sqref="P8">
    <cfRule type="cellIs" dxfId="664" priority="8" operator="lessThan">
      <formula>0</formula>
    </cfRule>
  </conditionalFormatting>
  <conditionalFormatting sqref="P16">
    <cfRule type="cellIs" dxfId="663" priority="7" operator="lessThan">
      <formula>0</formula>
    </cfRule>
  </conditionalFormatting>
  <conditionalFormatting sqref="P21">
    <cfRule type="cellIs" dxfId="662" priority="6" operator="lessThan">
      <formula>0</formula>
    </cfRule>
  </conditionalFormatting>
  <conditionalFormatting sqref="P27">
    <cfRule type="cellIs" dxfId="661" priority="5" operator="lessThan">
      <formula>0</formula>
    </cfRule>
  </conditionalFormatting>
  <conditionalFormatting sqref="P40">
    <cfRule type="cellIs" dxfId="660" priority="4" operator="lessThan">
      <formula>0</formula>
    </cfRule>
  </conditionalFormatting>
  <conditionalFormatting sqref="P47">
    <cfRule type="cellIs" dxfId="659" priority="3" operator="lessThan">
      <formula>0</formula>
    </cfRule>
  </conditionalFormatting>
  <conditionalFormatting sqref="P52">
    <cfRule type="cellIs" dxfId="658" priority="2" operator="lessThan">
      <formula>0</formula>
    </cfRule>
  </conditionalFormatting>
  <conditionalFormatting sqref="P60">
    <cfRule type="cellIs" dxfId="657" priority="1" operator="lessThan">
      <formula>0</formula>
    </cfRule>
  </conditionalFormatting>
  <dataValidations count="1">
    <dataValidation type="list" allowBlank="1" showInputMessage="1" showErrorMessage="1" sqref="Z8 Y5:Z7 Z10:Z48 Y8:Y51 Y52:Z60">
      <formula1>#REF!</formula1>
    </dataValidation>
  </dataValidations>
  <pageMargins left="0" right="0" top="0" bottom="0" header="0" footer="0"/>
  <pageSetup paperSize="9" scale="11" orientation="landscape" horizontalDpi="300" verticalDpi="300" r:id="rId1"/>
</worksheet>
</file>

<file path=xl/worksheets/sheet4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工作表35"/>
  <dimension ref="B1:Q28"/>
  <sheetViews>
    <sheetView zoomScale="85" zoomScaleNormal="85" workbookViewId="0">
      <selection activeCell="D11" sqref="D11"/>
    </sheetView>
  </sheetViews>
  <sheetFormatPr defaultColWidth="8.75" defaultRowHeight="15.75"/>
  <cols>
    <col min="1" max="1" width="8.75" style="30"/>
    <col min="2" max="2" width="17.875" style="30" customWidth="1"/>
    <col min="3" max="3" width="9.25" style="37" customWidth="1"/>
    <col min="4" max="13" width="12.625" style="30" customWidth="1"/>
    <col min="14" max="14" width="11" style="30" bestFit="1" customWidth="1"/>
    <col min="15" max="15" width="17.75" style="30" bestFit="1" customWidth="1"/>
    <col min="16" max="16" width="12.25" style="30" bestFit="1" customWidth="1"/>
    <col min="17" max="22" width="9.25" style="30" customWidth="1"/>
    <col min="23" max="23" width="10.75" style="30" customWidth="1"/>
    <col min="24" max="24" width="11" style="30" customWidth="1"/>
    <col min="25" max="16384" width="8.75" style="30"/>
  </cols>
  <sheetData>
    <row r="1" spans="2:17" ht="27.75" customHeight="1">
      <c r="B1" s="552" t="s">
        <v>827</v>
      </c>
      <c r="C1" s="552"/>
      <c r="D1" s="552"/>
      <c r="E1" s="552"/>
      <c r="F1" s="552"/>
      <c r="G1" s="552"/>
      <c r="H1" s="552"/>
      <c r="I1" s="552"/>
      <c r="J1" s="552"/>
      <c r="K1" s="29"/>
      <c r="L1" s="29"/>
      <c r="M1" s="29"/>
      <c r="N1" s="29"/>
      <c r="O1" s="29"/>
      <c r="P1" s="29"/>
    </row>
    <row r="2" spans="2:17" ht="27.75" customHeight="1">
      <c r="B2" s="553"/>
      <c r="C2" s="553"/>
      <c r="D2" s="553"/>
      <c r="E2" s="553"/>
      <c r="F2" s="553"/>
      <c r="G2" s="553"/>
      <c r="H2" s="553"/>
      <c r="I2" s="553"/>
      <c r="J2" s="553"/>
      <c r="K2" s="31"/>
      <c r="L2" s="31"/>
      <c r="M2" s="31"/>
      <c r="N2" s="29"/>
      <c r="O2" s="29"/>
      <c r="P2" s="29"/>
    </row>
    <row r="3" spans="2:17" ht="46.5" customHeight="1">
      <c r="B3" s="32" t="s">
        <v>828</v>
      </c>
      <c r="C3" s="554" t="str">
        <f>TEXT('1010 4度C'!A2,"yyyy.mm.ddaaaa")</f>
        <v>2025.10.10星期五</v>
      </c>
      <c r="D3" s="555"/>
      <c r="E3" s="32" t="s">
        <v>829</v>
      </c>
      <c r="F3" s="556">
        <f>'1010 4度C'!D1</f>
        <v>131230</v>
      </c>
      <c r="G3" s="557"/>
      <c r="H3" s="32" t="s">
        <v>90</v>
      </c>
      <c r="I3" s="558">
        <f>'1010 4度C'!F1</f>
        <v>4347157.37</v>
      </c>
      <c r="J3" s="559"/>
      <c r="K3" s="33"/>
      <c r="L3" s="34"/>
      <c r="M3" s="35"/>
      <c r="N3" s="35"/>
    </row>
    <row r="4" spans="2:17" ht="28.5" customHeight="1">
      <c r="B4" s="560" t="s">
        <v>830</v>
      </c>
      <c r="C4" s="542" t="s">
        <v>831</v>
      </c>
      <c r="D4" s="543"/>
      <c r="E4" s="563" t="s">
        <v>832</v>
      </c>
      <c r="F4" s="564"/>
      <c r="G4" s="563" t="s">
        <v>833</v>
      </c>
      <c r="H4" s="564"/>
      <c r="I4" s="563" t="s">
        <v>834</v>
      </c>
      <c r="J4" s="564"/>
      <c r="L4" s="35"/>
      <c r="M4" s="35"/>
      <c r="N4" s="35"/>
    </row>
    <row r="5" spans="2:17" ht="28.5" customHeight="1">
      <c r="B5" s="561"/>
      <c r="C5" s="542" t="s">
        <v>835</v>
      </c>
      <c r="D5" s="543"/>
      <c r="E5" s="542" t="s">
        <v>836</v>
      </c>
      <c r="F5" s="543"/>
      <c r="G5" s="544" t="s">
        <v>837</v>
      </c>
      <c r="H5" s="545"/>
      <c r="I5" s="546" t="s">
        <v>838</v>
      </c>
      <c r="J5" s="547"/>
      <c r="K5" s="35"/>
      <c r="L5" s="35"/>
      <c r="M5" s="35"/>
      <c r="N5" s="35"/>
    </row>
    <row r="6" spans="2:17" ht="28.5" customHeight="1">
      <c r="B6" s="561"/>
      <c r="C6" s="542" t="s">
        <v>92</v>
      </c>
      <c r="D6" s="543"/>
      <c r="E6" s="548">
        <f>AVERAGE(D13:M13)</f>
        <v>151.87862124972617</v>
      </c>
      <c r="F6" s="549">
        <f>AVERAGE(D27:O27,D13:J13)</f>
        <v>158.16303386188747</v>
      </c>
      <c r="G6" s="550">
        <f>AVERAGE(D13:J13)</f>
        <v>158.16303386188747</v>
      </c>
      <c r="H6" s="551"/>
      <c r="I6" s="550">
        <f>AVERAGE(K13:M13)</f>
        <v>137.21499182134983</v>
      </c>
      <c r="J6" s="551"/>
      <c r="K6" s="35"/>
      <c r="L6" s="35"/>
      <c r="M6" s="35"/>
      <c r="N6" s="35"/>
    </row>
    <row r="7" spans="2:17" ht="28.5" customHeight="1">
      <c r="B7" s="561"/>
      <c r="C7" s="532" t="s">
        <v>93</v>
      </c>
      <c r="D7" s="533"/>
      <c r="E7" s="534">
        <f>AVERAGE(D14:M14)</f>
        <v>146.13174543306164</v>
      </c>
      <c r="F7" s="535">
        <f>AVERAGE(D28:O28,D14:J14)</f>
        <v>152.40873045767324</v>
      </c>
      <c r="G7" s="536">
        <f>AVERAGE(D14:J14)</f>
        <v>152.40873045767324</v>
      </c>
      <c r="H7" s="537"/>
      <c r="I7" s="536">
        <f>AVERAGE(K14:M14)</f>
        <v>131.48544704230116</v>
      </c>
      <c r="J7" s="537"/>
      <c r="K7" s="35"/>
      <c r="L7" s="35"/>
      <c r="M7" s="35"/>
      <c r="N7" s="35"/>
    </row>
    <row r="8" spans="2:17" ht="28.5" customHeight="1">
      <c r="B8" s="562"/>
      <c r="C8" s="532" t="s">
        <v>94</v>
      </c>
      <c r="D8" s="533"/>
      <c r="E8" s="538">
        <f>AVERAGE(D15:M15)</f>
        <v>0.96064803485423766</v>
      </c>
      <c r="F8" s="539">
        <f>AVERAGE(D15:J15,D29:O29)</f>
        <v>0.96167330798208739</v>
      </c>
      <c r="G8" s="540">
        <f>AVERAGE(D15:J15)</f>
        <v>0.96167330798208739</v>
      </c>
      <c r="H8" s="541"/>
      <c r="I8" s="540">
        <f>AVERAGE(K15:M15)</f>
        <v>0.95825573088925509</v>
      </c>
      <c r="J8" s="541"/>
      <c r="K8" s="36" t="s">
        <v>839</v>
      </c>
      <c r="L8" s="35"/>
      <c r="M8" s="35"/>
      <c r="N8" s="35"/>
    </row>
    <row r="9" spans="2:17" ht="28.5" customHeight="1" thickBot="1">
      <c r="H9" s="38"/>
      <c r="N9" s="35"/>
      <c r="O9" s="35"/>
      <c r="P9" s="35"/>
      <c r="Q9" s="35"/>
    </row>
    <row r="10" spans="2:17" ht="30" customHeight="1">
      <c r="B10" s="515" t="s">
        <v>840</v>
      </c>
      <c r="C10" s="516"/>
      <c r="D10" s="517" t="s">
        <v>841</v>
      </c>
      <c r="E10" s="518"/>
      <c r="F10" s="518"/>
      <c r="G10" s="518"/>
      <c r="H10" s="518"/>
      <c r="I10" s="518"/>
      <c r="J10" s="519"/>
      <c r="K10" s="520" t="s">
        <v>842</v>
      </c>
      <c r="L10" s="521"/>
      <c r="M10" s="522"/>
      <c r="P10" s="39"/>
      <c r="Q10" s="39"/>
    </row>
    <row r="11" spans="2:17" ht="17.25" customHeight="1">
      <c r="B11" s="523" t="s">
        <v>843</v>
      </c>
      <c r="C11" s="524"/>
      <c r="D11" s="40">
        <v>1</v>
      </c>
      <c r="E11" s="41">
        <v>2</v>
      </c>
      <c r="F11" s="41">
        <v>3</v>
      </c>
      <c r="G11" s="41">
        <v>4</v>
      </c>
      <c r="H11" s="41">
        <v>5</v>
      </c>
      <c r="I11" s="41">
        <v>6</v>
      </c>
      <c r="J11" s="42">
        <v>7</v>
      </c>
      <c r="K11" s="40">
        <v>1</v>
      </c>
      <c r="L11" s="41">
        <v>2</v>
      </c>
      <c r="M11" s="42">
        <v>3</v>
      </c>
      <c r="P11" s="39"/>
      <c r="Q11" s="39"/>
    </row>
    <row r="12" spans="2:17" ht="34.15" customHeight="1">
      <c r="B12" s="525"/>
      <c r="C12" s="526"/>
      <c r="D12" s="43" t="s">
        <v>96</v>
      </c>
      <c r="E12" s="44" t="s">
        <v>97</v>
      </c>
      <c r="F12" s="44" t="s">
        <v>98</v>
      </c>
      <c r="G12" s="44" t="s">
        <v>99</v>
      </c>
      <c r="H12" s="44" t="s">
        <v>100</v>
      </c>
      <c r="I12" s="44" t="s">
        <v>101</v>
      </c>
      <c r="J12" s="45" t="s">
        <v>102</v>
      </c>
      <c r="K12" s="43" t="s">
        <v>103</v>
      </c>
      <c r="L12" s="44" t="s">
        <v>104</v>
      </c>
      <c r="M12" s="45" t="s">
        <v>105</v>
      </c>
    </row>
    <row r="13" spans="2:17" ht="40.15" customHeight="1">
      <c r="B13" s="527" t="s">
        <v>844</v>
      </c>
      <c r="C13" s="46" t="s">
        <v>845</v>
      </c>
      <c r="D13" s="47">
        <f>SUMIFS('1010 4度C'!$K:$K,'1010 4度C'!$A:$A,"新豐6線",'1010 4度C'!$B:$B,"平均")</f>
        <v>125</v>
      </c>
      <c r="E13" s="48">
        <f>SUMIFS('1010 4度C'!$K:$K,'1010 4度C'!$A:$A,"新豐2線",'1010 4度C'!$B:$B,"平均")</f>
        <v>81.081081081081081</v>
      </c>
      <c r="F13" s="49">
        <f>SUMIFS('1010 4度C'!$K:$K,'1010 4度C'!$A:$A,"新豐5線",'1010 4度C'!$B:$B,"平均")</f>
        <v>92.10526315789474</v>
      </c>
      <c r="G13" s="49">
        <f>SUMIFS('1010 4度C'!$K:$K,'1010 4度C'!$A:$A,"新豐7線",'1010 4度C'!$B:$B,"平均")</f>
        <v>119.40298507462687</v>
      </c>
      <c r="H13" s="49">
        <f>SUMIFS('1010 4度C'!$K:$K,'1010 4度C'!$A:$A,"新豐3線",'1010 4度C'!$B:$B,"平均")</f>
        <v>304.3478260869565</v>
      </c>
      <c r="I13" s="49">
        <f>SUMIFS('1010 4度C'!$K:$K,'1010 4度C'!$A:$A,"新豐1線",'1010 4度C'!$B:$B,"平均")</f>
        <v>117.34693877551021</v>
      </c>
      <c r="J13" s="50">
        <f>SUMIFS('1010 4度C'!$K:$K,'1010 4度C'!$A:$A,"新豐10線",'1010 4度C'!$B:$B,"平均")</f>
        <v>267.85714285714283</v>
      </c>
      <c r="K13" s="51">
        <f>SUMIFS('1010 4度C'!$K:$K,'1010 4度C'!$A:$A,"新豐8線",'1010 4度C'!$B:$B,"平均")</f>
        <v>132.11009174311926</v>
      </c>
      <c r="L13" s="52">
        <f>SUMIFS('1010 4度C'!$K:$K,'1010 4度C'!$A:$A,"新豐9線",'1010 4度C'!$B:$B,"平均")</f>
        <v>139.53488372093022</v>
      </c>
      <c r="M13" s="50">
        <f>SUMIFS('1010 4度C'!$K:$K,'1010 4度C'!$A:$A,"新豐4線",'1010 4度C'!$B:$B,"平均")</f>
        <v>140</v>
      </c>
    </row>
    <row r="14" spans="2:17" ht="39.6" customHeight="1">
      <c r="B14" s="528"/>
      <c r="C14" s="53" t="s">
        <v>846</v>
      </c>
      <c r="D14" s="54">
        <f>SUMIFS('1010 4度C'!$N:$N,'1010 4度C'!$A:$A,"新豐6線",'1010 4度C'!$B:$B,"平均")</f>
        <v>120.63141646489123</v>
      </c>
      <c r="E14" s="55">
        <f>SUMIFS('1010 4度C'!$N:$N,'1010 4度C'!$A:$A,"新豐2線",'1010 4度C'!$B:$B,"平均")</f>
        <v>77.251890012159535</v>
      </c>
      <c r="F14" s="55">
        <f>SUMIFS('1010 4度C'!$N:$N,'1010 4度C'!$A:$A,"新豐5線",'1010 4度C'!$B:$B,"平均")</f>
        <v>87.824990798785208</v>
      </c>
      <c r="G14" s="55">
        <f>SUMIFS('1010 4度C'!$N:$N,'1010 4度C'!$A:$A,"新豐7線",'1010 4度C'!$B:$B,"平均")</f>
        <v>114.9872321059861</v>
      </c>
      <c r="H14" s="55">
        <f>SUMIFS('1010 4度C'!$N:$N,'1010 4度C'!$A:$A,"新豐3線",'1010 4度C'!$B:$B,"平均")</f>
        <v>292.36166825243708</v>
      </c>
      <c r="I14" s="55">
        <f>SUMIFS('1010 4度C'!$N:$N,'1010 4度C'!$A:$A,"新豐1線",'1010 4度C'!$B:$B,"平均")</f>
        <v>113.02100707871453</v>
      </c>
      <c r="J14" s="56">
        <f>SUMIFS('1010 4度C'!$N:$N,'1010 4度C'!$A:$A,"新豐10線",'1010 4度C'!$B:$B,"平均")</f>
        <v>260.78290849073903</v>
      </c>
      <c r="K14" s="57">
        <f>SUMIFS('1010 4度C'!$N:$N,'1010 4度C'!$A:$A,"新豐8線",'1010 4度C'!$B:$B,"平均")</f>
        <v>126.6894856369512</v>
      </c>
      <c r="L14" s="58">
        <f>SUMIFS('1010 4度C'!$N:$N,'1010 4度C'!$A:$A,"新豐9線",'1010 4度C'!$B:$B,"平均")</f>
        <v>133.46646964637694</v>
      </c>
      <c r="M14" s="56">
        <f>SUMIFS('1010 4度C'!$N:$N,'1010 4度C'!$A:$A,"新豐4線",'1010 4度C'!$B:$B,"平均")</f>
        <v>134.30038584357536</v>
      </c>
    </row>
    <row r="15" spans="2:17" ht="40.15" customHeight="1">
      <c r="B15" s="529"/>
      <c r="C15" s="59" t="s">
        <v>847</v>
      </c>
      <c r="D15" s="60">
        <f t="shared" ref="D15:M15" si="0">D14/D13</f>
        <v>0.96505133171912982</v>
      </c>
      <c r="E15" s="61">
        <f t="shared" si="0"/>
        <v>0.95277331014996758</v>
      </c>
      <c r="F15" s="61">
        <f t="shared" si="0"/>
        <v>0.95352847152966791</v>
      </c>
      <c r="G15" s="61">
        <f t="shared" si="0"/>
        <v>0.96301806888763353</v>
      </c>
      <c r="H15" s="61">
        <f t="shared" si="0"/>
        <v>0.96061690997229332</v>
      </c>
      <c r="I15" s="61">
        <f t="shared" si="0"/>
        <v>0.96313553858382817</v>
      </c>
      <c r="J15" s="62">
        <f t="shared" si="0"/>
        <v>0.97358952503209251</v>
      </c>
      <c r="K15" s="60">
        <f t="shared" si="0"/>
        <v>0.95896902322414457</v>
      </c>
      <c r="L15" s="61">
        <f t="shared" si="0"/>
        <v>0.95650969913236805</v>
      </c>
      <c r="M15" s="62">
        <f t="shared" si="0"/>
        <v>0.95928847031125253</v>
      </c>
    </row>
    <row r="16" spans="2:17" ht="17.25" customHeight="1">
      <c r="B16" s="530" t="s">
        <v>848</v>
      </c>
      <c r="C16" s="63" t="s">
        <v>849</v>
      </c>
      <c r="D16" s="64">
        <f>VLOOKUP("新豐6線",'1010 4度C'!$A:$T,19,0)</f>
        <v>0.70833333333333337</v>
      </c>
      <c r="E16" s="24">
        <f>VLOOKUP("新豐2線",'1010 4度C'!$A:$T,19,0)</f>
        <v>0.20833333333333334</v>
      </c>
      <c r="F16" s="24">
        <f>VLOOKUP("新豐5線",'1010 4度C'!$A:$T,19,0)</f>
        <v>0.20833333333333334</v>
      </c>
      <c r="G16" s="24">
        <f>VLOOKUP("新豐7線",'1010 4度C'!$A:$T,19,0)</f>
        <v>0.20833333333333334</v>
      </c>
      <c r="H16" s="24">
        <f>VLOOKUP("新豐3線",'1010 4度C'!$A:$T,19,0)</f>
        <v>8.3333333333333329E-2</v>
      </c>
      <c r="I16" s="24">
        <f>VLOOKUP("新豐1線",'1010 4度C'!$A:$T,19,0)</f>
        <v>0.29166666666666669</v>
      </c>
      <c r="J16" s="65">
        <f>VLOOKUP("新豐10線",'1010 4度C'!$A:$T,19,0)</f>
        <v>0.20833333333333334</v>
      </c>
      <c r="K16" s="66">
        <f>VLOOKUP("新豐8線",'1010 4度C'!$A:$T,19,0)</f>
        <v>8.3333333333333329E-2</v>
      </c>
      <c r="L16" s="67">
        <f>VLOOKUP("新豐9線",'1010 4度C'!$A:$T,19,0)</f>
        <v>8.3333333333333329E-2</v>
      </c>
      <c r="M16" s="68">
        <f>VLOOKUP("新豐4線",'1010 4度C'!$A:$T,19,0)</f>
        <v>8.3333333333333329E-2</v>
      </c>
    </row>
    <row r="17" spans="2:13" ht="17.25" customHeight="1">
      <c r="B17" s="531"/>
      <c r="C17" s="63" t="s">
        <v>132</v>
      </c>
      <c r="D17" s="66">
        <f>LOOKUP(2,1/(('1010 4度C'!$A:$A="新豐6線")*('1010 4度C'!$T:$T&lt;&gt;"")),'1010 4度C'!$T:$T)</f>
        <v>0.8076388888888888</v>
      </c>
      <c r="E17" s="24">
        <f>LOOKUP(2,1/(('1010 4度C'!$A:$A="新豐2線")*('1010 4度C'!$T:$T&lt;&gt;"")),'1010 4度C'!$T:$T)</f>
        <v>0.42222222222222217</v>
      </c>
      <c r="F17" s="24">
        <f>LOOKUP(2,1/(('1010 4度C'!$A:$A="新豐5線")*('1010 4度C'!$T:$T&lt;&gt;"")),'1010 4度C'!$T:$T)</f>
        <v>0.82291666666666674</v>
      </c>
      <c r="G17" s="24">
        <f>LOOKUP(2,1/(('1010 4度C'!$A:$A="新豐7線")*('1010 4度C'!$T:$T&lt;&gt;"")),'1010 4度C'!$T:$T)</f>
        <v>0.75625000000000009</v>
      </c>
      <c r="H17" s="24">
        <f>LOOKUP(2,1/(('1010 4度C'!$A:$A="新豐3線")*('1010 4度C'!$T:$T&lt;&gt;"")),'1010 4度C'!$T:$T)</f>
        <v>0.50416666666666665</v>
      </c>
      <c r="I17" s="24">
        <f>LOOKUP(2,1/(('1010 4度C'!$A:$A="新豐1線")*('1010 4度C'!$T:$T&lt;&gt;"")),'1010 4度C'!$T:$T)</f>
        <v>0.82916666666666661</v>
      </c>
      <c r="J17" s="65">
        <f>LOOKUP(2,1/(('1010 4度C'!$A:$A="新豐10線")*('1010 4度C'!$T:$T&lt;&gt;"")),'1010 4度C'!$T:$T)</f>
        <v>0.34236111111111106</v>
      </c>
      <c r="K17" s="64">
        <f>LOOKUP(2,1/(('1010 4度C'!$A:$A="新豐8線")*('1010 4度C'!$T:$T&lt;&gt;"")),'1010 4度C'!$T:$T)</f>
        <v>0.49722222222222218</v>
      </c>
      <c r="L17" s="24">
        <f>LOOKUP(2,1/(('1010 4度C'!$A:$A="新豐9線")*('1010 4度C'!$T:$T&lt;&gt;"")),'1010 4度C'!$T:$T)</f>
        <v>0.47986111111111102</v>
      </c>
      <c r="M17" s="65">
        <f>LOOKUP(2,1/(('1010 4度C'!$A:$A="新豐4線")*('1010 4度C'!$T:$T&lt;&gt;"")),'1010 4度C'!$T:$T)</f>
        <v>0.48194444444444434</v>
      </c>
    </row>
    <row r="18" spans="2:13" ht="17.25" customHeight="1">
      <c r="B18" s="509" t="s">
        <v>850</v>
      </c>
      <c r="C18" s="510"/>
      <c r="D18" s="69">
        <f>SUMIFS('1010 4度C'!$I:$I,'1010 4度C'!$A:$A,"新豐6線",'1010 4度C'!$B:$B,"平均")</f>
        <v>16</v>
      </c>
      <c r="E18" s="70">
        <f>SUMIFS('1010 4度C'!$I:$I,'1010 4度C'!$A:$A,"新豐2線",'1010 4度C'!$B:$B,"平均")</f>
        <v>18.5</v>
      </c>
      <c r="F18" s="70">
        <f>SUMIFS('1010 4度C'!$I:$I,'1010 4度C'!$A:$A,"新豐5線",'1010 4度C'!$B:$B,"平均")</f>
        <v>19</v>
      </c>
      <c r="G18" s="70">
        <f>SUMIFS('1010 4度C'!$I:$I,'1010 4度C'!$A:$A,"新豐7線",'1010 4度C'!$B:$B,"平均")</f>
        <v>16.75</v>
      </c>
      <c r="H18" s="70">
        <f>SUMIFS('1010 4度C'!$I:$I,'1010 4度C'!$A:$A,"新豐3線",'1010 4度C'!$B:$B,"平均")</f>
        <v>9.8571428571428577</v>
      </c>
      <c r="I18" s="70">
        <f>SUMIFS('1010 4度C'!$I:$I,'1010 4度C'!$A:$A,"新豐1線",'1010 4度C'!$B:$B,"平均")</f>
        <v>16.333333333333332</v>
      </c>
      <c r="J18" s="71">
        <f>SUMIFS('1010 4度C'!$I:$I,'1010 4度C'!$A:$A,"新豐10線",'1010 4度C'!$B:$B,"平均")</f>
        <v>9.3333333333333339</v>
      </c>
      <c r="K18" s="69">
        <f>SUMIFS('1010 4度C'!$I:$I,'1010 4度C'!$A:$A,"新豐8線",'1010 4度C'!$B:$B,"平均")</f>
        <v>18.166666666666668</v>
      </c>
      <c r="L18" s="70">
        <f>SUMIFS('1010 4度C'!$I:$I,'1010 4度C'!$A:$A,"新豐9線",'1010 4度C'!$B:$B,"平均")</f>
        <v>17.2</v>
      </c>
      <c r="M18" s="71">
        <f>SUMIFS('1010 4度C'!$I:$I,'1010 4度C'!$A:$A,"新豐4線",'1010 4度C'!$B:$B,"平均")</f>
        <v>17.142857142857142</v>
      </c>
    </row>
    <row r="19" spans="2:13" ht="17.25" customHeight="1">
      <c r="B19" s="509" t="s">
        <v>851</v>
      </c>
      <c r="C19" s="510"/>
      <c r="D19" s="72" t="s">
        <v>109</v>
      </c>
      <c r="E19" s="73" t="s">
        <v>110</v>
      </c>
      <c r="F19" s="73" t="s">
        <v>852</v>
      </c>
      <c r="G19" s="73" t="s">
        <v>135</v>
      </c>
      <c r="H19" s="73" t="s">
        <v>111</v>
      </c>
      <c r="I19" s="73" t="s">
        <v>109</v>
      </c>
      <c r="J19" s="74" t="s">
        <v>111</v>
      </c>
      <c r="K19" s="72" t="s">
        <v>853</v>
      </c>
      <c r="L19" s="73" t="s">
        <v>853</v>
      </c>
      <c r="M19" s="74" t="s">
        <v>853</v>
      </c>
    </row>
    <row r="20" spans="2:13" ht="17.25" customHeight="1">
      <c r="B20" s="509" t="s">
        <v>854</v>
      </c>
      <c r="C20" s="510"/>
      <c r="D20" s="72"/>
      <c r="E20" s="73"/>
      <c r="F20" s="73" t="s">
        <v>855</v>
      </c>
      <c r="G20" s="73" t="s">
        <v>109</v>
      </c>
      <c r="H20" s="73"/>
      <c r="I20" s="73"/>
      <c r="J20" s="74"/>
      <c r="K20" s="72"/>
      <c r="L20" s="73"/>
      <c r="M20" s="74"/>
    </row>
    <row r="21" spans="2:13" ht="17.25" customHeight="1" thickBot="1">
      <c r="B21" s="511" t="s">
        <v>856</v>
      </c>
      <c r="C21" s="512"/>
      <c r="D21" s="75"/>
      <c r="E21" s="76" t="s">
        <v>857</v>
      </c>
      <c r="F21" s="513" t="s">
        <v>858</v>
      </c>
      <c r="G21" s="514"/>
      <c r="H21" s="76" t="s">
        <v>859</v>
      </c>
      <c r="I21" s="76" t="s">
        <v>145</v>
      </c>
      <c r="J21" s="77" t="s">
        <v>859</v>
      </c>
      <c r="K21" s="78"/>
      <c r="L21" s="76"/>
      <c r="M21" s="77"/>
    </row>
    <row r="22" spans="2:13" ht="17.25" customHeight="1"/>
    <row r="23" spans="2:13" ht="17.25" customHeight="1"/>
    <row r="24" spans="2:13" ht="17.25" customHeight="1"/>
    <row r="25" spans="2:13" ht="37.5" customHeight="1"/>
    <row r="26" spans="2:13" ht="35.25" customHeight="1"/>
    <row r="27" spans="2:13" ht="35.25" customHeight="1"/>
    <row r="28" spans="2:13" ht="39.75" customHeight="1"/>
  </sheetData>
  <mergeCells count="36">
    <mergeCell ref="B20:C20"/>
    <mergeCell ref="B21:C21"/>
    <mergeCell ref="F21:G21"/>
    <mergeCell ref="K10:M10"/>
    <mergeCell ref="B11:C12"/>
    <mergeCell ref="B13:B15"/>
    <mergeCell ref="B18:C18"/>
    <mergeCell ref="B19:C19"/>
    <mergeCell ref="I6:J6"/>
    <mergeCell ref="B16:B17"/>
    <mergeCell ref="C7:D7"/>
    <mergeCell ref="E7:F7"/>
    <mergeCell ref="G7:H7"/>
    <mergeCell ref="I7:J7"/>
    <mergeCell ref="C8:D8"/>
    <mergeCell ref="E8:F8"/>
    <mergeCell ref="G8:H8"/>
    <mergeCell ref="I8:J8"/>
    <mergeCell ref="B10:C10"/>
    <mergeCell ref="D10:J10"/>
    <mergeCell ref="B1:J2"/>
    <mergeCell ref="C3:D3"/>
    <mergeCell ref="F3:G3"/>
    <mergeCell ref="I3:J3"/>
    <mergeCell ref="B4:B8"/>
    <mergeCell ref="C4:D4"/>
    <mergeCell ref="E4:F4"/>
    <mergeCell ref="G4:H4"/>
    <mergeCell ref="I4:J4"/>
    <mergeCell ref="C5:D5"/>
    <mergeCell ref="E5:F5"/>
    <mergeCell ref="G5:H5"/>
    <mergeCell ref="I5:J5"/>
    <mergeCell ref="C6:D6"/>
    <mergeCell ref="E6:F6"/>
    <mergeCell ref="G6:H6"/>
  </mergeCells>
  <phoneticPr fontId="3" type="noConversion"/>
  <conditionalFormatting sqref="D15:M15">
    <cfRule type="cellIs" dxfId="656" priority="1" operator="lessThan">
      <formula>0.8</formula>
    </cfRule>
  </conditionalFormatting>
  <pageMargins left="0.7" right="0.7" top="0.75" bottom="0.75" header="0.3" footer="0.3"/>
  <pageSetup paperSize="9" orientation="portrait" horizontalDpi="300" verticalDpi="300" r:id="rId1"/>
</worksheet>
</file>

<file path=xl/worksheets/sheet4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工作表36">
    <pageSetUpPr fitToPage="1"/>
  </sheetPr>
  <dimension ref="A1:AC62"/>
  <sheetViews>
    <sheetView zoomScale="80" zoomScaleNormal="80" workbookViewId="0">
      <pane ySplit="4" topLeftCell="A5" activePane="bottomLeft" state="frozen"/>
      <selection activeCell="B6" sqref="B6"/>
      <selection pane="bottomLeft" activeCell="F1" sqref="F1"/>
    </sheetView>
  </sheetViews>
  <sheetFormatPr defaultColWidth="8" defaultRowHeight="15.75"/>
  <cols>
    <col min="1" max="1" width="15.125" style="5" customWidth="1"/>
    <col min="2" max="2" width="19.375" style="5" customWidth="1"/>
    <col min="3" max="3" width="15.25" style="5" customWidth="1"/>
    <col min="4" max="4" width="17.5" style="5" customWidth="1"/>
    <col min="5" max="5" width="7.5" style="5" bestFit="1" customWidth="1"/>
    <col min="6" max="6" width="14.375" style="5" bestFit="1" customWidth="1"/>
    <col min="7" max="7" width="14.375" style="5" customWidth="1"/>
    <col min="8" max="8" width="8" style="5" customWidth="1"/>
    <col min="9" max="9" width="5.875" style="5" customWidth="1"/>
    <col min="10" max="10" width="10.625" style="5" customWidth="1"/>
    <col min="11" max="11" width="14.625" style="5" customWidth="1"/>
    <col min="12" max="12" width="7.25" style="5" bestFit="1" customWidth="1"/>
    <col min="13" max="13" width="8" style="5" customWidth="1"/>
    <col min="14" max="14" width="12" style="5" customWidth="1"/>
    <col min="15" max="15" width="6" style="5" customWidth="1"/>
    <col min="16" max="16" width="9.25" style="5" customWidth="1"/>
    <col min="17" max="17" width="11.5" style="5" customWidth="1"/>
    <col min="18" max="18" width="8.5" style="5" customWidth="1"/>
    <col min="19" max="19" width="10.125" style="22" bestFit="1" customWidth="1"/>
    <col min="20" max="20" width="7.625" style="22" bestFit="1" customWidth="1"/>
    <col min="21" max="21" width="10.25" style="5" bestFit="1" customWidth="1"/>
    <col min="22" max="22" width="8.75" style="18" customWidth="1"/>
    <col min="23" max="23" width="7.375" style="5" customWidth="1"/>
    <col min="24" max="24" width="6.875" style="5" bestFit="1" customWidth="1"/>
    <col min="25" max="25" width="12.75" style="5" customWidth="1"/>
    <col min="26" max="26" width="18.875" style="5" customWidth="1"/>
    <col min="27" max="27" width="13.125" style="5" bestFit="1" customWidth="1"/>
    <col min="28" max="28" width="10.375" style="5" customWidth="1"/>
    <col min="29" max="29" width="9.375" style="5" customWidth="1"/>
    <col min="30" max="30" width="8" style="5"/>
    <col min="31" max="31" width="24.625" style="5" bestFit="1" customWidth="1"/>
    <col min="32" max="16384" width="8" style="5"/>
  </cols>
  <sheetData>
    <row r="1" spans="1:29" ht="26.25" customHeight="1">
      <c r="A1" s="1" t="s">
        <v>860</v>
      </c>
      <c r="B1" s="1"/>
      <c r="C1" s="2" t="s">
        <v>861</v>
      </c>
      <c r="D1" s="3">
        <f>SUM(F5:F61)</f>
        <v>131230</v>
      </c>
      <c r="E1" s="200" t="s">
        <v>862</v>
      </c>
      <c r="F1" s="1">
        <f>SUM(G5:G61)</f>
        <v>4347157.37</v>
      </c>
      <c r="G1" s="1" t="s">
        <v>863</v>
      </c>
      <c r="H1" s="4">
        <f>L8+L11+L42+L49+L16+L53+L28+L34+L21+L61</f>
        <v>158.28333333333333</v>
      </c>
      <c r="I1" s="652" t="s">
        <v>864</v>
      </c>
      <c r="J1" s="652"/>
      <c r="K1" s="652"/>
      <c r="L1" s="652" t="s">
        <v>865</v>
      </c>
      <c r="M1" s="652"/>
      <c r="N1" s="652"/>
      <c r="O1" s="652" t="s">
        <v>866</v>
      </c>
      <c r="P1" s="652"/>
      <c r="Q1" s="652"/>
      <c r="R1" s="652"/>
      <c r="S1" s="652" t="s">
        <v>867</v>
      </c>
      <c r="T1" s="652"/>
      <c r="U1" s="652"/>
      <c r="V1" s="652"/>
      <c r="W1" s="652"/>
      <c r="X1" s="652"/>
      <c r="Y1" s="652" t="s">
        <v>868</v>
      </c>
      <c r="Z1" s="652"/>
      <c r="AA1" s="652" t="s">
        <v>869</v>
      </c>
      <c r="AB1" s="653"/>
      <c r="AC1" s="653"/>
    </row>
    <row r="2" spans="1:29" ht="26.25" customHeight="1">
      <c r="A2" s="19">
        <v>45940</v>
      </c>
      <c r="B2" s="20" t="s">
        <v>315</v>
      </c>
      <c r="C2" s="2" t="s">
        <v>844</v>
      </c>
      <c r="D2" s="6">
        <f>AVERAGE(N8,N11,N42,N49,N16,N53,N21,N28,N34,N61)</f>
        <v>146.13174543306164</v>
      </c>
      <c r="E2" s="7" t="s">
        <v>2</v>
      </c>
      <c r="F2" s="8">
        <f>F1/D1</f>
        <v>33.126246818562826</v>
      </c>
      <c r="G2" s="1" t="s">
        <v>870</v>
      </c>
      <c r="H2" s="210">
        <f>COUNT(H5:H61)</f>
        <v>0</v>
      </c>
      <c r="I2" s="652"/>
      <c r="J2" s="652"/>
      <c r="K2" s="652"/>
      <c r="L2" s="652"/>
      <c r="M2" s="652"/>
      <c r="N2" s="652"/>
      <c r="O2" s="652"/>
      <c r="P2" s="652"/>
      <c r="Q2" s="652"/>
      <c r="R2" s="652"/>
      <c r="S2" s="652"/>
      <c r="T2" s="652"/>
      <c r="U2" s="652"/>
      <c r="V2" s="652"/>
      <c r="W2" s="652"/>
      <c r="X2" s="652"/>
      <c r="Y2" s="652"/>
      <c r="Z2" s="652"/>
      <c r="AA2" s="653"/>
      <c r="AB2" s="653"/>
      <c r="AC2" s="653"/>
    </row>
    <row r="3" spans="1:29" ht="23.25" customHeight="1">
      <c r="A3" s="617" t="s">
        <v>871</v>
      </c>
      <c r="B3" s="617" t="s">
        <v>872</v>
      </c>
      <c r="C3" s="617" t="s">
        <v>873</v>
      </c>
      <c r="D3" s="617"/>
      <c r="E3" s="654" t="s">
        <v>874</v>
      </c>
      <c r="F3" s="617" t="s">
        <v>875</v>
      </c>
      <c r="G3" s="654" t="s">
        <v>876</v>
      </c>
      <c r="H3" s="646" t="s">
        <v>877</v>
      </c>
      <c r="I3" s="645" t="s">
        <v>878</v>
      </c>
      <c r="J3" s="649" t="s">
        <v>879</v>
      </c>
      <c r="K3" s="651" t="s">
        <v>844</v>
      </c>
      <c r="L3" s="645" t="s">
        <v>878</v>
      </c>
      <c r="M3" s="649" t="s">
        <v>879</v>
      </c>
      <c r="N3" s="651" t="s">
        <v>844</v>
      </c>
      <c r="O3" s="645" t="s">
        <v>878</v>
      </c>
      <c r="P3" s="651" t="s">
        <v>844</v>
      </c>
      <c r="Q3" s="650" t="s">
        <v>880</v>
      </c>
      <c r="R3" s="633" t="s">
        <v>881</v>
      </c>
      <c r="S3" s="656" t="s">
        <v>14</v>
      </c>
      <c r="T3" s="656"/>
      <c r="U3" s="646" t="s">
        <v>15</v>
      </c>
      <c r="V3" s="646" t="s">
        <v>882</v>
      </c>
      <c r="W3" s="617" t="s">
        <v>883</v>
      </c>
      <c r="X3" s="617"/>
      <c r="Y3" s="647" t="s">
        <v>884</v>
      </c>
      <c r="Z3" s="648"/>
      <c r="AA3" s="649" t="s">
        <v>879</v>
      </c>
      <c r="AB3" s="650" t="s">
        <v>885</v>
      </c>
      <c r="AC3" s="633" t="s">
        <v>881</v>
      </c>
    </row>
    <row r="4" spans="1:29">
      <c r="A4" s="617"/>
      <c r="B4" s="617"/>
      <c r="C4" s="617"/>
      <c r="D4" s="617"/>
      <c r="E4" s="655"/>
      <c r="F4" s="617"/>
      <c r="G4" s="655"/>
      <c r="H4" s="646"/>
      <c r="I4" s="645"/>
      <c r="J4" s="649"/>
      <c r="K4" s="651"/>
      <c r="L4" s="645"/>
      <c r="M4" s="649"/>
      <c r="N4" s="651"/>
      <c r="O4" s="645"/>
      <c r="P4" s="651"/>
      <c r="Q4" s="650"/>
      <c r="R4" s="633"/>
      <c r="S4" s="209" t="s">
        <v>18</v>
      </c>
      <c r="T4" s="209" t="s">
        <v>19</v>
      </c>
      <c r="U4" s="646"/>
      <c r="V4" s="646"/>
      <c r="W4" s="200" t="s">
        <v>886</v>
      </c>
      <c r="X4" s="200" t="s">
        <v>887</v>
      </c>
      <c r="Y4" s="648"/>
      <c r="Z4" s="648"/>
      <c r="AA4" s="649"/>
      <c r="AB4" s="650"/>
      <c r="AC4" s="633"/>
    </row>
    <row r="5" spans="1:29">
      <c r="A5" s="644" t="s">
        <v>888</v>
      </c>
      <c r="B5" s="26" t="s">
        <v>36</v>
      </c>
      <c r="C5" s="601" t="s">
        <v>37</v>
      </c>
      <c r="D5" s="601"/>
      <c r="E5" s="26">
        <v>46.93</v>
      </c>
      <c r="F5" s="209">
        <v>687</v>
      </c>
      <c r="G5" s="200">
        <f>E5*F5</f>
        <v>32240.91</v>
      </c>
      <c r="H5" s="21" t="s">
        <v>35</v>
      </c>
      <c r="I5" s="207">
        <v>16</v>
      </c>
      <c r="J5" s="23">
        <v>2000</v>
      </c>
      <c r="K5" s="9">
        <f>J5/I5</f>
        <v>125</v>
      </c>
      <c r="L5" s="207">
        <v>16</v>
      </c>
      <c r="M5" s="10">
        <f>F5/V5*60</f>
        <v>1962.8571428571497</v>
      </c>
      <c r="N5" s="9">
        <f>M5/L5</f>
        <v>122.67857142857186</v>
      </c>
      <c r="O5" s="11">
        <f t="shared" ref="O5:O7" si="0">L5-I5</f>
        <v>0</v>
      </c>
      <c r="P5" s="12">
        <f t="shared" ref="P5:P7" si="1">N5-K5</f>
        <v>-2.3214285714281431</v>
      </c>
      <c r="Q5" s="205">
        <f>N5/K5</f>
        <v>0.98142857142857487</v>
      </c>
      <c r="R5" s="571">
        <f>Q8</f>
        <v>0.96505133171912982</v>
      </c>
      <c r="S5" s="24">
        <v>0.70833333333333337</v>
      </c>
      <c r="T5" s="24">
        <v>0.72291666666666665</v>
      </c>
      <c r="U5" s="200"/>
      <c r="V5" s="208">
        <f>(T5-S5)*24*60</f>
        <v>20.999999999999925</v>
      </c>
      <c r="W5" s="13"/>
      <c r="X5" s="14"/>
      <c r="Y5" s="617"/>
      <c r="Z5" s="617"/>
      <c r="AA5" s="11">
        <f t="shared" ref="AA5:AA61" si="2">M5-J5</f>
        <v>-37.142857142850289</v>
      </c>
      <c r="AB5" s="205">
        <f t="shared" ref="AB5:AB7" si="3">M5/J5</f>
        <v>0.98142857142857487</v>
      </c>
      <c r="AC5" s="571">
        <f>AB8</f>
        <v>0.96505133171912982</v>
      </c>
    </row>
    <row r="6" spans="1:29">
      <c r="A6" s="645" t="s">
        <v>889</v>
      </c>
      <c r="B6" s="26" t="s">
        <v>36</v>
      </c>
      <c r="C6" s="601" t="s">
        <v>38</v>
      </c>
      <c r="D6" s="601"/>
      <c r="E6" s="26">
        <v>50.49</v>
      </c>
      <c r="F6" s="209">
        <v>1891</v>
      </c>
      <c r="G6" s="200">
        <f t="shared" ref="G6:G7" si="4">E6*F6</f>
        <v>95476.59</v>
      </c>
      <c r="H6" s="21" t="s">
        <v>35</v>
      </c>
      <c r="I6" s="207">
        <v>15</v>
      </c>
      <c r="J6" s="23">
        <v>2000</v>
      </c>
      <c r="K6" s="9">
        <f t="shared" ref="K6:K7" si="5">J6/I6</f>
        <v>133.33333333333334</v>
      </c>
      <c r="L6" s="207">
        <v>15</v>
      </c>
      <c r="M6" s="10">
        <f>F6/V6*60</f>
        <v>1923.0508474576286</v>
      </c>
      <c r="N6" s="9">
        <f t="shared" ref="N6:N7" si="6">M6/L6</f>
        <v>128.20338983050857</v>
      </c>
      <c r="O6" s="11">
        <f t="shared" si="0"/>
        <v>0</v>
      </c>
      <c r="P6" s="12">
        <f t="shared" si="1"/>
        <v>-5.1299435028247728</v>
      </c>
      <c r="Q6" s="205">
        <f t="shared" ref="Q6:Q7" si="7">N6/K6</f>
        <v>0.96152542372881422</v>
      </c>
      <c r="R6" s="571"/>
      <c r="S6" s="24">
        <v>0.72638888888888886</v>
      </c>
      <c r="T6" s="24">
        <v>0.76736111111111105</v>
      </c>
      <c r="U6" s="200">
        <f>IF(S6=TIME(17,0,0),"",(S6-T5)*24*60)</f>
        <v>4.9999999999999822</v>
      </c>
      <c r="V6" s="208">
        <f>(T6-S6)*24*60</f>
        <v>58.99999999999995</v>
      </c>
      <c r="W6" s="13"/>
      <c r="X6" s="13"/>
      <c r="Y6" s="617"/>
      <c r="Z6" s="617"/>
      <c r="AA6" s="11">
        <f t="shared" si="2"/>
        <v>-76.949152542371394</v>
      </c>
      <c r="AB6" s="205">
        <f t="shared" si="3"/>
        <v>0.96152542372881433</v>
      </c>
      <c r="AC6" s="571"/>
    </row>
    <row r="7" spans="1:29">
      <c r="A7" s="645" t="s">
        <v>889</v>
      </c>
      <c r="B7" s="26" t="s">
        <v>36</v>
      </c>
      <c r="C7" s="594" t="s">
        <v>39</v>
      </c>
      <c r="D7" s="595"/>
      <c r="E7" s="26">
        <v>50.67</v>
      </c>
      <c r="F7" s="209">
        <v>1587</v>
      </c>
      <c r="G7" s="200">
        <f t="shared" si="4"/>
        <v>80413.290000000008</v>
      </c>
      <c r="H7" s="21" t="s">
        <v>35</v>
      </c>
      <c r="I7" s="207">
        <v>17</v>
      </c>
      <c r="J7" s="23">
        <v>2000</v>
      </c>
      <c r="K7" s="9">
        <f t="shared" si="5"/>
        <v>117.64705882352941</v>
      </c>
      <c r="L7" s="207">
        <v>17</v>
      </c>
      <c r="M7" s="10">
        <f t="shared" ref="M7" si="8">F7/V7*60</f>
        <v>1904.4000000000005</v>
      </c>
      <c r="N7" s="9">
        <f t="shared" si="6"/>
        <v>112.02352941176474</v>
      </c>
      <c r="O7" s="11">
        <f t="shared" si="0"/>
        <v>0</v>
      </c>
      <c r="P7" s="12">
        <f t="shared" si="1"/>
        <v>-5.6235294117646646</v>
      </c>
      <c r="Q7" s="205">
        <f t="shared" si="7"/>
        <v>0.95220000000000038</v>
      </c>
      <c r="R7" s="571"/>
      <c r="S7" s="24">
        <v>0.77291666666666659</v>
      </c>
      <c r="T7" s="24">
        <v>0.8076388888888888</v>
      </c>
      <c r="U7" s="200">
        <f t="shared" ref="U7" si="9">IF(S7=TIME(17,0,0),"",(S7-T6)*24*60)</f>
        <v>7.9999999999999716</v>
      </c>
      <c r="V7" s="208">
        <f t="shared" ref="V7" si="10">(T7-S7)*24*60</f>
        <v>49.999999999999986</v>
      </c>
      <c r="W7" s="13"/>
      <c r="X7" s="13"/>
      <c r="Y7" s="621"/>
      <c r="Z7" s="622"/>
      <c r="AA7" s="11">
        <f t="shared" si="2"/>
        <v>-95.599999999999454</v>
      </c>
      <c r="AB7" s="205">
        <f t="shared" si="3"/>
        <v>0.95220000000000027</v>
      </c>
      <c r="AC7" s="571"/>
    </row>
    <row r="8" spans="1:29">
      <c r="A8" s="645" t="s">
        <v>889</v>
      </c>
      <c r="B8" s="26" t="s">
        <v>890</v>
      </c>
      <c r="C8" s="629"/>
      <c r="D8" s="629"/>
      <c r="E8" s="199"/>
      <c r="F8" s="27"/>
      <c r="G8" s="9"/>
      <c r="H8" s="209"/>
      <c r="I8" s="16">
        <v>16</v>
      </c>
      <c r="J8" s="23">
        <v>2000</v>
      </c>
      <c r="K8" s="9">
        <f>J8/I8</f>
        <v>125</v>
      </c>
      <c r="L8" s="16">
        <v>16</v>
      </c>
      <c r="M8" s="10">
        <f>AVERAGE(M5:M7)</f>
        <v>1930.1026634382597</v>
      </c>
      <c r="N8" s="9">
        <f>M8/L8</f>
        <v>120.63141646489123</v>
      </c>
      <c r="O8" s="11">
        <f>L8-I8</f>
        <v>0</v>
      </c>
      <c r="P8" s="12">
        <f>N8-K8</f>
        <v>-4.368583535108769</v>
      </c>
      <c r="Q8" s="205">
        <f>N8/K8</f>
        <v>0.96505133171912982</v>
      </c>
      <c r="R8" s="571"/>
      <c r="S8" s="24"/>
      <c r="T8" s="24"/>
      <c r="U8" s="200"/>
      <c r="V8" s="208"/>
      <c r="W8" s="9"/>
      <c r="X8" s="9"/>
      <c r="Y8" s="617"/>
      <c r="Z8" s="617"/>
      <c r="AA8" s="11">
        <f t="shared" si="2"/>
        <v>-69.897336561740303</v>
      </c>
      <c r="AB8" s="205">
        <f>M8/J8</f>
        <v>0.96505133171912982</v>
      </c>
      <c r="AC8" s="571"/>
    </row>
    <row r="9" spans="1:29" ht="15.75" customHeight="1">
      <c r="A9" s="643" t="s">
        <v>891</v>
      </c>
      <c r="B9" s="26" t="s">
        <v>40</v>
      </c>
      <c r="C9" s="594" t="s">
        <v>42</v>
      </c>
      <c r="D9" s="595"/>
      <c r="E9" s="26">
        <v>39.36</v>
      </c>
      <c r="F9" s="209">
        <v>2049</v>
      </c>
      <c r="G9" s="200">
        <f t="shared" ref="G9:G10" si="11">E9*F9</f>
        <v>80648.639999999999</v>
      </c>
      <c r="H9" s="21" t="s">
        <v>35</v>
      </c>
      <c r="I9" s="207">
        <v>20</v>
      </c>
      <c r="J9" s="23">
        <v>1500</v>
      </c>
      <c r="K9" s="9">
        <f t="shared" ref="K9:K10" si="12">J9/I9</f>
        <v>75</v>
      </c>
      <c r="L9" s="207">
        <v>20</v>
      </c>
      <c r="M9" s="10">
        <f t="shared" ref="M9:M10" si="13">F9/V9*60</f>
        <v>1429.5348837209308</v>
      </c>
      <c r="N9" s="9">
        <f t="shared" ref="N9:N10" si="14">M9/L9</f>
        <v>71.476744186046545</v>
      </c>
      <c r="O9" s="11">
        <f t="shared" ref="O9:O10" si="15">L9-I9</f>
        <v>0</v>
      </c>
      <c r="P9" s="12">
        <f>N9-K9</f>
        <v>-3.5232558139534547</v>
      </c>
      <c r="Q9" s="205">
        <f>N9/K9</f>
        <v>0.95302325581395397</v>
      </c>
      <c r="R9" s="571">
        <f>Q11</f>
        <v>0.95277331014996758</v>
      </c>
      <c r="S9" s="24">
        <v>0.20833333333333334</v>
      </c>
      <c r="T9" s="24">
        <v>0.26805555555555555</v>
      </c>
      <c r="U9" s="200"/>
      <c r="V9" s="208">
        <f t="shared" ref="V9:V10" si="16">(T9-S9)*24*60</f>
        <v>85.999999999999972</v>
      </c>
      <c r="W9" s="13"/>
      <c r="X9" s="13"/>
      <c r="Y9" s="617"/>
      <c r="Z9" s="617"/>
      <c r="AA9" s="11">
        <f t="shared" si="2"/>
        <v>-70.465116279069207</v>
      </c>
      <c r="AB9" s="205">
        <f>M9/J9</f>
        <v>0.95302325581395386</v>
      </c>
      <c r="AC9" s="571">
        <f>AB11</f>
        <v>0.95277331014996769</v>
      </c>
    </row>
    <row r="10" spans="1:29" ht="15.75" customHeight="1">
      <c r="A10" s="643" t="s">
        <v>891</v>
      </c>
      <c r="B10" s="26" t="s">
        <v>40</v>
      </c>
      <c r="C10" s="594" t="s">
        <v>41</v>
      </c>
      <c r="D10" s="595"/>
      <c r="E10" s="26">
        <v>39.799999999999997</v>
      </c>
      <c r="F10" s="209">
        <v>5096</v>
      </c>
      <c r="G10" s="200">
        <f t="shared" si="11"/>
        <v>202820.8</v>
      </c>
      <c r="H10" s="21" t="s">
        <v>35</v>
      </c>
      <c r="I10" s="207">
        <v>17</v>
      </c>
      <c r="J10" s="23">
        <v>1500</v>
      </c>
      <c r="K10" s="9">
        <f t="shared" si="12"/>
        <v>88.235294117647058</v>
      </c>
      <c r="L10" s="207">
        <v>17</v>
      </c>
      <c r="M10" s="10">
        <f t="shared" si="13"/>
        <v>1428.7850467289722</v>
      </c>
      <c r="N10" s="9">
        <f t="shared" si="14"/>
        <v>84.046179219351302</v>
      </c>
      <c r="O10" s="11">
        <f t="shared" si="15"/>
        <v>0</v>
      </c>
      <c r="P10" s="12">
        <f t="shared" ref="P10" si="17">N10-K10</f>
        <v>-4.189114898295756</v>
      </c>
      <c r="Q10" s="205">
        <f t="shared" ref="Q10" si="18">N10/K10</f>
        <v>0.95252336448598141</v>
      </c>
      <c r="R10" s="571"/>
      <c r="S10" s="24">
        <v>0.27361111111111108</v>
      </c>
      <c r="T10" s="24">
        <v>0.42222222222222217</v>
      </c>
      <c r="U10" s="200">
        <f>IF(S10=TIME(17,0,0),"",(S10-T9)*24*60)</f>
        <v>7.9999999999999716</v>
      </c>
      <c r="V10" s="208">
        <f t="shared" si="16"/>
        <v>213.99999999999997</v>
      </c>
      <c r="W10" s="13"/>
      <c r="X10" s="13"/>
      <c r="Y10" s="617"/>
      <c r="Z10" s="617"/>
      <c r="AA10" s="11">
        <f t="shared" si="2"/>
        <v>-71.214953271027753</v>
      </c>
      <c r="AB10" s="205">
        <f t="shared" ref="AB10:AB21" si="19">M10/J10</f>
        <v>0.95252336448598152</v>
      </c>
      <c r="AC10" s="571"/>
    </row>
    <row r="11" spans="1:29" ht="16.5" customHeight="1">
      <c r="A11" s="643" t="s">
        <v>891</v>
      </c>
      <c r="B11" s="26" t="s">
        <v>890</v>
      </c>
      <c r="C11" s="629"/>
      <c r="D11" s="629"/>
      <c r="E11" s="199"/>
      <c r="F11" s="23"/>
      <c r="G11" s="10"/>
      <c r="H11" s="209"/>
      <c r="I11" s="16">
        <v>18.5</v>
      </c>
      <c r="J11" s="23">
        <v>1500</v>
      </c>
      <c r="K11" s="9">
        <f>J11/I11</f>
        <v>81.081081081081081</v>
      </c>
      <c r="L11" s="16">
        <v>18.5</v>
      </c>
      <c r="M11" s="10">
        <f>AVERAGE(M9:M10)</f>
        <v>1429.1599652249515</v>
      </c>
      <c r="N11" s="9">
        <f>M11/L11</f>
        <v>77.251890012159535</v>
      </c>
      <c r="O11" s="11">
        <f>L11-I11</f>
        <v>0</v>
      </c>
      <c r="P11" s="12">
        <f>N11-K11</f>
        <v>-3.8291910689215456</v>
      </c>
      <c r="Q11" s="205">
        <f>N11/K11</f>
        <v>0.95277331014996758</v>
      </c>
      <c r="R11" s="571"/>
      <c r="S11" s="24"/>
      <c r="T11" s="24"/>
      <c r="U11" s="9"/>
      <c r="V11" s="208"/>
      <c r="W11" s="9"/>
      <c r="X11" s="9"/>
      <c r="Y11" s="617"/>
      <c r="Z11" s="617"/>
      <c r="AA11" s="11">
        <f t="shared" si="2"/>
        <v>-70.84003477504848</v>
      </c>
      <c r="AB11" s="205">
        <f t="shared" si="19"/>
        <v>0.95277331014996769</v>
      </c>
      <c r="AC11" s="571"/>
    </row>
    <row r="12" spans="1:29" ht="16.5" customHeight="1">
      <c r="A12" s="641" t="s">
        <v>892</v>
      </c>
      <c r="B12" s="209" t="s">
        <v>43</v>
      </c>
      <c r="C12" s="636" t="s">
        <v>44</v>
      </c>
      <c r="D12" s="636"/>
      <c r="E12" s="26">
        <v>41</v>
      </c>
      <c r="F12" s="209">
        <v>1933</v>
      </c>
      <c r="G12" s="200">
        <f t="shared" ref="G12:G15" si="20">E12*F12</f>
        <v>79253</v>
      </c>
      <c r="H12" s="21" t="s">
        <v>35</v>
      </c>
      <c r="I12" s="207">
        <v>26</v>
      </c>
      <c r="J12" s="23">
        <v>1500</v>
      </c>
      <c r="K12" s="9">
        <f>J12/I12</f>
        <v>57.692307692307693</v>
      </c>
      <c r="L12" s="207">
        <v>26</v>
      </c>
      <c r="M12" s="10">
        <f>F12/V12*60</f>
        <v>1431.8518518518522</v>
      </c>
      <c r="N12" s="9">
        <f t="shared" ref="N12:N20" si="21">M12/L12</f>
        <v>55.071225071225086</v>
      </c>
      <c r="O12" s="11">
        <f t="shared" ref="O12" si="22">L12-I12</f>
        <v>0</v>
      </c>
      <c r="P12" s="12">
        <f t="shared" ref="P12" si="23">N12-K12</f>
        <v>-2.621082621082607</v>
      </c>
      <c r="Q12" s="205">
        <f>N12/K12</f>
        <v>0.95456790123456814</v>
      </c>
      <c r="R12" s="571">
        <f>Q16</f>
        <v>0.95352847152966791</v>
      </c>
      <c r="S12" s="24">
        <v>0.20833333333333334</v>
      </c>
      <c r="T12" s="24">
        <v>0.26458333333333334</v>
      </c>
      <c r="U12" s="200"/>
      <c r="V12" s="208">
        <f>(T12-S12)*24*60</f>
        <v>80.999999999999986</v>
      </c>
      <c r="W12" s="15"/>
      <c r="X12" s="15"/>
      <c r="Y12" s="617"/>
      <c r="Z12" s="617"/>
      <c r="AA12" s="11">
        <f t="shared" si="2"/>
        <v>-68.148148148147811</v>
      </c>
      <c r="AB12" s="205">
        <f t="shared" si="19"/>
        <v>0.95456790123456814</v>
      </c>
      <c r="AC12" s="571">
        <f>AB16</f>
        <v>0.95352847152966802</v>
      </c>
    </row>
    <row r="13" spans="1:29" ht="16.5" customHeight="1">
      <c r="A13" s="642" t="s">
        <v>892</v>
      </c>
      <c r="B13" s="209" t="s">
        <v>40</v>
      </c>
      <c r="C13" s="636" t="s">
        <v>45</v>
      </c>
      <c r="D13" s="636"/>
      <c r="E13" s="26">
        <v>39.619999999999997</v>
      </c>
      <c r="F13" s="209">
        <v>3547</v>
      </c>
      <c r="G13" s="200">
        <f t="shared" si="20"/>
        <v>140532.13999999998</v>
      </c>
      <c r="H13" s="21" t="s">
        <v>35</v>
      </c>
      <c r="I13" s="207">
        <v>19</v>
      </c>
      <c r="J13" s="23">
        <v>1500</v>
      </c>
      <c r="K13" s="9">
        <f>J13/I13</f>
        <v>78.94736842105263</v>
      </c>
      <c r="L13" s="207">
        <v>19</v>
      </c>
      <c r="M13" s="10">
        <f>F13/V13*60</f>
        <v>1428.3221476510064</v>
      </c>
      <c r="N13" s="9">
        <f t="shared" si="21"/>
        <v>75.174849876368754</v>
      </c>
      <c r="O13" s="11">
        <f>L13-I13</f>
        <v>0</v>
      </c>
      <c r="P13" s="12">
        <f>N13-K13</f>
        <v>-3.7725185446838765</v>
      </c>
      <c r="Q13" s="205">
        <f>N13/K13</f>
        <v>0.95221476510067093</v>
      </c>
      <c r="R13" s="571"/>
      <c r="S13" s="24">
        <v>0.27013888888888887</v>
      </c>
      <c r="T13" s="24">
        <v>0.37361111111111112</v>
      </c>
      <c r="U13" s="200">
        <f>IF(S13=TIME(17,0,0),"",(S13-T12)*24*60)</f>
        <v>7.9999999999999716</v>
      </c>
      <c r="V13" s="208">
        <f>(T13-S13)*24*60</f>
        <v>149.00000000000003</v>
      </c>
      <c r="W13" s="13"/>
      <c r="X13" s="13"/>
      <c r="Y13" s="617"/>
      <c r="Z13" s="617"/>
      <c r="AA13" s="11">
        <f t="shared" si="2"/>
        <v>-71.677852348993611</v>
      </c>
      <c r="AB13" s="205">
        <f t="shared" si="19"/>
        <v>0.95221476510067093</v>
      </c>
      <c r="AC13" s="571"/>
    </row>
    <row r="14" spans="1:29" ht="16.5" customHeight="1">
      <c r="A14" s="642" t="s">
        <v>892</v>
      </c>
      <c r="B14" s="209" t="s">
        <v>36</v>
      </c>
      <c r="C14" s="636" t="s">
        <v>49</v>
      </c>
      <c r="D14" s="636"/>
      <c r="E14" s="26">
        <v>50.98</v>
      </c>
      <c r="F14" s="209">
        <v>2379</v>
      </c>
      <c r="G14" s="200">
        <f t="shared" si="20"/>
        <v>121281.42</v>
      </c>
      <c r="H14" s="21" t="s">
        <v>35</v>
      </c>
      <c r="I14" s="207">
        <v>16</v>
      </c>
      <c r="J14" s="23">
        <v>2000</v>
      </c>
      <c r="K14" s="9">
        <f t="shared" ref="K14:K15" si="24">J14/I14</f>
        <v>125</v>
      </c>
      <c r="L14" s="207">
        <v>16</v>
      </c>
      <c r="M14" s="10">
        <f t="shared" ref="M14:M15" si="25">F14/V14*60</f>
        <v>1903.1999999999987</v>
      </c>
      <c r="N14" s="9">
        <f t="shared" si="21"/>
        <v>118.94999999999992</v>
      </c>
      <c r="O14" s="11">
        <f t="shared" ref="O14:O15" si="26">L14-I14</f>
        <v>0</v>
      </c>
      <c r="P14" s="12">
        <f t="shared" ref="P14:P15" si="27">N14-K14</f>
        <v>-6.0500000000000824</v>
      </c>
      <c r="Q14" s="205">
        <f t="shared" ref="Q14:Q20" si="28">N14/K14</f>
        <v>0.95159999999999934</v>
      </c>
      <c r="R14" s="571"/>
      <c r="S14" s="24">
        <v>0.70833333333333337</v>
      </c>
      <c r="T14" s="24">
        <v>0.76041666666666674</v>
      </c>
      <c r="U14" s="200" t="str">
        <f t="shared" ref="U14:U15" si="29">IF(S14=TIME(17,0,0),"",(S14-T13)*24*60)</f>
        <v/>
      </c>
      <c r="V14" s="208">
        <f t="shared" ref="V14:V15" si="30">(T14-S14)*24*60</f>
        <v>75.000000000000057</v>
      </c>
      <c r="W14" s="13"/>
      <c r="X14" s="13"/>
      <c r="Y14" s="617"/>
      <c r="Z14" s="617"/>
      <c r="AA14" s="11">
        <f t="shared" si="2"/>
        <v>-96.800000000001319</v>
      </c>
      <c r="AB14" s="205">
        <f t="shared" si="19"/>
        <v>0.95159999999999934</v>
      </c>
      <c r="AC14" s="571"/>
    </row>
    <row r="15" spans="1:29" ht="16.5" customHeight="1">
      <c r="A15" s="642" t="s">
        <v>892</v>
      </c>
      <c r="B15" s="209" t="s">
        <v>36</v>
      </c>
      <c r="C15" s="636" t="s">
        <v>50</v>
      </c>
      <c r="D15" s="636"/>
      <c r="E15" s="26">
        <v>50.92</v>
      </c>
      <c r="F15" s="209">
        <v>2644</v>
      </c>
      <c r="G15" s="200">
        <f t="shared" si="20"/>
        <v>134632.48000000001</v>
      </c>
      <c r="H15" s="21" t="s">
        <v>35</v>
      </c>
      <c r="I15" s="207">
        <v>15</v>
      </c>
      <c r="J15" s="23">
        <v>2000</v>
      </c>
      <c r="K15" s="9">
        <f t="shared" si="24"/>
        <v>133.33333333333334</v>
      </c>
      <c r="L15" s="207">
        <v>15</v>
      </c>
      <c r="M15" s="10">
        <f t="shared" si="25"/>
        <v>1911.3253012048185</v>
      </c>
      <c r="N15" s="9">
        <f t="shared" si="21"/>
        <v>127.4216867469879</v>
      </c>
      <c r="O15" s="11">
        <f t="shared" si="26"/>
        <v>0</v>
      </c>
      <c r="P15" s="12">
        <f t="shared" si="27"/>
        <v>-5.9116465863454408</v>
      </c>
      <c r="Q15" s="205">
        <f t="shared" si="28"/>
        <v>0.95566265060240918</v>
      </c>
      <c r="R15" s="571"/>
      <c r="S15" s="24">
        <v>0.76527777777777783</v>
      </c>
      <c r="T15" s="24">
        <v>0.82291666666666674</v>
      </c>
      <c r="U15" s="200">
        <f t="shared" si="29"/>
        <v>6.9999999999999751</v>
      </c>
      <c r="V15" s="208">
        <f t="shared" si="30"/>
        <v>83.000000000000028</v>
      </c>
      <c r="W15" s="13"/>
      <c r="X15" s="13"/>
      <c r="Y15" s="617"/>
      <c r="Z15" s="617"/>
      <c r="AA15" s="11">
        <f t="shared" si="2"/>
        <v>-88.674698795181484</v>
      </c>
      <c r="AB15" s="205">
        <f t="shared" si="19"/>
        <v>0.95566265060240929</v>
      </c>
      <c r="AC15" s="571"/>
    </row>
    <row r="16" spans="1:29" ht="16.5" customHeight="1">
      <c r="A16" s="642" t="s">
        <v>892</v>
      </c>
      <c r="B16" s="26" t="s">
        <v>890</v>
      </c>
      <c r="C16" s="629"/>
      <c r="D16" s="629"/>
      <c r="E16" s="199"/>
      <c r="F16" s="27"/>
      <c r="G16" s="9"/>
      <c r="H16" s="209"/>
      <c r="I16" s="16">
        <v>19</v>
      </c>
      <c r="J16" s="23">
        <v>1750</v>
      </c>
      <c r="K16" s="9">
        <f>J16/I16</f>
        <v>92.10526315789474</v>
      </c>
      <c r="L16" s="16">
        <v>19</v>
      </c>
      <c r="M16" s="10">
        <f>AVERAGE(M12:M15)</f>
        <v>1668.6748251769191</v>
      </c>
      <c r="N16" s="9">
        <f t="shared" si="21"/>
        <v>87.824990798785208</v>
      </c>
      <c r="O16" s="11">
        <f>L16-I16</f>
        <v>0</v>
      </c>
      <c r="P16" s="12">
        <f>N16-K16</f>
        <v>-4.2802723591095315</v>
      </c>
      <c r="Q16" s="205">
        <f t="shared" si="28"/>
        <v>0.95352847152966791</v>
      </c>
      <c r="R16" s="571"/>
      <c r="S16" s="24"/>
      <c r="T16" s="24"/>
      <c r="U16" s="200"/>
      <c r="V16" s="208"/>
      <c r="W16" s="9"/>
      <c r="X16" s="9"/>
      <c r="Y16" s="617"/>
      <c r="Z16" s="617"/>
      <c r="AA16" s="11">
        <f t="shared" si="2"/>
        <v>-81.325174823080943</v>
      </c>
      <c r="AB16" s="205">
        <f t="shared" si="19"/>
        <v>0.95352847152966802</v>
      </c>
      <c r="AC16" s="571"/>
    </row>
    <row r="17" spans="1:29" ht="15.75" customHeight="1">
      <c r="A17" s="639" t="s">
        <v>893</v>
      </c>
      <c r="B17" s="26" t="s">
        <v>43</v>
      </c>
      <c r="C17" s="636" t="s">
        <v>51</v>
      </c>
      <c r="D17" s="636"/>
      <c r="E17" s="26">
        <v>43.14</v>
      </c>
      <c r="F17" s="209">
        <v>1040</v>
      </c>
      <c r="G17" s="200">
        <f t="shared" ref="G17:G20" si="31">E17*F17</f>
        <v>44865.599999999999</v>
      </c>
      <c r="H17" s="21" t="s">
        <v>35</v>
      </c>
      <c r="I17" s="207">
        <v>17</v>
      </c>
      <c r="J17" s="23">
        <v>2000</v>
      </c>
      <c r="K17" s="9">
        <f t="shared" ref="K17:K21" si="32">J17/I17</f>
        <v>117.64705882352941</v>
      </c>
      <c r="L17" s="207">
        <v>17</v>
      </c>
      <c r="M17" s="10">
        <f t="shared" ref="M17:M20" si="33">F17/V17*60</f>
        <v>1949.9999999999995</v>
      </c>
      <c r="N17" s="9">
        <f t="shared" si="21"/>
        <v>114.70588235294115</v>
      </c>
      <c r="O17" s="11">
        <f t="shared" ref="O17:O20" si="34">L17-I17</f>
        <v>0</v>
      </c>
      <c r="P17" s="12">
        <f t="shared" ref="P17:P20" si="35">N17-K17</f>
        <v>-2.9411764705882604</v>
      </c>
      <c r="Q17" s="205">
        <f t="shared" si="28"/>
        <v>0.97499999999999976</v>
      </c>
      <c r="R17" s="571">
        <f>Q21</f>
        <v>0.96301806888763353</v>
      </c>
      <c r="S17" s="24">
        <v>0.20833333333333334</v>
      </c>
      <c r="T17" s="24">
        <v>0.23055555555555557</v>
      </c>
      <c r="U17" s="200"/>
      <c r="V17" s="208">
        <f>(T17-S17)*24*60</f>
        <v>32.000000000000007</v>
      </c>
      <c r="W17" s="15"/>
      <c r="X17" s="15"/>
      <c r="Y17" s="617"/>
      <c r="Z17" s="617"/>
      <c r="AA17" s="11">
        <f t="shared" si="2"/>
        <v>-50.000000000000455</v>
      </c>
      <c r="AB17" s="205">
        <f t="shared" si="19"/>
        <v>0.97499999999999976</v>
      </c>
      <c r="AC17" s="571">
        <f>AB21</f>
        <v>0.96301806888763353</v>
      </c>
    </row>
    <row r="18" spans="1:29" ht="15.75" customHeight="1">
      <c r="A18" s="640" t="s">
        <v>893</v>
      </c>
      <c r="B18" s="26" t="s">
        <v>36</v>
      </c>
      <c r="C18" s="636" t="s">
        <v>53</v>
      </c>
      <c r="D18" s="636"/>
      <c r="E18" s="26">
        <v>53.68</v>
      </c>
      <c r="F18" s="209">
        <v>1477</v>
      </c>
      <c r="G18" s="200">
        <f t="shared" si="31"/>
        <v>79285.36</v>
      </c>
      <c r="H18" s="21" t="s">
        <v>35</v>
      </c>
      <c r="I18" s="207">
        <v>16</v>
      </c>
      <c r="J18" s="23">
        <v>2000</v>
      </c>
      <c r="K18" s="9">
        <f t="shared" si="32"/>
        <v>125</v>
      </c>
      <c r="L18" s="207">
        <v>16</v>
      </c>
      <c r="M18" s="10">
        <f t="shared" si="33"/>
        <v>1926.5217391304332</v>
      </c>
      <c r="N18" s="9">
        <f t="shared" si="21"/>
        <v>120.40760869565207</v>
      </c>
      <c r="O18" s="11">
        <f t="shared" si="34"/>
        <v>0</v>
      </c>
      <c r="P18" s="12">
        <f t="shared" si="35"/>
        <v>-4.5923913043479274</v>
      </c>
      <c r="Q18" s="205">
        <f t="shared" si="28"/>
        <v>0.96326086956521662</v>
      </c>
      <c r="R18" s="571"/>
      <c r="S18" s="24">
        <v>0.23611111111111113</v>
      </c>
      <c r="T18" s="24">
        <v>0.2680555555555556</v>
      </c>
      <c r="U18" s="200">
        <f>IF(S18=TIME(17,0,0),"",(S18-T17)*24*60)</f>
        <v>8.0000000000000107</v>
      </c>
      <c r="V18" s="208">
        <f t="shared" ref="V18:V20" si="36">(T18-S18)*24*60</f>
        <v>46.000000000000036</v>
      </c>
      <c r="W18" s="13"/>
      <c r="X18" s="200"/>
      <c r="Y18" s="617"/>
      <c r="Z18" s="617"/>
      <c r="AA18" s="11">
        <f t="shared" si="2"/>
        <v>-73.478260869566839</v>
      </c>
      <c r="AB18" s="205">
        <f t="shared" si="19"/>
        <v>0.96326086956521662</v>
      </c>
      <c r="AC18" s="571"/>
    </row>
    <row r="19" spans="1:29" ht="15.75" customHeight="1">
      <c r="A19" s="640" t="s">
        <v>893</v>
      </c>
      <c r="B19" s="26" t="s">
        <v>36</v>
      </c>
      <c r="C19" s="636" t="s">
        <v>52</v>
      </c>
      <c r="D19" s="636"/>
      <c r="E19" s="26">
        <v>57.73</v>
      </c>
      <c r="F19" s="209">
        <v>2447</v>
      </c>
      <c r="G19" s="200">
        <f t="shared" si="31"/>
        <v>141265.31</v>
      </c>
      <c r="H19" s="21" t="s">
        <v>35</v>
      </c>
      <c r="I19" s="207">
        <v>15</v>
      </c>
      <c r="J19" s="23">
        <v>2000</v>
      </c>
      <c r="K19" s="9">
        <f t="shared" si="32"/>
        <v>133.33333333333334</v>
      </c>
      <c r="L19" s="207">
        <v>15</v>
      </c>
      <c r="M19" s="10">
        <f t="shared" si="33"/>
        <v>1906.7532467532458</v>
      </c>
      <c r="N19" s="9">
        <f t="shared" si="21"/>
        <v>127.11688311688305</v>
      </c>
      <c r="O19" s="11">
        <f t="shared" si="34"/>
        <v>0</v>
      </c>
      <c r="P19" s="12">
        <f t="shared" si="35"/>
        <v>-6.2164502164502977</v>
      </c>
      <c r="Q19" s="205">
        <f t="shared" si="28"/>
        <v>0.95337662337662277</v>
      </c>
      <c r="R19" s="571"/>
      <c r="S19" s="24">
        <v>0.27222222222222225</v>
      </c>
      <c r="T19" s="24">
        <v>0.32569444444444451</v>
      </c>
      <c r="U19" s="200">
        <f t="shared" ref="U19:U20" si="37">IF(S19=TIME(17,0,0),"",(S19-T18)*24*60)</f>
        <v>5.9999999999999787</v>
      </c>
      <c r="V19" s="208">
        <f t="shared" si="36"/>
        <v>77.000000000000043</v>
      </c>
      <c r="W19" s="13"/>
      <c r="X19" s="200"/>
      <c r="Y19" s="617"/>
      <c r="Z19" s="617"/>
      <c r="AA19" s="11">
        <f t="shared" si="2"/>
        <v>-93.246753246754224</v>
      </c>
      <c r="AB19" s="205">
        <f t="shared" si="19"/>
        <v>0.95337662337662288</v>
      </c>
      <c r="AC19" s="571"/>
    </row>
    <row r="20" spans="1:29" ht="15.75" customHeight="1">
      <c r="A20" s="640" t="s">
        <v>893</v>
      </c>
      <c r="B20" s="26" t="s">
        <v>36</v>
      </c>
      <c r="C20" s="636" t="s">
        <v>55</v>
      </c>
      <c r="D20" s="636"/>
      <c r="E20" s="26">
        <v>54.09</v>
      </c>
      <c r="F20" s="209">
        <v>2209</v>
      </c>
      <c r="G20" s="200">
        <f t="shared" si="31"/>
        <v>119484.81000000001</v>
      </c>
      <c r="H20" s="21" t="s">
        <v>35</v>
      </c>
      <c r="I20" s="207">
        <v>19</v>
      </c>
      <c r="J20" s="23">
        <v>2000</v>
      </c>
      <c r="K20" s="9">
        <f t="shared" si="32"/>
        <v>105.26315789473684</v>
      </c>
      <c r="L20" s="207">
        <v>19</v>
      </c>
      <c r="M20" s="10">
        <f t="shared" si="33"/>
        <v>1920.8695652173892</v>
      </c>
      <c r="N20" s="9">
        <f t="shared" si="21"/>
        <v>101.09839816933628</v>
      </c>
      <c r="O20" s="11">
        <f t="shared" si="34"/>
        <v>0</v>
      </c>
      <c r="P20" s="12">
        <f t="shared" si="35"/>
        <v>-4.1647597254005575</v>
      </c>
      <c r="Q20" s="205">
        <f t="shared" si="28"/>
        <v>0.96043478260869475</v>
      </c>
      <c r="R20" s="571"/>
      <c r="S20" s="24">
        <v>0.70833333333333337</v>
      </c>
      <c r="T20" s="24">
        <v>0.75625000000000009</v>
      </c>
      <c r="U20" s="200" t="str">
        <f t="shared" si="37"/>
        <v/>
      </c>
      <c r="V20" s="208">
        <f t="shared" si="36"/>
        <v>69.000000000000071</v>
      </c>
      <c r="W20" s="13"/>
      <c r="X20" s="200"/>
      <c r="Y20" s="617"/>
      <c r="Z20" s="617"/>
      <c r="AA20" s="11">
        <f t="shared" si="2"/>
        <v>-79.130434782610791</v>
      </c>
      <c r="AB20" s="205">
        <f t="shared" si="19"/>
        <v>0.96043478260869464</v>
      </c>
      <c r="AC20" s="571"/>
    </row>
    <row r="21" spans="1:29" ht="15.75" customHeight="1">
      <c r="A21" s="640" t="s">
        <v>893</v>
      </c>
      <c r="B21" s="26" t="s">
        <v>890</v>
      </c>
      <c r="C21" s="629"/>
      <c r="D21" s="629"/>
      <c r="E21" s="199"/>
      <c r="F21" s="209"/>
      <c r="G21" s="200"/>
      <c r="H21" s="209"/>
      <c r="I21" s="16">
        <v>16.75</v>
      </c>
      <c r="J21" s="23">
        <v>2000</v>
      </c>
      <c r="K21" s="9">
        <f t="shared" si="32"/>
        <v>119.40298507462687</v>
      </c>
      <c r="L21" s="16">
        <v>16.75</v>
      </c>
      <c r="M21" s="10">
        <f>AVERAGE(M17:M20)</f>
        <v>1926.036137775267</v>
      </c>
      <c r="N21" s="9">
        <f>M21/L21</f>
        <v>114.9872321059861</v>
      </c>
      <c r="O21" s="11">
        <f>L21-I21</f>
        <v>0</v>
      </c>
      <c r="P21" s="12">
        <f>N21-K21</f>
        <v>-4.4157529686407742</v>
      </c>
      <c r="Q21" s="205">
        <f>N21/K21</f>
        <v>0.96301806888763353</v>
      </c>
      <c r="R21" s="571"/>
      <c r="S21" s="24"/>
      <c r="T21" s="24"/>
      <c r="U21" s="9"/>
      <c r="V21" s="208"/>
      <c r="W21" s="9"/>
      <c r="X21" s="9"/>
      <c r="Y21" s="617"/>
      <c r="Z21" s="617"/>
      <c r="AA21" s="11">
        <f t="shared" si="2"/>
        <v>-73.96386222473302</v>
      </c>
      <c r="AB21" s="205">
        <f t="shared" si="19"/>
        <v>0.96301806888763353</v>
      </c>
      <c r="AC21" s="571"/>
    </row>
    <row r="22" spans="1:29" ht="15.75" customHeight="1">
      <c r="A22" s="635" t="s">
        <v>894</v>
      </c>
      <c r="B22" s="26" t="s">
        <v>46</v>
      </c>
      <c r="C22" s="636" t="s">
        <v>60</v>
      </c>
      <c r="D22" s="636"/>
      <c r="E22" s="26">
        <v>26.2</v>
      </c>
      <c r="F22" s="209">
        <v>3170</v>
      </c>
      <c r="G22" s="200">
        <f t="shared" ref="G22:G27" si="38">E22*F22</f>
        <v>83054</v>
      </c>
      <c r="H22" s="21" t="s">
        <v>35</v>
      </c>
      <c r="I22" s="207">
        <v>19</v>
      </c>
      <c r="J22" s="23">
        <v>2400</v>
      </c>
      <c r="K22" s="9">
        <f>J22/I22</f>
        <v>126.31578947368421</v>
      </c>
      <c r="L22" s="207">
        <v>19</v>
      </c>
      <c r="M22" s="10">
        <f t="shared" ref="M22:M27" si="39">F22/V22*60</f>
        <v>2291.5662650602412</v>
      </c>
      <c r="N22" s="9">
        <f t="shared" ref="N22:N27" si="40">M22/L22</f>
        <v>120.60875079264427</v>
      </c>
      <c r="O22" s="11">
        <f t="shared" ref="O22:O27" si="41">L22-I22</f>
        <v>0</v>
      </c>
      <c r="P22" s="12">
        <f t="shared" ref="P22:P27" si="42">N22-K22</f>
        <v>-5.7070386810399327</v>
      </c>
      <c r="Q22" s="205">
        <f t="shared" ref="Q22:Q27" si="43">N22/K22</f>
        <v>0.95481927710843384</v>
      </c>
      <c r="R22" s="571">
        <f>Q28</f>
        <v>0.95896902322414457</v>
      </c>
      <c r="S22" s="24">
        <v>8.3333333333333329E-2</v>
      </c>
      <c r="T22" s="24">
        <v>0.14097222222222222</v>
      </c>
      <c r="U22" s="200"/>
      <c r="V22" s="208">
        <f t="shared" ref="V22:V27" si="44">(T22-S22)*24*60</f>
        <v>83</v>
      </c>
      <c r="W22" s="13">
        <f>T22</f>
        <v>0.14097222222222222</v>
      </c>
      <c r="X22" s="13">
        <f>S23</f>
        <v>0.16041666666666665</v>
      </c>
      <c r="Y22" s="617"/>
      <c r="Z22" s="617"/>
      <c r="AA22" s="11">
        <f t="shared" si="2"/>
        <v>-108.43373493975878</v>
      </c>
      <c r="AB22" s="205">
        <f>M22/J22</f>
        <v>0.95481927710843384</v>
      </c>
      <c r="AC22" s="571">
        <f>AB28</f>
        <v>0.95896902322414457</v>
      </c>
    </row>
    <row r="23" spans="1:29" ht="15.75" customHeight="1">
      <c r="A23" s="635" t="s">
        <v>894</v>
      </c>
      <c r="B23" s="26" t="s">
        <v>46</v>
      </c>
      <c r="C23" s="636" t="s">
        <v>57</v>
      </c>
      <c r="D23" s="636"/>
      <c r="E23" s="26">
        <v>20.52</v>
      </c>
      <c r="F23" s="209">
        <v>2331</v>
      </c>
      <c r="G23" s="200">
        <f t="shared" si="38"/>
        <v>47832.12</v>
      </c>
      <c r="H23" s="21" t="s">
        <v>35</v>
      </c>
      <c r="I23" s="207">
        <v>18</v>
      </c>
      <c r="J23" s="23">
        <v>2400</v>
      </c>
      <c r="K23" s="9">
        <f t="shared" ref="K23:K28" si="45">J23/I23</f>
        <v>133.33333333333334</v>
      </c>
      <c r="L23" s="207">
        <v>18</v>
      </c>
      <c r="M23" s="10">
        <f t="shared" si="39"/>
        <v>2292.7868852459023</v>
      </c>
      <c r="N23" s="9">
        <f t="shared" si="40"/>
        <v>127.3770491803279</v>
      </c>
      <c r="O23" s="11">
        <f t="shared" si="41"/>
        <v>0</v>
      </c>
      <c r="P23" s="12">
        <f t="shared" si="42"/>
        <v>-5.9562841530054413</v>
      </c>
      <c r="Q23" s="205">
        <f t="shared" si="43"/>
        <v>0.95532786885245924</v>
      </c>
      <c r="R23" s="571"/>
      <c r="S23" s="24">
        <v>0.16041666666666665</v>
      </c>
      <c r="T23" s="24">
        <v>0.20277777777777775</v>
      </c>
      <c r="U23" s="200">
        <f>(S23-T22)*24*60</f>
        <v>27.999999999999979</v>
      </c>
      <c r="V23" s="208">
        <f t="shared" si="44"/>
        <v>60.999999999999986</v>
      </c>
      <c r="W23" s="13"/>
      <c r="X23" s="13"/>
      <c r="Y23" s="617"/>
      <c r="Z23" s="617"/>
      <c r="AA23" s="11">
        <f t="shared" si="2"/>
        <v>-107.21311475409766</v>
      </c>
      <c r="AB23" s="205">
        <f t="shared" ref="AB23:AB27" si="46">M23/J23</f>
        <v>0.95532786885245935</v>
      </c>
      <c r="AC23" s="571"/>
    </row>
    <row r="24" spans="1:29" ht="15.75" customHeight="1">
      <c r="A24" s="635" t="s">
        <v>894</v>
      </c>
      <c r="B24" s="26" t="s">
        <v>46</v>
      </c>
      <c r="C24" s="636" t="s">
        <v>61</v>
      </c>
      <c r="D24" s="636"/>
      <c r="E24" s="26">
        <v>31.29</v>
      </c>
      <c r="F24" s="209">
        <v>6089</v>
      </c>
      <c r="G24" s="200">
        <f t="shared" si="38"/>
        <v>190524.81</v>
      </c>
      <c r="H24" s="21" t="s">
        <v>35</v>
      </c>
      <c r="I24" s="207">
        <v>18</v>
      </c>
      <c r="J24" s="23">
        <v>2400</v>
      </c>
      <c r="K24" s="9">
        <f t="shared" si="45"/>
        <v>133.33333333333334</v>
      </c>
      <c r="L24" s="207">
        <v>18</v>
      </c>
      <c r="M24" s="10">
        <f t="shared" si="39"/>
        <v>2297.7358490566035</v>
      </c>
      <c r="N24" s="9">
        <f t="shared" si="40"/>
        <v>127.65199161425575</v>
      </c>
      <c r="O24" s="11">
        <f t="shared" si="41"/>
        <v>0</v>
      </c>
      <c r="P24" s="12">
        <f t="shared" si="42"/>
        <v>-5.6813417190775937</v>
      </c>
      <c r="Q24" s="205">
        <f t="shared" si="43"/>
        <v>0.957389937106918</v>
      </c>
      <c r="R24" s="571"/>
      <c r="S24" s="24">
        <v>0.20833333333333331</v>
      </c>
      <c r="T24" s="24">
        <v>0.31874999999999998</v>
      </c>
      <c r="U24" s="200">
        <f t="shared" ref="U24:U27" si="47">(S24-T23)*24*60</f>
        <v>8.0000000000000107</v>
      </c>
      <c r="V24" s="208">
        <f t="shared" si="44"/>
        <v>159</v>
      </c>
      <c r="W24" s="13"/>
      <c r="X24" s="13"/>
      <c r="Y24" s="617"/>
      <c r="Z24" s="617"/>
      <c r="AA24" s="11">
        <f t="shared" si="2"/>
        <v>-102.26415094339654</v>
      </c>
      <c r="AB24" s="205">
        <f t="shared" si="46"/>
        <v>0.95738993710691811</v>
      </c>
      <c r="AC24" s="571"/>
    </row>
    <row r="25" spans="1:29" ht="15.75" customHeight="1">
      <c r="A25" s="635" t="s">
        <v>894</v>
      </c>
      <c r="B25" s="26" t="s">
        <v>46</v>
      </c>
      <c r="C25" s="636" t="s">
        <v>59</v>
      </c>
      <c r="D25" s="636"/>
      <c r="E25" s="26">
        <v>26.18</v>
      </c>
      <c r="F25" s="209">
        <v>2694</v>
      </c>
      <c r="G25" s="200">
        <f t="shared" si="38"/>
        <v>70528.92</v>
      </c>
      <c r="H25" s="21" t="s">
        <v>35</v>
      </c>
      <c r="I25" s="207">
        <v>19</v>
      </c>
      <c r="J25" s="23">
        <v>2400</v>
      </c>
      <c r="K25" s="9">
        <f t="shared" si="45"/>
        <v>126.31578947368421</v>
      </c>
      <c r="L25" s="207">
        <v>19</v>
      </c>
      <c r="M25" s="10">
        <f t="shared" si="39"/>
        <v>2309.1428571428578</v>
      </c>
      <c r="N25" s="9">
        <f t="shared" si="40"/>
        <v>121.5338345864662</v>
      </c>
      <c r="O25" s="11">
        <f t="shared" si="41"/>
        <v>0</v>
      </c>
      <c r="P25" s="12">
        <f t="shared" si="42"/>
        <v>-4.7819548872180064</v>
      </c>
      <c r="Q25" s="205">
        <f t="shared" si="43"/>
        <v>0.96214285714285741</v>
      </c>
      <c r="R25" s="571"/>
      <c r="S25" s="24">
        <v>0.32222222222222219</v>
      </c>
      <c r="T25" s="24">
        <v>0.37083333333333329</v>
      </c>
      <c r="U25" s="200">
        <f t="shared" si="47"/>
        <v>4.9999999999999822</v>
      </c>
      <c r="V25" s="208">
        <f t="shared" si="44"/>
        <v>69.999999999999986</v>
      </c>
      <c r="W25" s="13"/>
      <c r="X25" s="13"/>
      <c r="Y25" s="617"/>
      <c r="Z25" s="617"/>
      <c r="AA25" s="11">
        <f t="shared" si="2"/>
        <v>-90.857142857142208</v>
      </c>
      <c r="AB25" s="205">
        <f t="shared" si="46"/>
        <v>0.96214285714285741</v>
      </c>
      <c r="AC25" s="571"/>
    </row>
    <row r="26" spans="1:29" ht="15.75" customHeight="1">
      <c r="A26" s="635" t="s">
        <v>894</v>
      </c>
      <c r="B26" s="26" t="s">
        <v>46</v>
      </c>
      <c r="C26" s="636" t="s">
        <v>56</v>
      </c>
      <c r="D26" s="636"/>
      <c r="E26" s="26">
        <v>26.2</v>
      </c>
      <c r="F26" s="209">
        <v>3386</v>
      </c>
      <c r="G26" s="200">
        <f t="shared" si="38"/>
        <v>88713.2</v>
      </c>
      <c r="H26" s="21" t="s">
        <v>35</v>
      </c>
      <c r="I26" s="207">
        <v>20</v>
      </c>
      <c r="J26" s="23">
        <v>2400</v>
      </c>
      <c r="K26" s="9">
        <f t="shared" si="45"/>
        <v>120</v>
      </c>
      <c r="L26" s="207">
        <v>20</v>
      </c>
      <c r="M26" s="10">
        <f t="shared" si="39"/>
        <v>2308.6363636363635</v>
      </c>
      <c r="N26" s="9">
        <f t="shared" si="40"/>
        <v>115.43181818181817</v>
      </c>
      <c r="O26" s="11">
        <f t="shared" si="41"/>
        <v>0</v>
      </c>
      <c r="P26" s="12">
        <f t="shared" si="42"/>
        <v>-4.5681818181818272</v>
      </c>
      <c r="Q26" s="205">
        <f t="shared" si="43"/>
        <v>0.96193181818181805</v>
      </c>
      <c r="R26" s="571"/>
      <c r="S26" s="24">
        <v>0.3743055555555555</v>
      </c>
      <c r="T26" s="24">
        <v>0.43541666666666662</v>
      </c>
      <c r="U26" s="200">
        <f t="shared" si="47"/>
        <v>4.9999999999999822</v>
      </c>
      <c r="V26" s="208">
        <f t="shared" si="44"/>
        <v>88</v>
      </c>
      <c r="W26" s="13"/>
      <c r="X26" s="13"/>
      <c r="Y26" s="617"/>
      <c r="Z26" s="617"/>
      <c r="AA26" s="11">
        <f t="shared" si="2"/>
        <v>-91.363636363636488</v>
      </c>
      <c r="AB26" s="205">
        <f t="shared" si="46"/>
        <v>0.96193181818181817</v>
      </c>
      <c r="AC26" s="571"/>
    </row>
    <row r="27" spans="1:29" ht="15.75" customHeight="1">
      <c r="A27" s="635" t="s">
        <v>894</v>
      </c>
      <c r="B27" s="26" t="s">
        <v>46</v>
      </c>
      <c r="C27" s="636" t="s">
        <v>62</v>
      </c>
      <c r="D27" s="636"/>
      <c r="E27" s="26">
        <v>25</v>
      </c>
      <c r="F27" s="209">
        <v>3233</v>
      </c>
      <c r="G27" s="200">
        <f t="shared" si="38"/>
        <v>80825</v>
      </c>
      <c r="H27" s="21" t="s">
        <v>35</v>
      </c>
      <c r="I27" s="207">
        <v>15</v>
      </c>
      <c r="J27" s="23">
        <v>2400</v>
      </c>
      <c r="K27" s="9">
        <f t="shared" si="45"/>
        <v>160</v>
      </c>
      <c r="L27" s="207">
        <v>15</v>
      </c>
      <c r="M27" s="10">
        <f t="shared" si="39"/>
        <v>2309.2857142857138</v>
      </c>
      <c r="N27" s="9">
        <f t="shared" si="40"/>
        <v>153.95238095238091</v>
      </c>
      <c r="O27" s="11">
        <f t="shared" si="41"/>
        <v>0</v>
      </c>
      <c r="P27" s="12">
        <f t="shared" si="42"/>
        <v>-6.0476190476190936</v>
      </c>
      <c r="Q27" s="205">
        <f t="shared" si="43"/>
        <v>0.96220238095238064</v>
      </c>
      <c r="R27" s="571"/>
      <c r="S27" s="24">
        <v>0.43888888888888883</v>
      </c>
      <c r="T27" s="24">
        <v>0.49722222222222218</v>
      </c>
      <c r="U27" s="200">
        <f t="shared" si="47"/>
        <v>4.9999999999999822</v>
      </c>
      <c r="V27" s="208">
        <f t="shared" si="44"/>
        <v>84.000000000000028</v>
      </c>
      <c r="W27" s="13"/>
      <c r="X27" s="13"/>
      <c r="Y27" s="617"/>
      <c r="Z27" s="617"/>
      <c r="AA27" s="11">
        <f t="shared" si="2"/>
        <v>-90.714285714286234</v>
      </c>
      <c r="AB27" s="205">
        <f t="shared" si="46"/>
        <v>0.96220238095238075</v>
      </c>
      <c r="AC27" s="571"/>
    </row>
    <row r="28" spans="1:29" ht="15.75" customHeight="1">
      <c r="A28" s="635" t="s">
        <v>894</v>
      </c>
      <c r="B28" s="26" t="s">
        <v>890</v>
      </c>
      <c r="C28" s="629"/>
      <c r="D28" s="629"/>
      <c r="E28" s="199"/>
      <c r="F28" s="209"/>
      <c r="G28" s="200"/>
      <c r="H28" s="209"/>
      <c r="I28" s="16">
        <v>18.166666666666668</v>
      </c>
      <c r="J28" s="23">
        <v>2400</v>
      </c>
      <c r="K28" s="9">
        <f t="shared" si="45"/>
        <v>132.11009174311926</v>
      </c>
      <c r="L28" s="16">
        <v>18.166666666666668</v>
      </c>
      <c r="M28" s="10">
        <f>AVERAGE(M22:M27)</f>
        <v>2301.5256557379471</v>
      </c>
      <c r="N28" s="9">
        <f>M28/L28</f>
        <v>126.6894856369512</v>
      </c>
      <c r="O28" s="11">
        <f>L28-I28</f>
        <v>0</v>
      </c>
      <c r="P28" s="12">
        <f>N28-K28</f>
        <v>-5.4206061061680515</v>
      </c>
      <c r="Q28" s="205">
        <f>N28/K28</f>
        <v>0.95896902322414457</v>
      </c>
      <c r="R28" s="571"/>
      <c r="S28" s="24"/>
      <c r="T28" s="24"/>
      <c r="U28" s="200"/>
      <c r="V28" s="208"/>
      <c r="W28" s="200"/>
      <c r="X28" s="200"/>
      <c r="Y28" s="617"/>
      <c r="Z28" s="617"/>
      <c r="AA28" s="11">
        <f t="shared" si="2"/>
        <v>-98.474344262052909</v>
      </c>
      <c r="AB28" s="205">
        <f>M28/J28</f>
        <v>0.95896902322414457</v>
      </c>
      <c r="AC28" s="571"/>
    </row>
    <row r="29" spans="1:29" ht="15.75" customHeight="1">
      <c r="A29" s="637" t="s">
        <v>895</v>
      </c>
      <c r="B29" s="26" t="s">
        <v>46</v>
      </c>
      <c r="C29" s="616" t="s">
        <v>63</v>
      </c>
      <c r="D29" s="616"/>
      <c r="E29" s="26">
        <v>26.2</v>
      </c>
      <c r="F29" s="209">
        <v>4704</v>
      </c>
      <c r="G29" s="200">
        <f t="shared" ref="G29:G33" si="48">E29*F29</f>
        <v>123244.8</v>
      </c>
      <c r="H29" s="21" t="s">
        <v>35</v>
      </c>
      <c r="I29" s="207">
        <v>18</v>
      </c>
      <c r="J29" s="23">
        <v>2400</v>
      </c>
      <c r="K29" s="9">
        <f>J29/I29</f>
        <v>133.33333333333334</v>
      </c>
      <c r="L29" s="207">
        <v>18</v>
      </c>
      <c r="M29" s="10">
        <f>F29/V29*60</f>
        <v>2294.6341463414637</v>
      </c>
      <c r="N29" s="9">
        <f>M29/L29</f>
        <v>127.47967479674799</v>
      </c>
      <c r="O29" s="11">
        <f t="shared" ref="O29:O33" si="49">L29-I29</f>
        <v>0</v>
      </c>
      <c r="P29" s="12">
        <f t="shared" ref="P29:P42" si="50">N29-K29</f>
        <v>-5.8536585365853568</v>
      </c>
      <c r="Q29" s="205">
        <f t="shared" ref="Q29:Q38" si="51">N29/K29</f>
        <v>0.95609756097560983</v>
      </c>
      <c r="R29" s="571">
        <f>Q34</f>
        <v>0.95650969913236805</v>
      </c>
      <c r="S29" s="24">
        <v>8.3333333333333329E-2</v>
      </c>
      <c r="T29" s="24">
        <v>0.16874999999999998</v>
      </c>
      <c r="U29" s="200"/>
      <c r="V29" s="208">
        <f t="shared" ref="V29:V33" si="52">(T29-S29)*24*60</f>
        <v>122.99999999999999</v>
      </c>
      <c r="W29" s="15">
        <f>T29</f>
        <v>0.16874999999999998</v>
      </c>
      <c r="X29" s="15">
        <f>S30</f>
        <v>0.18680555555555553</v>
      </c>
      <c r="Y29" s="617"/>
      <c r="Z29" s="617"/>
      <c r="AA29" s="11">
        <f t="shared" si="2"/>
        <v>-105.36585365853625</v>
      </c>
      <c r="AB29" s="205">
        <f>M29/J29</f>
        <v>0.95609756097560994</v>
      </c>
      <c r="AC29" s="571">
        <f>AB34</f>
        <v>0.95650969913236794</v>
      </c>
    </row>
    <row r="30" spans="1:29" ht="15.75" customHeight="1">
      <c r="A30" s="637" t="s">
        <v>895</v>
      </c>
      <c r="B30" s="26" t="s">
        <v>46</v>
      </c>
      <c r="C30" s="616" t="s">
        <v>64</v>
      </c>
      <c r="D30" s="616"/>
      <c r="E30" s="26">
        <v>26.39</v>
      </c>
      <c r="F30" s="209">
        <v>4454</v>
      </c>
      <c r="G30" s="200">
        <f t="shared" si="48"/>
        <v>117541.06</v>
      </c>
      <c r="H30" s="21" t="s">
        <v>35</v>
      </c>
      <c r="I30" s="207">
        <v>19</v>
      </c>
      <c r="J30" s="23">
        <v>2400</v>
      </c>
      <c r="K30" s="9">
        <f t="shared" ref="K30:K41" si="53">J30/I30</f>
        <v>126.31578947368421</v>
      </c>
      <c r="L30" s="207">
        <v>19</v>
      </c>
      <c r="M30" s="10">
        <f t="shared" ref="M30:M33" si="54">F30/V30*60</f>
        <v>2284.1025641025635</v>
      </c>
      <c r="N30" s="9">
        <f t="shared" ref="N30:N33" si="55">M30/L30</f>
        <v>120.21592442645071</v>
      </c>
      <c r="O30" s="11">
        <f t="shared" si="49"/>
        <v>0</v>
      </c>
      <c r="P30" s="12">
        <f t="shared" si="50"/>
        <v>-6.099865047233493</v>
      </c>
      <c r="Q30" s="205">
        <f t="shared" si="51"/>
        <v>0.95170940170940155</v>
      </c>
      <c r="R30" s="571"/>
      <c r="S30" s="24">
        <v>0.18680555555555553</v>
      </c>
      <c r="T30" s="24">
        <v>0.26805555555555555</v>
      </c>
      <c r="U30" s="200">
        <f>(S30-T29)*24*60</f>
        <v>25.999999999999986</v>
      </c>
      <c r="V30" s="208">
        <f t="shared" si="52"/>
        <v>117.00000000000003</v>
      </c>
      <c r="W30" s="200"/>
      <c r="X30" s="200"/>
      <c r="Y30" s="617"/>
      <c r="Z30" s="617"/>
      <c r="AA30" s="11">
        <f t="shared" si="2"/>
        <v>-115.89743589743648</v>
      </c>
      <c r="AB30" s="205">
        <f t="shared" ref="AB30:AB53" si="56">M30/J30</f>
        <v>0.95170940170940144</v>
      </c>
      <c r="AC30" s="571"/>
    </row>
    <row r="31" spans="1:29">
      <c r="A31" s="638" t="s">
        <v>895</v>
      </c>
      <c r="B31" s="26" t="s">
        <v>46</v>
      </c>
      <c r="C31" s="616" t="s">
        <v>87</v>
      </c>
      <c r="D31" s="616"/>
      <c r="E31" s="26">
        <v>20.52</v>
      </c>
      <c r="F31" s="209">
        <v>3242</v>
      </c>
      <c r="G31" s="200">
        <f t="shared" si="48"/>
        <v>66525.84</v>
      </c>
      <c r="H31" s="21" t="s">
        <v>35</v>
      </c>
      <c r="I31" s="207">
        <v>18</v>
      </c>
      <c r="J31" s="23">
        <v>2400</v>
      </c>
      <c r="K31" s="9">
        <f t="shared" si="53"/>
        <v>133.33333333333334</v>
      </c>
      <c r="L31" s="207">
        <v>18</v>
      </c>
      <c r="M31" s="10">
        <f t="shared" si="54"/>
        <v>2288.4705882352937</v>
      </c>
      <c r="N31" s="9">
        <f t="shared" si="55"/>
        <v>127.13725490196076</v>
      </c>
      <c r="O31" s="11">
        <f t="shared" si="49"/>
        <v>0</v>
      </c>
      <c r="P31" s="12">
        <f t="shared" si="50"/>
        <v>-6.1960784313725839</v>
      </c>
      <c r="Q31" s="205">
        <f t="shared" si="51"/>
        <v>0.95352941176470563</v>
      </c>
      <c r="R31" s="571"/>
      <c r="S31" s="24">
        <v>0.27361111111111108</v>
      </c>
      <c r="T31" s="24">
        <v>0.33263888888888887</v>
      </c>
      <c r="U31" s="200">
        <f t="shared" ref="U31:U33" si="57">(S31-T30)*24*60</f>
        <v>7.9999999999999716</v>
      </c>
      <c r="V31" s="208">
        <f t="shared" si="52"/>
        <v>85.000000000000014</v>
      </c>
      <c r="W31" s="200"/>
      <c r="X31" s="200"/>
      <c r="Y31" s="617"/>
      <c r="Z31" s="617"/>
      <c r="AA31" s="11">
        <f t="shared" si="2"/>
        <v>-111.52941176470631</v>
      </c>
      <c r="AB31" s="205">
        <f t="shared" si="56"/>
        <v>0.95352941176470574</v>
      </c>
      <c r="AC31" s="571"/>
    </row>
    <row r="32" spans="1:29">
      <c r="A32" s="638" t="s">
        <v>895</v>
      </c>
      <c r="B32" s="26" t="s">
        <v>46</v>
      </c>
      <c r="C32" s="616" t="s">
        <v>48</v>
      </c>
      <c r="D32" s="616"/>
      <c r="E32" s="26">
        <v>22.35</v>
      </c>
      <c r="F32" s="209">
        <v>1278</v>
      </c>
      <c r="G32" s="200">
        <f t="shared" si="48"/>
        <v>28563.300000000003</v>
      </c>
      <c r="H32" s="21" t="s">
        <v>35</v>
      </c>
      <c r="I32" s="207">
        <v>16</v>
      </c>
      <c r="J32" s="23">
        <v>2400</v>
      </c>
      <c r="K32" s="9">
        <f t="shared" si="53"/>
        <v>150</v>
      </c>
      <c r="L32" s="207">
        <v>16</v>
      </c>
      <c r="M32" s="10">
        <f t="shared" si="54"/>
        <v>2323.6363636363662</v>
      </c>
      <c r="N32" s="9">
        <f t="shared" si="55"/>
        <v>145.22727272727289</v>
      </c>
      <c r="O32" s="11">
        <f t="shared" si="49"/>
        <v>0</v>
      </c>
      <c r="P32" s="12">
        <f t="shared" si="50"/>
        <v>-4.7727272727271099</v>
      </c>
      <c r="Q32" s="205">
        <f t="shared" si="51"/>
        <v>0.96818181818181925</v>
      </c>
      <c r="R32" s="571"/>
      <c r="S32" s="24">
        <v>0.33680555555555552</v>
      </c>
      <c r="T32" s="24">
        <v>0.35972222222222217</v>
      </c>
      <c r="U32" s="200">
        <f t="shared" si="57"/>
        <v>5.9999999999999787</v>
      </c>
      <c r="V32" s="208">
        <f t="shared" si="52"/>
        <v>32.999999999999964</v>
      </c>
      <c r="W32" s="13"/>
      <c r="X32" s="13"/>
      <c r="Y32" s="617"/>
      <c r="Z32" s="617"/>
      <c r="AA32" s="11">
        <f t="shared" si="2"/>
        <v>-76.363636363633759</v>
      </c>
      <c r="AB32" s="205">
        <f t="shared" si="56"/>
        <v>0.96818181818181925</v>
      </c>
      <c r="AC32" s="571"/>
    </row>
    <row r="33" spans="1:29">
      <c r="A33" s="638" t="s">
        <v>895</v>
      </c>
      <c r="B33" s="26" t="s">
        <v>46</v>
      </c>
      <c r="C33" s="616" t="s">
        <v>65</v>
      </c>
      <c r="D33" s="616"/>
      <c r="E33" s="26">
        <v>24.43</v>
      </c>
      <c r="F33" s="209">
        <v>6290</v>
      </c>
      <c r="G33" s="200">
        <f t="shared" si="48"/>
        <v>153664.70000000001</v>
      </c>
      <c r="H33" s="21" t="s">
        <v>35</v>
      </c>
      <c r="I33" s="207">
        <v>15</v>
      </c>
      <c r="J33" s="23">
        <v>2400</v>
      </c>
      <c r="K33" s="9">
        <f t="shared" si="53"/>
        <v>160</v>
      </c>
      <c r="L33" s="207">
        <v>15</v>
      </c>
      <c r="M33" s="10">
        <f t="shared" si="54"/>
        <v>2287.2727272727275</v>
      </c>
      <c r="N33" s="9">
        <f t="shared" si="55"/>
        <v>152.4848484848485</v>
      </c>
      <c r="O33" s="11">
        <f t="shared" si="49"/>
        <v>0</v>
      </c>
      <c r="P33" s="12">
        <f t="shared" si="50"/>
        <v>-7.5151515151515014</v>
      </c>
      <c r="Q33" s="205">
        <f t="shared" si="51"/>
        <v>0.95303030303030312</v>
      </c>
      <c r="R33" s="571"/>
      <c r="S33" s="24">
        <v>0.3652777777777777</v>
      </c>
      <c r="T33" s="24">
        <v>0.47986111111111102</v>
      </c>
      <c r="U33" s="200">
        <f t="shared" si="57"/>
        <v>7.9999999999999716</v>
      </c>
      <c r="V33" s="208">
        <f t="shared" si="52"/>
        <v>164.99999999999997</v>
      </c>
      <c r="W33" s="13"/>
      <c r="X33" s="13"/>
      <c r="Y33" s="617"/>
      <c r="Z33" s="617"/>
      <c r="AA33" s="11">
        <f t="shared" si="2"/>
        <v>-112.72727272727252</v>
      </c>
      <c r="AB33" s="205">
        <f t="shared" si="56"/>
        <v>0.95303030303030312</v>
      </c>
      <c r="AC33" s="571"/>
    </row>
    <row r="34" spans="1:29">
      <c r="A34" s="638" t="s">
        <v>895</v>
      </c>
      <c r="B34" s="27" t="s">
        <v>890</v>
      </c>
      <c r="C34" s="629"/>
      <c r="D34" s="629"/>
      <c r="E34" s="199"/>
      <c r="F34" s="27"/>
      <c r="G34" s="9"/>
      <c r="H34" s="209"/>
      <c r="I34" s="16">
        <v>17.2</v>
      </c>
      <c r="J34" s="23">
        <v>2400</v>
      </c>
      <c r="K34" s="9">
        <f t="shared" si="53"/>
        <v>139.53488372093022</v>
      </c>
      <c r="L34" s="16">
        <v>17.2</v>
      </c>
      <c r="M34" s="10">
        <f>AVERAGE(M29:M33)</f>
        <v>2295.623277917683</v>
      </c>
      <c r="N34" s="9">
        <f>M34/L34</f>
        <v>133.46646964637694</v>
      </c>
      <c r="O34" s="11">
        <f>L34-I34</f>
        <v>0</v>
      </c>
      <c r="P34" s="12">
        <f t="shared" si="50"/>
        <v>-6.0684140745532886</v>
      </c>
      <c r="Q34" s="205">
        <f t="shared" si="51"/>
        <v>0.95650969913236805</v>
      </c>
      <c r="R34" s="571"/>
      <c r="S34" s="24"/>
      <c r="T34" s="24"/>
      <c r="U34" s="9"/>
      <c r="V34" s="208"/>
      <c r="W34" s="9"/>
      <c r="X34" s="9"/>
      <c r="Y34" s="617"/>
      <c r="Z34" s="617"/>
      <c r="AA34" s="11">
        <f t="shared" si="2"/>
        <v>-104.37672208231697</v>
      </c>
      <c r="AB34" s="205">
        <f t="shared" si="56"/>
        <v>0.95650969913236794</v>
      </c>
      <c r="AC34" s="571"/>
    </row>
    <row r="35" spans="1:29" ht="15.75" customHeight="1">
      <c r="A35" s="630" t="s">
        <v>896</v>
      </c>
      <c r="B35" s="26" t="s">
        <v>67</v>
      </c>
      <c r="C35" s="627" t="s">
        <v>68</v>
      </c>
      <c r="D35" s="628"/>
      <c r="E35" s="26">
        <v>21.13</v>
      </c>
      <c r="F35" s="209">
        <v>3982</v>
      </c>
      <c r="G35" s="200">
        <f t="shared" ref="G35:G41" si="58">E35*F35</f>
        <v>84139.659999999989</v>
      </c>
      <c r="H35" s="21" t="s">
        <v>35</v>
      </c>
      <c r="I35" s="207">
        <v>10</v>
      </c>
      <c r="J35" s="23">
        <v>3000</v>
      </c>
      <c r="K35" s="9">
        <f t="shared" si="53"/>
        <v>300</v>
      </c>
      <c r="L35" s="207">
        <v>10</v>
      </c>
      <c r="M35" s="10">
        <f t="shared" ref="M35:M36" si="59">F35/V35*60</f>
        <v>2878.5542168674701</v>
      </c>
      <c r="N35" s="10">
        <f t="shared" ref="N35:N42" si="60">M35/L35</f>
        <v>287.85542168674704</v>
      </c>
      <c r="O35" s="11">
        <f t="shared" ref="O35:O42" si="61">L35-I35</f>
        <v>0</v>
      </c>
      <c r="P35" s="12">
        <f t="shared" si="50"/>
        <v>-12.144578313252964</v>
      </c>
      <c r="Q35" s="205">
        <f t="shared" si="51"/>
        <v>0.95951807228915675</v>
      </c>
      <c r="R35" s="582">
        <f>Q42</f>
        <v>0.96061690997229332</v>
      </c>
      <c r="S35" s="24">
        <v>8.3333333333333329E-2</v>
      </c>
      <c r="T35" s="24">
        <v>0.14097222222222222</v>
      </c>
      <c r="U35" s="15"/>
      <c r="V35" s="208">
        <f t="shared" ref="V35:V41" si="62">(T35-S35)*24*60</f>
        <v>83</v>
      </c>
      <c r="W35" s="13">
        <f>T35</f>
        <v>0.14097222222222222</v>
      </c>
      <c r="X35" s="13">
        <f>S36</f>
        <v>0.16250000000000001</v>
      </c>
      <c r="Y35" s="621"/>
      <c r="Z35" s="622"/>
      <c r="AA35" s="11">
        <f t="shared" si="2"/>
        <v>-121.44578313252987</v>
      </c>
      <c r="AB35" s="205">
        <f t="shared" si="56"/>
        <v>0.95951807228915675</v>
      </c>
      <c r="AC35" s="582">
        <f>AB42</f>
        <v>0.96061690997229332</v>
      </c>
    </row>
    <row r="36" spans="1:29" ht="15.75" customHeight="1">
      <c r="A36" s="631" t="s">
        <v>896</v>
      </c>
      <c r="B36" s="26" t="s">
        <v>67</v>
      </c>
      <c r="C36" s="627" t="s">
        <v>69</v>
      </c>
      <c r="D36" s="628"/>
      <c r="E36" s="26">
        <v>27.17</v>
      </c>
      <c r="F36" s="209">
        <v>4992</v>
      </c>
      <c r="G36" s="200">
        <f t="shared" si="58"/>
        <v>135632.64000000001</v>
      </c>
      <c r="H36" s="21" t="s">
        <v>35</v>
      </c>
      <c r="I36" s="207">
        <v>10</v>
      </c>
      <c r="J36" s="23">
        <v>3000</v>
      </c>
      <c r="K36" s="9">
        <f t="shared" si="53"/>
        <v>300</v>
      </c>
      <c r="L36" s="207">
        <v>10</v>
      </c>
      <c r="M36" s="10">
        <f t="shared" si="59"/>
        <v>2880.0000000000005</v>
      </c>
      <c r="N36" s="10">
        <f t="shared" si="60"/>
        <v>288.00000000000006</v>
      </c>
      <c r="O36" s="11">
        <f t="shared" si="61"/>
        <v>0</v>
      </c>
      <c r="P36" s="12">
        <f t="shared" si="50"/>
        <v>-11.999999999999943</v>
      </c>
      <c r="Q36" s="205">
        <f t="shared" si="51"/>
        <v>0.96000000000000019</v>
      </c>
      <c r="R36" s="583"/>
      <c r="S36" s="24">
        <v>0.16250000000000001</v>
      </c>
      <c r="T36" s="24">
        <v>0.23472222222222222</v>
      </c>
      <c r="U36" s="200">
        <f>(S36-T35)*24*60</f>
        <v>31.000000000000011</v>
      </c>
      <c r="V36" s="208">
        <f t="shared" si="62"/>
        <v>103.99999999999999</v>
      </c>
      <c r="W36" s="13"/>
      <c r="X36" s="13"/>
      <c r="Y36" s="621"/>
      <c r="Z36" s="622"/>
      <c r="AA36" s="11">
        <f t="shared" si="2"/>
        <v>-119.99999999999955</v>
      </c>
      <c r="AB36" s="205">
        <f t="shared" si="56"/>
        <v>0.96000000000000019</v>
      </c>
      <c r="AC36" s="583"/>
    </row>
    <row r="37" spans="1:29" ht="15.75" customHeight="1">
      <c r="A37" s="631" t="s">
        <v>896</v>
      </c>
      <c r="B37" s="26" t="s">
        <v>67</v>
      </c>
      <c r="C37" s="627" t="s">
        <v>70</v>
      </c>
      <c r="D37" s="628"/>
      <c r="E37" s="26">
        <v>35.119999999999997</v>
      </c>
      <c r="F37" s="209">
        <v>3476</v>
      </c>
      <c r="G37" s="200">
        <f t="shared" si="58"/>
        <v>122077.12</v>
      </c>
      <c r="H37" s="21" t="s">
        <v>35</v>
      </c>
      <c r="I37" s="207">
        <v>10</v>
      </c>
      <c r="J37" s="23">
        <v>3000</v>
      </c>
      <c r="K37" s="9">
        <f t="shared" si="53"/>
        <v>300</v>
      </c>
      <c r="L37" s="207">
        <v>10</v>
      </c>
      <c r="M37" s="10">
        <f>F37/V37*60</f>
        <v>2856.9863013698623</v>
      </c>
      <c r="N37" s="10">
        <f t="shared" si="60"/>
        <v>285.69863013698625</v>
      </c>
      <c r="O37" s="11">
        <f t="shared" si="61"/>
        <v>0</v>
      </c>
      <c r="P37" s="12">
        <f t="shared" si="50"/>
        <v>-14.301369863013747</v>
      </c>
      <c r="Q37" s="205">
        <f t="shared" si="51"/>
        <v>0.95232876712328751</v>
      </c>
      <c r="R37" s="583"/>
      <c r="S37" s="24">
        <v>0.24027777777777778</v>
      </c>
      <c r="T37" s="24">
        <v>0.29097222222222224</v>
      </c>
      <c r="U37" s="200">
        <f t="shared" ref="U37:U41" si="63">(S37-T36)*24*60</f>
        <v>8.0000000000000107</v>
      </c>
      <c r="V37" s="208">
        <f t="shared" si="62"/>
        <v>73.000000000000014</v>
      </c>
      <c r="W37" s="13"/>
      <c r="X37" s="13"/>
      <c r="Y37" s="621"/>
      <c r="Z37" s="622"/>
      <c r="AA37" s="11">
        <f t="shared" si="2"/>
        <v>-143.0136986301377</v>
      </c>
      <c r="AB37" s="205">
        <f t="shared" si="56"/>
        <v>0.9523287671232874</v>
      </c>
      <c r="AC37" s="583"/>
    </row>
    <row r="38" spans="1:29" ht="15.75" customHeight="1">
      <c r="A38" s="631" t="s">
        <v>896</v>
      </c>
      <c r="B38" s="26" t="s">
        <v>67</v>
      </c>
      <c r="C38" s="627" t="s">
        <v>71</v>
      </c>
      <c r="D38" s="628"/>
      <c r="E38" s="26">
        <v>35.869999999999997</v>
      </c>
      <c r="F38" s="209">
        <v>2350</v>
      </c>
      <c r="G38" s="200">
        <f t="shared" si="58"/>
        <v>84294.5</v>
      </c>
      <c r="H38" s="21" t="s">
        <v>35</v>
      </c>
      <c r="I38" s="207">
        <v>10</v>
      </c>
      <c r="J38" s="23">
        <v>3000</v>
      </c>
      <c r="K38" s="9">
        <f t="shared" si="53"/>
        <v>300</v>
      </c>
      <c r="L38" s="207">
        <v>10</v>
      </c>
      <c r="M38" s="10">
        <f t="shared" ref="M38:M41" si="64">F38/V38*60</f>
        <v>2877.5510204081643</v>
      </c>
      <c r="N38" s="10">
        <f t="shared" si="60"/>
        <v>287.75510204081644</v>
      </c>
      <c r="O38" s="11">
        <f t="shared" si="61"/>
        <v>0</v>
      </c>
      <c r="P38" s="12">
        <f t="shared" si="50"/>
        <v>-12.244897959183561</v>
      </c>
      <c r="Q38" s="205">
        <f t="shared" si="51"/>
        <v>0.95918367346938815</v>
      </c>
      <c r="R38" s="583"/>
      <c r="S38" s="24">
        <v>0.29583333333333334</v>
      </c>
      <c r="T38" s="24">
        <v>0.3298611111111111</v>
      </c>
      <c r="U38" s="200">
        <f t="shared" si="63"/>
        <v>6.9999999999999751</v>
      </c>
      <c r="V38" s="208">
        <f t="shared" si="62"/>
        <v>48.999999999999986</v>
      </c>
      <c r="W38" s="13"/>
      <c r="X38" s="13"/>
      <c r="Y38" s="621"/>
      <c r="Z38" s="622"/>
      <c r="AA38" s="11">
        <f t="shared" si="2"/>
        <v>-122.44897959183572</v>
      </c>
      <c r="AB38" s="205">
        <f t="shared" si="56"/>
        <v>0.95918367346938804</v>
      </c>
      <c r="AC38" s="583"/>
    </row>
    <row r="39" spans="1:29" ht="15.75" customHeight="1">
      <c r="A39" s="631" t="s">
        <v>896</v>
      </c>
      <c r="B39" s="26" t="s">
        <v>67</v>
      </c>
      <c r="C39" s="627" t="s">
        <v>72</v>
      </c>
      <c r="D39" s="628"/>
      <c r="E39" s="26">
        <v>36.14</v>
      </c>
      <c r="F39" s="209">
        <v>1325</v>
      </c>
      <c r="G39" s="200">
        <f t="shared" si="58"/>
        <v>47885.5</v>
      </c>
      <c r="H39" s="21" t="s">
        <v>35</v>
      </c>
      <c r="I39" s="207">
        <v>8</v>
      </c>
      <c r="J39" s="23">
        <v>3000</v>
      </c>
      <c r="K39" s="9">
        <f t="shared" si="53"/>
        <v>375</v>
      </c>
      <c r="L39" s="207">
        <v>8</v>
      </c>
      <c r="M39" s="10">
        <f t="shared" si="64"/>
        <v>2944.4444444444457</v>
      </c>
      <c r="N39" s="10">
        <f t="shared" si="60"/>
        <v>368.05555555555571</v>
      </c>
      <c r="O39" s="11">
        <f t="shared" si="61"/>
        <v>0</v>
      </c>
      <c r="P39" s="12">
        <f t="shared" si="50"/>
        <v>-6.9444444444442865</v>
      </c>
      <c r="Q39" s="205">
        <f>N39/K39</f>
        <v>0.98148148148148195</v>
      </c>
      <c r="R39" s="583"/>
      <c r="S39" s="24">
        <v>0.33333333333333331</v>
      </c>
      <c r="T39" s="24">
        <v>0.3520833333333333</v>
      </c>
      <c r="U39" s="200">
        <f t="shared" si="63"/>
        <v>4.9999999999999822</v>
      </c>
      <c r="V39" s="208">
        <f t="shared" si="62"/>
        <v>26.999999999999986</v>
      </c>
      <c r="W39" s="13"/>
      <c r="X39" s="13"/>
      <c r="Y39" s="621"/>
      <c r="Z39" s="622"/>
      <c r="AA39" s="11">
        <f t="shared" si="2"/>
        <v>-55.555555555554292</v>
      </c>
      <c r="AB39" s="205">
        <f t="shared" si="56"/>
        <v>0.98148148148148195</v>
      </c>
      <c r="AC39" s="583"/>
    </row>
    <row r="40" spans="1:29" ht="15.75" customHeight="1">
      <c r="A40" s="631" t="s">
        <v>896</v>
      </c>
      <c r="B40" s="26" t="s">
        <v>67</v>
      </c>
      <c r="C40" s="627" t="s">
        <v>664</v>
      </c>
      <c r="D40" s="628"/>
      <c r="E40" s="26">
        <v>34.36</v>
      </c>
      <c r="F40" s="209">
        <v>4008</v>
      </c>
      <c r="G40" s="200">
        <f t="shared" si="58"/>
        <v>137714.88</v>
      </c>
      <c r="H40" s="21" t="s">
        <v>35</v>
      </c>
      <c r="I40" s="207">
        <v>10</v>
      </c>
      <c r="J40" s="23">
        <v>3000</v>
      </c>
      <c r="K40" s="9">
        <f t="shared" si="53"/>
        <v>300</v>
      </c>
      <c r="L40" s="207">
        <v>10</v>
      </c>
      <c r="M40" s="10">
        <f t="shared" si="64"/>
        <v>2862.8571428571422</v>
      </c>
      <c r="N40" s="10">
        <f t="shared" si="60"/>
        <v>286.28571428571422</v>
      </c>
      <c r="O40" s="11">
        <f t="shared" si="61"/>
        <v>0</v>
      </c>
      <c r="P40" s="12">
        <f t="shared" si="50"/>
        <v>-13.714285714285779</v>
      </c>
      <c r="Q40" s="205">
        <f t="shared" ref="Q40:Q42" si="65">N40/K40</f>
        <v>0.95428571428571407</v>
      </c>
      <c r="R40" s="583"/>
      <c r="S40" s="24">
        <v>0.3569444444444444</v>
      </c>
      <c r="T40" s="24">
        <v>0.41527777777777775</v>
      </c>
      <c r="U40" s="200">
        <f t="shared" si="63"/>
        <v>6.9999999999999751</v>
      </c>
      <c r="V40" s="208">
        <f t="shared" si="62"/>
        <v>84.000000000000028</v>
      </c>
      <c r="W40" s="13"/>
      <c r="X40" s="13"/>
      <c r="Y40" s="621"/>
      <c r="Z40" s="622"/>
      <c r="AA40" s="11">
        <f t="shared" si="2"/>
        <v>-137.14285714285779</v>
      </c>
      <c r="AB40" s="205">
        <f t="shared" si="56"/>
        <v>0.95428571428571407</v>
      </c>
      <c r="AC40" s="583"/>
    </row>
    <row r="41" spans="1:29" ht="15.75" customHeight="1">
      <c r="A41" s="631" t="s">
        <v>896</v>
      </c>
      <c r="B41" s="26" t="s">
        <v>67</v>
      </c>
      <c r="C41" s="627" t="s">
        <v>666</v>
      </c>
      <c r="D41" s="628"/>
      <c r="E41" s="26">
        <v>37.880000000000003</v>
      </c>
      <c r="F41" s="209">
        <v>5793</v>
      </c>
      <c r="G41" s="200">
        <f t="shared" si="58"/>
        <v>219438.84000000003</v>
      </c>
      <c r="H41" s="21" t="s">
        <v>35</v>
      </c>
      <c r="I41" s="207">
        <v>11</v>
      </c>
      <c r="J41" s="23">
        <v>3000</v>
      </c>
      <c r="K41" s="9">
        <f t="shared" si="53"/>
        <v>272.72727272727275</v>
      </c>
      <c r="L41" s="207">
        <v>11</v>
      </c>
      <c r="M41" s="10">
        <f t="shared" si="64"/>
        <v>2872.5619834710728</v>
      </c>
      <c r="N41" s="10">
        <f t="shared" si="60"/>
        <v>261.14199849737025</v>
      </c>
      <c r="O41" s="11">
        <f t="shared" si="61"/>
        <v>0</v>
      </c>
      <c r="P41" s="12">
        <f t="shared" si="50"/>
        <v>-11.585274229902495</v>
      </c>
      <c r="Q41" s="205">
        <f t="shared" si="65"/>
        <v>0.95752066115702417</v>
      </c>
      <c r="R41" s="583"/>
      <c r="S41" s="24">
        <v>0.42013888888888884</v>
      </c>
      <c r="T41" s="24">
        <v>0.50416666666666665</v>
      </c>
      <c r="U41" s="200">
        <f t="shared" si="63"/>
        <v>6.9999999999999751</v>
      </c>
      <c r="V41" s="208">
        <f t="shared" si="62"/>
        <v>121.00000000000006</v>
      </c>
      <c r="W41" s="13"/>
      <c r="X41" s="13"/>
      <c r="Y41" s="621"/>
      <c r="Z41" s="622"/>
      <c r="AA41" s="11">
        <f t="shared" si="2"/>
        <v>-127.43801652892716</v>
      </c>
      <c r="AB41" s="205">
        <f t="shared" si="56"/>
        <v>0.95752066115702428</v>
      </c>
      <c r="AC41" s="583"/>
    </row>
    <row r="42" spans="1:29" ht="15.75" customHeight="1">
      <c r="A42" s="632" t="s">
        <v>896</v>
      </c>
      <c r="B42" s="26" t="s">
        <v>890</v>
      </c>
      <c r="C42" s="625"/>
      <c r="D42" s="626"/>
      <c r="E42" s="206"/>
      <c r="F42" s="209"/>
      <c r="G42" s="200"/>
      <c r="H42" s="209"/>
      <c r="I42" s="16">
        <v>9.8571428571428577</v>
      </c>
      <c r="J42" s="23">
        <v>3000</v>
      </c>
      <c r="K42" s="9">
        <f>J42/I42</f>
        <v>304.3478260869565</v>
      </c>
      <c r="L42" s="16">
        <v>9.8571428571428577</v>
      </c>
      <c r="M42" s="10">
        <f>AVERAGE(M35:M41)</f>
        <v>2881.85072991688</v>
      </c>
      <c r="N42" s="9">
        <f t="shared" si="60"/>
        <v>292.36166825243708</v>
      </c>
      <c r="O42" s="11">
        <f t="shared" si="61"/>
        <v>0</v>
      </c>
      <c r="P42" s="12">
        <f t="shared" si="50"/>
        <v>-11.986157834519418</v>
      </c>
      <c r="Q42" s="205">
        <f t="shared" si="65"/>
        <v>0.96061690997229332</v>
      </c>
      <c r="R42" s="584"/>
      <c r="S42" s="24"/>
      <c r="T42" s="24"/>
      <c r="U42" s="200"/>
      <c r="V42" s="208"/>
      <c r="W42" s="13"/>
      <c r="X42" s="13"/>
      <c r="Y42" s="621"/>
      <c r="Z42" s="622"/>
      <c r="AA42" s="11">
        <f t="shared" si="2"/>
        <v>-118.14927008311997</v>
      </c>
      <c r="AB42" s="205">
        <f t="shared" si="56"/>
        <v>0.96061690997229332</v>
      </c>
      <c r="AC42" s="584"/>
    </row>
    <row r="43" spans="1:29" ht="15.75" customHeight="1">
      <c r="A43" s="633" t="s">
        <v>897</v>
      </c>
      <c r="B43" s="26" t="s">
        <v>40</v>
      </c>
      <c r="C43" s="616" t="s">
        <v>73</v>
      </c>
      <c r="D43" s="616"/>
      <c r="E43" s="26">
        <v>46</v>
      </c>
      <c r="F43" s="28">
        <v>2091</v>
      </c>
      <c r="G43" s="200">
        <f t="shared" ref="G43:G48" si="66">E43*F43</f>
        <v>96186</v>
      </c>
      <c r="H43" s="21" t="s">
        <v>35</v>
      </c>
      <c r="I43" s="207">
        <v>17</v>
      </c>
      <c r="J43" s="23">
        <v>2000</v>
      </c>
      <c r="K43" s="9">
        <f t="shared" ref="K43:K48" si="67">J43/I43</f>
        <v>117.64705882352941</v>
      </c>
      <c r="L43" s="207">
        <v>17</v>
      </c>
      <c r="M43" s="10">
        <f t="shared" ref="M43:M48" si="68">F43/V43*60</f>
        <v>1900.909090909091</v>
      </c>
      <c r="N43" s="10">
        <f>M43/L43</f>
        <v>111.81818181818183</v>
      </c>
      <c r="O43" s="11">
        <f>L43-I43</f>
        <v>0</v>
      </c>
      <c r="P43" s="12">
        <f>N43-K43</f>
        <v>-5.8288770053475787</v>
      </c>
      <c r="Q43" s="205">
        <f>N43/K43</f>
        <v>0.95045454545454555</v>
      </c>
      <c r="R43" s="571">
        <f>Q49</f>
        <v>0.96313553858382817</v>
      </c>
      <c r="S43" s="24">
        <v>0.29166666666666669</v>
      </c>
      <c r="T43" s="24">
        <v>0.33750000000000002</v>
      </c>
      <c r="U43" s="15"/>
      <c r="V43" s="208">
        <f t="shared" ref="V43:V48" si="69">(T43-S43)*24*60</f>
        <v>66</v>
      </c>
      <c r="W43" s="15"/>
      <c r="X43" s="15"/>
      <c r="Y43" s="617"/>
      <c r="Z43" s="617"/>
      <c r="AA43" s="11">
        <f t="shared" si="2"/>
        <v>-99.090909090909008</v>
      </c>
      <c r="AB43" s="205">
        <f t="shared" si="56"/>
        <v>0.95045454545454544</v>
      </c>
      <c r="AC43" s="571">
        <f>AB49</f>
        <v>0.96313553858382805</v>
      </c>
    </row>
    <row r="44" spans="1:29" ht="15.75" customHeight="1">
      <c r="A44" s="633" t="s">
        <v>897</v>
      </c>
      <c r="B44" s="26" t="s">
        <v>36</v>
      </c>
      <c r="C44" s="616" t="s">
        <v>75</v>
      </c>
      <c r="D44" s="616"/>
      <c r="E44" s="26">
        <v>54.09</v>
      </c>
      <c r="F44" s="28">
        <v>760</v>
      </c>
      <c r="G44" s="200">
        <f t="shared" si="66"/>
        <v>41108.400000000001</v>
      </c>
      <c r="H44" s="21" t="s">
        <v>35</v>
      </c>
      <c r="I44" s="207">
        <v>16</v>
      </c>
      <c r="J44" s="23">
        <v>2000</v>
      </c>
      <c r="K44" s="9">
        <f t="shared" si="67"/>
        <v>125</v>
      </c>
      <c r="L44" s="207">
        <v>16</v>
      </c>
      <c r="M44" s="10">
        <f t="shared" si="68"/>
        <v>1982.6086956521738</v>
      </c>
      <c r="N44" s="10">
        <f t="shared" ref="N44:N48" si="70">M44/L44</f>
        <v>123.91304347826086</v>
      </c>
      <c r="O44" s="11">
        <f t="shared" ref="O44:O48" si="71">L44-I44</f>
        <v>0</v>
      </c>
      <c r="P44" s="12">
        <f t="shared" ref="P44:P48" si="72">N44-K44</f>
        <v>-1.0869565217391397</v>
      </c>
      <c r="Q44" s="205">
        <f t="shared" ref="Q44:Q48" si="73">N44/K44</f>
        <v>0.9913043478260869</v>
      </c>
      <c r="R44" s="571"/>
      <c r="S44" s="24">
        <v>0.34097222222222223</v>
      </c>
      <c r="T44" s="24">
        <v>0.35694444444444445</v>
      </c>
      <c r="U44" s="200">
        <f>IF(S44=TIME(17,0,0),"",(S44-T43)*24*60)</f>
        <v>4.9999999999999822</v>
      </c>
      <c r="V44" s="208">
        <f t="shared" si="69"/>
        <v>23</v>
      </c>
      <c r="W44" s="13"/>
      <c r="X44" s="13"/>
      <c r="Y44" s="617"/>
      <c r="Z44" s="617"/>
      <c r="AA44" s="11">
        <f t="shared" si="2"/>
        <v>-17.391304347826235</v>
      </c>
      <c r="AB44" s="205">
        <f t="shared" si="56"/>
        <v>0.9913043478260869</v>
      </c>
      <c r="AC44" s="571"/>
    </row>
    <row r="45" spans="1:29" ht="15.75" customHeight="1">
      <c r="A45" s="633" t="s">
        <v>897</v>
      </c>
      <c r="B45" s="26" t="s">
        <v>40</v>
      </c>
      <c r="C45" s="627" t="s">
        <v>74</v>
      </c>
      <c r="D45" s="628"/>
      <c r="E45" s="26">
        <v>46</v>
      </c>
      <c r="F45" s="28">
        <v>2285</v>
      </c>
      <c r="G45" s="200">
        <f t="shared" si="66"/>
        <v>105110</v>
      </c>
      <c r="H45" s="21" t="s">
        <v>35</v>
      </c>
      <c r="I45" s="207">
        <v>17</v>
      </c>
      <c r="J45" s="23">
        <v>2000</v>
      </c>
      <c r="K45" s="9">
        <f t="shared" si="67"/>
        <v>117.64705882352941</v>
      </c>
      <c r="L45" s="207">
        <v>17</v>
      </c>
      <c r="M45" s="10">
        <f t="shared" si="68"/>
        <v>1904.166666666667</v>
      </c>
      <c r="N45" s="10">
        <f t="shared" si="70"/>
        <v>112.00980392156865</v>
      </c>
      <c r="O45" s="11">
        <f t="shared" si="71"/>
        <v>0</v>
      </c>
      <c r="P45" s="12">
        <f t="shared" si="72"/>
        <v>-5.637254901960759</v>
      </c>
      <c r="Q45" s="205">
        <f t="shared" si="73"/>
        <v>0.9520833333333335</v>
      </c>
      <c r="R45" s="571"/>
      <c r="S45" s="24">
        <v>0.3611111111111111</v>
      </c>
      <c r="T45" s="24">
        <v>0.41111111111111109</v>
      </c>
      <c r="U45" s="200">
        <f t="shared" ref="U45:U48" si="74">IF(S45=TIME(17,0,0),"",(S45-T44)*24*60)</f>
        <v>5.9999999999999787</v>
      </c>
      <c r="V45" s="208">
        <f t="shared" si="69"/>
        <v>71.999999999999986</v>
      </c>
      <c r="W45" s="13"/>
      <c r="X45" s="13"/>
      <c r="Y45" s="203"/>
      <c r="Z45" s="204"/>
      <c r="AA45" s="11">
        <f t="shared" si="2"/>
        <v>-95.83333333333303</v>
      </c>
      <c r="AB45" s="205">
        <f t="shared" si="56"/>
        <v>0.9520833333333335</v>
      </c>
      <c r="AC45" s="571"/>
    </row>
    <row r="46" spans="1:29" ht="15.75" customHeight="1">
      <c r="A46" s="633" t="s">
        <v>897</v>
      </c>
      <c r="B46" s="26" t="s">
        <v>36</v>
      </c>
      <c r="C46" s="201" t="s">
        <v>76</v>
      </c>
      <c r="D46" s="202"/>
      <c r="E46" s="26">
        <v>55.56</v>
      </c>
      <c r="F46" s="28">
        <v>1897</v>
      </c>
      <c r="G46" s="200">
        <f t="shared" si="66"/>
        <v>105397.32</v>
      </c>
      <c r="H46" s="21" t="s">
        <v>35</v>
      </c>
      <c r="I46" s="207">
        <v>17</v>
      </c>
      <c r="J46" s="23">
        <v>2000</v>
      </c>
      <c r="K46" s="9">
        <f t="shared" si="67"/>
        <v>117.64705882352941</v>
      </c>
      <c r="L46" s="207">
        <v>17</v>
      </c>
      <c r="M46" s="10">
        <f t="shared" si="68"/>
        <v>1929.1525423728831</v>
      </c>
      <c r="N46" s="10">
        <f t="shared" si="70"/>
        <v>113.47956131605194</v>
      </c>
      <c r="O46" s="11">
        <f t="shared" si="71"/>
        <v>0</v>
      </c>
      <c r="P46" s="12">
        <f t="shared" si="72"/>
        <v>-4.1674975074774636</v>
      </c>
      <c r="Q46" s="205">
        <f t="shared" si="73"/>
        <v>0.96457627118644151</v>
      </c>
      <c r="R46" s="571"/>
      <c r="S46" s="24">
        <v>0.70833333333333337</v>
      </c>
      <c r="T46" s="24">
        <v>0.74930555555555556</v>
      </c>
      <c r="U46" s="200" t="str">
        <f t="shared" si="74"/>
        <v/>
      </c>
      <c r="V46" s="208">
        <f t="shared" si="69"/>
        <v>58.99999999999995</v>
      </c>
      <c r="W46" s="13"/>
      <c r="X46" s="13"/>
      <c r="Y46" s="203"/>
      <c r="Z46" s="204"/>
      <c r="AA46" s="11">
        <f t="shared" si="2"/>
        <v>-70.84745762711691</v>
      </c>
      <c r="AB46" s="205">
        <f t="shared" si="56"/>
        <v>0.96457627118644151</v>
      </c>
      <c r="AC46" s="571"/>
    </row>
    <row r="47" spans="1:29" ht="15.75" customHeight="1">
      <c r="A47" s="633" t="s">
        <v>897</v>
      </c>
      <c r="B47" s="26" t="s">
        <v>36</v>
      </c>
      <c r="C47" s="201" t="s">
        <v>77</v>
      </c>
      <c r="D47" s="202"/>
      <c r="E47" s="26">
        <v>55.32</v>
      </c>
      <c r="F47" s="28">
        <v>1539</v>
      </c>
      <c r="G47" s="200">
        <f t="shared" si="66"/>
        <v>85137.48</v>
      </c>
      <c r="H47" s="21" t="s">
        <v>35</v>
      </c>
      <c r="I47" s="207">
        <v>15</v>
      </c>
      <c r="J47" s="23">
        <v>2000</v>
      </c>
      <c r="K47" s="9">
        <f t="shared" si="67"/>
        <v>133.33333333333334</v>
      </c>
      <c r="L47" s="207">
        <v>15</v>
      </c>
      <c r="M47" s="10">
        <f t="shared" si="68"/>
        <v>1923.7500000000005</v>
      </c>
      <c r="N47" s="10">
        <f t="shared" si="70"/>
        <v>128.25000000000003</v>
      </c>
      <c r="O47" s="11">
        <f t="shared" si="71"/>
        <v>0</v>
      </c>
      <c r="P47" s="12">
        <f t="shared" si="72"/>
        <v>-5.0833333333333144</v>
      </c>
      <c r="Q47" s="205">
        <f t="shared" si="73"/>
        <v>0.96187500000000015</v>
      </c>
      <c r="R47" s="571"/>
      <c r="S47" s="24">
        <v>0.75486111111111109</v>
      </c>
      <c r="T47" s="24">
        <v>0.78819444444444442</v>
      </c>
      <c r="U47" s="200">
        <f t="shared" si="74"/>
        <v>7.9999999999999716</v>
      </c>
      <c r="V47" s="208">
        <f t="shared" si="69"/>
        <v>47.999999999999986</v>
      </c>
      <c r="W47" s="13"/>
      <c r="X47" s="13"/>
      <c r="Y47" s="203"/>
      <c r="Z47" s="204"/>
      <c r="AA47" s="11">
        <f t="shared" si="2"/>
        <v>-76.249999999999545</v>
      </c>
      <c r="AB47" s="205">
        <f t="shared" si="56"/>
        <v>0.96187500000000026</v>
      </c>
      <c r="AC47" s="571"/>
    </row>
    <row r="48" spans="1:29" ht="15.75" customHeight="1">
      <c r="A48" s="633" t="s">
        <v>897</v>
      </c>
      <c r="B48" s="26" t="s">
        <v>36</v>
      </c>
      <c r="C48" s="627" t="s">
        <v>78</v>
      </c>
      <c r="D48" s="628"/>
      <c r="E48" s="26">
        <v>57.73</v>
      </c>
      <c r="F48" s="28">
        <v>1268</v>
      </c>
      <c r="G48" s="200">
        <f t="shared" si="66"/>
        <v>73201.64</v>
      </c>
      <c r="H48" s="21" t="s">
        <v>35</v>
      </c>
      <c r="I48" s="207">
        <v>16</v>
      </c>
      <c r="J48" s="23">
        <v>1500</v>
      </c>
      <c r="K48" s="9">
        <f t="shared" si="67"/>
        <v>93.75</v>
      </c>
      <c r="L48" s="207">
        <v>16</v>
      </c>
      <c r="M48" s="10">
        <f t="shared" si="68"/>
        <v>1435.4716981132083</v>
      </c>
      <c r="N48" s="10">
        <f t="shared" si="70"/>
        <v>89.716981132075517</v>
      </c>
      <c r="O48" s="11">
        <f t="shared" si="71"/>
        <v>0</v>
      </c>
      <c r="P48" s="12">
        <f t="shared" si="72"/>
        <v>-4.0330188679244827</v>
      </c>
      <c r="Q48" s="205">
        <f t="shared" si="73"/>
        <v>0.9569811320754722</v>
      </c>
      <c r="R48" s="571"/>
      <c r="S48" s="24">
        <v>0.79236111111111107</v>
      </c>
      <c r="T48" s="24">
        <v>0.82916666666666661</v>
      </c>
      <c r="U48" s="200">
        <f t="shared" si="74"/>
        <v>5.9999999999999787</v>
      </c>
      <c r="V48" s="208">
        <f t="shared" si="69"/>
        <v>52.999999999999972</v>
      </c>
      <c r="W48" s="13"/>
      <c r="X48" s="13"/>
      <c r="Y48" s="621"/>
      <c r="Z48" s="622"/>
      <c r="AA48" s="11">
        <f t="shared" si="2"/>
        <v>-64.528301886791724</v>
      </c>
      <c r="AB48" s="205">
        <f t="shared" si="56"/>
        <v>0.9569811320754722</v>
      </c>
      <c r="AC48" s="571"/>
    </row>
    <row r="49" spans="1:29">
      <c r="A49" s="634" t="s">
        <v>897</v>
      </c>
      <c r="B49" s="26" t="s">
        <v>890</v>
      </c>
      <c r="C49" s="629"/>
      <c r="D49" s="629"/>
      <c r="E49" s="199"/>
      <c r="F49" s="27"/>
      <c r="G49" s="9"/>
      <c r="H49" s="209"/>
      <c r="I49" s="16">
        <v>16.333333333333332</v>
      </c>
      <c r="J49" s="23">
        <v>1916.6666666666667</v>
      </c>
      <c r="K49" s="9">
        <f>J49/I49</f>
        <v>117.34693877551021</v>
      </c>
      <c r="L49" s="16">
        <v>16.333333333333332</v>
      </c>
      <c r="M49" s="10">
        <f>AVERAGE(M43:M48)</f>
        <v>1846.0097822856706</v>
      </c>
      <c r="N49" s="9">
        <f>M49/L49</f>
        <v>113.02100707871453</v>
      </c>
      <c r="O49" s="11">
        <f>L49-I49</f>
        <v>0</v>
      </c>
      <c r="P49" s="12">
        <f>N49-K49</f>
        <v>-4.3259316967956778</v>
      </c>
      <c r="Q49" s="205">
        <f>N49/K49</f>
        <v>0.96313553858382817</v>
      </c>
      <c r="R49" s="571"/>
      <c r="S49" s="25"/>
      <c r="T49" s="24"/>
      <c r="U49" s="9"/>
      <c r="V49" s="208"/>
      <c r="W49" s="9"/>
      <c r="X49" s="9"/>
      <c r="Y49" s="617"/>
      <c r="Z49" s="617"/>
      <c r="AA49" s="11">
        <f t="shared" si="2"/>
        <v>-70.656884380996189</v>
      </c>
      <c r="AB49" s="205">
        <f t="shared" si="56"/>
        <v>0.96313553858382805</v>
      </c>
      <c r="AC49" s="571"/>
    </row>
    <row r="50" spans="1:29" ht="15.75" customHeight="1">
      <c r="A50" s="623" t="s">
        <v>898</v>
      </c>
      <c r="B50" s="209" t="s">
        <v>40</v>
      </c>
      <c r="C50" s="616" t="s">
        <v>82</v>
      </c>
      <c r="D50" s="616"/>
      <c r="E50" s="26">
        <v>26.97</v>
      </c>
      <c r="F50" s="28">
        <v>2718</v>
      </c>
      <c r="G50" s="200">
        <f t="shared" ref="G50:G52" si="75">E50*F50</f>
        <v>73304.459999999992</v>
      </c>
      <c r="H50" s="21" t="s">
        <v>35</v>
      </c>
      <c r="I50" s="207">
        <v>8</v>
      </c>
      <c r="J50" s="23">
        <v>1500</v>
      </c>
      <c r="K50" s="9">
        <f t="shared" ref="K50:K52" si="76">J50/I50</f>
        <v>187.5</v>
      </c>
      <c r="L50" s="207">
        <v>8</v>
      </c>
      <c r="M50" s="10">
        <f t="shared" ref="M50:M52" si="77">F50/V50*60</f>
        <v>1430.5263157894742</v>
      </c>
      <c r="N50" s="9">
        <f>M50/L50</f>
        <v>178.81578947368428</v>
      </c>
      <c r="O50" s="11">
        <f t="shared" ref="O50:O52" si="78">L50-I50</f>
        <v>0</v>
      </c>
      <c r="P50" s="12">
        <f t="shared" ref="P50:P52" si="79">N50-K50</f>
        <v>-8.6842105263157237</v>
      </c>
      <c r="Q50" s="205">
        <f>N50/K50</f>
        <v>0.95368421052631613</v>
      </c>
      <c r="R50" s="571">
        <f>Q53</f>
        <v>0.97358952503209251</v>
      </c>
      <c r="S50" s="24">
        <v>0.20833333333333334</v>
      </c>
      <c r="T50" s="24">
        <v>0.28749999999999998</v>
      </c>
      <c r="U50" s="200"/>
      <c r="V50" s="208">
        <f t="shared" ref="V50:V52" si="80">(T50-S50)*24*60</f>
        <v>113.99999999999996</v>
      </c>
      <c r="W50" s="15"/>
      <c r="X50" s="15"/>
      <c r="Y50" s="617"/>
      <c r="Z50" s="617"/>
      <c r="AA50" s="11">
        <f t="shared" si="2"/>
        <v>-69.473684210525789</v>
      </c>
      <c r="AB50" s="205">
        <f t="shared" si="56"/>
        <v>0.95368421052631613</v>
      </c>
      <c r="AC50" s="571">
        <f>AB53</f>
        <v>0.9735895250320924</v>
      </c>
    </row>
    <row r="51" spans="1:29" ht="15.75" customHeight="1">
      <c r="A51" s="623" t="s">
        <v>898</v>
      </c>
      <c r="B51" s="209" t="s">
        <v>67</v>
      </c>
      <c r="C51" s="616" t="s">
        <v>79</v>
      </c>
      <c r="D51" s="616"/>
      <c r="E51" s="26">
        <v>26.78</v>
      </c>
      <c r="F51" s="28">
        <v>1990</v>
      </c>
      <c r="G51" s="200">
        <f t="shared" si="75"/>
        <v>53292.200000000004</v>
      </c>
      <c r="H51" s="21" t="s">
        <v>35</v>
      </c>
      <c r="I51" s="207">
        <v>10</v>
      </c>
      <c r="J51" s="23">
        <v>3000</v>
      </c>
      <c r="K51" s="9">
        <f t="shared" si="76"/>
        <v>300</v>
      </c>
      <c r="L51" s="207">
        <v>10</v>
      </c>
      <c r="M51" s="10">
        <f t="shared" si="77"/>
        <v>2912.1951219512184</v>
      </c>
      <c r="N51" s="9">
        <f t="shared" ref="N51:N52" si="81">M51/L51</f>
        <v>291.21951219512187</v>
      </c>
      <c r="O51" s="11">
        <f t="shared" si="78"/>
        <v>0</v>
      </c>
      <c r="P51" s="12">
        <f t="shared" si="79"/>
        <v>-8.7804878048781347</v>
      </c>
      <c r="Q51" s="205">
        <f t="shared" ref="Q51:Q52" si="82">N51/K51</f>
        <v>0.97073170731707292</v>
      </c>
      <c r="R51" s="571"/>
      <c r="S51" s="24">
        <v>0.29097222222222219</v>
      </c>
      <c r="T51" s="24">
        <v>0.31944444444444442</v>
      </c>
      <c r="U51" s="200">
        <f>(S51-T50)*24*60</f>
        <v>4.9999999999999822</v>
      </c>
      <c r="V51" s="208">
        <f t="shared" si="80"/>
        <v>41.000000000000014</v>
      </c>
      <c r="W51" s="200"/>
      <c r="X51" s="200"/>
      <c r="Y51" s="617"/>
      <c r="Z51" s="617"/>
      <c r="AA51" s="11">
        <f t="shared" si="2"/>
        <v>-87.804878048781575</v>
      </c>
      <c r="AB51" s="205">
        <f t="shared" si="56"/>
        <v>0.97073170731707281</v>
      </c>
      <c r="AC51" s="571"/>
    </row>
    <row r="52" spans="1:29" ht="15.75" customHeight="1">
      <c r="A52" s="623" t="s">
        <v>898</v>
      </c>
      <c r="B52" s="209" t="s">
        <v>67</v>
      </c>
      <c r="C52" s="616" t="s">
        <v>83</v>
      </c>
      <c r="D52" s="616"/>
      <c r="E52" s="26">
        <v>35.369999999999997</v>
      </c>
      <c r="F52" s="28">
        <v>1233</v>
      </c>
      <c r="G52" s="200">
        <f t="shared" si="75"/>
        <v>43611.21</v>
      </c>
      <c r="H52" s="21" t="s">
        <v>35</v>
      </c>
      <c r="I52" s="207">
        <v>10</v>
      </c>
      <c r="J52" s="23">
        <v>3000</v>
      </c>
      <c r="K52" s="9">
        <f t="shared" si="76"/>
        <v>300</v>
      </c>
      <c r="L52" s="207">
        <v>10</v>
      </c>
      <c r="M52" s="10">
        <f t="shared" si="77"/>
        <v>2959.2000000000007</v>
      </c>
      <c r="N52" s="9">
        <f t="shared" si="81"/>
        <v>295.92000000000007</v>
      </c>
      <c r="O52" s="11">
        <f t="shared" si="78"/>
        <v>0</v>
      </c>
      <c r="P52" s="12">
        <f t="shared" si="79"/>
        <v>-4.0799999999999272</v>
      </c>
      <c r="Q52" s="205">
        <f t="shared" si="82"/>
        <v>0.98640000000000028</v>
      </c>
      <c r="R52" s="571"/>
      <c r="S52" s="24">
        <v>0.32499999999999996</v>
      </c>
      <c r="T52" s="24">
        <v>0.34236111111111106</v>
      </c>
      <c r="U52" s="200">
        <f t="shared" ref="U52" si="83">(S52-T51)*24*60</f>
        <v>7.9999999999999716</v>
      </c>
      <c r="V52" s="208">
        <f t="shared" si="80"/>
        <v>24.999999999999993</v>
      </c>
      <c r="W52" s="200"/>
      <c r="X52" s="200"/>
      <c r="Y52" s="617"/>
      <c r="Z52" s="617"/>
      <c r="AA52" s="11">
        <f t="shared" si="2"/>
        <v>-40.799999999999272</v>
      </c>
      <c r="AB52" s="205">
        <f t="shared" si="56"/>
        <v>0.98640000000000028</v>
      </c>
      <c r="AC52" s="571"/>
    </row>
    <row r="53" spans="1:29">
      <c r="A53" s="624" t="s">
        <v>898</v>
      </c>
      <c r="B53" s="26" t="s">
        <v>890</v>
      </c>
      <c r="C53" s="629"/>
      <c r="D53" s="629"/>
      <c r="E53" s="199"/>
      <c r="F53" s="27"/>
      <c r="G53" s="9"/>
      <c r="H53" s="209"/>
      <c r="I53" s="16">
        <v>9.3333333333333339</v>
      </c>
      <c r="J53" s="23">
        <v>2500</v>
      </c>
      <c r="K53" s="9">
        <f>J53/I53</f>
        <v>267.85714285714283</v>
      </c>
      <c r="L53" s="16">
        <v>9.3333333333333339</v>
      </c>
      <c r="M53" s="10">
        <f>AVERAGE(M50:M52)</f>
        <v>2433.973812580231</v>
      </c>
      <c r="N53" s="9">
        <f>M53/L53</f>
        <v>260.78290849073903</v>
      </c>
      <c r="O53" s="11">
        <f>L53-I53</f>
        <v>0</v>
      </c>
      <c r="P53" s="12">
        <f>N53-K53</f>
        <v>-7.0742343664038003</v>
      </c>
      <c r="Q53" s="205">
        <f>N53/K53</f>
        <v>0.97358952503209251</v>
      </c>
      <c r="R53" s="571"/>
      <c r="S53" s="24"/>
      <c r="T53" s="24"/>
      <c r="U53" s="9"/>
      <c r="V53" s="208"/>
      <c r="W53" s="9"/>
      <c r="X53" s="9"/>
      <c r="Y53" s="617"/>
      <c r="Z53" s="617"/>
      <c r="AA53" s="11">
        <f t="shared" si="2"/>
        <v>-66.02618741976903</v>
      </c>
      <c r="AB53" s="205">
        <f t="shared" si="56"/>
        <v>0.9735895250320924</v>
      </c>
      <c r="AC53" s="571"/>
    </row>
    <row r="54" spans="1:29" ht="15.75" customHeight="1">
      <c r="A54" s="618" t="s">
        <v>899</v>
      </c>
      <c r="B54" s="209" t="s">
        <v>46</v>
      </c>
      <c r="C54" s="616" t="s">
        <v>84</v>
      </c>
      <c r="D54" s="616"/>
      <c r="E54" s="26">
        <v>20.2</v>
      </c>
      <c r="F54" s="209">
        <v>1516</v>
      </c>
      <c r="G54" s="200">
        <f t="shared" ref="G54:G60" si="84">E54*F54</f>
        <v>30623.200000000001</v>
      </c>
      <c r="H54" s="21" t="s">
        <v>35</v>
      </c>
      <c r="I54" s="207">
        <v>19</v>
      </c>
      <c r="J54" s="23">
        <v>2400</v>
      </c>
      <c r="K54" s="9">
        <f t="shared" ref="K54:K61" si="85">J54/I54</f>
        <v>126.31578947368421</v>
      </c>
      <c r="L54" s="207">
        <v>19</v>
      </c>
      <c r="M54" s="10">
        <f>F54/V54*60</f>
        <v>2332.3076923076919</v>
      </c>
      <c r="N54" s="9">
        <f t="shared" ref="N54:N60" si="86">M54/L54</f>
        <v>122.75303643724695</v>
      </c>
      <c r="O54" s="11">
        <f t="shared" ref="O54:O60" si="87">L54-I54</f>
        <v>0</v>
      </c>
      <c r="P54" s="12">
        <f t="shared" ref="P54:P60" si="88">N54-K54</f>
        <v>-3.5627530364372575</v>
      </c>
      <c r="Q54" s="205">
        <f>N54/K54</f>
        <v>0.97179487179487167</v>
      </c>
      <c r="R54" s="571">
        <f>Q61</f>
        <v>0.95928847031125253</v>
      </c>
      <c r="S54" s="24">
        <v>8.3333333333333329E-2</v>
      </c>
      <c r="T54" s="24">
        <v>0.11041666666666666</v>
      </c>
      <c r="U54" s="15"/>
      <c r="V54" s="208">
        <f t="shared" ref="V54:V60" si="89">(T54-S54)*24*60</f>
        <v>39</v>
      </c>
      <c r="W54" s="13">
        <f>T54</f>
        <v>0.11041666666666666</v>
      </c>
      <c r="X54" s="13">
        <f>S55</f>
        <v>0.12986111111111112</v>
      </c>
      <c r="Y54" s="617"/>
      <c r="Z54" s="617"/>
      <c r="AA54" s="11">
        <f t="shared" si="2"/>
        <v>-67.692307692308077</v>
      </c>
      <c r="AB54" s="205">
        <f>M54/J54</f>
        <v>0.97179487179487167</v>
      </c>
      <c r="AC54" s="571">
        <f>AB61</f>
        <v>0.95928847031125253</v>
      </c>
    </row>
    <row r="55" spans="1:29" ht="15.75" customHeight="1">
      <c r="A55" s="619" t="s">
        <v>899</v>
      </c>
      <c r="B55" s="209" t="s">
        <v>46</v>
      </c>
      <c r="C55" s="616" t="s">
        <v>85</v>
      </c>
      <c r="D55" s="616"/>
      <c r="E55" s="26">
        <v>19.02</v>
      </c>
      <c r="F55" s="209">
        <v>6971</v>
      </c>
      <c r="G55" s="200">
        <f t="shared" si="84"/>
        <v>132588.41999999998</v>
      </c>
      <c r="H55" s="21" t="s">
        <v>35</v>
      </c>
      <c r="I55" s="207">
        <v>15</v>
      </c>
      <c r="J55" s="23">
        <v>2400</v>
      </c>
      <c r="K55" s="9">
        <f t="shared" si="85"/>
        <v>160</v>
      </c>
      <c r="L55" s="207">
        <v>15</v>
      </c>
      <c r="M55" s="10">
        <f t="shared" ref="M55:M60" si="90">F55/V55*60</f>
        <v>2285.5737704918038</v>
      </c>
      <c r="N55" s="9">
        <f t="shared" si="86"/>
        <v>152.37158469945359</v>
      </c>
      <c r="O55" s="11">
        <f t="shared" si="87"/>
        <v>0</v>
      </c>
      <c r="P55" s="12">
        <f t="shared" si="88"/>
        <v>-7.6284153005464077</v>
      </c>
      <c r="Q55" s="205">
        <f t="shared" ref="Q55:Q61" si="91">N55/K55</f>
        <v>0.952322404371585</v>
      </c>
      <c r="R55" s="571"/>
      <c r="S55" s="24">
        <v>0.12986111111111112</v>
      </c>
      <c r="T55" s="24">
        <v>0.25694444444444442</v>
      </c>
      <c r="U55" s="200">
        <f>(S55-T54)*24*60</f>
        <v>28.000000000000021</v>
      </c>
      <c r="V55" s="208">
        <f t="shared" si="89"/>
        <v>182.99999999999994</v>
      </c>
      <c r="W55" s="13"/>
      <c r="X55" s="13"/>
      <c r="Y55" s="617"/>
      <c r="Z55" s="617"/>
      <c r="AA55" s="11">
        <f t="shared" si="2"/>
        <v>-114.42622950819623</v>
      </c>
      <c r="AB55" s="205">
        <f t="shared" ref="AB55:AB61" si="92">M55/J55</f>
        <v>0.95232240437158489</v>
      </c>
      <c r="AC55" s="571"/>
    </row>
    <row r="56" spans="1:29" ht="15.75" customHeight="1">
      <c r="A56" s="619" t="s">
        <v>899</v>
      </c>
      <c r="B56" s="209" t="s">
        <v>46</v>
      </c>
      <c r="C56" s="616" t="s">
        <v>86</v>
      </c>
      <c r="D56" s="616"/>
      <c r="E56" s="26">
        <v>24.25</v>
      </c>
      <c r="F56" s="209">
        <v>1842</v>
      </c>
      <c r="G56" s="200">
        <f t="shared" si="84"/>
        <v>44668.5</v>
      </c>
      <c r="H56" s="21" t="s">
        <v>35</v>
      </c>
      <c r="I56" s="207">
        <v>18</v>
      </c>
      <c r="J56" s="23">
        <v>2400</v>
      </c>
      <c r="K56" s="9">
        <f t="shared" si="85"/>
        <v>133.33333333333334</v>
      </c>
      <c r="L56" s="207">
        <v>18</v>
      </c>
      <c r="M56" s="10">
        <f t="shared" si="90"/>
        <v>2302.5000000000009</v>
      </c>
      <c r="N56" s="9">
        <f t="shared" si="86"/>
        <v>127.91666666666671</v>
      </c>
      <c r="O56" s="11">
        <f t="shared" si="87"/>
        <v>0</v>
      </c>
      <c r="P56" s="12">
        <f t="shared" si="88"/>
        <v>-5.4166666666666288</v>
      </c>
      <c r="Q56" s="205">
        <f t="shared" si="91"/>
        <v>0.95937500000000031</v>
      </c>
      <c r="R56" s="571"/>
      <c r="S56" s="24">
        <v>0.26111111111111107</v>
      </c>
      <c r="T56" s="24">
        <v>0.2944444444444444</v>
      </c>
      <c r="U56" s="200">
        <f t="shared" ref="U56:U60" si="93">(S56-T55)*24*60</f>
        <v>5.9999999999999787</v>
      </c>
      <c r="V56" s="208">
        <f t="shared" si="89"/>
        <v>47.999999999999986</v>
      </c>
      <c r="W56" s="13"/>
      <c r="X56" s="13"/>
      <c r="Y56" s="617"/>
      <c r="Z56" s="617"/>
      <c r="AA56" s="11">
        <f t="shared" si="2"/>
        <v>-97.499999999999091</v>
      </c>
      <c r="AB56" s="205">
        <f t="shared" si="92"/>
        <v>0.95937500000000042</v>
      </c>
      <c r="AC56" s="571"/>
    </row>
    <row r="57" spans="1:29" ht="15.75" customHeight="1">
      <c r="A57" s="619" t="s">
        <v>899</v>
      </c>
      <c r="B57" s="209" t="s">
        <v>46</v>
      </c>
      <c r="C57" s="616" t="s">
        <v>88</v>
      </c>
      <c r="D57" s="616"/>
      <c r="E57" s="26">
        <v>24.25</v>
      </c>
      <c r="F57" s="209">
        <v>2597</v>
      </c>
      <c r="G57" s="200">
        <f t="shared" si="84"/>
        <v>62977.25</v>
      </c>
      <c r="H57" s="21" t="s">
        <v>35</v>
      </c>
      <c r="I57" s="207">
        <v>17</v>
      </c>
      <c r="J57" s="23">
        <v>2400</v>
      </c>
      <c r="K57" s="9">
        <f t="shared" si="85"/>
        <v>141.1764705882353</v>
      </c>
      <c r="L57" s="207">
        <v>17</v>
      </c>
      <c r="M57" s="10">
        <f t="shared" si="90"/>
        <v>2291.4705882352937</v>
      </c>
      <c r="N57" s="9">
        <f t="shared" si="86"/>
        <v>134.79238754325257</v>
      </c>
      <c r="O57" s="11">
        <f t="shared" si="87"/>
        <v>0</v>
      </c>
      <c r="P57" s="12">
        <f t="shared" si="88"/>
        <v>-6.3840830449827308</v>
      </c>
      <c r="Q57" s="205">
        <f t="shared" si="91"/>
        <v>0.95477941176470571</v>
      </c>
      <c r="R57" s="571"/>
      <c r="S57" s="24">
        <v>0.29999999999999993</v>
      </c>
      <c r="T57" s="24">
        <v>0.34722222222222215</v>
      </c>
      <c r="U57" s="200">
        <f t="shared" si="93"/>
        <v>7.9999999999999716</v>
      </c>
      <c r="V57" s="208">
        <f t="shared" si="89"/>
        <v>68</v>
      </c>
      <c r="W57" s="13"/>
      <c r="X57" s="13"/>
      <c r="Y57" s="617"/>
      <c r="Z57" s="617"/>
      <c r="AA57" s="11">
        <f t="shared" si="2"/>
        <v>-108.52941176470631</v>
      </c>
      <c r="AB57" s="205">
        <f t="shared" si="92"/>
        <v>0.95477941176470571</v>
      </c>
      <c r="AC57" s="571"/>
    </row>
    <row r="58" spans="1:29" ht="15.75" customHeight="1">
      <c r="A58" s="619" t="s">
        <v>899</v>
      </c>
      <c r="B58" s="209" t="s">
        <v>46</v>
      </c>
      <c r="C58" s="616" t="s">
        <v>47</v>
      </c>
      <c r="D58" s="616"/>
      <c r="E58" s="26">
        <v>24.45</v>
      </c>
      <c r="F58" s="209">
        <v>1486</v>
      </c>
      <c r="G58" s="200">
        <f t="shared" si="84"/>
        <v>36332.699999999997</v>
      </c>
      <c r="H58" s="21" t="s">
        <v>35</v>
      </c>
      <c r="I58" s="207">
        <v>20</v>
      </c>
      <c r="J58" s="23">
        <v>2400</v>
      </c>
      <c r="K58" s="9">
        <f t="shared" si="85"/>
        <v>120</v>
      </c>
      <c r="L58" s="207">
        <v>20</v>
      </c>
      <c r="M58" s="10">
        <f t="shared" si="90"/>
        <v>2286.1538461538448</v>
      </c>
      <c r="N58" s="9">
        <f t="shared" si="86"/>
        <v>114.30769230769224</v>
      </c>
      <c r="O58" s="11">
        <f t="shared" si="87"/>
        <v>0</v>
      </c>
      <c r="P58" s="12">
        <f t="shared" si="88"/>
        <v>-5.6923076923077645</v>
      </c>
      <c r="Q58" s="205">
        <f t="shared" si="91"/>
        <v>0.95256410256410196</v>
      </c>
      <c r="R58" s="571"/>
      <c r="S58" s="24">
        <v>0.35208333333333325</v>
      </c>
      <c r="T58" s="24">
        <v>0.3791666666666666</v>
      </c>
      <c r="U58" s="200">
        <f t="shared" si="93"/>
        <v>6.9999999999999751</v>
      </c>
      <c r="V58" s="208">
        <f t="shared" si="89"/>
        <v>39.000000000000021</v>
      </c>
      <c r="W58" s="13"/>
      <c r="X58" s="13"/>
      <c r="Y58" s="617"/>
      <c r="Z58" s="617"/>
      <c r="AA58" s="11">
        <f t="shared" si="2"/>
        <v>-113.84615384615518</v>
      </c>
      <c r="AB58" s="205">
        <f t="shared" si="92"/>
        <v>0.95256410256410196</v>
      </c>
      <c r="AC58" s="571"/>
    </row>
    <row r="59" spans="1:29" ht="15.75" customHeight="1">
      <c r="A59" s="619" t="s">
        <v>899</v>
      </c>
      <c r="B59" s="209" t="s">
        <v>46</v>
      </c>
      <c r="C59" s="616" t="s">
        <v>66</v>
      </c>
      <c r="D59" s="616"/>
      <c r="E59" s="26">
        <v>24.25</v>
      </c>
      <c r="F59" s="209">
        <v>4209</v>
      </c>
      <c r="G59" s="200">
        <f t="shared" si="84"/>
        <v>102068.25</v>
      </c>
      <c r="H59" s="21" t="s">
        <v>35</v>
      </c>
      <c r="I59" s="207">
        <v>14</v>
      </c>
      <c r="J59" s="23">
        <v>2400</v>
      </c>
      <c r="K59" s="9">
        <f t="shared" si="85"/>
        <v>171.42857142857142</v>
      </c>
      <c r="L59" s="207">
        <v>14</v>
      </c>
      <c r="M59" s="10">
        <f t="shared" si="90"/>
        <v>2295.8181818181815</v>
      </c>
      <c r="N59" s="9">
        <f t="shared" si="86"/>
        <v>163.98701298701297</v>
      </c>
      <c r="O59" s="11">
        <f t="shared" si="87"/>
        <v>0</v>
      </c>
      <c r="P59" s="12">
        <f t="shared" si="88"/>
        <v>-7.4415584415584419</v>
      </c>
      <c r="Q59" s="205">
        <f t="shared" si="91"/>
        <v>0.95659090909090905</v>
      </c>
      <c r="R59" s="571"/>
      <c r="S59" s="24">
        <v>0.38263888888888881</v>
      </c>
      <c r="T59" s="24">
        <v>0.4590277777777777</v>
      </c>
      <c r="U59" s="200">
        <f t="shared" si="93"/>
        <v>4.9999999999999822</v>
      </c>
      <c r="V59" s="208">
        <f t="shared" si="89"/>
        <v>110.00000000000001</v>
      </c>
      <c r="W59" s="13"/>
      <c r="X59" s="13"/>
      <c r="Y59" s="617"/>
      <c r="Z59" s="617"/>
      <c r="AA59" s="11">
        <f t="shared" si="2"/>
        <v>-104.18181818181847</v>
      </c>
      <c r="AB59" s="205">
        <f t="shared" si="92"/>
        <v>0.95659090909090894</v>
      </c>
      <c r="AC59" s="571"/>
    </row>
    <row r="60" spans="1:29" ht="15.75" customHeight="1">
      <c r="A60" s="619" t="s">
        <v>899</v>
      </c>
      <c r="B60" s="209" t="s">
        <v>46</v>
      </c>
      <c r="C60" s="616" t="s">
        <v>58</v>
      </c>
      <c r="D60" s="616"/>
      <c r="E60" s="26">
        <v>25.98</v>
      </c>
      <c r="F60" s="209">
        <v>1045</v>
      </c>
      <c r="G60" s="200">
        <f t="shared" si="84"/>
        <v>27149.100000000002</v>
      </c>
      <c r="H60" s="21" t="s">
        <v>35</v>
      </c>
      <c r="I60" s="207">
        <v>17</v>
      </c>
      <c r="J60" s="23">
        <v>2400</v>
      </c>
      <c r="K60" s="9">
        <f t="shared" si="85"/>
        <v>141.1764705882353</v>
      </c>
      <c r="L60" s="207">
        <v>17</v>
      </c>
      <c r="M60" s="10">
        <f t="shared" si="90"/>
        <v>2322.2222222222235</v>
      </c>
      <c r="N60" s="9">
        <f t="shared" si="86"/>
        <v>136.60130718954255</v>
      </c>
      <c r="O60" s="11">
        <f t="shared" si="87"/>
        <v>0</v>
      </c>
      <c r="P60" s="12">
        <f t="shared" si="88"/>
        <v>-4.5751633986927516</v>
      </c>
      <c r="Q60" s="205">
        <f t="shared" si="91"/>
        <v>0.967592592592593</v>
      </c>
      <c r="R60" s="571"/>
      <c r="S60" s="24">
        <v>0.46319444444444435</v>
      </c>
      <c r="T60" s="24">
        <v>0.48194444444444434</v>
      </c>
      <c r="U60" s="200">
        <f t="shared" si="93"/>
        <v>5.9999999999999787</v>
      </c>
      <c r="V60" s="208">
        <f t="shared" si="89"/>
        <v>26.999999999999986</v>
      </c>
      <c r="W60" s="13"/>
      <c r="X60" s="13"/>
      <c r="Y60" s="621"/>
      <c r="Z60" s="622"/>
      <c r="AA60" s="11">
        <f t="shared" si="2"/>
        <v>-77.777777777776464</v>
      </c>
      <c r="AB60" s="205">
        <f t="shared" si="92"/>
        <v>0.96759259259259311</v>
      </c>
      <c r="AC60" s="571"/>
    </row>
    <row r="61" spans="1:29" ht="16.5" customHeight="1">
      <c r="A61" s="620" t="s">
        <v>899</v>
      </c>
      <c r="B61" s="26" t="s">
        <v>890</v>
      </c>
      <c r="C61" s="625"/>
      <c r="D61" s="626"/>
      <c r="E61" s="199"/>
      <c r="F61" s="27"/>
      <c r="G61" s="9"/>
      <c r="H61" s="209"/>
      <c r="I61" s="16">
        <v>17.142857142857142</v>
      </c>
      <c r="J61" s="23">
        <v>2400</v>
      </c>
      <c r="K61" s="9">
        <f t="shared" si="85"/>
        <v>140</v>
      </c>
      <c r="L61" s="16">
        <v>17.142857142857142</v>
      </c>
      <c r="M61" s="10">
        <f>AVERAGE(M54:M60)</f>
        <v>2302.2923287470062</v>
      </c>
      <c r="N61" s="9">
        <f>M61/L61</f>
        <v>134.30038584357536</v>
      </c>
      <c r="O61" s="11">
        <f>L61-I61</f>
        <v>0</v>
      </c>
      <c r="P61" s="12">
        <f>N61-K61</f>
        <v>-5.6996141564246443</v>
      </c>
      <c r="Q61" s="205">
        <f t="shared" si="91"/>
        <v>0.95928847031125253</v>
      </c>
      <c r="R61" s="571"/>
      <c r="S61" s="24"/>
      <c r="T61" s="24"/>
      <c r="U61" s="9"/>
      <c r="V61" s="208"/>
      <c r="W61" s="9"/>
      <c r="X61" s="9"/>
      <c r="Y61" s="617"/>
      <c r="Z61" s="617"/>
      <c r="AA61" s="11">
        <f t="shared" si="2"/>
        <v>-97.707671252993805</v>
      </c>
      <c r="AB61" s="205">
        <f t="shared" si="92"/>
        <v>0.95928847031125253</v>
      </c>
      <c r="AC61" s="571"/>
    </row>
    <row r="62" spans="1:29">
      <c r="D62" s="17"/>
      <c r="E62" s="17"/>
    </row>
  </sheetData>
  <mergeCells count="170">
    <mergeCell ref="AC54:AC61"/>
    <mergeCell ref="C55:D55"/>
    <mergeCell ref="Y55:Z55"/>
    <mergeCell ref="C56:D56"/>
    <mergeCell ref="Y56:Z56"/>
    <mergeCell ref="A50:A53"/>
    <mergeCell ref="C50:D50"/>
    <mergeCell ref="R50:R53"/>
    <mergeCell ref="Y50:Z50"/>
    <mergeCell ref="AC50:AC53"/>
    <mergeCell ref="C51:D51"/>
    <mergeCell ref="Y51:Z51"/>
    <mergeCell ref="C52:D52"/>
    <mergeCell ref="Y52:Z52"/>
    <mergeCell ref="C53:D53"/>
    <mergeCell ref="C60:D60"/>
    <mergeCell ref="Y60:Z60"/>
    <mergeCell ref="C61:D61"/>
    <mergeCell ref="Y61:Z61"/>
    <mergeCell ref="C57:D57"/>
    <mergeCell ref="Y57:Z57"/>
    <mergeCell ref="C58:D58"/>
    <mergeCell ref="Y58:Z58"/>
    <mergeCell ref="C59:D59"/>
    <mergeCell ref="A43:A49"/>
    <mergeCell ref="C43:D43"/>
    <mergeCell ref="R43:R49"/>
    <mergeCell ref="Y43:Z43"/>
    <mergeCell ref="Y59:Z59"/>
    <mergeCell ref="Y53:Z53"/>
    <mergeCell ref="A54:A61"/>
    <mergeCell ref="C54:D54"/>
    <mergeCell ref="R54:R61"/>
    <mergeCell ref="Y54:Z54"/>
    <mergeCell ref="AC43:AC49"/>
    <mergeCell ref="C44:D44"/>
    <mergeCell ref="Y44:Z44"/>
    <mergeCell ref="C45:D45"/>
    <mergeCell ref="C48:D48"/>
    <mergeCell ref="Y48:Z48"/>
    <mergeCell ref="C49:D49"/>
    <mergeCell ref="Y49:Z49"/>
    <mergeCell ref="C41:D41"/>
    <mergeCell ref="Y41:Z41"/>
    <mergeCell ref="AC35:AC42"/>
    <mergeCell ref="C36:D36"/>
    <mergeCell ref="Y36:Z36"/>
    <mergeCell ref="C37:D37"/>
    <mergeCell ref="Y37:Z37"/>
    <mergeCell ref="C38:D38"/>
    <mergeCell ref="Y38:Z38"/>
    <mergeCell ref="C39:D39"/>
    <mergeCell ref="Y39:Z39"/>
    <mergeCell ref="C40:D40"/>
    <mergeCell ref="A35:A42"/>
    <mergeCell ref="C35:D35"/>
    <mergeCell ref="R35:R42"/>
    <mergeCell ref="Y35:Z35"/>
    <mergeCell ref="Y40:Z40"/>
    <mergeCell ref="A29:A34"/>
    <mergeCell ref="C29:D29"/>
    <mergeCell ref="R29:R34"/>
    <mergeCell ref="Y29:Z29"/>
    <mergeCell ref="C42:D42"/>
    <mergeCell ref="Y42:Z42"/>
    <mergeCell ref="AC29:AC34"/>
    <mergeCell ref="C30:D30"/>
    <mergeCell ref="Y30:Z30"/>
    <mergeCell ref="C31:D31"/>
    <mergeCell ref="Y31:Z31"/>
    <mergeCell ref="C32:D32"/>
    <mergeCell ref="Y25:Z25"/>
    <mergeCell ref="C26:D26"/>
    <mergeCell ref="Y26:Z26"/>
    <mergeCell ref="C27:D27"/>
    <mergeCell ref="Y27:Z27"/>
    <mergeCell ref="C28:D28"/>
    <mergeCell ref="Y28:Z28"/>
    <mergeCell ref="Y32:Z32"/>
    <mergeCell ref="C33:D33"/>
    <mergeCell ref="Y33:Z33"/>
    <mergeCell ref="C34:D34"/>
    <mergeCell ref="Y34:Z34"/>
    <mergeCell ref="A22:A28"/>
    <mergeCell ref="C22:D22"/>
    <mergeCell ref="R22:R28"/>
    <mergeCell ref="Y22:Z22"/>
    <mergeCell ref="AC22:AC28"/>
    <mergeCell ref="C23:D23"/>
    <mergeCell ref="Y23:Z23"/>
    <mergeCell ref="C24:D24"/>
    <mergeCell ref="Y24:Z24"/>
    <mergeCell ref="C25:D25"/>
    <mergeCell ref="AC17:AC21"/>
    <mergeCell ref="C18:D18"/>
    <mergeCell ref="Y18:Z18"/>
    <mergeCell ref="C19:D19"/>
    <mergeCell ref="Y19:Z19"/>
    <mergeCell ref="C20:D20"/>
    <mergeCell ref="Y20:Z20"/>
    <mergeCell ref="C21:D21"/>
    <mergeCell ref="Y21:Z21"/>
    <mergeCell ref="A17:A21"/>
    <mergeCell ref="C17:D17"/>
    <mergeCell ref="R17:R21"/>
    <mergeCell ref="Y17:Z17"/>
    <mergeCell ref="C13:D13"/>
    <mergeCell ref="Y13:Z13"/>
    <mergeCell ref="C14:D14"/>
    <mergeCell ref="Y14:Z14"/>
    <mergeCell ref="C15:D15"/>
    <mergeCell ref="Y15:Z15"/>
    <mergeCell ref="AC9:AC11"/>
    <mergeCell ref="C10:D10"/>
    <mergeCell ref="Y10:Z10"/>
    <mergeCell ref="C11:D11"/>
    <mergeCell ref="Y11:Z11"/>
    <mergeCell ref="A12:A16"/>
    <mergeCell ref="C12:D12"/>
    <mergeCell ref="R12:R16"/>
    <mergeCell ref="Y12:Z12"/>
    <mergeCell ref="AC12:AC16"/>
    <mergeCell ref="C16:D16"/>
    <mergeCell ref="Y16:Z16"/>
    <mergeCell ref="C8:D8"/>
    <mergeCell ref="Y8:Z8"/>
    <mergeCell ref="A9:A11"/>
    <mergeCell ref="C9:D9"/>
    <mergeCell ref="R9:R11"/>
    <mergeCell ref="Y9:Z9"/>
    <mergeCell ref="AC3:AC4"/>
    <mergeCell ref="A5:A8"/>
    <mergeCell ref="C5:D5"/>
    <mergeCell ref="R5:R8"/>
    <mergeCell ref="Y5:Z5"/>
    <mergeCell ref="AC5:AC8"/>
    <mergeCell ref="C6:D6"/>
    <mergeCell ref="Y6:Z6"/>
    <mergeCell ref="C7:D7"/>
    <mergeCell ref="Y7:Z7"/>
    <mergeCell ref="U3:U4"/>
    <mergeCell ref="V3:V4"/>
    <mergeCell ref="W3:X3"/>
    <mergeCell ref="Y3:Z4"/>
    <mergeCell ref="AA3:AA4"/>
    <mergeCell ref="AB3:AB4"/>
    <mergeCell ref="N3:N4"/>
    <mergeCell ref="O3:O4"/>
    <mergeCell ref="S1:X2"/>
    <mergeCell ref="Y1:Z2"/>
    <mergeCell ref="AA1:AC2"/>
    <mergeCell ref="A3:A4"/>
    <mergeCell ref="B3:B4"/>
    <mergeCell ref="C3:D4"/>
    <mergeCell ref="E3:E4"/>
    <mergeCell ref="F3:F4"/>
    <mergeCell ref="G3:G4"/>
    <mergeCell ref="I1:K2"/>
    <mergeCell ref="L1:N2"/>
    <mergeCell ref="O1:R2"/>
    <mergeCell ref="P3:P4"/>
    <mergeCell ref="Q3:Q4"/>
    <mergeCell ref="R3:R4"/>
    <mergeCell ref="S3:T3"/>
    <mergeCell ref="H3:H4"/>
    <mergeCell ref="I3:I4"/>
    <mergeCell ref="J3:J4"/>
    <mergeCell ref="K3:K4"/>
    <mergeCell ref="L3:L4"/>
    <mergeCell ref="M3:M4"/>
  </mergeCells>
  <phoneticPr fontId="3" type="noConversion"/>
  <conditionalFormatting sqref="O53:O59 O61 O5:O9 O11:O13 O42:O50 O16:O40">
    <cfRule type="cellIs" dxfId="655" priority="42" operator="greaterThan">
      <formula>0</formula>
    </cfRule>
  </conditionalFormatting>
  <conditionalFormatting sqref="P5:P7 P54:P59 P22:P27 P50 P9 P11:P13 P17:P20 P43:P48 P29:P40 AA54:AA61 AA5:AA50">
    <cfRule type="cellIs" dxfId="654" priority="46" operator="lessThan">
      <formula>0</formula>
    </cfRule>
  </conditionalFormatting>
  <conditionalFormatting sqref="Q53:Q59 Q61 Q5:Q9 Q11:Q13 Q42:Q50 AB54:AB61 Q16:Q40 AB5:AB50">
    <cfRule type="cellIs" dxfId="653" priority="43" operator="greaterThan">
      <formula>1</formula>
    </cfRule>
    <cfRule type="cellIs" dxfId="652" priority="44" operator="lessThan">
      <formula>0.8</formula>
    </cfRule>
  </conditionalFormatting>
  <conditionalFormatting sqref="AC12:AC13 R12:R13 R53:R59 R61 AC5:AC9 R5:R9 AC42:AC50 R42:R50 AC16:AC40 R16:R40">
    <cfRule type="cellIs" dxfId="651" priority="48" operator="lessThan">
      <formula>0.8</formula>
    </cfRule>
  </conditionalFormatting>
  <conditionalFormatting sqref="AC35">
    <cfRule type="cellIs" dxfId="650" priority="50" operator="lessThan">
      <formula>0.8</formula>
    </cfRule>
  </conditionalFormatting>
  <conditionalFormatting sqref="AC17:AC20">
    <cfRule type="cellIs" dxfId="649" priority="47" operator="lessThan">
      <formula>0.8</formula>
    </cfRule>
  </conditionalFormatting>
  <conditionalFormatting sqref="AC22">
    <cfRule type="cellIs" dxfId="648" priority="49" operator="lessThan">
      <formula>0.8</formula>
    </cfRule>
  </conditionalFormatting>
  <conditionalFormatting sqref="AC29:AC33">
    <cfRule type="cellIs" dxfId="647" priority="45" operator="lessThan">
      <formula>0.8</formula>
    </cfRule>
  </conditionalFormatting>
  <conditionalFormatting sqref="AA53">
    <cfRule type="cellIs" dxfId="646" priority="41" operator="lessThan">
      <formula>0</formula>
    </cfRule>
  </conditionalFormatting>
  <conditionalFormatting sqref="AB53">
    <cfRule type="cellIs" dxfId="645" priority="39" operator="greaterThan">
      <formula>1</formula>
    </cfRule>
    <cfRule type="cellIs" dxfId="644" priority="40" operator="lessThan">
      <formula>0.8</formula>
    </cfRule>
  </conditionalFormatting>
  <conditionalFormatting sqref="O14:O15">
    <cfRule type="cellIs" dxfId="643" priority="34" operator="greaterThan">
      <formula>0</formula>
    </cfRule>
  </conditionalFormatting>
  <conditionalFormatting sqref="P14:P15">
    <cfRule type="cellIs" dxfId="642" priority="37" operator="lessThan">
      <formula>0</formula>
    </cfRule>
  </conditionalFormatting>
  <conditionalFormatting sqref="Q14:Q15">
    <cfRule type="cellIs" dxfId="641" priority="35" operator="greaterThan">
      <formula>1</formula>
    </cfRule>
    <cfRule type="cellIs" dxfId="640" priority="36" operator="lessThan">
      <formula>0.8</formula>
    </cfRule>
  </conditionalFormatting>
  <conditionalFormatting sqref="R14:R15 AC14:AC15">
    <cfRule type="cellIs" dxfId="639" priority="38" operator="lessThan">
      <formula>0.8</formula>
    </cfRule>
  </conditionalFormatting>
  <conditionalFormatting sqref="O10">
    <cfRule type="cellIs" dxfId="638" priority="30" operator="greaterThan">
      <formula>0</formula>
    </cfRule>
  </conditionalFormatting>
  <conditionalFormatting sqref="P10">
    <cfRule type="cellIs" dxfId="637" priority="33" operator="lessThan">
      <formula>0</formula>
    </cfRule>
  </conditionalFormatting>
  <conditionalFormatting sqref="Q10">
    <cfRule type="cellIs" dxfId="636" priority="31" operator="greaterThan">
      <formula>1</formula>
    </cfRule>
    <cfRule type="cellIs" dxfId="635" priority="32" operator="lessThan">
      <formula>0.8</formula>
    </cfRule>
  </conditionalFormatting>
  <conditionalFormatting sqref="O52">
    <cfRule type="cellIs" dxfId="634" priority="25" operator="greaterThan">
      <formula>0</formula>
    </cfRule>
  </conditionalFormatting>
  <conditionalFormatting sqref="P52 AA52">
    <cfRule type="cellIs" dxfId="633" priority="28" operator="lessThan">
      <formula>0</formula>
    </cfRule>
  </conditionalFormatting>
  <conditionalFormatting sqref="Q52 AB52">
    <cfRule type="cellIs" dxfId="632" priority="26" operator="greaterThan">
      <formula>1</formula>
    </cfRule>
    <cfRule type="cellIs" dxfId="631" priority="27" operator="lessThan">
      <formula>0.8</formula>
    </cfRule>
  </conditionalFormatting>
  <conditionalFormatting sqref="R52 AC52">
    <cfRule type="cellIs" dxfId="630" priority="29" operator="lessThan">
      <formula>0.8</formula>
    </cfRule>
  </conditionalFormatting>
  <conditionalFormatting sqref="O60">
    <cfRule type="cellIs" dxfId="629" priority="20" operator="greaterThan">
      <formula>0</formula>
    </cfRule>
  </conditionalFormatting>
  <conditionalFormatting sqref="P60">
    <cfRule type="cellIs" dxfId="628" priority="23" operator="lessThan">
      <formula>0</formula>
    </cfRule>
  </conditionalFormatting>
  <conditionalFormatting sqref="Q60">
    <cfRule type="cellIs" dxfId="627" priority="21" operator="greaterThan">
      <formula>1</formula>
    </cfRule>
    <cfRule type="cellIs" dxfId="626" priority="22" operator="lessThan">
      <formula>0.8</formula>
    </cfRule>
  </conditionalFormatting>
  <conditionalFormatting sqref="R60">
    <cfRule type="cellIs" dxfId="625" priority="24" operator="lessThan">
      <formula>0.8</formula>
    </cfRule>
  </conditionalFormatting>
  <conditionalFormatting sqref="O41">
    <cfRule type="cellIs" dxfId="624" priority="14" operator="greaterThan">
      <formula>0</formula>
    </cfRule>
  </conditionalFormatting>
  <conditionalFormatting sqref="P41">
    <cfRule type="cellIs" dxfId="623" priority="18" operator="lessThan">
      <formula>0</formula>
    </cfRule>
  </conditionalFormatting>
  <conditionalFormatting sqref="Q41">
    <cfRule type="cellIs" dxfId="622" priority="15" operator="greaterThan">
      <formula>1</formula>
    </cfRule>
    <cfRule type="cellIs" dxfId="621" priority="16" operator="lessThan">
      <formula>0.8</formula>
    </cfRule>
  </conditionalFormatting>
  <conditionalFormatting sqref="R41 AC41">
    <cfRule type="cellIs" dxfId="620" priority="19" operator="lessThan">
      <formula>0.8</formula>
    </cfRule>
  </conditionalFormatting>
  <conditionalFormatting sqref="AC41">
    <cfRule type="cellIs" dxfId="619" priority="17" operator="lessThan">
      <formula>0.8</formula>
    </cfRule>
  </conditionalFormatting>
  <conditionalFormatting sqref="O51">
    <cfRule type="cellIs" dxfId="618" priority="9" operator="greaterThan">
      <formula>0</formula>
    </cfRule>
  </conditionalFormatting>
  <conditionalFormatting sqref="P51 AA51">
    <cfRule type="cellIs" dxfId="617" priority="12" operator="lessThan">
      <formula>0</formula>
    </cfRule>
  </conditionalFormatting>
  <conditionalFormatting sqref="Q51 AB51">
    <cfRule type="cellIs" dxfId="616" priority="10" operator="greaterThan">
      <formula>1</formula>
    </cfRule>
    <cfRule type="cellIs" dxfId="615" priority="11" operator="lessThan">
      <formula>0.8</formula>
    </cfRule>
  </conditionalFormatting>
  <conditionalFormatting sqref="R51 AC51">
    <cfRule type="cellIs" dxfId="614" priority="13" operator="lessThan">
      <formula>0.8</formula>
    </cfRule>
  </conditionalFormatting>
  <conditionalFormatting sqref="P8">
    <cfRule type="cellIs" dxfId="613" priority="8" operator="lessThan">
      <formula>0</formula>
    </cfRule>
  </conditionalFormatting>
  <conditionalFormatting sqref="P16">
    <cfRule type="cellIs" dxfId="612" priority="7" operator="lessThan">
      <formula>0</formula>
    </cfRule>
  </conditionalFormatting>
  <conditionalFormatting sqref="P21">
    <cfRule type="cellIs" dxfId="611" priority="6" operator="lessThan">
      <formula>0</formula>
    </cfRule>
  </conditionalFormatting>
  <conditionalFormatting sqref="P28">
    <cfRule type="cellIs" dxfId="610" priority="5" operator="lessThan">
      <formula>0</formula>
    </cfRule>
  </conditionalFormatting>
  <conditionalFormatting sqref="P42">
    <cfRule type="cellIs" dxfId="609" priority="4" operator="lessThan">
      <formula>0</formula>
    </cfRule>
  </conditionalFormatting>
  <conditionalFormatting sqref="P49">
    <cfRule type="cellIs" dxfId="608" priority="3" operator="lessThan">
      <formula>0</formula>
    </cfRule>
  </conditionalFormatting>
  <conditionalFormatting sqref="P53">
    <cfRule type="cellIs" dxfId="607" priority="2" operator="lessThan">
      <formula>0</formula>
    </cfRule>
  </conditionalFormatting>
  <conditionalFormatting sqref="P61">
    <cfRule type="cellIs" dxfId="606" priority="1" operator="lessThan">
      <formula>0</formula>
    </cfRule>
  </conditionalFormatting>
  <dataValidations count="1">
    <dataValidation type="list" allowBlank="1" showInputMessage="1" showErrorMessage="1" sqref="Z8 Y5:Z7 Y53:Z61 Z10:Z50 Y8:Y52">
      <formula1>#REF!</formula1>
    </dataValidation>
  </dataValidations>
  <pageMargins left="0" right="0" top="0" bottom="0" header="0" footer="0"/>
  <pageSetup paperSize="9" scale="11" orientation="landscape" horizontalDpi="300" verticalDpi="300" r:id="rId1"/>
</worksheet>
</file>

<file path=xl/worksheets/sheet4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工作表37"/>
  <dimension ref="B1:Q28"/>
  <sheetViews>
    <sheetView zoomScale="85" zoomScaleNormal="85" workbookViewId="0">
      <selection activeCell="F13" sqref="F13"/>
    </sheetView>
  </sheetViews>
  <sheetFormatPr defaultColWidth="8.75" defaultRowHeight="15.75"/>
  <cols>
    <col min="1" max="1" width="8.75" style="30"/>
    <col min="2" max="2" width="17.875" style="30" customWidth="1"/>
    <col min="3" max="3" width="9.25" style="37" customWidth="1"/>
    <col min="4" max="13" width="12.625" style="30" customWidth="1"/>
    <col min="14" max="14" width="11" style="30" bestFit="1" customWidth="1"/>
    <col min="15" max="15" width="17.75" style="30" bestFit="1" customWidth="1"/>
    <col min="16" max="16" width="12.25" style="30" bestFit="1" customWidth="1"/>
    <col min="17" max="22" width="9.25" style="30" customWidth="1"/>
    <col min="23" max="23" width="10.75" style="30" customWidth="1"/>
    <col min="24" max="24" width="11" style="30" customWidth="1"/>
    <col min="25" max="16384" width="8.75" style="30"/>
  </cols>
  <sheetData>
    <row r="1" spans="2:17" ht="27.75" customHeight="1">
      <c r="B1" s="552" t="s">
        <v>750</v>
      </c>
      <c r="C1" s="552"/>
      <c r="D1" s="552"/>
      <c r="E1" s="552"/>
      <c r="F1" s="552"/>
      <c r="G1" s="552"/>
      <c r="H1" s="552"/>
      <c r="I1" s="552"/>
      <c r="J1" s="552"/>
      <c r="K1" s="29"/>
      <c r="L1" s="29"/>
      <c r="M1" s="29"/>
      <c r="N1" s="29"/>
      <c r="O1" s="29"/>
      <c r="P1" s="29"/>
    </row>
    <row r="2" spans="2:17" ht="27.75" customHeight="1">
      <c r="B2" s="553"/>
      <c r="C2" s="553"/>
      <c r="D2" s="553"/>
      <c r="E2" s="553"/>
      <c r="F2" s="553"/>
      <c r="G2" s="553"/>
      <c r="H2" s="553"/>
      <c r="I2" s="553"/>
      <c r="J2" s="553"/>
      <c r="K2" s="31"/>
      <c r="L2" s="31"/>
      <c r="M2" s="31"/>
      <c r="N2" s="29"/>
      <c r="O2" s="29"/>
      <c r="P2" s="29"/>
    </row>
    <row r="3" spans="2:17" ht="46.5" customHeight="1">
      <c r="B3" s="32" t="s">
        <v>751</v>
      </c>
      <c r="C3" s="554" t="str">
        <f>TEXT('1009 4度C'!A2,"yyyy.mm.ddaaaa")</f>
        <v>2025.10.09星期四</v>
      </c>
      <c r="D3" s="555"/>
      <c r="E3" s="32" t="s">
        <v>752</v>
      </c>
      <c r="F3" s="556">
        <f>'1009 4度C'!D1</f>
        <v>139920</v>
      </c>
      <c r="G3" s="557"/>
      <c r="H3" s="32" t="s">
        <v>753</v>
      </c>
      <c r="I3" s="558">
        <f>'1009 4度C'!F1</f>
        <v>4565439.7999999989</v>
      </c>
      <c r="J3" s="559"/>
      <c r="K3" s="33"/>
      <c r="L3" s="34"/>
      <c r="M3" s="35"/>
      <c r="N3" s="35"/>
    </row>
    <row r="4" spans="2:17" ht="28.5" customHeight="1">
      <c r="B4" s="560" t="s">
        <v>754</v>
      </c>
      <c r="C4" s="542" t="s">
        <v>755</v>
      </c>
      <c r="D4" s="543"/>
      <c r="E4" s="563" t="s">
        <v>756</v>
      </c>
      <c r="F4" s="564"/>
      <c r="G4" s="563" t="s">
        <v>757</v>
      </c>
      <c r="H4" s="564"/>
      <c r="I4" s="563" t="s">
        <v>758</v>
      </c>
      <c r="J4" s="564"/>
      <c r="L4" s="35"/>
      <c r="M4" s="35"/>
      <c r="N4" s="35"/>
    </row>
    <row r="5" spans="2:17" ht="28.5" customHeight="1">
      <c r="B5" s="561"/>
      <c r="C5" s="542" t="s">
        <v>759</v>
      </c>
      <c r="D5" s="543"/>
      <c r="E5" s="542" t="s">
        <v>760</v>
      </c>
      <c r="F5" s="543"/>
      <c r="G5" s="544" t="s">
        <v>761</v>
      </c>
      <c r="H5" s="545"/>
      <c r="I5" s="546" t="s">
        <v>762</v>
      </c>
      <c r="J5" s="547"/>
      <c r="K5" s="35"/>
      <c r="L5" s="35"/>
      <c r="M5" s="35"/>
      <c r="N5" s="35"/>
    </row>
    <row r="6" spans="2:17" ht="28.5" customHeight="1">
      <c r="B6" s="561"/>
      <c r="C6" s="542" t="s">
        <v>92</v>
      </c>
      <c r="D6" s="543"/>
      <c r="E6" s="548">
        <f>AVERAGE(D13:M13)</f>
        <v>151.98651551334783</v>
      </c>
      <c r="F6" s="549">
        <f>AVERAGE(D27:O27,D13:J13)</f>
        <v>158.31716852420411</v>
      </c>
      <c r="G6" s="550">
        <f>AVERAGE(D13:J13)</f>
        <v>158.31716852420411</v>
      </c>
      <c r="H6" s="551"/>
      <c r="I6" s="550">
        <f>AVERAGE(K13:M13)</f>
        <v>137.21499182134983</v>
      </c>
      <c r="J6" s="551"/>
      <c r="K6" s="35"/>
      <c r="L6" s="35"/>
      <c r="M6" s="35"/>
      <c r="N6" s="35"/>
    </row>
    <row r="7" spans="2:17" ht="28.5" customHeight="1">
      <c r="B7" s="561"/>
      <c r="C7" s="532" t="s">
        <v>93</v>
      </c>
      <c r="D7" s="533"/>
      <c r="E7" s="534">
        <f>AVERAGE(D14:M14)</f>
        <v>145.93013163545467</v>
      </c>
      <c r="F7" s="535">
        <f>AVERAGE(D28:O28,D14:J14)</f>
        <v>152.17375566287973</v>
      </c>
      <c r="G7" s="536">
        <f>AVERAGE(D14:J14)</f>
        <v>152.17375566287973</v>
      </c>
      <c r="H7" s="537"/>
      <c r="I7" s="536">
        <f>AVERAGE(K14:M14)</f>
        <v>131.36167557146288</v>
      </c>
      <c r="J7" s="537"/>
      <c r="K7" s="35"/>
      <c r="L7" s="35"/>
      <c r="M7" s="35"/>
      <c r="N7" s="35"/>
    </row>
    <row r="8" spans="2:17" ht="28.5" customHeight="1">
      <c r="B8" s="562"/>
      <c r="C8" s="532" t="s">
        <v>94</v>
      </c>
      <c r="D8" s="533"/>
      <c r="E8" s="538">
        <f>AVERAGE(D15:M15)</f>
        <v>0.95966821986584327</v>
      </c>
      <c r="F8" s="539">
        <f>AVERAGE(D15:J15,D29:O29)</f>
        <v>0.96067689345959584</v>
      </c>
      <c r="G8" s="540">
        <f>AVERAGE(D15:J15)</f>
        <v>0.96067689345959584</v>
      </c>
      <c r="H8" s="541"/>
      <c r="I8" s="540">
        <f>AVERAGE(K15:M15)</f>
        <v>0.95731464814708689</v>
      </c>
      <c r="J8" s="541"/>
      <c r="K8" s="36" t="s">
        <v>763</v>
      </c>
      <c r="L8" s="35"/>
      <c r="M8" s="35"/>
      <c r="N8" s="35"/>
    </row>
    <row r="9" spans="2:17" ht="28.5" customHeight="1" thickBot="1">
      <c r="H9" s="38"/>
      <c r="N9" s="35"/>
      <c r="O9" s="35"/>
      <c r="P9" s="35"/>
      <c r="Q9" s="35"/>
    </row>
    <row r="10" spans="2:17" ht="30" customHeight="1">
      <c r="B10" s="515" t="s">
        <v>764</v>
      </c>
      <c r="C10" s="516"/>
      <c r="D10" s="517" t="s">
        <v>765</v>
      </c>
      <c r="E10" s="518"/>
      <c r="F10" s="518"/>
      <c r="G10" s="518"/>
      <c r="H10" s="518"/>
      <c r="I10" s="518"/>
      <c r="J10" s="519"/>
      <c r="K10" s="520" t="s">
        <v>766</v>
      </c>
      <c r="L10" s="521"/>
      <c r="M10" s="522"/>
      <c r="P10" s="39"/>
      <c r="Q10" s="39"/>
    </row>
    <row r="11" spans="2:17" ht="17.25" customHeight="1">
      <c r="B11" s="523" t="s">
        <v>767</v>
      </c>
      <c r="C11" s="524"/>
      <c r="D11" s="40">
        <v>1</v>
      </c>
      <c r="E11" s="41">
        <v>2</v>
      </c>
      <c r="F11" s="41">
        <v>3</v>
      </c>
      <c r="G11" s="41">
        <v>4</v>
      </c>
      <c r="H11" s="41">
        <v>5</v>
      </c>
      <c r="I11" s="41">
        <v>6</v>
      </c>
      <c r="J11" s="42">
        <v>7</v>
      </c>
      <c r="K11" s="40">
        <v>1</v>
      </c>
      <c r="L11" s="41">
        <v>2</v>
      </c>
      <c r="M11" s="42">
        <v>3</v>
      </c>
      <c r="P11" s="39"/>
      <c r="Q11" s="39"/>
    </row>
    <row r="12" spans="2:17" ht="34.15" customHeight="1">
      <c r="B12" s="525"/>
      <c r="C12" s="526"/>
      <c r="D12" s="43" t="s">
        <v>96</v>
      </c>
      <c r="E12" s="44" t="s">
        <v>97</v>
      </c>
      <c r="F12" s="44" t="s">
        <v>98</v>
      </c>
      <c r="G12" s="44" t="s">
        <v>99</v>
      </c>
      <c r="H12" s="44" t="s">
        <v>100</v>
      </c>
      <c r="I12" s="44" t="s">
        <v>101</v>
      </c>
      <c r="J12" s="45" t="s">
        <v>102</v>
      </c>
      <c r="K12" s="43" t="s">
        <v>103</v>
      </c>
      <c r="L12" s="44" t="s">
        <v>104</v>
      </c>
      <c r="M12" s="45" t="s">
        <v>105</v>
      </c>
    </row>
    <row r="13" spans="2:17" ht="40.15" customHeight="1">
      <c r="B13" s="527" t="s">
        <v>768</v>
      </c>
      <c r="C13" s="46" t="s">
        <v>769</v>
      </c>
      <c r="D13" s="47">
        <f>SUMIFS('1009 4度C'!$K:$K,'1009 4度C'!$A:$A,"新豐6線",'1009 4度C'!$B:$B,"平均")</f>
        <v>125</v>
      </c>
      <c r="E13" s="48">
        <f>SUMIFS('1009 4度C'!$K:$K,'1009 4度C'!$A:$A,"新豐2線",'1009 4度C'!$B:$B,"平均")</f>
        <v>81.081081081081081</v>
      </c>
      <c r="F13" s="49">
        <f>SUMIFS('1009 4度C'!$K:$K,'1009 4度C'!$A:$A,"新豐5線",'1009 4度C'!$B:$B,"平均")</f>
        <v>92.10526315789474</v>
      </c>
      <c r="G13" s="49">
        <f>SUMIFS('1009 4度C'!$K:$K,'1009 4度C'!$A:$A,"新豐7線",'1009 4度C'!$B:$B,"平均")</f>
        <v>120.48192771084337</v>
      </c>
      <c r="H13" s="49">
        <f>SUMIFS('1009 4度C'!$K:$K,'1009 4度C'!$A:$A,"新豐3線",'1009 4度C'!$B:$B,"平均")</f>
        <v>304.3478260869565</v>
      </c>
      <c r="I13" s="49">
        <f>SUMIFS('1009 4度C'!$K:$K,'1009 4度C'!$A:$A,"新豐1線",'1009 4度C'!$B:$B,"平均")</f>
        <v>117.34693877551021</v>
      </c>
      <c r="J13" s="50">
        <f>SUMIFS('1009 4度C'!$K:$K,'1009 4度C'!$A:$A,"新豐10線",'1009 4度C'!$B:$B,"平均")</f>
        <v>267.85714285714283</v>
      </c>
      <c r="K13" s="51">
        <f>SUMIFS('1009 4度C'!$K:$K,'1009 4度C'!$A:$A,"新豐8線",'1009 4度C'!$B:$B,"平均")</f>
        <v>132.11009174311926</v>
      </c>
      <c r="L13" s="52">
        <f>SUMIFS('1009 4度C'!$K:$K,'1009 4度C'!$A:$A,"新豐9線",'1009 4度C'!$B:$B,"平均")</f>
        <v>139.53488372093022</v>
      </c>
      <c r="M13" s="50">
        <f>SUMIFS('1009 4度C'!$K:$K,'1009 4度C'!$A:$A,"新豐4線",'1009 4度C'!$B:$B,"平均")</f>
        <v>140</v>
      </c>
    </row>
    <row r="14" spans="2:17" ht="39.6" customHeight="1">
      <c r="B14" s="528"/>
      <c r="C14" s="53" t="s">
        <v>770</v>
      </c>
      <c r="D14" s="54">
        <f>SUMIFS('1009 4度C'!$N:$N,'1009 4度C'!$A:$A,"新豐6線",'1009 4度C'!$B:$B,"平均")</f>
        <v>120.88951432022101</v>
      </c>
      <c r="E14" s="55">
        <f>SUMIFS('1009 4度C'!$N:$N,'1009 4度C'!$A:$A,"新豐2線",'1009 4度C'!$B:$B,"平均")</f>
        <v>77.337047921585949</v>
      </c>
      <c r="F14" s="55">
        <f>SUMIFS('1009 4度C'!$N:$N,'1009 4度C'!$A:$A,"新豐5線",'1009 4度C'!$B:$B,"平均")</f>
        <v>88.040506181552118</v>
      </c>
      <c r="G14" s="55">
        <f>SUMIFS('1009 4度C'!$N:$N,'1009 4度C'!$A:$A,"新豐7線",'1009 4度C'!$B:$B,"平均")</f>
        <v>116.31195523116149</v>
      </c>
      <c r="H14" s="55">
        <f>SUMIFS('1009 4度C'!$N:$N,'1009 4度C'!$A:$A,"新豐3線",'1009 4度C'!$B:$B,"平均")</f>
        <v>291.48262031944256</v>
      </c>
      <c r="I14" s="55">
        <f>SUMIFS('1009 4度C'!$N:$N,'1009 4度C'!$A:$A,"新豐1線",'1009 4度C'!$B:$B,"平均")</f>
        <v>112.59871659035436</v>
      </c>
      <c r="J14" s="56">
        <f>SUMIFS('1009 4度C'!$N:$N,'1009 4度C'!$A:$A,"新豐10線",'1009 4度C'!$B:$B,"平均")</f>
        <v>258.55592907584065</v>
      </c>
      <c r="K14" s="57">
        <f>SUMIFS('1009 4度C'!$N:$N,'1009 4度C'!$A:$A,"新豐8線",'1009 4度C'!$B:$B,"平均")</f>
        <v>126.29200364647394</v>
      </c>
      <c r="L14" s="58">
        <f>SUMIFS('1009 4度C'!$N:$N,'1009 4度C'!$A:$A,"新豐9線",'1009 4度C'!$B:$B,"平均")</f>
        <v>133.40592021703506</v>
      </c>
      <c r="M14" s="56">
        <f>SUMIFS('1009 4度C'!$N:$N,'1009 4度C'!$A:$A,"新豐4線",'1009 4度C'!$B:$B,"平均")</f>
        <v>134.38710285087964</v>
      </c>
    </row>
    <row r="15" spans="2:17" ht="40.15" customHeight="1">
      <c r="B15" s="529"/>
      <c r="C15" s="59" t="s">
        <v>771</v>
      </c>
      <c r="D15" s="60">
        <f t="shared" ref="D15:M15" si="0">D14/D13</f>
        <v>0.96711611456176805</v>
      </c>
      <c r="E15" s="61">
        <f t="shared" si="0"/>
        <v>0.95382359103289338</v>
      </c>
      <c r="F15" s="61">
        <f t="shared" si="0"/>
        <v>0.95586835282828009</v>
      </c>
      <c r="G15" s="61">
        <f t="shared" si="0"/>
        <v>0.96538922841864039</v>
      </c>
      <c r="H15" s="61">
        <f t="shared" si="0"/>
        <v>0.95772860962102557</v>
      </c>
      <c r="I15" s="61">
        <f t="shared" si="0"/>
        <v>0.95953688920475877</v>
      </c>
      <c r="J15" s="62">
        <f t="shared" si="0"/>
        <v>0.96527546854980517</v>
      </c>
      <c r="K15" s="60">
        <f t="shared" si="0"/>
        <v>0.95596030537955978</v>
      </c>
      <c r="L15" s="61">
        <f t="shared" si="0"/>
        <v>0.95607576155541796</v>
      </c>
      <c r="M15" s="62">
        <f t="shared" si="0"/>
        <v>0.95990787750628315</v>
      </c>
    </row>
    <row r="16" spans="2:17" ht="17.25" customHeight="1">
      <c r="B16" s="530" t="s">
        <v>772</v>
      </c>
      <c r="C16" s="63" t="s">
        <v>773</v>
      </c>
      <c r="D16" s="64">
        <f>VLOOKUP("新豐6線",'1009 4度C'!$A:$T,19,0)</f>
        <v>0.70833333333333337</v>
      </c>
      <c r="E16" s="24">
        <f>VLOOKUP("新豐2線",'1009 4度C'!$A:$T,19,0)</f>
        <v>0.20833333333333334</v>
      </c>
      <c r="F16" s="24">
        <f>VLOOKUP("新豐5線",'1009 4度C'!$A:$T,19,0)</f>
        <v>0.20833333333333334</v>
      </c>
      <c r="G16" s="24">
        <f>VLOOKUP("新豐7線",'1009 4度C'!$A:$T,19,0)</f>
        <v>0.20833333333333334</v>
      </c>
      <c r="H16" s="24">
        <f>VLOOKUP("新豐3線",'1009 4度C'!$A:$T,19,0)</f>
        <v>8.3333333333333329E-2</v>
      </c>
      <c r="I16" s="24">
        <f>VLOOKUP("新豐1線",'1009 4度C'!$A:$T,19,0)</f>
        <v>0.29166666666666669</v>
      </c>
      <c r="J16" s="65">
        <f>VLOOKUP("新豐10線",'1009 4度C'!$A:$T,19,0)</f>
        <v>0.20833333333333334</v>
      </c>
      <c r="K16" s="66">
        <f>VLOOKUP("新豐8線",'1009 4度C'!$A:$T,19,0)</f>
        <v>8.3333333333333329E-2</v>
      </c>
      <c r="L16" s="67">
        <f>VLOOKUP("新豐9線",'1009 4度C'!$A:$T,19,0)</f>
        <v>8.3333333333333329E-2</v>
      </c>
      <c r="M16" s="68">
        <f>VLOOKUP("新豐4線",'1009 4度C'!$A:$T,19,0)</f>
        <v>8.3333333333333329E-2</v>
      </c>
    </row>
    <row r="17" spans="2:13" ht="17.25" customHeight="1">
      <c r="B17" s="531"/>
      <c r="C17" s="63" t="s">
        <v>774</v>
      </c>
      <c r="D17" s="66">
        <f>LOOKUP(2,1/(('1009 4度C'!$A:$A="新豐6線")*('1009 4度C'!$T:$T&lt;&gt;"")),'1009 4度C'!$T:$T)</f>
        <v>0.80069444444444438</v>
      </c>
      <c r="E17" s="24">
        <f>LOOKUP(2,1/(('1009 4度C'!$A:$A="新豐2線")*('1009 4度C'!$T:$T&lt;&gt;"")),'1009 4度C'!$T:$T)</f>
        <v>0.42638888888888887</v>
      </c>
      <c r="F17" s="24">
        <f>LOOKUP(2,1/(('1009 4度C'!$A:$A="新豐5線")*('1009 4度C'!$T:$T&lt;&gt;"")),'1009 4度C'!$T:$T)</f>
        <v>0.81666666666666676</v>
      </c>
      <c r="G17" s="24">
        <f>LOOKUP(2,1/(('1009 4度C'!$A:$A="新豐7線")*('1009 4度C'!$T:$T&lt;&gt;"")),'1009 4度C'!$T:$T)</f>
        <v>0.75208333333333333</v>
      </c>
      <c r="H17" s="24">
        <f>LOOKUP(2,1/(('1009 4度C'!$A:$A="新豐3線")*('1009 4度C'!$T:$T&lt;&gt;"")),'1009 4度C'!$T:$T)</f>
        <v>0.54027777777777763</v>
      </c>
      <c r="I17" s="24">
        <f>LOOKUP(2,1/(('1009 4度C'!$A:$A="新豐1線")*('1009 4度C'!$T:$T&lt;&gt;"")),'1009 4度C'!$T:$T)</f>
        <v>0.81388888888888888</v>
      </c>
      <c r="J17" s="65">
        <f>LOOKUP(2,1/(('1009 4度C'!$A:$A="新豐10線")*('1009 4度C'!$T:$T&lt;&gt;"")),'1009 4度C'!$T:$T)</f>
        <v>0.34583333333333327</v>
      </c>
      <c r="K17" s="64">
        <f>LOOKUP(2,1/(('1009 4度C'!$A:$A="新豐8線")*('1009 4度C'!$T:$T&lt;&gt;"")),'1009 4度C'!$T:$T)</f>
        <v>0.54166666666666652</v>
      </c>
      <c r="L17" s="24">
        <f>LOOKUP(2,1/(('1009 4度C'!$A:$A="新豐9線")*('1009 4度C'!$T:$T&lt;&gt;"")),'1009 4度C'!$T:$T)</f>
        <v>0.51180555555555551</v>
      </c>
      <c r="M17" s="65">
        <f>LOOKUP(2,1/(('1009 4度C'!$A:$A="新豐4線")*('1009 4度C'!$T:$T&lt;&gt;"")),'1009 4度C'!$T:$T)</f>
        <v>0.50624999999999987</v>
      </c>
    </row>
    <row r="18" spans="2:13" ht="17.25" customHeight="1">
      <c r="B18" s="509" t="s">
        <v>775</v>
      </c>
      <c r="C18" s="510"/>
      <c r="D18" s="69">
        <f>SUMIFS('1009 4度C'!$I:$I,'1009 4度C'!$A:$A,"新豐6線",'1009 4度C'!$B:$B,"平均")</f>
        <v>16</v>
      </c>
      <c r="E18" s="70">
        <f>SUMIFS('1009 4度C'!$I:$I,'1009 4度C'!$A:$A,"新豐2線",'1009 4度C'!$B:$B,"平均")</f>
        <v>18.5</v>
      </c>
      <c r="F18" s="70">
        <f>SUMIFS('1009 4度C'!$I:$I,'1009 4度C'!$A:$A,"新豐5線",'1009 4度C'!$B:$B,"平均")</f>
        <v>19</v>
      </c>
      <c r="G18" s="70">
        <f>SUMIFS('1009 4度C'!$I:$I,'1009 4度C'!$A:$A,"新豐7線",'1009 4度C'!$B:$B,"平均")</f>
        <v>16.600000000000001</v>
      </c>
      <c r="H18" s="70">
        <f>SUMIFS('1009 4度C'!$I:$I,'1009 4度C'!$A:$A,"新豐3線",'1009 4度C'!$B:$B,"平均")</f>
        <v>9.8571428571428577</v>
      </c>
      <c r="I18" s="70">
        <f>SUMIFS('1009 4度C'!$I:$I,'1009 4度C'!$A:$A,"新豐1線",'1009 4度C'!$B:$B,"平均")</f>
        <v>16.333333333333332</v>
      </c>
      <c r="J18" s="71">
        <f>SUMIFS('1009 4度C'!$I:$I,'1009 4度C'!$A:$A,"新豐10線",'1009 4度C'!$B:$B,"平均")</f>
        <v>9.3333333333333339</v>
      </c>
      <c r="K18" s="69">
        <f>SUMIFS('1009 4度C'!$I:$I,'1009 4度C'!$A:$A,"新豐8線",'1009 4度C'!$B:$B,"平均")</f>
        <v>18.166666666666668</v>
      </c>
      <c r="L18" s="70">
        <f>SUMIFS('1009 4度C'!$I:$I,'1009 4度C'!$A:$A,"新豐9線",'1009 4度C'!$B:$B,"平均")</f>
        <v>17.2</v>
      </c>
      <c r="M18" s="71">
        <f>SUMIFS('1009 4度C'!$I:$I,'1009 4度C'!$A:$A,"新豐4線",'1009 4度C'!$B:$B,"平均")</f>
        <v>17.142857142857142</v>
      </c>
    </row>
    <row r="19" spans="2:13" ht="17.25" customHeight="1">
      <c r="B19" s="509" t="s">
        <v>776</v>
      </c>
      <c r="C19" s="510"/>
      <c r="D19" s="72" t="s">
        <v>109</v>
      </c>
      <c r="E19" s="73" t="s">
        <v>110</v>
      </c>
      <c r="F19" s="73" t="s">
        <v>777</v>
      </c>
      <c r="G19" s="73" t="s">
        <v>225</v>
      </c>
      <c r="H19" s="73" t="s">
        <v>111</v>
      </c>
      <c r="I19" s="73" t="s">
        <v>109</v>
      </c>
      <c r="J19" s="74" t="s">
        <v>111</v>
      </c>
      <c r="K19" s="72" t="s">
        <v>778</v>
      </c>
      <c r="L19" s="73" t="s">
        <v>779</v>
      </c>
      <c r="M19" s="74" t="s">
        <v>779</v>
      </c>
    </row>
    <row r="20" spans="2:13" ht="17.25" customHeight="1">
      <c r="B20" s="509" t="s">
        <v>780</v>
      </c>
      <c r="C20" s="510"/>
      <c r="D20" s="72"/>
      <c r="E20" s="73"/>
      <c r="F20" s="73" t="s">
        <v>140</v>
      </c>
      <c r="G20" s="73" t="s">
        <v>109</v>
      </c>
      <c r="H20" s="73"/>
      <c r="I20" s="73"/>
      <c r="J20" s="74"/>
      <c r="K20" s="72"/>
      <c r="L20" s="73"/>
      <c r="M20" s="74"/>
    </row>
    <row r="21" spans="2:13" ht="17.25" customHeight="1" thickBot="1">
      <c r="B21" s="511" t="s">
        <v>781</v>
      </c>
      <c r="C21" s="512"/>
      <c r="D21" s="75"/>
      <c r="E21" s="76" t="s">
        <v>782</v>
      </c>
      <c r="F21" s="513" t="s">
        <v>783</v>
      </c>
      <c r="G21" s="514"/>
      <c r="H21" s="76" t="s">
        <v>784</v>
      </c>
      <c r="I21" s="76" t="s">
        <v>785</v>
      </c>
      <c r="J21" s="77" t="s">
        <v>786</v>
      </c>
      <c r="K21" s="78"/>
      <c r="L21" s="76"/>
      <c r="M21" s="77"/>
    </row>
    <row r="22" spans="2:13" ht="17.25" customHeight="1"/>
    <row r="23" spans="2:13" ht="17.25" customHeight="1"/>
    <row r="24" spans="2:13" ht="17.25" customHeight="1"/>
    <row r="25" spans="2:13" ht="37.5" customHeight="1"/>
    <row r="26" spans="2:13" ht="35.25" customHeight="1"/>
    <row r="27" spans="2:13" ht="35.25" customHeight="1"/>
    <row r="28" spans="2:13" ht="39.75" customHeight="1"/>
  </sheetData>
  <mergeCells count="36">
    <mergeCell ref="B1:J2"/>
    <mergeCell ref="C3:D3"/>
    <mergeCell ref="F3:G3"/>
    <mergeCell ref="I3:J3"/>
    <mergeCell ref="B4:B8"/>
    <mergeCell ref="C4:D4"/>
    <mergeCell ref="E4:F4"/>
    <mergeCell ref="G4:H4"/>
    <mergeCell ref="I4:J4"/>
    <mergeCell ref="C5:D5"/>
    <mergeCell ref="E5:F5"/>
    <mergeCell ref="G5:H5"/>
    <mergeCell ref="I5:J5"/>
    <mergeCell ref="C6:D6"/>
    <mergeCell ref="E6:F6"/>
    <mergeCell ref="G6:H6"/>
    <mergeCell ref="I6:J6"/>
    <mergeCell ref="B16:B17"/>
    <mergeCell ref="C7:D7"/>
    <mergeCell ref="E7:F7"/>
    <mergeCell ref="G7:H7"/>
    <mergeCell ref="I7:J7"/>
    <mergeCell ref="C8:D8"/>
    <mergeCell ref="E8:F8"/>
    <mergeCell ref="G8:H8"/>
    <mergeCell ref="I8:J8"/>
    <mergeCell ref="B10:C10"/>
    <mergeCell ref="D10:J10"/>
    <mergeCell ref="B20:C20"/>
    <mergeCell ref="B21:C21"/>
    <mergeCell ref="F21:G21"/>
    <mergeCell ref="K10:M10"/>
    <mergeCell ref="B11:C12"/>
    <mergeCell ref="B13:B15"/>
    <mergeCell ref="B18:C18"/>
    <mergeCell ref="B19:C19"/>
  </mergeCells>
  <phoneticPr fontId="3" type="noConversion"/>
  <conditionalFormatting sqref="D15:M15">
    <cfRule type="cellIs" dxfId="605" priority="1" operator="lessThan">
      <formula>0.8</formula>
    </cfRule>
  </conditionalFormatting>
  <pageMargins left="0.7" right="0.7" top="0.75" bottom="0.75" header="0.3" footer="0.3"/>
  <pageSetup paperSize="9" orientation="portrait" horizontalDpi="300" verticalDpi="300" r:id="rId1"/>
</worksheet>
</file>

<file path=xl/worksheets/sheet4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工作表139">
    <pageSetUpPr fitToPage="1"/>
  </sheetPr>
  <dimension ref="A1:AC63"/>
  <sheetViews>
    <sheetView zoomScale="80" zoomScaleNormal="80" workbookViewId="0">
      <pane ySplit="4" topLeftCell="A29" activePane="bottomLeft" state="frozen"/>
      <selection activeCell="F13" sqref="F13"/>
      <selection pane="bottomLeft" activeCell="U28" sqref="U28"/>
    </sheetView>
  </sheetViews>
  <sheetFormatPr defaultColWidth="8" defaultRowHeight="15.75"/>
  <cols>
    <col min="1" max="1" width="15.125" style="5" customWidth="1"/>
    <col min="2" max="2" width="19.375" style="5" customWidth="1"/>
    <col min="3" max="3" width="15.25" style="5" customWidth="1"/>
    <col min="4" max="4" width="17.5" style="5" customWidth="1"/>
    <col min="5" max="5" width="7.5" style="5" bestFit="1" customWidth="1"/>
    <col min="6" max="6" width="14.375" style="5" bestFit="1" customWidth="1"/>
    <col min="7" max="7" width="14.375" style="5" customWidth="1"/>
    <col min="8" max="8" width="8" style="5" customWidth="1"/>
    <col min="9" max="9" width="5.875" style="5" customWidth="1"/>
    <col min="10" max="10" width="10.625" style="5" customWidth="1"/>
    <col min="11" max="11" width="14.625" style="5" customWidth="1"/>
    <col min="12" max="12" width="7.25" style="5" bestFit="1" customWidth="1"/>
    <col min="13" max="13" width="8" style="5" customWidth="1"/>
    <col min="14" max="14" width="12" style="5" customWidth="1"/>
    <col min="15" max="15" width="6" style="5" customWidth="1"/>
    <col min="16" max="16" width="9.25" style="5" customWidth="1"/>
    <col min="17" max="17" width="11.5" style="5" customWidth="1"/>
    <col min="18" max="18" width="8.5" style="5" customWidth="1"/>
    <col min="19" max="19" width="10.125" style="22" bestFit="1" customWidth="1"/>
    <col min="20" max="20" width="7.625" style="22" bestFit="1" customWidth="1"/>
    <col min="21" max="21" width="10.25" style="5" bestFit="1" customWidth="1"/>
    <col min="22" max="22" width="8.75" style="18" customWidth="1"/>
    <col min="23" max="23" width="7.375" style="5" customWidth="1"/>
    <col min="24" max="24" width="6.875" style="5" bestFit="1" customWidth="1"/>
    <col min="25" max="25" width="12.75" style="5" customWidth="1"/>
    <col min="26" max="26" width="18.875" style="5" customWidth="1"/>
    <col min="27" max="27" width="13.125" style="5" bestFit="1" customWidth="1"/>
    <col min="28" max="28" width="10.375" style="5" customWidth="1"/>
    <col min="29" max="29" width="9.375" style="5" customWidth="1"/>
    <col min="30" max="30" width="8" style="5"/>
    <col min="31" max="31" width="24.625" style="5" bestFit="1" customWidth="1"/>
    <col min="32" max="16384" width="8" style="5"/>
  </cols>
  <sheetData>
    <row r="1" spans="1:29" ht="26.25" customHeight="1">
      <c r="A1" s="1" t="s">
        <v>787</v>
      </c>
      <c r="B1" s="1"/>
      <c r="C1" s="2" t="s">
        <v>788</v>
      </c>
      <c r="D1" s="3">
        <f>SUM(F5:F62)</f>
        <v>139920</v>
      </c>
      <c r="E1" s="192" t="s">
        <v>789</v>
      </c>
      <c r="F1" s="1">
        <f>SUM(G5:G62)</f>
        <v>4565439.7999999989</v>
      </c>
      <c r="G1" s="1" t="s">
        <v>790</v>
      </c>
      <c r="H1" s="4">
        <f>L8+L11+L43+L50+L16+L54+L29+L35+L22+L62</f>
        <v>158.13333333333333</v>
      </c>
      <c r="I1" s="652" t="s">
        <v>791</v>
      </c>
      <c r="J1" s="652"/>
      <c r="K1" s="652"/>
      <c r="L1" s="652" t="s">
        <v>792</v>
      </c>
      <c r="M1" s="652"/>
      <c r="N1" s="652"/>
      <c r="O1" s="652" t="s">
        <v>793</v>
      </c>
      <c r="P1" s="652"/>
      <c r="Q1" s="652"/>
      <c r="R1" s="652"/>
      <c r="S1" s="652" t="s">
        <v>794</v>
      </c>
      <c r="T1" s="652"/>
      <c r="U1" s="652"/>
      <c r="V1" s="652"/>
      <c r="W1" s="652"/>
      <c r="X1" s="652"/>
      <c r="Y1" s="652" t="s">
        <v>795</v>
      </c>
      <c r="Z1" s="652"/>
      <c r="AA1" s="652" t="s">
        <v>796</v>
      </c>
      <c r="AB1" s="653"/>
      <c r="AC1" s="653"/>
    </row>
    <row r="2" spans="1:29" ht="26.25" customHeight="1">
      <c r="A2" s="19">
        <v>45939</v>
      </c>
      <c r="B2" s="20" t="s">
        <v>155</v>
      </c>
      <c r="C2" s="2" t="s">
        <v>768</v>
      </c>
      <c r="D2" s="6">
        <f>AVERAGE(N8,N11,N43,N50,N16,N54,N22,N29,N35,N62)</f>
        <v>145.93013163545467</v>
      </c>
      <c r="E2" s="7" t="s">
        <v>2</v>
      </c>
      <c r="F2" s="8">
        <f>F1/D1</f>
        <v>32.628929388221835</v>
      </c>
      <c r="G2" s="1" t="s">
        <v>797</v>
      </c>
      <c r="H2" s="198">
        <f>COUNT(H5:H62)</f>
        <v>0</v>
      </c>
      <c r="I2" s="652"/>
      <c r="J2" s="652"/>
      <c r="K2" s="652"/>
      <c r="L2" s="652"/>
      <c r="M2" s="652"/>
      <c r="N2" s="652"/>
      <c r="O2" s="652"/>
      <c r="P2" s="652"/>
      <c r="Q2" s="652"/>
      <c r="R2" s="652"/>
      <c r="S2" s="652"/>
      <c r="T2" s="652"/>
      <c r="U2" s="652"/>
      <c r="V2" s="652"/>
      <c r="W2" s="652"/>
      <c r="X2" s="652"/>
      <c r="Y2" s="652"/>
      <c r="Z2" s="652"/>
      <c r="AA2" s="653"/>
      <c r="AB2" s="653"/>
      <c r="AC2" s="653"/>
    </row>
    <row r="3" spans="1:29" ht="23.25" customHeight="1">
      <c r="A3" s="617" t="s">
        <v>798</v>
      </c>
      <c r="B3" s="617" t="s">
        <v>799</v>
      </c>
      <c r="C3" s="617" t="s">
        <v>800</v>
      </c>
      <c r="D3" s="617"/>
      <c r="E3" s="654" t="s">
        <v>801</v>
      </c>
      <c r="F3" s="617" t="s">
        <v>802</v>
      </c>
      <c r="G3" s="654" t="s">
        <v>803</v>
      </c>
      <c r="H3" s="646" t="s">
        <v>804</v>
      </c>
      <c r="I3" s="645" t="s">
        <v>805</v>
      </c>
      <c r="J3" s="649" t="s">
        <v>806</v>
      </c>
      <c r="K3" s="651" t="s">
        <v>768</v>
      </c>
      <c r="L3" s="645" t="s">
        <v>805</v>
      </c>
      <c r="M3" s="649" t="s">
        <v>806</v>
      </c>
      <c r="N3" s="651" t="s">
        <v>768</v>
      </c>
      <c r="O3" s="645" t="s">
        <v>805</v>
      </c>
      <c r="P3" s="651" t="s">
        <v>768</v>
      </c>
      <c r="Q3" s="650" t="s">
        <v>807</v>
      </c>
      <c r="R3" s="633" t="s">
        <v>808</v>
      </c>
      <c r="S3" s="656" t="s">
        <v>14</v>
      </c>
      <c r="T3" s="656"/>
      <c r="U3" s="646" t="s">
        <v>15</v>
      </c>
      <c r="V3" s="646" t="s">
        <v>809</v>
      </c>
      <c r="W3" s="617" t="s">
        <v>810</v>
      </c>
      <c r="X3" s="617"/>
      <c r="Y3" s="647" t="s">
        <v>811</v>
      </c>
      <c r="Z3" s="648"/>
      <c r="AA3" s="649" t="s">
        <v>812</v>
      </c>
      <c r="AB3" s="650" t="s">
        <v>807</v>
      </c>
      <c r="AC3" s="633" t="s">
        <v>808</v>
      </c>
    </row>
    <row r="4" spans="1:29">
      <c r="A4" s="617"/>
      <c r="B4" s="617"/>
      <c r="C4" s="617"/>
      <c r="D4" s="617"/>
      <c r="E4" s="655"/>
      <c r="F4" s="617"/>
      <c r="G4" s="655"/>
      <c r="H4" s="646"/>
      <c r="I4" s="645"/>
      <c r="J4" s="649"/>
      <c r="K4" s="651"/>
      <c r="L4" s="645"/>
      <c r="M4" s="649"/>
      <c r="N4" s="651"/>
      <c r="O4" s="645"/>
      <c r="P4" s="651"/>
      <c r="Q4" s="650"/>
      <c r="R4" s="633"/>
      <c r="S4" s="197" t="s">
        <v>18</v>
      </c>
      <c r="T4" s="197" t="s">
        <v>19</v>
      </c>
      <c r="U4" s="646"/>
      <c r="V4" s="646"/>
      <c r="W4" s="192" t="s">
        <v>813</v>
      </c>
      <c r="X4" s="192" t="s">
        <v>814</v>
      </c>
      <c r="Y4" s="648"/>
      <c r="Z4" s="648"/>
      <c r="AA4" s="649"/>
      <c r="AB4" s="650"/>
      <c r="AC4" s="633"/>
    </row>
    <row r="5" spans="1:29">
      <c r="A5" s="644" t="s">
        <v>815</v>
      </c>
      <c r="B5" s="26" t="s">
        <v>36</v>
      </c>
      <c r="C5" s="601" t="s">
        <v>37</v>
      </c>
      <c r="D5" s="601"/>
      <c r="E5" s="26">
        <v>46.93</v>
      </c>
      <c r="F5" s="197">
        <v>586</v>
      </c>
      <c r="G5" s="192">
        <f>E5*F5</f>
        <v>27500.98</v>
      </c>
      <c r="H5" s="21" t="s">
        <v>35</v>
      </c>
      <c r="I5" s="195">
        <v>16</v>
      </c>
      <c r="J5" s="23">
        <v>2000</v>
      </c>
      <c r="K5" s="9">
        <f>J5/I5</f>
        <v>125</v>
      </c>
      <c r="L5" s="195">
        <v>16</v>
      </c>
      <c r="M5" s="10">
        <f>F5/V5*60</f>
        <v>1953.3333333333403</v>
      </c>
      <c r="N5" s="9">
        <f>M5/L5</f>
        <v>122.08333333333377</v>
      </c>
      <c r="O5" s="11">
        <f t="shared" ref="O5:O7" si="0">L5-I5</f>
        <v>0</v>
      </c>
      <c r="P5" s="12">
        <f t="shared" ref="P5:P7" si="1">N5-K5</f>
        <v>-2.9166666666662309</v>
      </c>
      <c r="Q5" s="193">
        <f>N5/K5</f>
        <v>0.97666666666667012</v>
      </c>
      <c r="R5" s="571">
        <f>Q8</f>
        <v>0.96711611456176805</v>
      </c>
      <c r="S5" s="24">
        <v>0.70833333333333337</v>
      </c>
      <c r="T5" s="24">
        <v>0.72083333333333333</v>
      </c>
      <c r="U5" s="192"/>
      <c r="V5" s="196">
        <f>(T5-S5)*24*60</f>
        <v>17.999999999999936</v>
      </c>
      <c r="W5" s="13"/>
      <c r="X5" s="14"/>
      <c r="Y5" s="617"/>
      <c r="Z5" s="617"/>
      <c r="AA5" s="11">
        <f t="shared" ref="AA5:AA62" si="2">M5-J5</f>
        <v>-46.666666666659694</v>
      </c>
      <c r="AB5" s="193">
        <f t="shared" ref="AB5:AB7" si="3">M5/J5</f>
        <v>0.97666666666667012</v>
      </c>
      <c r="AC5" s="571">
        <f>AB8</f>
        <v>0.96711611456176805</v>
      </c>
    </row>
    <row r="6" spans="1:29">
      <c r="A6" s="645" t="s">
        <v>816</v>
      </c>
      <c r="B6" s="26" t="s">
        <v>36</v>
      </c>
      <c r="C6" s="601" t="s">
        <v>38</v>
      </c>
      <c r="D6" s="601"/>
      <c r="E6" s="26">
        <v>50.49</v>
      </c>
      <c r="F6" s="197">
        <v>1791</v>
      </c>
      <c r="G6" s="192">
        <f t="shared" ref="G6:G7" si="4">E6*F6</f>
        <v>90427.59</v>
      </c>
      <c r="H6" s="21" t="s">
        <v>35</v>
      </c>
      <c r="I6" s="195">
        <v>15</v>
      </c>
      <c r="J6" s="23">
        <v>2000</v>
      </c>
      <c r="K6" s="9">
        <f t="shared" ref="K6:K7" si="5">J6/I6</f>
        <v>133.33333333333334</v>
      </c>
      <c r="L6" s="195">
        <v>15</v>
      </c>
      <c r="M6" s="10">
        <f>F6/V6*60</f>
        <v>1918.9285714285729</v>
      </c>
      <c r="N6" s="9">
        <f t="shared" ref="N6:N7" si="6">M6/L6</f>
        <v>127.92857142857153</v>
      </c>
      <c r="O6" s="11">
        <f t="shared" si="0"/>
        <v>0</v>
      </c>
      <c r="P6" s="12">
        <f t="shared" si="1"/>
        <v>-5.4047619047618127</v>
      </c>
      <c r="Q6" s="193">
        <f t="shared" ref="Q6:Q7" si="7">N6/K6</f>
        <v>0.95946428571428644</v>
      </c>
      <c r="R6" s="571"/>
      <c r="S6" s="24">
        <v>0.72430555555555554</v>
      </c>
      <c r="T6" s="24">
        <v>0.7631944444444444</v>
      </c>
      <c r="U6" s="192">
        <f>IF(S6=TIME(17,0,0),"",(S6-T5)*24*60)</f>
        <v>4.9999999999999822</v>
      </c>
      <c r="V6" s="196">
        <f>(T6-S6)*24*60</f>
        <v>55.999999999999957</v>
      </c>
      <c r="W6" s="13"/>
      <c r="X6" s="13"/>
      <c r="Y6" s="617"/>
      <c r="Z6" s="617"/>
      <c r="AA6" s="11">
        <f t="shared" si="2"/>
        <v>-81.071428571427077</v>
      </c>
      <c r="AB6" s="193">
        <f t="shared" si="3"/>
        <v>0.95946428571428644</v>
      </c>
      <c r="AC6" s="571"/>
    </row>
    <row r="7" spans="1:29">
      <c r="A7" s="645" t="s">
        <v>816</v>
      </c>
      <c r="B7" s="26" t="s">
        <v>36</v>
      </c>
      <c r="C7" s="594" t="s">
        <v>39</v>
      </c>
      <c r="D7" s="595"/>
      <c r="E7" s="26">
        <v>50.67</v>
      </c>
      <c r="F7" s="197">
        <v>1480</v>
      </c>
      <c r="G7" s="192">
        <f t="shared" si="4"/>
        <v>74991.600000000006</v>
      </c>
      <c r="H7" s="21" t="s">
        <v>35</v>
      </c>
      <c r="I7" s="195">
        <v>17</v>
      </c>
      <c r="J7" s="23">
        <v>2000</v>
      </c>
      <c r="K7" s="9">
        <f t="shared" si="5"/>
        <v>117.64705882352941</v>
      </c>
      <c r="L7" s="195">
        <v>17</v>
      </c>
      <c r="M7" s="10">
        <f t="shared" ref="M7" si="8">F7/V7*60</f>
        <v>1930.4347826086955</v>
      </c>
      <c r="N7" s="9">
        <f t="shared" si="6"/>
        <v>113.5549872122762</v>
      </c>
      <c r="O7" s="11">
        <f t="shared" si="0"/>
        <v>0</v>
      </c>
      <c r="P7" s="12">
        <f t="shared" si="1"/>
        <v>-4.0920716112532034</v>
      </c>
      <c r="Q7" s="193">
        <f t="shared" si="7"/>
        <v>0.9652173913043478</v>
      </c>
      <c r="R7" s="571"/>
      <c r="S7" s="24">
        <v>0.76874999999999993</v>
      </c>
      <c r="T7" s="24">
        <v>0.80069444444444438</v>
      </c>
      <c r="U7" s="192">
        <f t="shared" ref="U7" si="9">IF(S7=TIME(17,0,0),"",(S7-T6)*24*60)</f>
        <v>7.9999999999999716</v>
      </c>
      <c r="V7" s="196">
        <f t="shared" ref="V7" si="10">(T7-S7)*24*60</f>
        <v>46</v>
      </c>
      <c r="W7" s="13"/>
      <c r="X7" s="13"/>
      <c r="Y7" s="621"/>
      <c r="Z7" s="622"/>
      <c r="AA7" s="11">
        <f t="shared" si="2"/>
        <v>-69.565217391304486</v>
      </c>
      <c r="AB7" s="193">
        <f t="shared" si="3"/>
        <v>0.9652173913043478</v>
      </c>
      <c r="AC7" s="571"/>
    </row>
    <row r="8" spans="1:29">
      <c r="A8" s="645" t="s">
        <v>816</v>
      </c>
      <c r="B8" s="26" t="s">
        <v>817</v>
      </c>
      <c r="C8" s="629"/>
      <c r="D8" s="629"/>
      <c r="E8" s="191"/>
      <c r="F8" s="27"/>
      <c r="G8" s="9"/>
      <c r="H8" s="197"/>
      <c r="I8" s="16">
        <v>16</v>
      </c>
      <c r="J8" s="23">
        <v>2000</v>
      </c>
      <c r="K8" s="9">
        <f>J8/I8</f>
        <v>125</v>
      </c>
      <c r="L8" s="16">
        <v>16</v>
      </c>
      <c r="M8" s="10">
        <f>AVERAGE(M5:M7)</f>
        <v>1934.2322291235362</v>
      </c>
      <c r="N8" s="9">
        <f>M8/L8</f>
        <v>120.88951432022101</v>
      </c>
      <c r="O8" s="11">
        <f>L8-I8</f>
        <v>0</v>
      </c>
      <c r="P8" s="12">
        <f>N8-K8</f>
        <v>-4.1104856797789893</v>
      </c>
      <c r="Q8" s="193">
        <f>N8/K8</f>
        <v>0.96711611456176805</v>
      </c>
      <c r="R8" s="571"/>
      <c r="S8" s="24"/>
      <c r="T8" s="24"/>
      <c r="U8" s="192"/>
      <c r="V8" s="196"/>
      <c r="W8" s="9"/>
      <c r="X8" s="9"/>
      <c r="Y8" s="617"/>
      <c r="Z8" s="617"/>
      <c r="AA8" s="11">
        <f t="shared" si="2"/>
        <v>-65.767770876463828</v>
      </c>
      <c r="AB8" s="193">
        <f>M8/J8</f>
        <v>0.96711611456176805</v>
      </c>
      <c r="AC8" s="571"/>
    </row>
    <row r="9" spans="1:29" ht="15.75" customHeight="1">
      <c r="A9" s="643" t="s">
        <v>818</v>
      </c>
      <c r="B9" s="26" t="s">
        <v>40</v>
      </c>
      <c r="C9" s="594" t="s">
        <v>42</v>
      </c>
      <c r="D9" s="595"/>
      <c r="E9" s="26">
        <v>39.36</v>
      </c>
      <c r="F9" s="197">
        <v>2051</v>
      </c>
      <c r="G9" s="192">
        <f t="shared" ref="G9:G10" si="11">E9*F9</f>
        <v>80727.360000000001</v>
      </c>
      <c r="H9" s="21" t="s">
        <v>35</v>
      </c>
      <c r="I9" s="195">
        <v>20</v>
      </c>
      <c r="J9" s="23">
        <v>1500</v>
      </c>
      <c r="K9" s="9">
        <f t="shared" ref="K9:K10" si="12">J9/I9</f>
        <v>75</v>
      </c>
      <c r="L9" s="195">
        <v>20</v>
      </c>
      <c r="M9" s="10">
        <f t="shared" ref="M9:M10" si="13">F9/V9*60</f>
        <v>1430.93023255814</v>
      </c>
      <c r="N9" s="9">
        <f t="shared" ref="N9:N10" si="14">M9/L9</f>
        <v>71.546511627906995</v>
      </c>
      <c r="O9" s="11">
        <f t="shared" ref="O9:O10" si="15">L9-I9</f>
        <v>0</v>
      </c>
      <c r="P9" s="12">
        <f>N9-K9</f>
        <v>-3.4534883720930054</v>
      </c>
      <c r="Q9" s="193">
        <f>N9/K9</f>
        <v>0.95395348837209326</v>
      </c>
      <c r="R9" s="571">
        <f>Q11</f>
        <v>0.95382359103289338</v>
      </c>
      <c r="S9" s="24">
        <v>0.20833333333333334</v>
      </c>
      <c r="T9" s="24">
        <v>0.26805555555555555</v>
      </c>
      <c r="U9" s="192"/>
      <c r="V9" s="196">
        <f t="shared" ref="V9:V10" si="16">(T9-S9)*24*60</f>
        <v>85.999999999999972</v>
      </c>
      <c r="W9" s="13"/>
      <c r="X9" s="13"/>
      <c r="Y9" s="617"/>
      <c r="Z9" s="617"/>
      <c r="AA9" s="11">
        <f t="shared" si="2"/>
        <v>-69.069767441859995</v>
      </c>
      <c r="AB9" s="193">
        <f>M9/J9</f>
        <v>0.95395348837209337</v>
      </c>
      <c r="AC9" s="571">
        <f>AB11</f>
        <v>0.95382359103289338</v>
      </c>
    </row>
    <row r="10" spans="1:29" ht="15.75" customHeight="1">
      <c r="A10" s="643" t="s">
        <v>818</v>
      </c>
      <c r="B10" s="26" t="s">
        <v>40</v>
      </c>
      <c r="C10" s="594" t="s">
        <v>41</v>
      </c>
      <c r="D10" s="595"/>
      <c r="E10" s="26">
        <v>39.799999999999997</v>
      </c>
      <c r="F10" s="197">
        <v>5293</v>
      </c>
      <c r="G10" s="192">
        <f t="shared" si="11"/>
        <v>210661.4</v>
      </c>
      <c r="H10" s="21" t="s">
        <v>35</v>
      </c>
      <c r="I10" s="195">
        <v>17</v>
      </c>
      <c r="J10" s="23">
        <v>1500</v>
      </c>
      <c r="K10" s="9">
        <f t="shared" si="12"/>
        <v>88.235294117647058</v>
      </c>
      <c r="L10" s="195">
        <v>17</v>
      </c>
      <c r="M10" s="10">
        <f t="shared" si="13"/>
        <v>1430.5405405405404</v>
      </c>
      <c r="N10" s="9">
        <f t="shared" si="14"/>
        <v>84.149443561208258</v>
      </c>
      <c r="O10" s="11">
        <f t="shared" si="15"/>
        <v>0</v>
      </c>
      <c r="P10" s="12">
        <f t="shared" ref="P10" si="17">N10-K10</f>
        <v>-4.0858505564387997</v>
      </c>
      <c r="Q10" s="193">
        <f t="shared" ref="Q10" si="18">N10/K10</f>
        <v>0.95369369369369361</v>
      </c>
      <c r="R10" s="571"/>
      <c r="S10" s="24">
        <v>0.2722222222222222</v>
      </c>
      <c r="T10" s="24">
        <v>0.42638888888888887</v>
      </c>
      <c r="U10" s="192">
        <f>IF(S10=TIME(17,0,0),"",(S10-T9)*24*60)</f>
        <v>5.9999999999999787</v>
      </c>
      <c r="V10" s="196">
        <f t="shared" si="16"/>
        <v>222</v>
      </c>
      <c r="W10" s="13"/>
      <c r="X10" s="13"/>
      <c r="Y10" s="617"/>
      <c r="Z10" s="617"/>
      <c r="AA10" s="11">
        <f t="shared" si="2"/>
        <v>-69.459459459459595</v>
      </c>
      <c r="AB10" s="193">
        <f t="shared" ref="AB10:AB22" si="19">M10/J10</f>
        <v>0.95369369369369361</v>
      </c>
      <c r="AC10" s="571"/>
    </row>
    <row r="11" spans="1:29" ht="16.5" customHeight="1">
      <c r="A11" s="643" t="s">
        <v>818</v>
      </c>
      <c r="B11" s="26" t="s">
        <v>817</v>
      </c>
      <c r="C11" s="629"/>
      <c r="D11" s="629"/>
      <c r="E11" s="191"/>
      <c r="F11" s="23"/>
      <c r="G11" s="10"/>
      <c r="H11" s="197"/>
      <c r="I11" s="16">
        <v>18.5</v>
      </c>
      <c r="J11" s="23">
        <v>1500</v>
      </c>
      <c r="K11" s="9">
        <f>J11/I11</f>
        <v>81.081081081081081</v>
      </c>
      <c r="L11" s="16">
        <v>18.5</v>
      </c>
      <c r="M11" s="10">
        <f>AVERAGE(M9:M10)</f>
        <v>1430.7353865493401</v>
      </c>
      <c r="N11" s="9">
        <f>M11/L11</f>
        <v>77.337047921585949</v>
      </c>
      <c r="O11" s="11">
        <f>L11-I11</f>
        <v>0</v>
      </c>
      <c r="P11" s="12">
        <f>N11-K11</f>
        <v>-3.7440331594951317</v>
      </c>
      <c r="Q11" s="193">
        <f>N11/K11</f>
        <v>0.95382359103289338</v>
      </c>
      <c r="R11" s="571"/>
      <c r="S11" s="24"/>
      <c r="T11" s="24"/>
      <c r="U11" s="9"/>
      <c r="V11" s="196"/>
      <c r="W11" s="9"/>
      <c r="X11" s="9"/>
      <c r="Y11" s="617"/>
      <c r="Z11" s="617"/>
      <c r="AA11" s="11">
        <f t="shared" si="2"/>
        <v>-69.264613450659908</v>
      </c>
      <c r="AB11" s="193">
        <f t="shared" si="19"/>
        <v>0.95382359103289338</v>
      </c>
      <c r="AC11" s="571"/>
    </row>
    <row r="12" spans="1:29" ht="16.5" customHeight="1">
      <c r="A12" s="641" t="s">
        <v>819</v>
      </c>
      <c r="B12" s="197" t="s">
        <v>43</v>
      </c>
      <c r="C12" s="636" t="s">
        <v>44</v>
      </c>
      <c r="D12" s="636"/>
      <c r="E12" s="26">
        <v>41</v>
      </c>
      <c r="F12" s="197">
        <v>1882</v>
      </c>
      <c r="G12" s="192">
        <f t="shared" ref="G12:G15" si="20">E12*F12</f>
        <v>77162</v>
      </c>
      <c r="H12" s="21" t="s">
        <v>35</v>
      </c>
      <c r="I12" s="195">
        <v>26</v>
      </c>
      <c r="J12" s="23">
        <v>1500</v>
      </c>
      <c r="K12" s="9">
        <f>J12/I12</f>
        <v>57.692307692307693</v>
      </c>
      <c r="L12" s="195">
        <v>26</v>
      </c>
      <c r="M12" s="10">
        <f>F12/V12*60</f>
        <v>1429.367088607595</v>
      </c>
      <c r="N12" s="9">
        <f t="shared" ref="N12:N21" si="21">M12/L12</f>
        <v>54.97565725413827</v>
      </c>
      <c r="O12" s="11">
        <f t="shared" ref="O12" si="22">L12-I12</f>
        <v>0</v>
      </c>
      <c r="P12" s="12">
        <f t="shared" ref="P12" si="23">N12-K12</f>
        <v>-2.7166504381694239</v>
      </c>
      <c r="Q12" s="193">
        <f>N12/K12</f>
        <v>0.95291139240506328</v>
      </c>
      <c r="R12" s="571">
        <f>Q16</f>
        <v>0.95586835282828009</v>
      </c>
      <c r="S12" s="24">
        <v>0.20833333333333334</v>
      </c>
      <c r="T12" s="24">
        <v>0.26319444444444445</v>
      </c>
      <c r="U12" s="192"/>
      <c r="V12" s="196">
        <f>(T12-S12)*24*60</f>
        <v>79</v>
      </c>
      <c r="W12" s="15"/>
      <c r="X12" s="15"/>
      <c r="Y12" s="617"/>
      <c r="Z12" s="617"/>
      <c r="AA12" s="11">
        <f t="shared" si="2"/>
        <v>-70.632911392405049</v>
      </c>
      <c r="AB12" s="193">
        <f t="shared" si="19"/>
        <v>0.95291139240506328</v>
      </c>
      <c r="AC12" s="571">
        <f>AB16</f>
        <v>0.95586835282828009</v>
      </c>
    </row>
    <row r="13" spans="1:29" ht="16.5" customHeight="1">
      <c r="A13" s="642" t="s">
        <v>819</v>
      </c>
      <c r="B13" s="197" t="s">
        <v>40</v>
      </c>
      <c r="C13" s="636" t="s">
        <v>45</v>
      </c>
      <c r="D13" s="636"/>
      <c r="E13" s="26">
        <v>39.619999999999997</v>
      </c>
      <c r="F13" s="197">
        <v>3704</v>
      </c>
      <c r="G13" s="192">
        <f t="shared" si="20"/>
        <v>146752.47999999998</v>
      </c>
      <c r="H13" s="21" t="s">
        <v>35</v>
      </c>
      <c r="I13" s="195">
        <v>19</v>
      </c>
      <c r="J13" s="23">
        <v>1500</v>
      </c>
      <c r="K13" s="9">
        <f>J13/I13</f>
        <v>78.94736842105263</v>
      </c>
      <c r="L13" s="195">
        <v>19</v>
      </c>
      <c r="M13" s="10">
        <f>F13/V13*60</f>
        <v>1433.8064516129034</v>
      </c>
      <c r="N13" s="9">
        <f t="shared" si="21"/>
        <v>75.463497453310708</v>
      </c>
      <c r="O13" s="11">
        <f>L13-I13</f>
        <v>0</v>
      </c>
      <c r="P13" s="12">
        <f>N13-K13</f>
        <v>-3.4838709677419217</v>
      </c>
      <c r="Q13" s="193">
        <f>N13/K13</f>
        <v>0.9558709677419357</v>
      </c>
      <c r="R13" s="571"/>
      <c r="S13" s="24">
        <v>0.2673611111111111</v>
      </c>
      <c r="T13" s="24">
        <v>0.375</v>
      </c>
      <c r="U13" s="192">
        <f>IF(S13=TIME(17,0,0),"",(S13-T12)*24*60)</f>
        <v>5.9999999999999787</v>
      </c>
      <c r="V13" s="196">
        <f>(T13-S13)*24*60</f>
        <v>155</v>
      </c>
      <c r="W13" s="13"/>
      <c r="X13" s="13"/>
      <c r="Y13" s="617"/>
      <c r="Z13" s="617"/>
      <c r="AA13" s="11">
        <f t="shared" si="2"/>
        <v>-66.193548387096598</v>
      </c>
      <c r="AB13" s="193">
        <f t="shared" si="19"/>
        <v>0.95587096774193558</v>
      </c>
      <c r="AC13" s="571"/>
    </row>
    <row r="14" spans="1:29" ht="16.5" customHeight="1">
      <c r="A14" s="642" t="s">
        <v>819</v>
      </c>
      <c r="B14" s="197" t="s">
        <v>36</v>
      </c>
      <c r="C14" s="636" t="s">
        <v>49</v>
      </c>
      <c r="D14" s="636"/>
      <c r="E14" s="26">
        <v>50.98</v>
      </c>
      <c r="F14" s="197">
        <v>2271</v>
      </c>
      <c r="G14" s="192">
        <f t="shared" si="20"/>
        <v>115775.57999999999</v>
      </c>
      <c r="H14" s="21" t="s">
        <v>35</v>
      </c>
      <c r="I14" s="195">
        <v>16</v>
      </c>
      <c r="J14" s="23">
        <v>2000</v>
      </c>
      <c r="K14" s="9">
        <f t="shared" ref="K14:K15" si="24">J14/I14</f>
        <v>125</v>
      </c>
      <c r="L14" s="195">
        <v>16</v>
      </c>
      <c r="M14" s="10">
        <f t="shared" ref="M14:M15" si="25">F14/V14*60</f>
        <v>1919.154929577463</v>
      </c>
      <c r="N14" s="9">
        <f t="shared" si="21"/>
        <v>119.94718309859144</v>
      </c>
      <c r="O14" s="11">
        <f t="shared" ref="O14:O15" si="26">L14-I14</f>
        <v>0</v>
      </c>
      <c r="P14" s="12">
        <f t="shared" ref="P14:P15" si="27">N14-K14</f>
        <v>-5.052816901408562</v>
      </c>
      <c r="Q14" s="193">
        <f t="shared" ref="Q14:Q21" si="28">N14/K14</f>
        <v>0.95957746478873152</v>
      </c>
      <c r="R14" s="571"/>
      <c r="S14" s="24">
        <v>0.70833333333333337</v>
      </c>
      <c r="T14" s="24">
        <v>0.75763888888888897</v>
      </c>
      <c r="U14" s="192" t="str">
        <f t="shared" ref="U14:U15" si="29">IF(S14=TIME(17,0,0),"",(S14-T13)*24*60)</f>
        <v/>
      </c>
      <c r="V14" s="196">
        <f t="shared" ref="V14:V15" si="30">(T14-S14)*24*60</f>
        <v>71.000000000000071</v>
      </c>
      <c r="W14" s="13"/>
      <c r="X14" s="13"/>
      <c r="Y14" s="617"/>
      <c r="Z14" s="617"/>
      <c r="AA14" s="11">
        <f t="shared" si="2"/>
        <v>-80.845070422536992</v>
      </c>
      <c r="AB14" s="193">
        <f t="shared" si="19"/>
        <v>0.95957746478873152</v>
      </c>
      <c r="AC14" s="571"/>
    </row>
    <row r="15" spans="1:29" ht="16.5" customHeight="1">
      <c r="A15" s="642" t="s">
        <v>819</v>
      </c>
      <c r="B15" s="197" t="s">
        <v>36</v>
      </c>
      <c r="C15" s="636" t="s">
        <v>50</v>
      </c>
      <c r="D15" s="636"/>
      <c r="E15" s="26">
        <v>50.92</v>
      </c>
      <c r="F15" s="197">
        <v>2545</v>
      </c>
      <c r="G15" s="192">
        <f t="shared" si="20"/>
        <v>129591.40000000001</v>
      </c>
      <c r="H15" s="21" t="s">
        <v>35</v>
      </c>
      <c r="I15" s="195">
        <v>15</v>
      </c>
      <c r="J15" s="23">
        <v>2000</v>
      </c>
      <c r="K15" s="9">
        <f t="shared" si="24"/>
        <v>133.33333333333334</v>
      </c>
      <c r="L15" s="195">
        <v>15</v>
      </c>
      <c r="M15" s="10">
        <f t="shared" si="25"/>
        <v>1908.7499999999993</v>
      </c>
      <c r="N15" s="9">
        <f t="shared" si="21"/>
        <v>127.24999999999996</v>
      </c>
      <c r="O15" s="11">
        <f t="shared" si="26"/>
        <v>0</v>
      </c>
      <c r="P15" s="12">
        <f t="shared" si="27"/>
        <v>-6.0833333333333854</v>
      </c>
      <c r="Q15" s="193">
        <f t="shared" si="28"/>
        <v>0.95437499999999964</v>
      </c>
      <c r="R15" s="571"/>
      <c r="S15" s="24">
        <v>0.76111111111111118</v>
      </c>
      <c r="T15" s="24">
        <v>0.81666666666666676</v>
      </c>
      <c r="U15" s="192">
        <f t="shared" si="29"/>
        <v>4.9999999999999822</v>
      </c>
      <c r="V15" s="196">
        <f t="shared" si="30"/>
        <v>80.000000000000028</v>
      </c>
      <c r="W15" s="13"/>
      <c r="X15" s="13"/>
      <c r="Y15" s="617"/>
      <c r="Z15" s="617"/>
      <c r="AA15" s="11">
        <f t="shared" si="2"/>
        <v>-91.250000000000682</v>
      </c>
      <c r="AB15" s="193">
        <f t="shared" si="19"/>
        <v>0.95437499999999964</v>
      </c>
      <c r="AC15" s="571"/>
    </row>
    <row r="16" spans="1:29" ht="16.5" customHeight="1">
      <c r="A16" s="642" t="s">
        <v>819</v>
      </c>
      <c r="B16" s="26" t="s">
        <v>817</v>
      </c>
      <c r="C16" s="629"/>
      <c r="D16" s="629"/>
      <c r="E16" s="191"/>
      <c r="F16" s="27"/>
      <c r="G16" s="9"/>
      <c r="H16" s="197"/>
      <c r="I16" s="16">
        <v>19</v>
      </c>
      <c r="J16" s="23">
        <v>1750</v>
      </c>
      <c r="K16" s="9">
        <f>J16/I16</f>
        <v>92.10526315789474</v>
      </c>
      <c r="L16" s="16">
        <v>19</v>
      </c>
      <c r="M16" s="10">
        <f>AVERAGE(M12:M15)</f>
        <v>1672.7696174494902</v>
      </c>
      <c r="N16" s="9">
        <f t="shared" si="21"/>
        <v>88.040506181552118</v>
      </c>
      <c r="O16" s="11">
        <f>L16-I16</f>
        <v>0</v>
      </c>
      <c r="P16" s="12">
        <f>N16-K16</f>
        <v>-4.0647569763426219</v>
      </c>
      <c r="Q16" s="193">
        <f t="shared" si="28"/>
        <v>0.95586835282828009</v>
      </c>
      <c r="R16" s="571"/>
      <c r="S16" s="24"/>
      <c r="T16" s="24"/>
      <c r="U16" s="192"/>
      <c r="V16" s="196"/>
      <c r="W16" s="9"/>
      <c r="X16" s="9"/>
      <c r="Y16" s="617"/>
      <c r="Z16" s="617"/>
      <c r="AA16" s="11">
        <f t="shared" si="2"/>
        <v>-77.23038255050983</v>
      </c>
      <c r="AB16" s="193">
        <f t="shared" si="19"/>
        <v>0.95586835282828009</v>
      </c>
      <c r="AC16" s="571"/>
    </row>
    <row r="17" spans="1:29" ht="15.75" customHeight="1">
      <c r="A17" s="639" t="s">
        <v>820</v>
      </c>
      <c r="B17" s="26" t="s">
        <v>43</v>
      </c>
      <c r="C17" s="636" t="s">
        <v>51</v>
      </c>
      <c r="D17" s="636"/>
      <c r="E17" s="26">
        <v>43.14</v>
      </c>
      <c r="F17" s="197">
        <v>1101</v>
      </c>
      <c r="G17" s="192">
        <f t="shared" ref="G17:G21" si="31">E17*F17</f>
        <v>47497.14</v>
      </c>
      <c r="H17" s="21" t="s">
        <v>35</v>
      </c>
      <c r="I17" s="195">
        <v>17</v>
      </c>
      <c r="J17" s="23">
        <v>2000</v>
      </c>
      <c r="K17" s="9">
        <f t="shared" ref="K17:K22" si="32">J17/I17</f>
        <v>117.64705882352941</v>
      </c>
      <c r="L17" s="195">
        <v>17</v>
      </c>
      <c r="M17" s="10">
        <f t="shared" ref="M17:M21" si="33">F17/V17*60</f>
        <v>1942.9411764705883</v>
      </c>
      <c r="N17" s="9">
        <f t="shared" si="21"/>
        <v>114.29065743944636</v>
      </c>
      <c r="O17" s="11">
        <f t="shared" ref="O17:O21" si="34">L17-I17</f>
        <v>0</v>
      </c>
      <c r="P17" s="12">
        <f t="shared" ref="P17:P21" si="35">N17-K17</f>
        <v>-3.3564013840830427</v>
      </c>
      <c r="Q17" s="193">
        <f t="shared" si="28"/>
        <v>0.97147058823529409</v>
      </c>
      <c r="R17" s="571">
        <f>Q22</f>
        <v>0.96538922841864039</v>
      </c>
      <c r="S17" s="24">
        <v>0.20833333333333334</v>
      </c>
      <c r="T17" s="24">
        <v>0.23194444444444445</v>
      </c>
      <c r="U17" s="192"/>
      <c r="V17" s="196">
        <f>(T17-S17)*24*60</f>
        <v>34</v>
      </c>
      <c r="W17" s="15"/>
      <c r="X17" s="15"/>
      <c r="Y17" s="617"/>
      <c r="Z17" s="617"/>
      <c r="AA17" s="11">
        <f t="shared" si="2"/>
        <v>-57.058823529411711</v>
      </c>
      <c r="AB17" s="193">
        <f t="shared" si="19"/>
        <v>0.9714705882352942</v>
      </c>
      <c r="AC17" s="571">
        <f>AB22</f>
        <v>0.96538922841864039</v>
      </c>
    </row>
    <row r="18" spans="1:29" ht="15.75" customHeight="1">
      <c r="A18" s="640" t="s">
        <v>820</v>
      </c>
      <c r="B18" s="26" t="s">
        <v>36</v>
      </c>
      <c r="C18" s="636" t="s">
        <v>54</v>
      </c>
      <c r="D18" s="636"/>
      <c r="E18" s="26">
        <v>53.27</v>
      </c>
      <c r="F18" s="197">
        <v>1103</v>
      </c>
      <c r="G18" s="192">
        <f t="shared" si="31"/>
        <v>58756.810000000005</v>
      </c>
      <c r="H18" s="21" t="s">
        <v>35</v>
      </c>
      <c r="I18" s="195">
        <v>16</v>
      </c>
      <c r="J18" s="23">
        <v>2000</v>
      </c>
      <c r="K18" s="9">
        <f t="shared" si="32"/>
        <v>125</v>
      </c>
      <c r="L18" s="195">
        <v>16</v>
      </c>
      <c r="M18" s="10">
        <f t="shared" si="33"/>
        <v>1946.4705882352939</v>
      </c>
      <c r="N18" s="9">
        <f t="shared" si="21"/>
        <v>121.65441176470587</v>
      </c>
      <c r="O18" s="11">
        <f t="shared" si="34"/>
        <v>0</v>
      </c>
      <c r="P18" s="12">
        <f t="shared" si="35"/>
        <v>-3.3455882352941302</v>
      </c>
      <c r="Q18" s="193">
        <f t="shared" si="28"/>
        <v>0.97323529411764698</v>
      </c>
      <c r="R18" s="571"/>
      <c r="S18" s="24">
        <v>0.23750000000000002</v>
      </c>
      <c r="T18" s="24">
        <v>0.26111111111111113</v>
      </c>
      <c r="U18" s="192">
        <f>IF(S18=TIME(17,0,0),"",(S18-T17)*24*60)</f>
        <v>8.0000000000000107</v>
      </c>
      <c r="V18" s="196">
        <f t="shared" ref="V18:V21" si="36">(T18-S18)*24*60</f>
        <v>34</v>
      </c>
      <c r="W18" s="13"/>
      <c r="X18" s="192"/>
      <c r="Y18" s="617"/>
      <c r="Z18" s="617"/>
      <c r="AA18" s="11">
        <f t="shared" si="2"/>
        <v>-53.529411764706083</v>
      </c>
      <c r="AB18" s="193">
        <f t="shared" si="19"/>
        <v>0.97323529411764698</v>
      </c>
      <c r="AC18" s="571"/>
    </row>
    <row r="19" spans="1:29" ht="15.75" customHeight="1">
      <c r="A19" s="640" t="s">
        <v>820</v>
      </c>
      <c r="B19" s="26" t="s">
        <v>36</v>
      </c>
      <c r="C19" s="636" t="s">
        <v>53</v>
      </c>
      <c r="D19" s="636"/>
      <c r="E19" s="26">
        <v>53.68</v>
      </c>
      <c r="F19" s="197">
        <v>1405</v>
      </c>
      <c r="G19" s="192">
        <f t="shared" si="31"/>
        <v>75420.399999999994</v>
      </c>
      <c r="H19" s="21" t="s">
        <v>35</v>
      </c>
      <c r="I19" s="195">
        <v>16</v>
      </c>
      <c r="J19" s="23">
        <v>2000</v>
      </c>
      <c r="K19" s="9">
        <f t="shared" si="32"/>
        <v>125</v>
      </c>
      <c r="L19" s="195">
        <v>16</v>
      </c>
      <c r="M19" s="10">
        <f t="shared" si="33"/>
        <v>1915.909090909091</v>
      </c>
      <c r="N19" s="9">
        <f t="shared" si="21"/>
        <v>119.74431818181819</v>
      </c>
      <c r="O19" s="11">
        <f t="shared" si="34"/>
        <v>0</v>
      </c>
      <c r="P19" s="12">
        <f t="shared" si="35"/>
        <v>-5.255681818181813</v>
      </c>
      <c r="Q19" s="193">
        <f t="shared" si="28"/>
        <v>0.9579545454545455</v>
      </c>
      <c r="R19" s="571"/>
      <c r="S19" s="24">
        <v>0.26597222222222222</v>
      </c>
      <c r="T19" s="24">
        <v>0.29652777777777778</v>
      </c>
      <c r="U19" s="192">
        <f t="shared" ref="U19:U21" si="37">IF(S19=TIME(17,0,0),"",(S19-T18)*24*60)</f>
        <v>6.9999999999999751</v>
      </c>
      <c r="V19" s="196">
        <f t="shared" si="36"/>
        <v>44</v>
      </c>
      <c r="W19" s="13"/>
      <c r="X19" s="192"/>
      <c r="Y19" s="617"/>
      <c r="Z19" s="617"/>
      <c r="AA19" s="11">
        <f t="shared" si="2"/>
        <v>-84.090909090909008</v>
      </c>
      <c r="AB19" s="193">
        <f t="shared" si="19"/>
        <v>0.9579545454545455</v>
      </c>
      <c r="AC19" s="571"/>
    </row>
    <row r="20" spans="1:29" ht="15.75" customHeight="1">
      <c r="A20" s="640" t="s">
        <v>820</v>
      </c>
      <c r="B20" s="26" t="s">
        <v>36</v>
      </c>
      <c r="C20" s="636" t="s">
        <v>52</v>
      </c>
      <c r="D20" s="636"/>
      <c r="E20" s="26">
        <v>57.73</v>
      </c>
      <c r="F20" s="197">
        <v>2240</v>
      </c>
      <c r="G20" s="192">
        <f t="shared" si="31"/>
        <v>129315.2</v>
      </c>
      <c r="H20" s="21" t="s">
        <v>35</v>
      </c>
      <c r="I20" s="195">
        <v>15</v>
      </c>
      <c r="J20" s="23">
        <v>2000</v>
      </c>
      <c r="K20" s="9">
        <f t="shared" si="32"/>
        <v>133.33333333333334</v>
      </c>
      <c r="L20" s="195">
        <v>15</v>
      </c>
      <c r="M20" s="10">
        <f t="shared" si="33"/>
        <v>1920.0000000000005</v>
      </c>
      <c r="N20" s="9">
        <f t="shared" si="21"/>
        <v>128.00000000000003</v>
      </c>
      <c r="O20" s="11">
        <f t="shared" si="34"/>
        <v>0</v>
      </c>
      <c r="P20" s="12">
        <f t="shared" si="35"/>
        <v>-5.3333333333333144</v>
      </c>
      <c r="Q20" s="193">
        <f t="shared" si="28"/>
        <v>0.96000000000000019</v>
      </c>
      <c r="R20" s="571"/>
      <c r="S20" s="24">
        <v>0.30069444444444443</v>
      </c>
      <c r="T20" s="24">
        <v>0.34930555555555554</v>
      </c>
      <c r="U20" s="192">
        <f t="shared" si="37"/>
        <v>5.9999999999999787</v>
      </c>
      <c r="V20" s="196">
        <f t="shared" si="36"/>
        <v>69.999999999999986</v>
      </c>
      <c r="W20" s="13"/>
      <c r="X20" s="192"/>
      <c r="Y20" s="617"/>
      <c r="Z20" s="617"/>
      <c r="AA20" s="11">
        <f t="shared" si="2"/>
        <v>-79.999999999999545</v>
      </c>
      <c r="AB20" s="193">
        <f t="shared" si="19"/>
        <v>0.96000000000000019</v>
      </c>
      <c r="AC20" s="571"/>
    </row>
    <row r="21" spans="1:29" ht="15.75" customHeight="1">
      <c r="A21" s="640" t="s">
        <v>820</v>
      </c>
      <c r="B21" s="26" t="s">
        <v>36</v>
      </c>
      <c r="C21" s="636" t="s">
        <v>55</v>
      </c>
      <c r="D21" s="636"/>
      <c r="E21" s="26">
        <v>54.09</v>
      </c>
      <c r="F21" s="197">
        <v>2025</v>
      </c>
      <c r="G21" s="192">
        <f t="shared" si="31"/>
        <v>109532.25</v>
      </c>
      <c r="H21" s="21" t="s">
        <v>35</v>
      </c>
      <c r="I21" s="195">
        <v>19</v>
      </c>
      <c r="J21" s="23">
        <v>2000</v>
      </c>
      <c r="K21" s="9">
        <f t="shared" si="32"/>
        <v>105.26315789473684</v>
      </c>
      <c r="L21" s="195">
        <v>19</v>
      </c>
      <c r="M21" s="10">
        <f t="shared" si="33"/>
        <v>1928.5714285714305</v>
      </c>
      <c r="N21" s="9">
        <f t="shared" si="21"/>
        <v>101.50375939849634</v>
      </c>
      <c r="O21" s="11">
        <f t="shared" si="34"/>
        <v>0</v>
      </c>
      <c r="P21" s="12">
        <f t="shared" si="35"/>
        <v>-3.7593984962404932</v>
      </c>
      <c r="Q21" s="193">
        <f t="shared" si="28"/>
        <v>0.9642857142857153</v>
      </c>
      <c r="R21" s="571"/>
      <c r="S21" s="24">
        <v>0.70833333333333337</v>
      </c>
      <c r="T21" s="24">
        <v>0.75208333333333333</v>
      </c>
      <c r="U21" s="192" t="str">
        <f t="shared" si="37"/>
        <v/>
      </c>
      <c r="V21" s="196">
        <f t="shared" si="36"/>
        <v>62.999999999999936</v>
      </c>
      <c r="W21" s="13"/>
      <c r="X21" s="192"/>
      <c r="Y21" s="617"/>
      <c r="Z21" s="617"/>
      <c r="AA21" s="11">
        <f t="shared" si="2"/>
        <v>-71.428571428569512</v>
      </c>
      <c r="AB21" s="193">
        <f t="shared" si="19"/>
        <v>0.96428571428571519</v>
      </c>
      <c r="AC21" s="571"/>
    </row>
    <row r="22" spans="1:29" ht="15.75" customHeight="1">
      <c r="A22" s="640" t="s">
        <v>820</v>
      </c>
      <c r="B22" s="26" t="s">
        <v>817</v>
      </c>
      <c r="C22" s="629"/>
      <c r="D22" s="629"/>
      <c r="E22" s="191"/>
      <c r="F22" s="197"/>
      <c r="G22" s="192"/>
      <c r="H22" s="197"/>
      <c r="I22" s="16">
        <v>16.600000000000001</v>
      </c>
      <c r="J22" s="23">
        <v>2000</v>
      </c>
      <c r="K22" s="9">
        <f t="shared" si="32"/>
        <v>120.48192771084337</v>
      </c>
      <c r="L22" s="16">
        <v>16.600000000000001</v>
      </c>
      <c r="M22" s="10">
        <f>AVERAGE(M17:M21)</f>
        <v>1930.7784568372808</v>
      </c>
      <c r="N22" s="9">
        <f>M22/L22</f>
        <v>116.31195523116149</v>
      </c>
      <c r="O22" s="11">
        <f>L22-I22</f>
        <v>0</v>
      </c>
      <c r="P22" s="12">
        <f>N22-K22</f>
        <v>-4.1699724796818742</v>
      </c>
      <c r="Q22" s="193">
        <f>N22/K22</f>
        <v>0.96538922841864039</v>
      </c>
      <c r="R22" s="571"/>
      <c r="S22" s="24"/>
      <c r="T22" s="24"/>
      <c r="U22" s="9"/>
      <c r="V22" s="196"/>
      <c r="W22" s="9"/>
      <c r="X22" s="9"/>
      <c r="Y22" s="617"/>
      <c r="Z22" s="617"/>
      <c r="AA22" s="11">
        <f t="shared" si="2"/>
        <v>-69.221543162719172</v>
      </c>
      <c r="AB22" s="193">
        <f t="shared" si="19"/>
        <v>0.96538922841864039</v>
      </c>
      <c r="AC22" s="571"/>
    </row>
    <row r="23" spans="1:29" ht="15.75" customHeight="1">
      <c r="A23" s="635" t="s">
        <v>821</v>
      </c>
      <c r="B23" s="26" t="s">
        <v>46</v>
      </c>
      <c r="C23" s="636" t="s">
        <v>60</v>
      </c>
      <c r="D23" s="636"/>
      <c r="E23" s="26">
        <v>26.2</v>
      </c>
      <c r="F23" s="197">
        <v>3282</v>
      </c>
      <c r="G23" s="192">
        <f t="shared" ref="G23:G28" si="38">E23*F23</f>
        <v>85988.4</v>
      </c>
      <c r="H23" s="21" t="s">
        <v>35</v>
      </c>
      <c r="I23" s="195">
        <v>19</v>
      </c>
      <c r="J23" s="23">
        <v>2400</v>
      </c>
      <c r="K23" s="9">
        <f>J23/I23</f>
        <v>126.31578947368421</v>
      </c>
      <c r="L23" s="195">
        <v>19</v>
      </c>
      <c r="M23" s="10">
        <f t="shared" ref="M23:M28" si="39">F23/V23*60</f>
        <v>2289.7674418604656</v>
      </c>
      <c r="N23" s="9">
        <f t="shared" ref="N23:N28" si="40">M23/L23</f>
        <v>120.51407588739293</v>
      </c>
      <c r="O23" s="11">
        <f t="shared" ref="O23:O28" si="41">L23-I23</f>
        <v>0</v>
      </c>
      <c r="P23" s="12">
        <f t="shared" ref="P23:P28" si="42">N23-K23</f>
        <v>-5.801713586291271</v>
      </c>
      <c r="Q23" s="193">
        <f t="shared" ref="Q23:Q28" si="43">N23/K23</f>
        <v>0.95406976744186078</v>
      </c>
      <c r="R23" s="571">
        <f>Q29</f>
        <v>0.95596030537955978</v>
      </c>
      <c r="S23" s="24">
        <v>8.3333333333333329E-2</v>
      </c>
      <c r="T23" s="24">
        <v>0.14305555555555555</v>
      </c>
      <c r="U23" s="192"/>
      <c r="V23" s="196">
        <f t="shared" ref="V23:V28" si="44">(T23-S23)*24*60</f>
        <v>85.999999999999986</v>
      </c>
      <c r="W23" s="13">
        <f>T23</f>
        <v>0.14305555555555555</v>
      </c>
      <c r="X23" s="13">
        <f>S24</f>
        <v>0.16319444444444445</v>
      </c>
      <c r="Y23" s="617"/>
      <c r="Z23" s="617"/>
      <c r="AA23" s="11">
        <f t="shared" si="2"/>
        <v>-110.23255813953438</v>
      </c>
      <c r="AB23" s="193">
        <f>M23/J23</f>
        <v>0.95406976744186067</v>
      </c>
      <c r="AC23" s="571">
        <f>AB29</f>
        <v>0.95596030537955978</v>
      </c>
    </row>
    <row r="24" spans="1:29" ht="15.75" customHeight="1">
      <c r="A24" s="635" t="s">
        <v>821</v>
      </c>
      <c r="B24" s="26" t="s">
        <v>46</v>
      </c>
      <c r="C24" s="636" t="s">
        <v>57</v>
      </c>
      <c r="D24" s="636"/>
      <c r="E24" s="26">
        <v>20.52</v>
      </c>
      <c r="F24" s="197">
        <v>2487</v>
      </c>
      <c r="G24" s="192">
        <f t="shared" si="38"/>
        <v>51033.24</v>
      </c>
      <c r="H24" s="21" t="s">
        <v>35</v>
      </c>
      <c r="I24" s="195">
        <v>18</v>
      </c>
      <c r="J24" s="23">
        <v>2400</v>
      </c>
      <c r="K24" s="9">
        <f t="shared" ref="K24:K29" si="45">J24/I24</f>
        <v>133.33333333333334</v>
      </c>
      <c r="L24" s="195">
        <v>18</v>
      </c>
      <c r="M24" s="10">
        <f t="shared" si="39"/>
        <v>2295.6923076923072</v>
      </c>
      <c r="N24" s="9">
        <f t="shared" si="40"/>
        <v>127.5384615384615</v>
      </c>
      <c r="O24" s="11">
        <f t="shared" si="41"/>
        <v>0</v>
      </c>
      <c r="P24" s="12">
        <f t="shared" si="42"/>
        <v>-5.7948717948718382</v>
      </c>
      <c r="Q24" s="193">
        <f t="shared" si="43"/>
        <v>0.95653846153846123</v>
      </c>
      <c r="R24" s="571"/>
      <c r="S24" s="24">
        <v>0.16319444444444445</v>
      </c>
      <c r="T24" s="24">
        <v>0.20833333333333334</v>
      </c>
      <c r="U24" s="192">
        <f>(S24-T23)*24*60</f>
        <v>29.000000000000018</v>
      </c>
      <c r="V24" s="196">
        <f t="shared" si="44"/>
        <v>65.000000000000014</v>
      </c>
      <c r="W24" s="13"/>
      <c r="X24" s="13"/>
      <c r="Y24" s="617"/>
      <c r="Z24" s="617"/>
      <c r="AA24" s="11">
        <f t="shared" si="2"/>
        <v>-104.30769230769283</v>
      </c>
      <c r="AB24" s="193">
        <f t="shared" ref="AB24:AB28" si="46">M24/J24</f>
        <v>0.95653846153846134</v>
      </c>
      <c r="AC24" s="571"/>
    </row>
    <row r="25" spans="1:29" ht="15.75" customHeight="1">
      <c r="A25" s="635" t="s">
        <v>821</v>
      </c>
      <c r="B25" s="26" t="s">
        <v>46</v>
      </c>
      <c r="C25" s="636" t="s">
        <v>61</v>
      </c>
      <c r="D25" s="636"/>
      <c r="E25" s="26">
        <v>31.29</v>
      </c>
      <c r="F25" s="197">
        <v>7372</v>
      </c>
      <c r="G25" s="192">
        <f t="shared" si="38"/>
        <v>230669.88</v>
      </c>
      <c r="H25" s="21" t="s">
        <v>35</v>
      </c>
      <c r="I25" s="195">
        <v>18</v>
      </c>
      <c r="J25" s="23">
        <v>2400</v>
      </c>
      <c r="K25" s="9">
        <f t="shared" si="45"/>
        <v>133.33333333333334</v>
      </c>
      <c r="L25" s="195">
        <v>18</v>
      </c>
      <c r="M25" s="10">
        <f t="shared" si="39"/>
        <v>2280.0000000000009</v>
      </c>
      <c r="N25" s="9">
        <f t="shared" si="40"/>
        <v>126.66666666666671</v>
      </c>
      <c r="O25" s="11">
        <f t="shared" si="41"/>
        <v>0</v>
      </c>
      <c r="P25" s="12">
        <f t="shared" si="42"/>
        <v>-6.6666666666666288</v>
      </c>
      <c r="Q25" s="193">
        <f t="shared" si="43"/>
        <v>0.95000000000000029</v>
      </c>
      <c r="R25" s="571"/>
      <c r="S25" s="24">
        <v>0.21388888888888891</v>
      </c>
      <c r="T25" s="24">
        <v>0.34861111111111109</v>
      </c>
      <c r="U25" s="192">
        <f t="shared" ref="U25:U28" si="47">(S25-T24)*24*60</f>
        <v>8.0000000000000107</v>
      </c>
      <c r="V25" s="196">
        <f t="shared" si="44"/>
        <v>193.99999999999994</v>
      </c>
      <c r="W25" s="13"/>
      <c r="X25" s="13"/>
      <c r="Y25" s="617"/>
      <c r="Z25" s="617"/>
      <c r="AA25" s="11">
        <f t="shared" si="2"/>
        <v>-119.99999999999909</v>
      </c>
      <c r="AB25" s="193">
        <f t="shared" si="46"/>
        <v>0.9500000000000004</v>
      </c>
      <c r="AC25" s="571"/>
    </row>
    <row r="26" spans="1:29" ht="15.75" customHeight="1">
      <c r="A26" s="635" t="s">
        <v>821</v>
      </c>
      <c r="B26" s="26" t="s">
        <v>46</v>
      </c>
      <c r="C26" s="636" t="s">
        <v>59</v>
      </c>
      <c r="D26" s="636"/>
      <c r="E26" s="26">
        <v>26.18</v>
      </c>
      <c r="F26" s="197">
        <v>2923</v>
      </c>
      <c r="G26" s="192">
        <f t="shared" si="38"/>
        <v>76524.14</v>
      </c>
      <c r="H26" s="21" t="s">
        <v>35</v>
      </c>
      <c r="I26" s="195">
        <v>19</v>
      </c>
      <c r="J26" s="23">
        <v>2400</v>
      </c>
      <c r="K26" s="9">
        <f t="shared" si="45"/>
        <v>126.31578947368421</v>
      </c>
      <c r="L26" s="195">
        <v>19</v>
      </c>
      <c r="M26" s="10">
        <f t="shared" si="39"/>
        <v>2307.6315789473692</v>
      </c>
      <c r="N26" s="9">
        <f t="shared" si="40"/>
        <v>121.45429362880891</v>
      </c>
      <c r="O26" s="11">
        <f t="shared" si="41"/>
        <v>0</v>
      </c>
      <c r="P26" s="12">
        <f t="shared" si="42"/>
        <v>-4.861495844875293</v>
      </c>
      <c r="Q26" s="193">
        <f t="shared" si="43"/>
        <v>0.96151315789473724</v>
      </c>
      <c r="R26" s="571"/>
      <c r="S26" s="24">
        <v>0.35347222222222219</v>
      </c>
      <c r="T26" s="24">
        <v>0.40624999999999994</v>
      </c>
      <c r="U26" s="192">
        <f t="shared" si="47"/>
        <v>6.9999999999999751</v>
      </c>
      <c r="V26" s="196">
        <f t="shared" si="44"/>
        <v>75.999999999999972</v>
      </c>
      <c r="W26" s="13"/>
      <c r="X26" s="13"/>
      <c r="Y26" s="617"/>
      <c r="Z26" s="617"/>
      <c r="AA26" s="11">
        <f t="shared" si="2"/>
        <v>-92.368421052630765</v>
      </c>
      <c r="AB26" s="193">
        <f t="shared" si="46"/>
        <v>0.96151315789473724</v>
      </c>
      <c r="AC26" s="571"/>
    </row>
    <row r="27" spans="1:29" ht="15.75" customHeight="1">
      <c r="A27" s="635" t="s">
        <v>821</v>
      </c>
      <c r="B27" s="26" t="s">
        <v>46</v>
      </c>
      <c r="C27" s="636" t="s">
        <v>56</v>
      </c>
      <c r="D27" s="636"/>
      <c r="E27" s="26">
        <v>26.2</v>
      </c>
      <c r="F27" s="197">
        <v>3675</v>
      </c>
      <c r="G27" s="192">
        <f t="shared" si="38"/>
        <v>96285</v>
      </c>
      <c r="H27" s="21" t="s">
        <v>35</v>
      </c>
      <c r="I27" s="195">
        <v>20</v>
      </c>
      <c r="J27" s="23">
        <v>2400</v>
      </c>
      <c r="K27" s="9">
        <f t="shared" si="45"/>
        <v>120</v>
      </c>
      <c r="L27" s="195">
        <v>20</v>
      </c>
      <c r="M27" s="10">
        <f t="shared" si="39"/>
        <v>2296.8750000000009</v>
      </c>
      <c r="N27" s="9">
        <f t="shared" si="40"/>
        <v>114.84375000000004</v>
      </c>
      <c r="O27" s="11">
        <f t="shared" si="41"/>
        <v>0</v>
      </c>
      <c r="P27" s="12">
        <f t="shared" si="42"/>
        <v>-5.1562499999999574</v>
      </c>
      <c r="Q27" s="193">
        <f t="shared" si="43"/>
        <v>0.95703125000000033</v>
      </c>
      <c r="R27" s="571"/>
      <c r="S27" s="24">
        <v>0.4104166666666666</v>
      </c>
      <c r="T27" s="24">
        <v>0.47708333333333325</v>
      </c>
      <c r="U27" s="192">
        <f t="shared" si="47"/>
        <v>5.9999999999999787</v>
      </c>
      <c r="V27" s="196">
        <f t="shared" si="44"/>
        <v>95.999999999999972</v>
      </c>
      <c r="W27" s="13"/>
      <c r="X27" s="13"/>
      <c r="Y27" s="617"/>
      <c r="Z27" s="617"/>
      <c r="AA27" s="11">
        <f t="shared" si="2"/>
        <v>-103.12499999999909</v>
      </c>
      <c r="AB27" s="193">
        <f t="shared" si="46"/>
        <v>0.95703125000000033</v>
      </c>
      <c r="AC27" s="571"/>
    </row>
    <row r="28" spans="1:29" ht="15.75" customHeight="1">
      <c r="A28" s="635" t="s">
        <v>821</v>
      </c>
      <c r="B28" s="26" t="s">
        <v>46</v>
      </c>
      <c r="C28" s="636" t="s">
        <v>62</v>
      </c>
      <c r="D28" s="636"/>
      <c r="E28" s="26">
        <v>25</v>
      </c>
      <c r="F28" s="197">
        <v>3329</v>
      </c>
      <c r="G28" s="192">
        <f t="shared" si="38"/>
        <v>83225</v>
      </c>
      <c r="H28" s="21" t="s">
        <v>35</v>
      </c>
      <c r="I28" s="195">
        <v>15</v>
      </c>
      <c r="J28" s="23">
        <v>2400</v>
      </c>
      <c r="K28" s="9">
        <f t="shared" si="45"/>
        <v>160</v>
      </c>
      <c r="L28" s="195">
        <v>15</v>
      </c>
      <c r="M28" s="10">
        <f t="shared" si="39"/>
        <v>2295.862068965519</v>
      </c>
      <c r="N28" s="9">
        <f t="shared" si="40"/>
        <v>153.05747126436793</v>
      </c>
      <c r="O28" s="11">
        <f t="shared" si="41"/>
        <v>0</v>
      </c>
      <c r="P28" s="12">
        <f t="shared" si="42"/>
        <v>-6.9425287356320666</v>
      </c>
      <c r="Q28" s="193">
        <f t="shared" si="43"/>
        <v>0.95660919540229961</v>
      </c>
      <c r="R28" s="571"/>
      <c r="S28" s="24">
        <v>0.4812499999999999</v>
      </c>
      <c r="T28" s="24">
        <v>0.54166666666666652</v>
      </c>
      <c r="U28" s="192">
        <f t="shared" si="47"/>
        <v>5.9999999999999787</v>
      </c>
      <c r="V28" s="196">
        <f t="shared" si="44"/>
        <v>86.999999999999929</v>
      </c>
      <c r="W28" s="13"/>
      <c r="X28" s="13"/>
      <c r="Y28" s="617"/>
      <c r="Z28" s="617"/>
      <c r="AA28" s="11">
        <f t="shared" si="2"/>
        <v>-104.13793103448097</v>
      </c>
      <c r="AB28" s="193">
        <f t="shared" si="46"/>
        <v>0.95660919540229961</v>
      </c>
      <c r="AC28" s="571"/>
    </row>
    <row r="29" spans="1:29" ht="15.75" customHeight="1">
      <c r="A29" s="635" t="s">
        <v>821</v>
      </c>
      <c r="B29" s="26" t="s">
        <v>817</v>
      </c>
      <c r="C29" s="629"/>
      <c r="D29" s="629"/>
      <c r="E29" s="191"/>
      <c r="F29" s="197"/>
      <c r="G29" s="192"/>
      <c r="H29" s="197"/>
      <c r="I29" s="16">
        <v>18.166666666666668</v>
      </c>
      <c r="J29" s="23">
        <v>2400</v>
      </c>
      <c r="K29" s="9">
        <f t="shared" si="45"/>
        <v>132.11009174311926</v>
      </c>
      <c r="L29" s="16">
        <v>18.166666666666668</v>
      </c>
      <c r="M29" s="10">
        <f>AVERAGE(M23:M28)</f>
        <v>2294.3047329109436</v>
      </c>
      <c r="N29" s="9">
        <f>M29/L29</f>
        <v>126.29200364647394</v>
      </c>
      <c r="O29" s="11">
        <f>L29-I29</f>
        <v>0</v>
      </c>
      <c r="P29" s="12">
        <f>N29-K29</f>
        <v>-5.8180880966453117</v>
      </c>
      <c r="Q29" s="193">
        <f>N29/K29</f>
        <v>0.95596030537955978</v>
      </c>
      <c r="R29" s="571"/>
      <c r="S29" s="24"/>
      <c r="T29" s="24"/>
      <c r="U29" s="192"/>
      <c r="V29" s="196"/>
      <c r="W29" s="192"/>
      <c r="X29" s="192"/>
      <c r="Y29" s="617"/>
      <c r="Z29" s="617"/>
      <c r="AA29" s="11">
        <f t="shared" si="2"/>
        <v>-105.69526708905641</v>
      </c>
      <c r="AB29" s="193">
        <f>M29/J29</f>
        <v>0.95596030537955978</v>
      </c>
      <c r="AC29" s="571"/>
    </row>
    <row r="30" spans="1:29" ht="15.75" customHeight="1">
      <c r="A30" s="637" t="s">
        <v>822</v>
      </c>
      <c r="B30" s="26" t="s">
        <v>46</v>
      </c>
      <c r="C30" s="616" t="s">
        <v>63</v>
      </c>
      <c r="D30" s="616"/>
      <c r="E30" s="26">
        <v>26.2</v>
      </c>
      <c r="F30" s="197">
        <v>5220</v>
      </c>
      <c r="G30" s="192">
        <f t="shared" ref="G30:G34" si="48">E30*F30</f>
        <v>136764</v>
      </c>
      <c r="H30" s="21" t="s">
        <v>35</v>
      </c>
      <c r="I30" s="195">
        <v>18</v>
      </c>
      <c r="J30" s="23">
        <v>2400</v>
      </c>
      <c r="K30" s="9">
        <f>J30/I30</f>
        <v>133.33333333333334</v>
      </c>
      <c r="L30" s="195">
        <v>18</v>
      </c>
      <c r="M30" s="10">
        <f>F30/V30*60</f>
        <v>2286.1313868613142</v>
      </c>
      <c r="N30" s="9">
        <f>M30/L30</f>
        <v>127.00729927007302</v>
      </c>
      <c r="O30" s="11">
        <f t="shared" ref="O30:O34" si="49">L30-I30</f>
        <v>0</v>
      </c>
      <c r="P30" s="12">
        <f t="shared" ref="P30:P43" si="50">N30-K30</f>
        <v>-6.3260340632603231</v>
      </c>
      <c r="Q30" s="193">
        <f t="shared" ref="Q30:Q39" si="51">N30/K30</f>
        <v>0.95255474452554756</v>
      </c>
      <c r="R30" s="571">
        <f>Q35</f>
        <v>0.95607576155541796</v>
      </c>
      <c r="S30" s="24">
        <v>8.3333333333333329E-2</v>
      </c>
      <c r="T30" s="24">
        <v>0.1784722222222222</v>
      </c>
      <c r="U30" s="192"/>
      <c r="V30" s="196">
        <f t="shared" ref="V30:V34" si="52">(T30-S30)*24*60</f>
        <v>136.99999999999997</v>
      </c>
      <c r="W30" s="15">
        <f>T30</f>
        <v>0.1784722222222222</v>
      </c>
      <c r="X30" s="15">
        <f>S31</f>
        <v>0.19722222222222222</v>
      </c>
      <c r="Y30" s="617"/>
      <c r="Z30" s="617"/>
      <c r="AA30" s="11">
        <f t="shared" si="2"/>
        <v>-113.86861313868576</v>
      </c>
      <c r="AB30" s="193">
        <f>M30/J30</f>
        <v>0.95255474452554756</v>
      </c>
      <c r="AC30" s="571">
        <f>AB35</f>
        <v>0.95607576155541796</v>
      </c>
    </row>
    <row r="31" spans="1:29" ht="15.75" customHeight="1">
      <c r="A31" s="637" t="s">
        <v>822</v>
      </c>
      <c r="B31" s="26" t="s">
        <v>46</v>
      </c>
      <c r="C31" s="616" t="s">
        <v>64</v>
      </c>
      <c r="D31" s="616"/>
      <c r="E31" s="26">
        <v>26.39</v>
      </c>
      <c r="F31" s="197">
        <v>4863</v>
      </c>
      <c r="G31" s="192">
        <f t="shared" si="48"/>
        <v>128334.57</v>
      </c>
      <c r="H31" s="21" t="s">
        <v>35</v>
      </c>
      <c r="I31" s="195">
        <v>19</v>
      </c>
      <c r="J31" s="23">
        <v>2400</v>
      </c>
      <c r="K31" s="9">
        <f t="shared" ref="K31:K42" si="53">J31/I31</f>
        <v>126.31578947368421</v>
      </c>
      <c r="L31" s="195">
        <v>19</v>
      </c>
      <c r="M31" s="10">
        <f t="shared" ref="M31:M34" si="54">F31/V31*60</f>
        <v>2297.4803149606305</v>
      </c>
      <c r="N31" s="9">
        <f t="shared" ref="N31:N34" si="55">M31/L31</f>
        <v>120.92001657687528</v>
      </c>
      <c r="O31" s="11">
        <f t="shared" si="49"/>
        <v>0</v>
      </c>
      <c r="P31" s="12">
        <f t="shared" si="50"/>
        <v>-5.3957728968089214</v>
      </c>
      <c r="Q31" s="193">
        <f t="shared" si="51"/>
        <v>0.95728346456692937</v>
      </c>
      <c r="R31" s="571"/>
      <c r="S31" s="24">
        <v>0.19722222222222222</v>
      </c>
      <c r="T31" s="24">
        <v>0.28541666666666665</v>
      </c>
      <c r="U31" s="192">
        <f>(S31-T30)*24*60</f>
        <v>27.000000000000025</v>
      </c>
      <c r="V31" s="196">
        <f t="shared" si="52"/>
        <v>126.99999999999997</v>
      </c>
      <c r="W31" s="192"/>
      <c r="X31" s="192"/>
      <c r="Y31" s="617"/>
      <c r="Z31" s="617"/>
      <c r="AA31" s="11">
        <f t="shared" si="2"/>
        <v>-102.51968503936951</v>
      </c>
      <c r="AB31" s="193">
        <f t="shared" ref="AB31:AB54" si="56">M31/J31</f>
        <v>0.95728346456692937</v>
      </c>
      <c r="AC31" s="571"/>
    </row>
    <row r="32" spans="1:29">
      <c r="A32" s="638" t="s">
        <v>822</v>
      </c>
      <c r="B32" s="26" t="s">
        <v>46</v>
      </c>
      <c r="C32" s="616" t="s">
        <v>87</v>
      </c>
      <c r="D32" s="616"/>
      <c r="E32" s="26">
        <v>20.52</v>
      </c>
      <c r="F32" s="197">
        <v>3317</v>
      </c>
      <c r="G32" s="192">
        <f t="shared" si="48"/>
        <v>68064.84</v>
      </c>
      <c r="H32" s="21" t="s">
        <v>35</v>
      </c>
      <c r="I32" s="195">
        <v>18</v>
      </c>
      <c r="J32" s="23">
        <v>2400</v>
      </c>
      <c r="K32" s="9">
        <f t="shared" si="53"/>
        <v>133.33333333333334</v>
      </c>
      <c r="L32" s="195">
        <v>18</v>
      </c>
      <c r="M32" s="10">
        <f t="shared" si="54"/>
        <v>2287.5862068965512</v>
      </c>
      <c r="N32" s="9">
        <f t="shared" si="55"/>
        <v>127.08812260536395</v>
      </c>
      <c r="O32" s="11">
        <f t="shared" si="49"/>
        <v>0</v>
      </c>
      <c r="P32" s="12">
        <f t="shared" si="50"/>
        <v>-6.2452107279693934</v>
      </c>
      <c r="Q32" s="193">
        <f t="shared" si="51"/>
        <v>0.95316091954022952</v>
      </c>
      <c r="R32" s="571"/>
      <c r="S32" s="24">
        <v>0.2895833333333333</v>
      </c>
      <c r="T32" s="24">
        <v>0.35</v>
      </c>
      <c r="U32" s="192">
        <f t="shared" ref="U32:U34" si="57">(S32-T31)*24*60</f>
        <v>5.9999999999999787</v>
      </c>
      <c r="V32" s="196">
        <f t="shared" si="52"/>
        <v>87.000000000000014</v>
      </c>
      <c r="W32" s="192"/>
      <c r="X32" s="192"/>
      <c r="Y32" s="617"/>
      <c r="Z32" s="617"/>
      <c r="AA32" s="11">
        <f t="shared" si="2"/>
        <v>-112.41379310344882</v>
      </c>
      <c r="AB32" s="193">
        <f t="shared" si="56"/>
        <v>0.95316091954022963</v>
      </c>
      <c r="AC32" s="571"/>
    </row>
    <row r="33" spans="1:29">
      <c r="A33" s="638" t="s">
        <v>822</v>
      </c>
      <c r="B33" s="26" t="s">
        <v>46</v>
      </c>
      <c r="C33" s="616" t="s">
        <v>48</v>
      </c>
      <c r="D33" s="616"/>
      <c r="E33" s="26">
        <v>22.35</v>
      </c>
      <c r="F33" s="197">
        <v>1275</v>
      </c>
      <c r="G33" s="192">
        <f t="shared" si="48"/>
        <v>28496.25</v>
      </c>
      <c r="H33" s="21" t="s">
        <v>35</v>
      </c>
      <c r="I33" s="195">
        <v>16</v>
      </c>
      <c r="J33" s="23">
        <v>2400</v>
      </c>
      <c r="K33" s="9">
        <f t="shared" si="53"/>
        <v>150</v>
      </c>
      <c r="L33" s="195">
        <v>16</v>
      </c>
      <c r="M33" s="10">
        <f t="shared" si="54"/>
        <v>2318.1818181818148</v>
      </c>
      <c r="N33" s="9">
        <f t="shared" si="55"/>
        <v>144.88636363636343</v>
      </c>
      <c r="O33" s="11">
        <f t="shared" si="49"/>
        <v>0</v>
      </c>
      <c r="P33" s="12">
        <f t="shared" si="50"/>
        <v>-5.1136363636365729</v>
      </c>
      <c r="Q33" s="193">
        <f t="shared" si="51"/>
        <v>0.9659090909090895</v>
      </c>
      <c r="R33" s="571"/>
      <c r="S33" s="24">
        <v>0.35486111111111107</v>
      </c>
      <c r="T33" s="24">
        <v>0.37777777777777777</v>
      </c>
      <c r="U33" s="192">
        <f t="shared" si="57"/>
        <v>6.9999999999999751</v>
      </c>
      <c r="V33" s="196">
        <f t="shared" si="52"/>
        <v>33.000000000000043</v>
      </c>
      <c r="W33" s="13"/>
      <c r="X33" s="13"/>
      <c r="Y33" s="617"/>
      <c r="Z33" s="617"/>
      <c r="AA33" s="11">
        <f t="shared" si="2"/>
        <v>-81.818181818185167</v>
      </c>
      <c r="AB33" s="193">
        <f t="shared" si="56"/>
        <v>0.9659090909090895</v>
      </c>
      <c r="AC33" s="571"/>
    </row>
    <row r="34" spans="1:29">
      <c r="A34" s="638" t="s">
        <v>822</v>
      </c>
      <c r="B34" s="26" t="s">
        <v>46</v>
      </c>
      <c r="C34" s="616" t="s">
        <v>65</v>
      </c>
      <c r="D34" s="616"/>
      <c r="E34" s="26">
        <v>24.43</v>
      </c>
      <c r="F34" s="197">
        <v>7117</v>
      </c>
      <c r="G34" s="192">
        <f t="shared" si="48"/>
        <v>173868.31</v>
      </c>
      <c r="H34" s="21" t="s">
        <v>35</v>
      </c>
      <c r="I34" s="195">
        <v>15</v>
      </c>
      <c r="J34" s="23">
        <v>2400</v>
      </c>
      <c r="K34" s="9">
        <f t="shared" si="53"/>
        <v>160</v>
      </c>
      <c r="L34" s="195">
        <v>15</v>
      </c>
      <c r="M34" s="10">
        <f t="shared" si="54"/>
        <v>2283.5294117647063</v>
      </c>
      <c r="N34" s="9">
        <f t="shared" si="55"/>
        <v>152.2352941176471</v>
      </c>
      <c r="O34" s="11">
        <f t="shared" si="49"/>
        <v>0</v>
      </c>
      <c r="P34" s="12">
        <f t="shared" si="50"/>
        <v>-7.7647058823528994</v>
      </c>
      <c r="Q34" s="193">
        <f t="shared" si="51"/>
        <v>0.9514705882352944</v>
      </c>
      <c r="R34" s="571"/>
      <c r="S34" s="24">
        <v>0.38194444444444442</v>
      </c>
      <c r="T34" s="24">
        <v>0.51180555555555551</v>
      </c>
      <c r="U34" s="192">
        <f t="shared" si="57"/>
        <v>5.9999999999999787</v>
      </c>
      <c r="V34" s="196">
        <f t="shared" si="52"/>
        <v>186.99999999999997</v>
      </c>
      <c r="W34" s="13"/>
      <c r="X34" s="13"/>
      <c r="Y34" s="617"/>
      <c r="Z34" s="617"/>
      <c r="AA34" s="11">
        <f t="shared" si="2"/>
        <v>-116.47058823529369</v>
      </c>
      <c r="AB34" s="193">
        <f t="shared" si="56"/>
        <v>0.95147058823529429</v>
      </c>
      <c r="AC34" s="571"/>
    </row>
    <row r="35" spans="1:29">
      <c r="A35" s="638" t="s">
        <v>822</v>
      </c>
      <c r="B35" s="27" t="s">
        <v>817</v>
      </c>
      <c r="C35" s="629"/>
      <c r="D35" s="629"/>
      <c r="E35" s="191"/>
      <c r="F35" s="27"/>
      <c r="G35" s="9"/>
      <c r="H35" s="197"/>
      <c r="I35" s="16">
        <v>17.2</v>
      </c>
      <c r="J35" s="23">
        <v>2400</v>
      </c>
      <c r="K35" s="9">
        <f t="shared" si="53"/>
        <v>139.53488372093022</v>
      </c>
      <c r="L35" s="16">
        <v>17.2</v>
      </c>
      <c r="M35" s="10">
        <f>AVERAGE(M30:M34)</f>
        <v>2294.5818277330031</v>
      </c>
      <c r="N35" s="9">
        <f>M35/L35</f>
        <v>133.40592021703506</v>
      </c>
      <c r="O35" s="11">
        <f>L35-I35</f>
        <v>0</v>
      </c>
      <c r="P35" s="12">
        <f t="shared" si="50"/>
        <v>-6.1289635038951644</v>
      </c>
      <c r="Q35" s="193">
        <f t="shared" si="51"/>
        <v>0.95607576155541796</v>
      </c>
      <c r="R35" s="571"/>
      <c r="S35" s="24"/>
      <c r="T35" s="24"/>
      <c r="U35" s="9"/>
      <c r="V35" s="196"/>
      <c r="W35" s="9"/>
      <c r="X35" s="9"/>
      <c r="Y35" s="617"/>
      <c r="Z35" s="617"/>
      <c r="AA35" s="11">
        <f t="shared" si="2"/>
        <v>-105.41817226699686</v>
      </c>
      <c r="AB35" s="193">
        <f t="shared" si="56"/>
        <v>0.95607576155541796</v>
      </c>
      <c r="AC35" s="571"/>
    </row>
    <row r="36" spans="1:29" ht="15.75" customHeight="1">
      <c r="A36" s="630" t="s">
        <v>823</v>
      </c>
      <c r="B36" s="26" t="s">
        <v>67</v>
      </c>
      <c r="C36" s="627" t="s">
        <v>68</v>
      </c>
      <c r="D36" s="628"/>
      <c r="E36" s="26">
        <v>21.13</v>
      </c>
      <c r="F36" s="197">
        <v>4368</v>
      </c>
      <c r="G36" s="192">
        <f t="shared" ref="G36:G42" si="58">E36*F36</f>
        <v>92295.84</v>
      </c>
      <c r="H36" s="21" t="s">
        <v>35</v>
      </c>
      <c r="I36" s="195">
        <v>10</v>
      </c>
      <c r="J36" s="23">
        <v>3000</v>
      </c>
      <c r="K36" s="9">
        <f t="shared" si="53"/>
        <v>300</v>
      </c>
      <c r="L36" s="195">
        <v>10</v>
      </c>
      <c r="M36" s="10">
        <f t="shared" ref="M36:M37" si="59">F36/V36*60</f>
        <v>2880.0000000000009</v>
      </c>
      <c r="N36" s="10">
        <f t="shared" ref="N36:N43" si="60">M36/L36</f>
        <v>288.00000000000011</v>
      </c>
      <c r="O36" s="11">
        <f t="shared" ref="O36:O43" si="61">L36-I36</f>
        <v>0</v>
      </c>
      <c r="P36" s="12">
        <f t="shared" si="50"/>
        <v>-11.999999999999886</v>
      </c>
      <c r="Q36" s="193">
        <f t="shared" si="51"/>
        <v>0.96000000000000041</v>
      </c>
      <c r="R36" s="582">
        <f>Q43</f>
        <v>0.95772860962102557</v>
      </c>
      <c r="S36" s="24">
        <v>8.3333333333333329E-2</v>
      </c>
      <c r="T36" s="24">
        <v>0.14652777777777776</v>
      </c>
      <c r="U36" s="15"/>
      <c r="V36" s="196">
        <f t="shared" ref="V36:V42" si="62">(T36-S36)*24*60</f>
        <v>90.999999999999972</v>
      </c>
      <c r="W36" s="13">
        <f>T36</f>
        <v>0.14652777777777776</v>
      </c>
      <c r="X36" s="13">
        <f>S37</f>
        <v>0.16388888888888883</v>
      </c>
      <c r="Y36" s="621"/>
      <c r="Z36" s="622"/>
      <c r="AA36" s="11">
        <f t="shared" si="2"/>
        <v>-119.99999999999909</v>
      </c>
      <c r="AB36" s="193">
        <f t="shared" si="56"/>
        <v>0.9600000000000003</v>
      </c>
      <c r="AC36" s="582">
        <f>AB43</f>
        <v>0.95772860962102568</v>
      </c>
    </row>
    <row r="37" spans="1:29" ht="15.75" customHeight="1">
      <c r="A37" s="631" t="s">
        <v>823</v>
      </c>
      <c r="B37" s="26" t="s">
        <v>67</v>
      </c>
      <c r="C37" s="627" t="s">
        <v>69</v>
      </c>
      <c r="D37" s="628"/>
      <c r="E37" s="26">
        <v>27.17</v>
      </c>
      <c r="F37" s="197">
        <v>5550</v>
      </c>
      <c r="G37" s="192">
        <f t="shared" si="58"/>
        <v>150793.5</v>
      </c>
      <c r="H37" s="21" t="s">
        <v>35</v>
      </c>
      <c r="I37" s="195">
        <v>10</v>
      </c>
      <c r="J37" s="23">
        <v>3000</v>
      </c>
      <c r="K37" s="9">
        <f t="shared" si="53"/>
        <v>300</v>
      </c>
      <c r="L37" s="195">
        <v>10</v>
      </c>
      <c r="M37" s="10">
        <f t="shared" si="59"/>
        <v>2870.689655172413</v>
      </c>
      <c r="N37" s="10">
        <f t="shared" si="60"/>
        <v>287.06896551724128</v>
      </c>
      <c r="O37" s="11">
        <f t="shared" si="61"/>
        <v>0</v>
      </c>
      <c r="P37" s="12">
        <f t="shared" si="50"/>
        <v>-12.931034482758719</v>
      </c>
      <c r="Q37" s="193">
        <f t="shared" si="51"/>
        <v>0.95689655172413757</v>
      </c>
      <c r="R37" s="583"/>
      <c r="S37" s="24">
        <v>0.16388888888888883</v>
      </c>
      <c r="T37" s="24">
        <v>0.24444444444444441</v>
      </c>
      <c r="U37" s="192">
        <f>(S37-T36)*24*60</f>
        <v>24.99999999999995</v>
      </c>
      <c r="V37" s="196">
        <f t="shared" si="62"/>
        <v>116.00000000000003</v>
      </c>
      <c r="W37" s="13"/>
      <c r="X37" s="13"/>
      <c r="Y37" s="621"/>
      <c r="Z37" s="622"/>
      <c r="AA37" s="11">
        <f t="shared" si="2"/>
        <v>-129.31034482758696</v>
      </c>
      <c r="AB37" s="193">
        <f t="shared" si="56"/>
        <v>0.95689655172413768</v>
      </c>
      <c r="AC37" s="583"/>
    </row>
    <row r="38" spans="1:29" ht="15.75" customHeight="1">
      <c r="A38" s="631" t="s">
        <v>823</v>
      </c>
      <c r="B38" s="26" t="s">
        <v>67</v>
      </c>
      <c r="C38" s="627" t="s">
        <v>70</v>
      </c>
      <c r="D38" s="628"/>
      <c r="E38" s="26">
        <v>35.119999999999997</v>
      </c>
      <c r="F38" s="197">
        <v>3963</v>
      </c>
      <c r="G38" s="192">
        <f t="shared" si="58"/>
        <v>139180.56</v>
      </c>
      <c r="H38" s="21" t="s">
        <v>35</v>
      </c>
      <c r="I38" s="195">
        <v>10</v>
      </c>
      <c r="J38" s="23">
        <v>3000</v>
      </c>
      <c r="K38" s="9">
        <f t="shared" si="53"/>
        <v>300</v>
      </c>
      <c r="L38" s="195">
        <v>10</v>
      </c>
      <c r="M38" s="10">
        <f>F38/V38*60</f>
        <v>2864.8192771084341</v>
      </c>
      <c r="N38" s="10">
        <f t="shared" si="60"/>
        <v>286.48192771084342</v>
      </c>
      <c r="O38" s="11">
        <f t="shared" si="61"/>
        <v>0</v>
      </c>
      <c r="P38" s="12">
        <f t="shared" si="50"/>
        <v>-13.518072289156578</v>
      </c>
      <c r="Q38" s="193">
        <f t="shared" si="51"/>
        <v>0.9549397590361447</v>
      </c>
      <c r="R38" s="583"/>
      <c r="S38" s="24">
        <v>0.24861111111111109</v>
      </c>
      <c r="T38" s="24">
        <v>0.30624999999999997</v>
      </c>
      <c r="U38" s="192">
        <f t="shared" ref="U38:U42" si="63">(S38-T37)*24*60</f>
        <v>6.0000000000000187</v>
      </c>
      <c r="V38" s="196">
        <f t="shared" si="62"/>
        <v>82.999999999999986</v>
      </c>
      <c r="W38" s="13"/>
      <c r="X38" s="13"/>
      <c r="Y38" s="621"/>
      <c r="Z38" s="622"/>
      <c r="AA38" s="11">
        <f t="shared" si="2"/>
        <v>-135.18072289156589</v>
      </c>
      <c r="AB38" s="193">
        <f t="shared" si="56"/>
        <v>0.9549397590361447</v>
      </c>
      <c r="AC38" s="583"/>
    </row>
    <row r="39" spans="1:29" ht="15.75" customHeight="1">
      <c r="A39" s="631" t="s">
        <v>823</v>
      </c>
      <c r="B39" s="26" t="s">
        <v>67</v>
      </c>
      <c r="C39" s="627" t="s">
        <v>71</v>
      </c>
      <c r="D39" s="628"/>
      <c r="E39" s="26">
        <v>35.869999999999997</v>
      </c>
      <c r="F39" s="197">
        <v>2567</v>
      </c>
      <c r="G39" s="192">
        <f t="shared" si="58"/>
        <v>92078.29</v>
      </c>
      <c r="H39" s="21" t="s">
        <v>35</v>
      </c>
      <c r="I39" s="195">
        <v>10</v>
      </c>
      <c r="J39" s="23">
        <v>3000</v>
      </c>
      <c r="K39" s="9">
        <f t="shared" si="53"/>
        <v>300</v>
      </c>
      <c r="L39" s="195">
        <v>10</v>
      </c>
      <c r="M39" s="10">
        <f t="shared" ref="M39:M42" si="64">F39/V39*60</f>
        <v>2906.0377358490582</v>
      </c>
      <c r="N39" s="10">
        <f t="shared" si="60"/>
        <v>290.60377358490581</v>
      </c>
      <c r="O39" s="11">
        <f t="shared" si="61"/>
        <v>0</v>
      </c>
      <c r="P39" s="12">
        <f t="shared" si="50"/>
        <v>-9.3962264150941905</v>
      </c>
      <c r="Q39" s="193">
        <f t="shared" si="51"/>
        <v>0.96867924528301941</v>
      </c>
      <c r="R39" s="583"/>
      <c r="S39" s="24">
        <v>0.30972222222222218</v>
      </c>
      <c r="T39" s="24">
        <v>0.34652777777777771</v>
      </c>
      <c r="U39" s="192">
        <f t="shared" si="63"/>
        <v>4.9999999999999822</v>
      </c>
      <c r="V39" s="196">
        <f t="shared" si="62"/>
        <v>52.999999999999972</v>
      </c>
      <c r="W39" s="13"/>
      <c r="X39" s="13"/>
      <c r="Y39" s="621"/>
      <c r="Z39" s="622"/>
      <c r="AA39" s="11">
        <f t="shared" si="2"/>
        <v>-93.962264150941792</v>
      </c>
      <c r="AB39" s="193">
        <f t="shared" si="56"/>
        <v>0.96867924528301941</v>
      </c>
      <c r="AC39" s="583"/>
    </row>
    <row r="40" spans="1:29" ht="15.75" customHeight="1">
      <c r="A40" s="631" t="s">
        <v>823</v>
      </c>
      <c r="B40" s="26" t="s">
        <v>67</v>
      </c>
      <c r="C40" s="627" t="s">
        <v>72</v>
      </c>
      <c r="D40" s="628"/>
      <c r="E40" s="26">
        <v>36.14</v>
      </c>
      <c r="F40" s="197">
        <v>1481</v>
      </c>
      <c r="G40" s="192">
        <f t="shared" si="58"/>
        <v>53523.340000000004</v>
      </c>
      <c r="H40" s="21" t="s">
        <v>35</v>
      </c>
      <c r="I40" s="195">
        <v>8</v>
      </c>
      <c r="J40" s="23">
        <v>3000</v>
      </c>
      <c r="K40" s="9">
        <f t="shared" si="53"/>
        <v>375</v>
      </c>
      <c r="L40" s="195">
        <v>8</v>
      </c>
      <c r="M40" s="10">
        <f t="shared" si="64"/>
        <v>2866.4516129032281</v>
      </c>
      <c r="N40" s="10">
        <f t="shared" si="60"/>
        <v>358.30645161290352</v>
      </c>
      <c r="O40" s="11">
        <f t="shared" si="61"/>
        <v>0</v>
      </c>
      <c r="P40" s="12">
        <f t="shared" si="50"/>
        <v>-16.693548387096484</v>
      </c>
      <c r="Q40" s="193">
        <f>N40/K40</f>
        <v>0.95548387096774268</v>
      </c>
      <c r="R40" s="583"/>
      <c r="S40" s="24">
        <v>0.35069444444444436</v>
      </c>
      <c r="T40" s="24">
        <v>0.37222222222222212</v>
      </c>
      <c r="U40" s="192">
        <f t="shared" si="63"/>
        <v>5.9999999999999787</v>
      </c>
      <c r="V40" s="196">
        <f t="shared" si="62"/>
        <v>30.999999999999972</v>
      </c>
      <c r="W40" s="13"/>
      <c r="X40" s="13"/>
      <c r="Y40" s="621"/>
      <c r="Z40" s="622"/>
      <c r="AA40" s="11">
        <f t="shared" si="2"/>
        <v>-133.54838709677188</v>
      </c>
      <c r="AB40" s="193">
        <f t="shared" si="56"/>
        <v>0.95548387096774268</v>
      </c>
      <c r="AC40" s="583"/>
    </row>
    <row r="41" spans="1:29" ht="15.75" customHeight="1">
      <c r="A41" s="631" t="s">
        <v>823</v>
      </c>
      <c r="B41" s="26" t="s">
        <v>67</v>
      </c>
      <c r="C41" s="627" t="s">
        <v>664</v>
      </c>
      <c r="D41" s="628"/>
      <c r="E41" s="26">
        <v>32.83</v>
      </c>
      <c r="F41" s="197">
        <v>5258</v>
      </c>
      <c r="G41" s="192">
        <f t="shared" si="58"/>
        <v>172620.13999999998</v>
      </c>
      <c r="H41" s="21" t="s">
        <v>35</v>
      </c>
      <c r="I41" s="195">
        <v>10</v>
      </c>
      <c r="J41" s="23">
        <v>3000</v>
      </c>
      <c r="K41" s="9">
        <f t="shared" si="53"/>
        <v>300</v>
      </c>
      <c r="L41" s="195">
        <v>10</v>
      </c>
      <c r="M41" s="10">
        <f t="shared" si="64"/>
        <v>2868</v>
      </c>
      <c r="N41" s="10">
        <f t="shared" si="60"/>
        <v>286.8</v>
      </c>
      <c r="O41" s="11">
        <f t="shared" si="61"/>
        <v>0</v>
      </c>
      <c r="P41" s="12">
        <f t="shared" si="50"/>
        <v>-13.199999999999989</v>
      </c>
      <c r="Q41" s="193">
        <f t="shared" ref="Q41:Q43" si="65">N41/K41</f>
        <v>0.95600000000000007</v>
      </c>
      <c r="R41" s="583"/>
      <c r="S41" s="24">
        <v>0.37777777777777766</v>
      </c>
      <c r="T41" s="24">
        <v>0.45416666666666655</v>
      </c>
      <c r="U41" s="192">
        <f t="shared" si="63"/>
        <v>7.9999999999999716</v>
      </c>
      <c r="V41" s="196">
        <f t="shared" si="62"/>
        <v>110.00000000000001</v>
      </c>
      <c r="W41" s="13"/>
      <c r="X41" s="13"/>
      <c r="Y41" s="621"/>
      <c r="Z41" s="622"/>
      <c r="AA41" s="11">
        <f t="shared" si="2"/>
        <v>-132</v>
      </c>
      <c r="AB41" s="193">
        <f t="shared" si="56"/>
        <v>0.95599999999999996</v>
      </c>
      <c r="AC41" s="583"/>
    </row>
    <row r="42" spans="1:29" ht="15.75" customHeight="1">
      <c r="A42" s="631" t="s">
        <v>823</v>
      </c>
      <c r="B42" s="26" t="s">
        <v>67</v>
      </c>
      <c r="C42" s="627" t="s">
        <v>666</v>
      </c>
      <c r="D42" s="628"/>
      <c r="E42" s="26">
        <v>36.19</v>
      </c>
      <c r="F42" s="197">
        <v>5665</v>
      </c>
      <c r="G42" s="192">
        <f t="shared" si="58"/>
        <v>205016.34999999998</v>
      </c>
      <c r="H42" s="21" t="s">
        <v>35</v>
      </c>
      <c r="I42" s="195">
        <v>11</v>
      </c>
      <c r="J42" s="23">
        <v>3000</v>
      </c>
      <c r="K42" s="9">
        <f t="shared" si="53"/>
        <v>272.72727272727275</v>
      </c>
      <c r="L42" s="195">
        <v>11</v>
      </c>
      <c r="M42" s="10">
        <f t="shared" si="64"/>
        <v>2856.3025210084043</v>
      </c>
      <c r="N42" s="10">
        <f t="shared" si="60"/>
        <v>259.66386554621857</v>
      </c>
      <c r="O42" s="11">
        <f t="shared" si="61"/>
        <v>0</v>
      </c>
      <c r="P42" s="12">
        <f t="shared" si="50"/>
        <v>-13.063407181054174</v>
      </c>
      <c r="Q42" s="193">
        <f t="shared" si="65"/>
        <v>0.95210084033613473</v>
      </c>
      <c r="R42" s="583"/>
      <c r="S42" s="24">
        <v>0.45763888888888876</v>
      </c>
      <c r="T42" s="24">
        <v>0.54027777777777763</v>
      </c>
      <c r="U42" s="192">
        <f t="shared" si="63"/>
        <v>4.9999999999999822</v>
      </c>
      <c r="V42" s="196">
        <f t="shared" si="62"/>
        <v>118.99999999999997</v>
      </c>
      <c r="W42" s="13"/>
      <c r="X42" s="13"/>
      <c r="Y42" s="621"/>
      <c r="Z42" s="622"/>
      <c r="AA42" s="11">
        <f t="shared" si="2"/>
        <v>-143.69747899159574</v>
      </c>
      <c r="AB42" s="193">
        <f t="shared" si="56"/>
        <v>0.95210084033613473</v>
      </c>
      <c r="AC42" s="583"/>
    </row>
    <row r="43" spans="1:29" ht="15.75" customHeight="1">
      <c r="A43" s="632" t="s">
        <v>823</v>
      </c>
      <c r="B43" s="26" t="s">
        <v>817</v>
      </c>
      <c r="C43" s="625"/>
      <c r="D43" s="626"/>
      <c r="E43" s="194"/>
      <c r="F43" s="197"/>
      <c r="G43" s="192"/>
      <c r="H43" s="197"/>
      <c r="I43" s="16">
        <v>9.8571428571428577</v>
      </c>
      <c r="J43" s="23">
        <v>3000</v>
      </c>
      <c r="K43" s="9">
        <f>J43/I43</f>
        <v>304.3478260869565</v>
      </c>
      <c r="L43" s="16">
        <v>9.8571428571428577</v>
      </c>
      <c r="M43" s="10">
        <f>AVERAGE(M36:M42)</f>
        <v>2873.1858288630769</v>
      </c>
      <c r="N43" s="9">
        <f t="shared" si="60"/>
        <v>291.48262031944256</v>
      </c>
      <c r="O43" s="11">
        <f t="shared" si="61"/>
        <v>0</v>
      </c>
      <c r="P43" s="12">
        <f t="shared" si="50"/>
        <v>-12.865205767513942</v>
      </c>
      <c r="Q43" s="193">
        <f t="shared" si="65"/>
        <v>0.95772860962102557</v>
      </c>
      <c r="R43" s="584"/>
      <c r="S43" s="24"/>
      <c r="T43" s="24"/>
      <c r="U43" s="192"/>
      <c r="V43" s="196"/>
      <c r="W43" s="13"/>
      <c r="X43" s="13"/>
      <c r="Y43" s="621"/>
      <c r="Z43" s="622"/>
      <c r="AA43" s="11">
        <f t="shared" si="2"/>
        <v>-126.81417113692305</v>
      </c>
      <c r="AB43" s="193">
        <f t="shared" si="56"/>
        <v>0.95772860962102568</v>
      </c>
      <c r="AC43" s="584"/>
    </row>
    <row r="44" spans="1:29" ht="15.75" customHeight="1">
      <c r="A44" s="633" t="s">
        <v>824</v>
      </c>
      <c r="B44" s="26" t="s">
        <v>40</v>
      </c>
      <c r="C44" s="616" t="s">
        <v>73</v>
      </c>
      <c r="D44" s="616"/>
      <c r="E44" s="26">
        <v>46</v>
      </c>
      <c r="F44" s="28">
        <v>2180</v>
      </c>
      <c r="G44" s="192">
        <f t="shared" ref="G44:G49" si="66">E44*F44</f>
        <v>100280</v>
      </c>
      <c r="H44" s="21" t="s">
        <v>35</v>
      </c>
      <c r="I44" s="195">
        <v>17</v>
      </c>
      <c r="J44" s="23">
        <v>2000</v>
      </c>
      <c r="K44" s="9">
        <f t="shared" ref="K44:K49" si="67">J44/I44</f>
        <v>117.64705882352941</v>
      </c>
      <c r="L44" s="195">
        <v>17</v>
      </c>
      <c r="M44" s="10">
        <f t="shared" ref="M44:M49" si="68">F44/V44*60</f>
        <v>1923.5294117647061</v>
      </c>
      <c r="N44" s="10">
        <f>M44/L44</f>
        <v>113.14878892733566</v>
      </c>
      <c r="O44" s="11">
        <f>L44-I44</f>
        <v>0</v>
      </c>
      <c r="P44" s="12">
        <f>N44-K44</f>
        <v>-4.4982698961937473</v>
      </c>
      <c r="Q44" s="193">
        <f>N44/K44</f>
        <v>0.96176470588235319</v>
      </c>
      <c r="R44" s="571">
        <f>Q50</f>
        <v>0.95953688920475877</v>
      </c>
      <c r="S44" s="24">
        <v>0.29166666666666669</v>
      </c>
      <c r="T44" s="24">
        <v>0.33888888888888891</v>
      </c>
      <c r="U44" s="15"/>
      <c r="V44" s="196">
        <f t="shared" ref="V44:V49" si="69">(T44-S44)*24*60</f>
        <v>68</v>
      </c>
      <c r="W44" s="15"/>
      <c r="X44" s="15"/>
      <c r="Y44" s="617"/>
      <c r="Z44" s="617"/>
      <c r="AA44" s="11">
        <f t="shared" si="2"/>
        <v>-76.470588235293917</v>
      </c>
      <c r="AB44" s="193">
        <f t="shared" si="56"/>
        <v>0.96176470588235308</v>
      </c>
      <c r="AC44" s="571">
        <f>AB50</f>
        <v>0.95953688920475866</v>
      </c>
    </row>
    <row r="45" spans="1:29" ht="15.75" customHeight="1">
      <c r="A45" s="633" t="s">
        <v>824</v>
      </c>
      <c r="B45" s="26" t="s">
        <v>36</v>
      </c>
      <c r="C45" s="616" t="s">
        <v>75</v>
      </c>
      <c r="D45" s="616"/>
      <c r="E45" s="26">
        <v>54.09</v>
      </c>
      <c r="F45" s="28">
        <v>766</v>
      </c>
      <c r="G45" s="192">
        <f t="shared" si="66"/>
        <v>41432.94</v>
      </c>
      <c r="H45" s="21" t="s">
        <v>35</v>
      </c>
      <c r="I45" s="195">
        <v>16</v>
      </c>
      <c r="J45" s="23">
        <v>2000</v>
      </c>
      <c r="K45" s="9">
        <f t="shared" si="67"/>
        <v>125</v>
      </c>
      <c r="L45" s="195">
        <v>16</v>
      </c>
      <c r="M45" s="10">
        <f t="shared" si="68"/>
        <v>1915.0000000000005</v>
      </c>
      <c r="N45" s="10">
        <f t="shared" ref="N45:N49" si="70">M45/L45</f>
        <v>119.68750000000003</v>
      </c>
      <c r="O45" s="11">
        <f t="shared" ref="O45:O49" si="71">L45-I45</f>
        <v>0</v>
      </c>
      <c r="P45" s="12">
        <f t="shared" ref="P45:P49" si="72">N45-K45</f>
        <v>-5.3124999999999716</v>
      </c>
      <c r="Q45" s="193">
        <f t="shared" ref="Q45:Q49" si="73">N45/K45</f>
        <v>0.95750000000000024</v>
      </c>
      <c r="R45" s="571"/>
      <c r="S45" s="24">
        <v>0.34305555555555556</v>
      </c>
      <c r="T45" s="24">
        <v>0.35972222222222222</v>
      </c>
      <c r="U45" s="192">
        <f>IF(S45=TIME(17,0,0),"",(S45-T44)*24*60)</f>
        <v>5.9999999999999787</v>
      </c>
      <c r="V45" s="196">
        <f t="shared" si="69"/>
        <v>23.999999999999993</v>
      </c>
      <c r="W45" s="13"/>
      <c r="X45" s="13"/>
      <c r="Y45" s="617"/>
      <c r="Z45" s="617"/>
      <c r="AA45" s="11">
        <f t="shared" si="2"/>
        <v>-84.999999999999545</v>
      </c>
      <c r="AB45" s="193">
        <f t="shared" si="56"/>
        <v>0.95750000000000024</v>
      </c>
      <c r="AC45" s="571"/>
    </row>
    <row r="46" spans="1:29" ht="15.75" customHeight="1">
      <c r="A46" s="633" t="s">
        <v>824</v>
      </c>
      <c r="B46" s="26" t="s">
        <v>40</v>
      </c>
      <c r="C46" s="627" t="s">
        <v>74</v>
      </c>
      <c r="D46" s="628"/>
      <c r="E46" s="26">
        <v>46</v>
      </c>
      <c r="F46" s="28">
        <v>2340</v>
      </c>
      <c r="G46" s="192">
        <f t="shared" si="66"/>
        <v>107640</v>
      </c>
      <c r="H46" s="21" t="s">
        <v>35</v>
      </c>
      <c r="I46" s="195">
        <v>17</v>
      </c>
      <c r="J46" s="23">
        <v>2000</v>
      </c>
      <c r="K46" s="9">
        <f t="shared" si="67"/>
        <v>117.64705882352941</v>
      </c>
      <c r="L46" s="195">
        <v>17</v>
      </c>
      <c r="M46" s="10">
        <f t="shared" si="68"/>
        <v>1923.2876712328771</v>
      </c>
      <c r="N46" s="10">
        <f t="shared" si="70"/>
        <v>113.13456889605159</v>
      </c>
      <c r="O46" s="11">
        <f t="shared" si="71"/>
        <v>0</v>
      </c>
      <c r="P46" s="12">
        <f t="shared" si="72"/>
        <v>-4.5124899274778159</v>
      </c>
      <c r="Q46" s="193">
        <f t="shared" si="73"/>
        <v>0.96164383561643851</v>
      </c>
      <c r="R46" s="571"/>
      <c r="S46" s="24">
        <v>0.36458333333333331</v>
      </c>
      <c r="T46" s="24">
        <v>0.41527777777777775</v>
      </c>
      <c r="U46" s="192">
        <f t="shared" ref="U46:U49" si="74">IF(S46=TIME(17,0,0),"",(S46-T45)*24*60)</f>
        <v>6.9999999999999751</v>
      </c>
      <c r="V46" s="196">
        <f t="shared" si="69"/>
        <v>72.999999999999986</v>
      </c>
      <c r="W46" s="13"/>
      <c r="X46" s="13"/>
      <c r="Y46" s="189"/>
      <c r="Z46" s="190"/>
      <c r="AA46" s="11">
        <f t="shared" si="2"/>
        <v>-76.712328767122926</v>
      </c>
      <c r="AB46" s="193">
        <f t="shared" si="56"/>
        <v>0.96164383561643851</v>
      </c>
      <c r="AC46" s="571"/>
    </row>
    <row r="47" spans="1:29" ht="15.75" customHeight="1">
      <c r="A47" s="633" t="s">
        <v>824</v>
      </c>
      <c r="B47" s="26" t="s">
        <v>36</v>
      </c>
      <c r="C47" s="187" t="s">
        <v>76</v>
      </c>
      <c r="D47" s="188"/>
      <c r="E47" s="26">
        <v>55.56</v>
      </c>
      <c r="F47" s="28">
        <v>1776</v>
      </c>
      <c r="G47" s="192">
        <f t="shared" si="66"/>
        <v>98674.559999999998</v>
      </c>
      <c r="H47" s="21" t="s">
        <v>35</v>
      </c>
      <c r="I47" s="195">
        <v>17</v>
      </c>
      <c r="J47" s="23">
        <v>2000</v>
      </c>
      <c r="K47" s="9">
        <f t="shared" si="67"/>
        <v>117.64705882352941</v>
      </c>
      <c r="L47" s="195">
        <v>17</v>
      </c>
      <c r="M47" s="10">
        <f t="shared" si="68"/>
        <v>1902.8571428571445</v>
      </c>
      <c r="N47" s="10">
        <f t="shared" si="70"/>
        <v>111.9327731092438</v>
      </c>
      <c r="O47" s="11">
        <f t="shared" si="71"/>
        <v>0</v>
      </c>
      <c r="P47" s="12">
        <f t="shared" si="72"/>
        <v>-5.7142857142856087</v>
      </c>
      <c r="Q47" s="193">
        <f t="shared" si="73"/>
        <v>0.95142857142857229</v>
      </c>
      <c r="R47" s="571"/>
      <c r="S47" s="24">
        <v>0.70833333333333337</v>
      </c>
      <c r="T47" s="24">
        <v>0.74722222222222223</v>
      </c>
      <c r="U47" s="192" t="str">
        <f t="shared" si="74"/>
        <v/>
      </c>
      <c r="V47" s="196">
        <f t="shared" si="69"/>
        <v>55.999999999999957</v>
      </c>
      <c r="W47" s="13"/>
      <c r="X47" s="13"/>
      <c r="Y47" s="189"/>
      <c r="Z47" s="190"/>
      <c r="AA47" s="11">
        <f t="shared" si="2"/>
        <v>-97.142857142855519</v>
      </c>
      <c r="AB47" s="193">
        <f t="shared" si="56"/>
        <v>0.95142857142857229</v>
      </c>
      <c r="AC47" s="571"/>
    </row>
    <row r="48" spans="1:29" ht="15.75" customHeight="1">
      <c r="A48" s="633" t="s">
        <v>824</v>
      </c>
      <c r="B48" s="26" t="s">
        <v>36</v>
      </c>
      <c r="C48" s="187" t="s">
        <v>77</v>
      </c>
      <c r="D48" s="188"/>
      <c r="E48" s="26">
        <v>55.32</v>
      </c>
      <c r="F48" s="28">
        <v>1336</v>
      </c>
      <c r="G48" s="192">
        <f t="shared" si="66"/>
        <v>73907.520000000004</v>
      </c>
      <c r="H48" s="21" t="s">
        <v>35</v>
      </c>
      <c r="I48" s="195">
        <v>15</v>
      </c>
      <c r="J48" s="23">
        <v>2000</v>
      </c>
      <c r="K48" s="9">
        <f t="shared" si="67"/>
        <v>133.33333333333334</v>
      </c>
      <c r="L48" s="195">
        <v>15</v>
      </c>
      <c r="M48" s="10">
        <f t="shared" si="68"/>
        <v>1908.571428571428</v>
      </c>
      <c r="N48" s="10">
        <f t="shared" si="70"/>
        <v>127.2380952380952</v>
      </c>
      <c r="O48" s="11">
        <f t="shared" si="71"/>
        <v>0</v>
      </c>
      <c r="P48" s="12">
        <f t="shared" si="72"/>
        <v>-6.0952380952381446</v>
      </c>
      <c r="Q48" s="193">
        <f t="shared" si="73"/>
        <v>0.95428571428571396</v>
      </c>
      <c r="R48" s="571"/>
      <c r="S48" s="24">
        <v>0.75069444444444444</v>
      </c>
      <c r="T48" s="24">
        <v>0.77986111111111112</v>
      </c>
      <c r="U48" s="192">
        <f t="shared" si="74"/>
        <v>4.9999999999999822</v>
      </c>
      <c r="V48" s="196">
        <f t="shared" si="69"/>
        <v>42.000000000000014</v>
      </c>
      <c r="W48" s="13"/>
      <c r="X48" s="13"/>
      <c r="Y48" s="189"/>
      <c r="Z48" s="190"/>
      <c r="AA48" s="11">
        <f t="shared" si="2"/>
        <v>-91.428571428572013</v>
      </c>
      <c r="AB48" s="193">
        <f t="shared" si="56"/>
        <v>0.95428571428571396</v>
      </c>
      <c r="AC48" s="571"/>
    </row>
    <row r="49" spans="1:29" ht="15.75" customHeight="1">
      <c r="A49" s="633" t="s">
        <v>824</v>
      </c>
      <c r="B49" s="26" t="s">
        <v>36</v>
      </c>
      <c r="C49" s="627" t="s">
        <v>78</v>
      </c>
      <c r="D49" s="628"/>
      <c r="E49" s="26">
        <v>57.73</v>
      </c>
      <c r="F49" s="28">
        <v>1023</v>
      </c>
      <c r="G49" s="192">
        <f t="shared" si="66"/>
        <v>59057.789999999994</v>
      </c>
      <c r="H49" s="21" t="s">
        <v>35</v>
      </c>
      <c r="I49" s="195">
        <v>16</v>
      </c>
      <c r="J49" s="23">
        <v>1500</v>
      </c>
      <c r="K49" s="9">
        <f t="shared" si="67"/>
        <v>93.75</v>
      </c>
      <c r="L49" s="195">
        <v>16</v>
      </c>
      <c r="M49" s="10">
        <f t="shared" si="68"/>
        <v>1461.4285714285711</v>
      </c>
      <c r="N49" s="10">
        <f t="shared" si="70"/>
        <v>91.339285714285694</v>
      </c>
      <c r="O49" s="11">
        <f t="shared" si="71"/>
        <v>0</v>
      </c>
      <c r="P49" s="12">
        <f t="shared" si="72"/>
        <v>-2.410714285714306</v>
      </c>
      <c r="Q49" s="193">
        <f t="shared" si="73"/>
        <v>0.97428571428571409</v>
      </c>
      <c r="R49" s="571"/>
      <c r="S49" s="24">
        <v>0.78472222222222221</v>
      </c>
      <c r="T49" s="24">
        <v>0.81388888888888888</v>
      </c>
      <c r="U49" s="192">
        <f t="shared" si="74"/>
        <v>6.9999999999999751</v>
      </c>
      <c r="V49" s="196">
        <f t="shared" si="69"/>
        <v>42.000000000000014</v>
      </c>
      <c r="W49" s="13"/>
      <c r="X49" s="13"/>
      <c r="Y49" s="621"/>
      <c r="Z49" s="622"/>
      <c r="AA49" s="11">
        <f t="shared" si="2"/>
        <v>-38.571428571428896</v>
      </c>
      <c r="AB49" s="193">
        <f t="shared" si="56"/>
        <v>0.97428571428571409</v>
      </c>
      <c r="AC49" s="571"/>
    </row>
    <row r="50" spans="1:29">
      <c r="A50" s="634" t="s">
        <v>824</v>
      </c>
      <c r="B50" s="26" t="s">
        <v>817</v>
      </c>
      <c r="C50" s="629"/>
      <c r="D50" s="629"/>
      <c r="E50" s="191"/>
      <c r="F50" s="27"/>
      <c r="G50" s="9"/>
      <c r="H50" s="197"/>
      <c r="I50" s="16">
        <v>16.333333333333332</v>
      </c>
      <c r="J50" s="23">
        <v>1916.6666666666667</v>
      </c>
      <c r="K50" s="9">
        <f>J50/I50</f>
        <v>117.34693877551021</v>
      </c>
      <c r="L50" s="16">
        <v>16.333333333333332</v>
      </c>
      <c r="M50" s="10">
        <f>AVERAGE(M44:M49)</f>
        <v>1839.1123709757876</v>
      </c>
      <c r="N50" s="9">
        <f>M50/L50</f>
        <v>112.59871659035436</v>
      </c>
      <c r="O50" s="11">
        <f>L50-I50</f>
        <v>0</v>
      </c>
      <c r="P50" s="12">
        <f>N50-K50</f>
        <v>-4.7482221851558535</v>
      </c>
      <c r="Q50" s="193">
        <f>N50/K50</f>
        <v>0.95953688920475877</v>
      </c>
      <c r="R50" s="571"/>
      <c r="S50" s="25"/>
      <c r="T50" s="24"/>
      <c r="U50" s="9"/>
      <c r="V50" s="196"/>
      <c r="W50" s="9"/>
      <c r="X50" s="9"/>
      <c r="Y50" s="617"/>
      <c r="Z50" s="617"/>
      <c r="AA50" s="11">
        <f t="shared" si="2"/>
        <v>-77.554295690879144</v>
      </c>
      <c r="AB50" s="193">
        <f t="shared" si="56"/>
        <v>0.95953688920475866</v>
      </c>
      <c r="AC50" s="571"/>
    </row>
    <row r="51" spans="1:29" ht="15.75" customHeight="1">
      <c r="A51" s="623" t="s">
        <v>825</v>
      </c>
      <c r="B51" s="197" t="s">
        <v>40</v>
      </c>
      <c r="C51" s="616" t="s">
        <v>82</v>
      </c>
      <c r="D51" s="616"/>
      <c r="E51" s="26">
        <v>26.97</v>
      </c>
      <c r="F51" s="28">
        <v>2705</v>
      </c>
      <c r="G51" s="192">
        <f t="shared" ref="G51:G53" si="75">E51*F51</f>
        <v>72953.849999999991</v>
      </c>
      <c r="H51" s="21" t="s">
        <v>35</v>
      </c>
      <c r="I51" s="195">
        <v>8</v>
      </c>
      <c r="J51" s="23">
        <v>1500</v>
      </c>
      <c r="K51" s="9">
        <f t="shared" ref="K51:K53" si="76">J51/I51</f>
        <v>187.5</v>
      </c>
      <c r="L51" s="195">
        <v>8</v>
      </c>
      <c r="M51" s="10">
        <f t="shared" ref="M51:M53" si="77">F51/V51*60</f>
        <v>1436.2831858407087</v>
      </c>
      <c r="N51" s="9">
        <f>M51/L51</f>
        <v>179.53539823008859</v>
      </c>
      <c r="O51" s="11">
        <f t="shared" ref="O51:O53" si="78">L51-I51</f>
        <v>0</v>
      </c>
      <c r="P51" s="12">
        <f t="shared" ref="P51:P53" si="79">N51-K51</f>
        <v>-7.9646017699114111</v>
      </c>
      <c r="Q51" s="193">
        <f>N51/K51</f>
        <v>0.95752212389380575</v>
      </c>
      <c r="R51" s="571">
        <f>Q54</f>
        <v>0.96527546854980517</v>
      </c>
      <c r="S51" s="24">
        <v>0.20833333333333334</v>
      </c>
      <c r="T51" s="24">
        <v>0.28680555555555554</v>
      </c>
      <c r="U51" s="192"/>
      <c r="V51" s="196">
        <f t="shared" ref="V51:V53" si="80">(T51-S51)*24*60</f>
        <v>112.99999999999996</v>
      </c>
      <c r="W51" s="15"/>
      <c r="X51" s="15"/>
      <c r="Y51" s="617"/>
      <c r="Z51" s="617"/>
      <c r="AA51" s="11">
        <f t="shared" si="2"/>
        <v>-63.716814159291289</v>
      </c>
      <c r="AB51" s="193">
        <f t="shared" si="56"/>
        <v>0.95752212389380575</v>
      </c>
      <c r="AC51" s="571">
        <f>AB54</f>
        <v>0.96527546854980517</v>
      </c>
    </row>
    <row r="52" spans="1:29" ht="15.75" customHeight="1">
      <c r="A52" s="623" t="s">
        <v>825</v>
      </c>
      <c r="B52" s="197" t="s">
        <v>67</v>
      </c>
      <c r="C52" s="616" t="s">
        <v>79</v>
      </c>
      <c r="D52" s="616"/>
      <c r="E52" s="26">
        <v>26.78</v>
      </c>
      <c r="F52" s="28">
        <v>2103</v>
      </c>
      <c r="G52" s="192">
        <f t="shared" si="75"/>
        <v>56318.340000000004</v>
      </c>
      <c r="H52" s="21" t="s">
        <v>35</v>
      </c>
      <c r="I52" s="195">
        <v>10</v>
      </c>
      <c r="J52" s="23">
        <v>3000</v>
      </c>
      <c r="K52" s="9">
        <f t="shared" si="76"/>
        <v>300</v>
      </c>
      <c r="L52" s="195">
        <v>10</v>
      </c>
      <c r="M52" s="10">
        <f t="shared" si="77"/>
        <v>2867.727272727273</v>
      </c>
      <c r="N52" s="9">
        <f t="shared" ref="N52:N53" si="81">M52/L52</f>
        <v>286.77272727272731</v>
      </c>
      <c r="O52" s="11">
        <f t="shared" si="78"/>
        <v>0</v>
      </c>
      <c r="P52" s="12">
        <f t="shared" si="79"/>
        <v>-13.227272727272691</v>
      </c>
      <c r="Q52" s="193">
        <f t="shared" ref="Q52:Q53" si="82">N52/K52</f>
        <v>0.95590909090909104</v>
      </c>
      <c r="R52" s="571"/>
      <c r="S52" s="24">
        <v>0.29236111111111107</v>
      </c>
      <c r="T52" s="24">
        <v>0.32291666666666663</v>
      </c>
      <c r="U52" s="192">
        <f>(S52-T51)*24*60</f>
        <v>7.9999999999999716</v>
      </c>
      <c r="V52" s="196">
        <f t="shared" si="80"/>
        <v>44</v>
      </c>
      <c r="W52" s="192"/>
      <c r="X52" s="192"/>
      <c r="Y52" s="617"/>
      <c r="Z52" s="617"/>
      <c r="AA52" s="11">
        <f t="shared" si="2"/>
        <v>-132.27272727272702</v>
      </c>
      <c r="AB52" s="193">
        <f t="shared" si="56"/>
        <v>0.95590909090909104</v>
      </c>
      <c r="AC52" s="571"/>
    </row>
    <row r="53" spans="1:29" ht="15.75" customHeight="1">
      <c r="A53" s="623" t="s">
        <v>825</v>
      </c>
      <c r="B53" s="197" t="s">
        <v>67</v>
      </c>
      <c r="C53" s="616" t="s">
        <v>83</v>
      </c>
      <c r="D53" s="616"/>
      <c r="E53" s="26">
        <v>35.369999999999997</v>
      </c>
      <c r="F53" s="28">
        <v>1321</v>
      </c>
      <c r="G53" s="192">
        <f t="shared" si="75"/>
        <v>46723.77</v>
      </c>
      <c r="H53" s="21" t="s">
        <v>35</v>
      </c>
      <c r="I53" s="195">
        <v>10</v>
      </c>
      <c r="J53" s="23">
        <v>3000</v>
      </c>
      <c r="K53" s="9">
        <f t="shared" si="76"/>
        <v>300</v>
      </c>
      <c r="L53" s="195">
        <v>10</v>
      </c>
      <c r="M53" s="10">
        <f t="shared" si="77"/>
        <v>2935.555555555557</v>
      </c>
      <c r="N53" s="9">
        <f t="shared" si="81"/>
        <v>293.55555555555571</v>
      </c>
      <c r="O53" s="11">
        <f t="shared" si="78"/>
        <v>0</v>
      </c>
      <c r="P53" s="12">
        <f t="shared" si="79"/>
        <v>-6.4444444444442865</v>
      </c>
      <c r="Q53" s="193">
        <f t="shared" si="82"/>
        <v>0.97851851851851901</v>
      </c>
      <c r="R53" s="571"/>
      <c r="S53" s="24">
        <v>0.32708333333333328</v>
      </c>
      <c r="T53" s="24">
        <v>0.34583333333333327</v>
      </c>
      <c r="U53" s="192">
        <f t="shared" ref="U53" si="83">(S53-T52)*24*60</f>
        <v>5.9999999999999787</v>
      </c>
      <c r="V53" s="196">
        <f t="shared" si="80"/>
        <v>26.999999999999986</v>
      </c>
      <c r="W53" s="192"/>
      <c r="X53" s="192"/>
      <c r="Y53" s="617"/>
      <c r="Z53" s="617"/>
      <c r="AA53" s="11">
        <f t="shared" si="2"/>
        <v>-64.444444444442979</v>
      </c>
      <c r="AB53" s="193">
        <f t="shared" si="56"/>
        <v>0.97851851851851901</v>
      </c>
      <c r="AC53" s="571"/>
    </row>
    <row r="54" spans="1:29">
      <c r="A54" s="624" t="s">
        <v>825</v>
      </c>
      <c r="B54" s="26" t="s">
        <v>817</v>
      </c>
      <c r="C54" s="629"/>
      <c r="D54" s="629"/>
      <c r="E54" s="191"/>
      <c r="F54" s="27"/>
      <c r="G54" s="9"/>
      <c r="H54" s="197"/>
      <c r="I54" s="16">
        <v>9.3333333333333339</v>
      </c>
      <c r="J54" s="23">
        <v>2500</v>
      </c>
      <c r="K54" s="9">
        <f>J54/I54</f>
        <v>267.85714285714283</v>
      </c>
      <c r="L54" s="16">
        <v>9.3333333333333339</v>
      </c>
      <c r="M54" s="10">
        <f>AVERAGE(M51:M53)</f>
        <v>2413.188671374513</v>
      </c>
      <c r="N54" s="9">
        <f>M54/L54</f>
        <v>258.55592907584065</v>
      </c>
      <c r="O54" s="11">
        <f>L54-I54</f>
        <v>0</v>
      </c>
      <c r="P54" s="12">
        <f>N54-K54</f>
        <v>-9.3012137813021809</v>
      </c>
      <c r="Q54" s="193">
        <f>N54/K54</f>
        <v>0.96527546854980517</v>
      </c>
      <c r="R54" s="571"/>
      <c r="S54" s="24"/>
      <c r="T54" s="24"/>
      <c r="U54" s="9"/>
      <c r="V54" s="196"/>
      <c r="W54" s="9"/>
      <c r="X54" s="9"/>
      <c r="Y54" s="617"/>
      <c r="Z54" s="617"/>
      <c r="AA54" s="11">
        <f t="shared" si="2"/>
        <v>-86.811328625487022</v>
      </c>
      <c r="AB54" s="193">
        <f t="shared" si="56"/>
        <v>0.96527546854980517</v>
      </c>
      <c r="AC54" s="571"/>
    </row>
    <row r="55" spans="1:29" ht="15.75" customHeight="1">
      <c r="A55" s="618" t="s">
        <v>826</v>
      </c>
      <c r="B55" s="197" t="s">
        <v>46</v>
      </c>
      <c r="C55" s="616" t="s">
        <v>84</v>
      </c>
      <c r="D55" s="616"/>
      <c r="E55" s="26">
        <v>20.2</v>
      </c>
      <c r="F55" s="197">
        <v>1672</v>
      </c>
      <c r="G55" s="192">
        <f t="shared" ref="G55:G61" si="84">E55*F55</f>
        <v>33774.400000000001</v>
      </c>
      <c r="H55" s="21" t="s">
        <v>35</v>
      </c>
      <c r="I55" s="195">
        <v>19</v>
      </c>
      <c r="J55" s="23">
        <v>2400</v>
      </c>
      <c r="K55" s="9">
        <f t="shared" ref="K55:K62" si="85">J55/I55</f>
        <v>126.31578947368421</v>
      </c>
      <c r="L55" s="195">
        <v>19</v>
      </c>
      <c r="M55" s="10">
        <f>F55/V55*60</f>
        <v>2333.0232558139528</v>
      </c>
      <c r="N55" s="9">
        <f t="shared" ref="N55:N61" si="86">M55/L55</f>
        <v>122.79069767441857</v>
      </c>
      <c r="O55" s="11">
        <f t="shared" ref="O55:O61" si="87">L55-I55</f>
        <v>0</v>
      </c>
      <c r="P55" s="12">
        <f t="shared" ref="P55:P61" si="88">N55-K55</f>
        <v>-3.5250917992656383</v>
      </c>
      <c r="Q55" s="193">
        <f>N55/K55</f>
        <v>0.9720930232558137</v>
      </c>
      <c r="R55" s="571">
        <f>Q62</f>
        <v>0.95990787750628315</v>
      </c>
      <c r="S55" s="24">
        <v>8.3333333333333329E-2</v>
      </c>
      <c r="T55" s="24">
        <v>0.11319444444444444</v>
      </c>
      <c r="U55" s="15"/>
      <c r="V55" s="196">
        <f t="shared" ref="V55:V61" si="89">(T55-S55)*24*60</f>
        <v>43.000000000000007</v>
      </c>
      <c r="W55" s="13">
        <f>T55</f>
        <v>0.11319444444444444</v>
      </c>
      <c r="X55" s="13">
        <f>S56</f>
        <v>0.13125000000000001</v>
      </c>
      <c r="Y55" s="617"/>
      <c r="Z55" s="617"/>
      <c r="AA55" s="11">
        <f t="shared" si="2"/>
        <v>-66.976744186047199</v>
      </c>
      <c r="AB55" s="193">
        <f>M55/J55</f>
        <v>0.9720930232558137</v>
      </c>
      <c r="AC55" s="571">
        <f>AB62</f>
        <v>0.95990787750628315</v>
      </c>
    </row>
    <row r="56" spans="1:29" ht="15.75" customHeight="1">
      <c r="A56" s="619" t="s">
        <v>826</v>
      </c>
      <c r="B56" s="197" t="s">
        <v>46</v>
      </c>
      <c r="C56" s="616" t="s">
        <v>85</v>
      </c>
      <c r="D56" s="616"/>
      <c r="E56" s="26">
        <v>19.02</v>
      </c>
      <c r="F56" s="197">
        <v>7560</v>
      </c>
      <c r="G56" s="192">
        <f t="shared" si="84"/>
        <v>143791.19999999998</v>
      </c>
      <c r="H56" s="21" t="s">
        <v>35</v>
      </c>
      <c r="I56" s="195">
        <v>15</v>
      </c>
      <c r="J56" s="23">
        <v>2400</v>
      </c>
      <c r="K56" s="9">
        <f t="shared" si="85"/>
        <v>160</v>
      </c>
      <c r="L56" s="195">
        <v>15</v>
      </c>
      <c r="M56" s="10">
        <f t="shared" ref="M56:M61" si="90">F56/V56*60</f>
        <v>2290.909090909091</v>
      </c>
      <c r="N56" s="9">
        <f t="shared" si="86"/>
        <v>152.72727272727272</v>
      </c>
      <c r="O56" s="11">
        <f t="shared" si="87"/>
        <v>0</v>
      </c>
      <c r="P56" s="12">
        <f t="shared" si="88"/>
        <v>-7.2727272727272805</v>
      </c>
      <c r="Q56" s="193">
        <f t="shared" ref="Q56:Q62" si="91">N56/K56</f>
        <v>0.95454545454545447</v>
      </c>
      <c r="R56" s="571"/>
      <c r="S56" s="24">
        <v>0.13125000000000001</v>
      </c>
      <c r="T56" s="24">
        <v>0.26874999999999999</v>
      </c>
      <c r="U56" s="192">
        <f>(S56-T55)*24*60</f>
        <v>26.000000000000007</v>
      </c>
      <c r="V56" s="196">
        <f t="shared" si="89"/>
        <v>198</v>
      </c>
      <c r="W56" s="13"/>
      <c r="X56" s="13"/>
      <c r="Y56" s="617"/>
      <c r="Z56" s="617"/>
      <c r="AA56" s="11">
        <f t="shared" si="2"/>
        <v>-109.09090909090901</v>
      </c>
      <c r="AB56" s="193">
        <f t="shared" ref="AB56:AB62" si="92">M56/J56</f>
        <v>0.95454545454545459</v>
      </c>
      <c r="AC56" s="571"/>
    </row>
    <row r="57" spans="1:29" ht="15.75" customHeight="1">
      <c r="A57" s="619" t="s">
        <v>826</v>
      </c>
      <c r="B57" s="197" t="s">
        <v>46</v>
      </c>
      <c r="C57" s="616" t="s">
        <v>86</v>
      </c>
      <c r="D57" s="616"/>
      <c r="E57" s="26">
        <v>24.25</v>
      </c>
      <c r="F57" s="197">
        <v>1963</v>
      </c>
      <c r="G57" s="192">
        <f t="shared" si="84"/>
        <v>47602.75</v>
      </c>
      <c r="H57" s="21" t="s">
        <v>35</v>
      </c>
      <c r="I57" s="195">
        <v>18</v>
      </c>
      <c r="J57" s="23">
        <v>2400</v>
      </c>
      <c r="K57" s="9">
        <f t="shared" si="85"/>
        <v>133.33333333333334</v>
      </c>
      <c r="L57" s="195">
        <v>18</v>
      </c>
      <c r="M57" s="10">
        <f t="shared" si="90"/>
        <v>2309.4117647058833</v>
      </c>
      <c r="N57" s="9">
        <f t="shared" si="86"/>
        <v>128.30065359477129</v>
      </c>
      <c r="O57" s="11">
        <f t="shared" si="87"/>
        <v>0</v>
      </c>
      <c r="P57" s="12">
        <f t="shared" si="88"/>
        <v>-5.0326797385620523</v>
      </c>
      <c r="Q57" s="193">
        <f t="shared" si="91"/>
        <v>0.96225490196078456</v>
      </c>
      <c r="R57" s="571"/>
      <c r="S57" s="24">
        <v>0.2722222222222222</v>
      </c>
      <c r="T57" s="24">
        <v>0.30763888888888885</v>
      </c>
      <c r="U57" s="192">
        <f t="shared" ref="U57:U61" si="93">(S57-T56)*24*60</f>
        <v>4.9999999999999822</v>
      </c>
      <c r="V57" s="196">
        <f t="shared" si="89"/>
        <v>50.999999999999979</v>
      </c>
      <c r="W57" s="13"/>
      <c r="X57" s="13"/>
      <c r="Y57" s="617"/>
      <c r="Z57" s="617"/>
      <c r="AA57" s="11">
        <f t="shared" si="2"/>
        <v>-90.588235294116657</v>
      </c>
      <c r="AB57" s="193">
        <f t="shared" si="92"/>
        <v>0.96225490196078478</v>
      </c>
      <c r="AC57" s="571"/>
    </row>
    <row r="58" spans="1:29" ht="15.75" customHeight="1">
      <c r="A58" s="619" t="s">
        <v>826</v>
      </c>
      <c r="B58" s="197" t="s">
        <v>46</v>
      </c>
      <c r="C58" s="616" t="s">
        <v>88</v>
      </c>
      <c r="D58" s="616"/>
      <c r="E58" s="26">
        <v>24.25</v>
      </c>
      <c r="F58" s="197">
        <v>2740</v>
      </c>
      <c r="G58" s="192">
        <f t="shared" si="84"/>
        <v>66445</v>
      </c>
      <c r="H58" s="21" t="s">
        <v>35</v>
      </c>
      <c r="I58" s="195">
        <v>17</v>
      </c>
      <c r="J58" s="23">
        <v>2400</v>
      </c>
      <c r="K58" s="9">
        <f t="shared" si="85"/>
        <v>141.1764705882353</v>
      </c>
      <c r="L58" s="195">
        <v>17</v>
      </c>
      <c r="M58" s="10">
        <f t="shared" si="90"/>
        <v>2283.3333333333339</v>
      </c>
      <c r="N58" s="9">
        <f t="shared" si="86"/>
        <v>134.31372549019611</v>
      </c>
      <c r="O58" s="11">
        <f t="shared" si="87"/>
        <v>0</v>
      </c>
      <c r="P58" s="12">
        <f t="shared" si="88"/>
        <v>-6.8627450980391984</v>
      </c>
      <c r="Q58" s="193">
        <f t="shared" si="91"/>
        <v>0.95138888888888906</v>
      </c>
      <c r="R58" s="571"/>
      <c r="S58" s="24">
        <v>0.31319444444444439</v>
      </c>
      <c r="T58" s="24">
        <v>0.36319444444444438</v>
      </c>
      <c r="U58" s="192">
        <f t="shared" si="93"/>
        <v>7.9999999999999716</v>
      </c>
      <c r="V58" s="196">
        <f t="shared" si="89"/>
        <v>71.999999999999986</v>
      </c>
      <c r="W58" s="13"/>
      <c r="X58" s="13"/>
      <c r="Y58" s="617"/>
      <c r="Z58" s="617"/>
      <c r="AA58" s="11">
        <f t="shared" si="2"/>
        <v>-116.66666666666606</v>
      </c>
      <c r="AB58" s="193">
        <f t="shared" si="92"/>
        <v>0.95138888888888917</v>
      </c>
      <c r="AC58" s="571"/>
    </row>
    <row r="59" spans="1:29" ht="15.75" customHeight="1">
      <c r="A59" s="619" t="s">
        <v>826</v>
      </c>
      <c r="B59" s="197" t="s">
        <v>46</v>
      </c>
      <c r="C59" s="616" t="s">
        <v>47</v>
      </c>
      <c r="D59" s="616"/>
      <c r="E59" s="26">
        <v>24.45</v>
      </c>
      <c r="F59" s="197">
        <v>1571</v>
      </c>
      <c r="G59" s="192">
        <f t="shared" si="84"/>
        <v>38410.949999999997</v>
      </c>
      <c r="H59" s="21" t="s">
        <v>35</v>
      </c>
      <c r="I59" s="195">
        <v>20</v>
      </c>
      <c r="J59" s="23">
        <v>2400</v>
      </c>
      <c r="K59" s="9">
        <f t="shared" si="85"/>
        <v>120</v>
      </c>
      <c r="L59" s="195">
        <v>20</v>
      </c>
      <c r="M59" s="10">
        <f t="shared" si="90"/>
        <v>2299.024390243902</v>
      </c>
      <c r="N59" s="9">
        <f t="shared" si="86"/>
        <v>114.9512195121951</v>
      </c>
      <c r="O59" s="11">
        <f t="shared" si="87"/>
        <v>0</v>
      </c>
      <c r="P59" s="12">
        <f t="shared" si="88"/>
        <v>-5.0487804878049047</v>
      </c>
      <c r="Q59" s="193">
        <f t="shared" si="91"/>
        <v>0.95792682926829242</v>
      </c>
      <c r="R59" s="571"/>
      <c r="S59" s="24">
        <v>0.36736111111111103</v>
      </c>
      <c r="T59" s="24">
        <v>0.39583333333333326</v>
      </c>
      <c r="U59" s="192">
        <f t="shared" si="93"/>
        <v>5.9999999999999787</v>
      </c>
      <c r="V59" s="196">
        <f t="shared" si="89"/>
        <v>41.000000000000014</v>
      </c>
      <c r="W59" s="13"/>
      <c r="X59" s="13"/>
      <c r="Y59" s="617"/>
      <c r="Z59" s="617"/>
      <c r="AA59" s="11">
        <f t="shared" si="2"/>
        <v>-100.97560975609804</v>
      </c>
      <c r="AB59" s="193">
        <f t="shared" si="92"/>
        <v>0.95792682926829253</v>
      </c>
      <c r="AC59" s="571"/>
    </row>
    <row r="60" spans="1:29" ht="15.75" customHeight="1">
      <c r="A60" s="619" t="s">
        <v>826</v>
      </c>
      <c r="B60" s="197" t="s">
        <v>46</v>
      </c>
      <c r="C60" s="616" t="s">
        <v>66</v>
      </c>
      <c r="D60" s="616"/>
      <c r="E60" s="26">
        <v>24.25</v>
      </c>
      <c r="F60" s="197">
        <v>4557</v>
      </c>
      <c r="G60" s="192">
        <f t="shared" si="84"/>
        <v>110507.25</v>
      </c>
      <c r="H60" s="21" t="s">
        <v>35</v>
      </c>
      <c r="I60" s="195">
        <v>14</v>
      </c>
      <c r="J60" s="23">
        <v>2400</v>
      </c>
      <c r="K60" s="9">
        <f t="shared" si="85"/>
        <v>171.42857142857142</v>
      </c>
      <c r="L60" s="195">
        <v>14</v>
      </c>
      <c r="M60" s="10">
        <f t="shared" si="90"/>
        <v>2297.6470588235302</v>
      </c>
      <c r="N60" s="9">
        <f t="shared" si="86"/>
        <v>164.11764705882359</v>
      </c>
      <c r="O60" s="11">
        <f t="shared" si="87"/>
        <v>0</v>
      </c>
      <c r="P60" s="12">
        <f t="shared" si="88"/>
        <v>-7.3109243697478234</v>
      </c>
      <c r="Q60" s="193">
        <f t="shared" si="91"/>
        <v>0.95735294117647107</v>
      </c>
      <c r="R60" s="571"/>
      <c r="S60" s="24">
        <v>0.39999999999999991</v>
      </c>
      <c r="T60" s="24">
        <v>0.48263888888888878</v>
      </c>
      <c r="U60" s="192">
        <f t="shared" si="93"/>
        <v>5.9999999999999787</v>
      </c>
      <c r="V60" s="196">
        <f t="shared" si="89"/>
        <v>118.99999999999997</v>
      </c>
      <c r="W60" s="13"/>
      <c r="X60" s="13"/>
      <c r="Y60" s="617"/>
      <c r="Z60" s="617"/>
      <c r="AA60" s="11">
        <f t="shared" si="2"/>
        <v>-102.35294117646981</v>
      </c>
      <c r="AB60" s="193">
        <f t="shared" si="92"/>
        <v>0.95735294117647096</v>
      </c>
      <c r="AC60" s="571"/>
    </row>
    <row r="61" spans="1:29" ht="15.75" customHeight="1">
      <c r="A61" s="619" t="s">
        <v>826</v>
      </c>
      <c r="B61" s="197" t="s">
        <v>46</v>
      </c>
      <c r="C61" s="616" t="s">
        <v>58</v>
      </c>
      <c r="D61" s="616"/>
      <c r="E61" s="26">
        <v>25.98</v>
      </c>
      <c r="F61" s="197">
        <v>1118</v>
      </c>
      <c r="G61" s="192">
        <f t="shared" si="84"/>
        <v>29045.64</v>
      </c>
      <c r="H61" s="21" t="s">
        <v>35</v>
      </c>
      <c r="I61" s="195">
        <v>17</v>
      </c>
      <c r="J61" s="23">
        <v>2400</v>
      </c>
      <c r="K61" s="9">
        <f t="shared" si="85"/>
        <v>141.1764705882353</v>
      </c>
      <c r="L61" s="195">
        <v>17</v>
      </c>
      <c r="M61" s="10">
        <f t="shared" si="90"/>
        <v>2313.1034482758637</v>
      </c>
      <c r="N61" s="9">
        <f t="shared" si="86"/>
        <v>136.06490872210964</v>
      </c>
      <c r="O61" s="11">
        <f t="shared" si="87"/>
        <v>0</v>
      </c>
      <c r="P61" s="12">
        <f t="shared" si="88"/>
        <v>-5.111561866125669</v>
      </c>
      <c r="Q61" s="193">
        <f t="shared" si="91"/>
        <v>0.96379310344827651</v>
      </c>
      <c r="R61" s="571"/>
      <c r="S61" s="24">
        <v>0.48611111111111099</v>
      </c>
      <c r="T61" s="24">
        <v>0.50624999999999987</v>
      </c>
      <c r="U61" s="192">
        <f t="shared" si="93"/>
        <v>4.9999999999999822</v>
      </c>
      <c r="V61" s="196">
        <f t="shared" si="89"/>
        <v>28.999999999999979</v>
      </c>
      <c r="W61" s="13"/>
      <c r="X61" s="13"/>
      <c r="Y61" s="621"/>
      <c r="Z61" s="622"/>
      <c r="AA61" s="11">
        <f t="shared" si="2"/>
        <v>-86.896551724136316</v>
      </c>
      <c r="AB61" s="193">
        <f t="shared" si="92"/>
        <v>0.96379310344827651</v>
      </c>
      <c r="AC61" s="571"/>
    </row>
    <row r="62" spans="1:29" ht="16.5" customHeight="1">
      <c r="A62" s="620" t="s">
        <v>826</v>
      </c>
      <c r="B62" s="26" t="s">
        <v>817</v>
      </c>
      <c r="C62" s="625"/>
      <c r="D62" s="626"/>
      <c r="E62" s="191"/>
      <c r="F62" s="27"/>
      <c r="G62" s="9"/>
      <c r="H62" s="197"/>
      <c r="I62" s="16">
        <v>17.142857142857142</v>
      </c>
      <c r="J62" s="23">
        <v>2400</v>
      </c>
      <c r="K62" s="9">
        <f t="shared" si="85"/>
        <v>140</v>
      </c>
      <c r="L62" s="16">
        <v>17.142857142857142</v>
      </c>
      <c r="M62" s="10">
        <f>AVERAGE(M55:M61)</f>
        <v>2303.7789060150794</v>
      </c>
      <c r="N62" s="9">
        <f>M62/L62</f>
        <v>134.38710285087964</v>
      </c>
      <c r="O62" s="11">
        <f>L62-I62</f>
        <v>0</v>
      </c>
      <c r="P62" s="12">
        <f>N62-K62</f>
        <v>-5.6128971491203572</v>
      </c>
      <c r="Q62" s="193">
        <f t="shared" si="91"/>
        <v>0.95990787750628315</v>
      </c>
      <c r="R62" s="571"/>
      <c r="S62" s="24"/>
      <c r="T62" s="24"/>
      <c r="U62" s="9"/>
      <c r="V62" s="196"/>
      <c r="W62" s="9"/>
      <c r="X62" s="9"/>
      <c r="Y62" s="617"/>
      <c r="Z62" s="617"/>
      <c r="AA62" s="11">
        <f t="shared" si="2"/>
        <v>-96.221093984920572</v>
      </c>
      <c r="AB62" s="193">
        <f t="shared" si="92"/>
        <v>0.95990787750628315</v>
      </c>
      <c r="AC62" s="571"/>
    </row>
    <row r="63" spans="1:29">
      <c r="D63" s="17"/>
      <c r="E63" s="17"/>
    </row>
  </sheetData>
  <mergeCells count="172">
    <mergeCell ref="S1:X2"/>
    <mergeCell ref="Y1:Z2"/>
    <mergeCell ref="AA1:AC2"/>
    <mergeCell ref="A3:A4"/>
    <mergeCell ref="B3:B4"/>
    <mergeCell ref="C3:D4"/>
    <mergeCell ref="E3:E4"/>
    <mergeCell ref="F3:F4"/>
    <mergeCell ref="G3:G4"/>
    <mergeCell ref="I1:K2"/>
    <mergeCell ref="L1:N2"/>
    <mergeCell ref="O1:R2"/>
    <mergeCell ref="P3:P4"/>
    <mergeCell ref="Q3:Q4"/>
    <mergeCell ref="R3:R4"/>
    <mergeCell ref="S3:T3"/>
    <mergeCell ref="H3:H4"/>
    <mergeCell ref="I3:I4"/>
    <mergeCell ref="J3:J4"/>
    <mergeCell ref="K3:K4"/>
    <mergeCell ref="L3:L4"/>
    <mergeCell ref="M3:M4"/>
    <mergeCell ref="C8:D8"/>
    <mergeCell ref="Y8:Z8"/>
    <mergeCell ref="A9:A11"/>
    <mergeCell ref="C9:D9"/>
    <mergeCell ref="R9:R11"/>
    <mergeCell ref="Y9:Z9"/>
    <mergeCell ref="AC3:AC4"/>
    <mergeCell ref="A5:A8"/>
    <mergeCell ref="C5:D5"/>
    <mergeCell ref="R5:R8"/>
    <mergeCell ref="Y5:Z5"/>
    <mergeCell ref="AC5:AC8"/>
    <mergeCell ref="C6:D6"/>
    <mergeCell ref="Y6:Z6"/>
    <mergeCell ref="C7:D7"/>
    <mergeCell ref="Y7:Z7"/>
    <mergeCell ref="U3:U4"/>
    <mergeCell ref="V3:V4"/>
    <mergeCell ref="W3:X3"/>
    <mergeCell ref="Y3:Z4"/>
    <mergeCell ref="AA3:AA4"/>
    <mergeCell ref="AB3:AB4"/>
    <mergeCell ref="N3:N4"/>
    <mergeCell ref="O3:O4"/>
    <mergeCell ref="AC9:AC11"/>
    <mergeCell ref="C10:D10"/>
    <mergeCell ref="Y10:Z10"/>
    <mergeCell ref="C11:D11"/>
    <mergeCell ref="Y11:Z11"/>
    <mergeCell ref="A12:A16"/>
    <mergeCell ref="C12:D12"/>
    <mergeCell ref="R12:R16"/>
    <mergeCell ref="Y12:Z12"/>
    <mergeCell ref="AC12:AC16"/>
    <mergeCell ref="C16:D16"/>
    <mergeCell ref="Y16:Z16"/>
    <mergeCell ref="A17:A22"/>
    <mergeCell ref="C17:D17"/>
    <mergeCell ref="R17:R22"/>
    <mergeCell ref="Y17:Z17"/>
    <mergeCell ref="Y22:Z22"/>
    <mergeCell ref="C13:D13"/>
    <mergeCell ref="Y13:Z13"/>
    <mergeCell ref="C14:D14"/>
    <mergeCell ref="Y14:Z14"/>
    <mergeCell ref="C15:D15"/>
    <mergeCell ref="Y15:Z15"/>
    <mergeCell ref="AC17:AC22"/>
    <mergeCell ref="C18:D18"/>
    <mergeCell ref="Y18:Z18"/>
    <mergeCell ref="C19:D19"/>
    <mergeCell ref="Y19:Z19"/>
    <mergeCell ref="C20:D20"/>
    <mergeCell ref="Y20:Z20"/>
    <mergeCell ref="C21:D21"/>
    <mergeCell ref="Y21:Z21"/>
    <mergeCell ref="C22:D22"/>
    <mergeCell ref="A23:A29"/>
    <mergeCell ref="C23:D23"/>
    <mergeCell ref="R23:R29"/>
    <mergeCell ref="Y23:Z23"/>
    <mergeCell ref="AC23:AC29"/>
    <mergeCell ref="C24:D24"/>
    <mergeCell ref="Y24:Z24"/>
    <mergeCell ref="C25:D25"/>
    <mergeCell ref="Y25:Z25"/>
    <mergeCell ref="C26:D26"/>
    <mergeCell ref="AC30:AC35"/>
    <mergeCell ref="C31:D31"/>
    <mergeCell ref="Y31:Z31"/>
    <mergeCell ref="C32:D32"/>
    <mergeCell ref="Y32:Z32"/>
    <mergeCell ref="C33:D33"/>
    <mergeCell ref="Y26:Z26"/>
    <mergeCell ref="C27:D27"/>
    <mergeCell ref="Y27:Z27"/>
    <mergeCell ref="C28:D28"/>
    <mergeCell ref="Y28:Z28"/>
    <mergeCell ref="C29:D29"/>
    <mergeCell ref="Y29:Z29"/>
    <mergeCell ref="Y33:Z33"/>
    <mergeCell ref="C34:D34"/>
    <mergeCell ref="Y34:Z34"/>
    <mergeCell ref="C35:D35"/>
    <mergeCell ref="Y35:Z35"/>
    <mergeCell ref="A36:A43"/>
    <mergeCell ref="C36:D36"/>
    <mergeCell ref="R36:R43"/>
    <mergeCell ref="Y36:Z36"/>
    <mergeCell ref="Y41:Z41"/>
    <mergeCell ref="A30:A35"/>
    <mergeCell ref="C30:D30"/>
    <mergeCell ref="R30:R35"/>
    <mergeCell ref="Y30:Z30"/>
    <mergeCell ref="C43:D43"/>
    <mergeCell ref="Y43:Z43"/>
    <mergeCell ref="AC44:AC50"/>
    <mergeCell ref="C45:D45"/>
    <mergeCell ref="Y45:Z45"/>
    <mergeCell ref="C46:D46"/>
    <mergeCell ref="C49:D49"/>
    <mergeCell ref="Y49:Z49"/>
    <mergeCell ref="C50:D50"/>
    <mergeCell ref="Y50:Z50"/>
    <mergeCell ref="C42:D42"/>
    <mergeCell ref="Y42:Z42"/>
    <mergeCell ref="AC36:AC43"/>
    <mergeCell ref="C37:D37"/>
    <mergeCell ref="Y37:Z37"/>
    <mergeCell ref="C38:D38"/>
    <mergeCell ref="Y38:Z38"/>
    <mergeCell ref="C39:D39"/>
    <mergeCell ref="Y39:Z39"/>
    <mergeCell ref="C40:D40"/>
    <mergeCell ref="Y40:Z40"/>
    <mergeCell ref="C41:D41"/>
    <mergeCell ref="A44:A50"/>
    <mergeCell ref="C44:D44"/>
    <mergeCell ref="R44:R50"/>
    <mergeCell ref="Y44:Z44"/>
    <mergeCell ref="Y60:Z60"/>
    <mergeCell ref="Y54:Z54"/>
    <mergeCell ref="A55:A62"/>
    <mergeCell ref="C55:D55"/>
    <mergeCell ref="R55:R62"/>
    <mergeCell ref="Y55:Z55"/>
    <mergeCell ref="AC55:AC62"/>
    <mergeCell ref="C56:D56"/>
    <mergeCell ref="Y56:Z56"/>
    <mergeCell ref="C57:D57"/>
    <mergeCell ref="Y57:Z57"/>
    <mergeCell ref="A51:A54"/>
    <mergeCell ref="C51:D51"/>
    <mergeCell ref="R51:R54"/>
    <mergeCell ref="Y51:Z51"/>
    <mergeCell ref="AC51:AC54"/>
    <mergeCell ref="C52:D52"/>
    <mergeCell ref="Y52:Z52"/>
    <mergeCell ref="C53:D53"/>
    <mergeCell ref="Y53:Z53"/>
    <mergeCell ref="C54:D54"/>
    <mergeCell ref="C61:D61"/>
    <mergeCell ref="Y61:Z61"/>
    <mergeCell ref="C62:D62"/>
    <mergeCell ref="Y62:Z62"/>
    <mergeCell ref="C58:D58"/>
    <mergeCell ref="Y58:Z58"/>
    <mergeCell ref="C59:D59"/>
    <mergeCell ref="Y59:Z59"/>
    <mergeCell ref="C60:D60"/>
  </mergeCells>
  <phoneticPr fontId="3" type="noConversion"/>
  <conditionalFormatting sqref="O54:O60 O62 O5:O9 O11:O13 O43:O51 O16:O41">
    <cfRule type="cellIs" dxfId="604" priority="42" operator="greaterThan">
      <formula>0</formula>
    </cfRule>
  </conditionalFormatting>
  <conditionalFormatting sqref="P5:P7 P55:P60 P23:P28 P51 P9 P11:P13 P17:P21 P44:P49 P30:P41 AA5:AA51 AA55:AA62">
    <cfRule type="cellIs" dxfId="603" priority="46" operator="lessThan">
      <formula>0</formula>
    </cfRule>
  </conditionalFormatting>
  <conditionalFormatting sqref="Q54:Q60 Q62 Q5:Q9 Q11:Q13 Q43:Q51 Q16:Q41 AB5:AB51 AB55:AB62">
    <cfRule type="cellIs" dxfId="602" priority="43" operator="greaterThan">
      <formula>1</formula>
    </cfRule>
    <cfRule type="cellIs" dxfId="601" priority="44" operator="lessThan">
      <formula>0.8</formula>
    </cfRule>
  </conditionalFormatting>
  <conditionalFormatting sqref="AC12:AC13 R12:R13 R54:R60 R62 AC5:AC9 R5:R9 R16:R41 AC16:AC41 AC43:AC51 R43:R51">
    <cfRule type="cellIs" dxfId="600" priority="48" operator="lessThan">
      <formula>0.8</formula>
    </cfRule>
  </conditionalFormatting>
  <conditionalFormatting sqref="AC36">
    <cfRule type="cellIs" dxfId="599" priority="50" operator="lessThan">
      <formula>0.8</formula>
    </cfRule>
  </conditionalFormatting>
  <conditionalFormatting sqref="AC17:AC21">
    <cfRule type="cellIs" dxfId="598" priority="47" operator="lessThan">
      <formula>0.8</formula>
    </cfRule>
  </conditionalFormatting>
  <conditionalFormatting sqref="AC23">
    <cfRule type="cellIs" dxfId="597" priority="49" operator="lessThan">
      <formula>0.8</formula>
    </cfRule>
  </conditionalFormatting>
  <conditionalFormatting sqref="AC30:AC34">
    <cfRule type="cellIs" dxfId="596" priority="45" operator="lessThan">
      <formula>0.8</formula>
    </cfRule>
  </conditionalFormatting>
  <conditionalFormatting sqref="AA54">
    <cfRule type="cellIs" dxfId="595" priority="41" operator="lessThan">
      <formula>0</formula>
    </cfRule>
  </conditionalFormatting>
  <conditionalFormatting sqref="AB54">
    <cfRule type="cellIs" dxfId="594" priority="39" operator="greaterThan">
      <formula>1</formula>
    </cfRule>
    <cfRule type="cellIs" dxfId="593" priority="40" operator="lessThan">
      <formula>0.8</formula>
    </cfRule>
  </conditionalFormatting>
  <conditionalFormatting sqref="O14:O15">
    <cfRule type="cellIs" dxfId="592" priority="34" operator="greaterThan">
      <formula>0</formula>
    </cfRule>
  </conditionalFormatting>
  <conditionalFormatting sqref="P14:P15">
    <cfRule type="cellIs" dxfId="591" priority="37" operator="lessThan">
      <formula>0</formula>
    </cfRule>
  </conditionalFormatting>
  <conditionalFormatting sqref="Q14:Q15">
    <cfRule type="cellIs" dxfId="590" priority="35" operator="greaterThan">
      <formula>1</formula>
    </cfRule>
    <cfRule type="cellIs" dxfId="589" priority="36" operator="lessThan">
      <formula>0.8</formula>
    </cfRule>
  </conditionalFormatting>
  <conditionalFormatting sqref="R14:R15 AC14:AC15">
    <cfRule type="cellIs" dxfId="588" priority="38" operator="lessThan">
      <formula>0.8</formula>
    </cfRule>
  </conditionalFormatting>
  <conditionalFormatting sqref="O10">
    <cfRule type="cellIs" dxfId="587" priority="30" operator="greaterThan">
      <formula>0</formula>
    </cfRule>
  </conditionalFormatting>
  <conditionalFormatting sqref="P10">
    <cfRule type="cellIs" dxfId="586" priority="33" operator="lessThan">
      <formula>0</formula>
    </cfRule>
  </conditionalFormatting>
  <conditionalFormatting sqref="Q10">
    <cfRule type="cellIs" dxfId="585" priority="31" operator="greaterThan">
      <formula>1</formula>
    </cfRule>
    <cfRule type="cellIs" dxfId="584" priority="32" operator="lessThan">
      <formula>0.8</formula>
    </cfRule>
  </conditionalFormatting>
  <conditionalFormatting sqref="O53">
    <cfRule type="cellIs" dxfId="583" priority="25" operator="greaterThan">
      <formula>0</formula>
    </cfRule>
  </conditionalFormatting>
  <conditionalFormatting sqref="P53 AA53">
    <cfRule type="cellIs" dxfId="582" priority="28" operator="lessThan">
      <formula>0</formula>
    </cfRule>
  </conditionalFormatting>
  <conditionalFormatting sqref="Q53 AB53">
    <cfRule type="cellIs" dxfId="581" priority="26" operator="greaterThan">
      <formula>1</formula>
    </cfRule>
    <cfRule type="cellIs" dxfId="580" priority="27" operator="lessThan">
      <formula>0.8</formula>
    </cfRule>
  </conditionalFormatting>
  <conditionalFormatting sqref="R53 AC53">
    <cfRule type="cellIs" dxfId="579" priority="29" operator="lessThan">
      <formula>0.8</formula>
    </cfRule>
  </conditionalFormatting>
  <conditionalFormatting sqref="O61">
    <cfRule type="cellIs" dxfId="578" priority="20" operator="greaterThan">
      <formula>0</formula>
    </cfRule>
  </conditionalFormatting>
  <conditionalFormatting sqref="P61">
    <cfRule type="cellIs" dxfId="577" priority="23" operator="lessThan">
      <formula>0</formula>
    </cfRule>
  </conditionalFormatting>
  <conditionalFormatting sqref="Q61">
    <cfRule type="cellIs" dxfId="576" priority="21" operator="greaterThan">
      <formula>1</formula>
    </cfRule>
    <cfRule type="cellIs" dxfId="575" priority="22" operator="lessThan">
      <formula>0.8</formula>
    </cfRule>
  </conditionalFormatting>
  <conditionalFormatting sqref="R61">
    <cfRule type="cellIs" dxfId="574" priority="24" operator="lessThan">
      <formula>0.8</formula>
    </cfRule>
  </conditionalFormatting>
  <conditionalFormatting sqref="O42">
    <cfRule type="cellIs" dxfId="573" priority="14" operator="greaterThan">
      <formula>0</formula>
    </cfRule>
  </conditionalFormatting>
  <conditionalFormatting sqref="P42">
    <cfRule type="cellIs" dxfId="572" priority="18" operator="lessThan">
      <formula>0</formula>
    </cfRule>
  </conditionalFormatting>
  <conditionalFormatting sqref="Q42">
    <cfRule type="cellIs" dxfId="571" priority="15" operator="greaterThan">
      <formula>1</formula>
    </cfRule>
    <cfRule type="cellIs" dxfId="570" priority="16" operator="lessThan">
      <formula>0.8</formula>
    </cfRule>
  </conditionalFormatting>
  <conditionalFormatting sqref="R42 AC42">
    <cfRule type="cellIs" dxfId="569" priority="19" operator="lessThan">
      <formula>0.8</formula>
    </cfRule>
  </conditionalFormatting>
  <conditionalFormatting sqref="AC42">
    <cfRule type="cellIs" dxfId="568" priority="17" operator="lessThan">
      <formula>0.8</formula>
    </cfRule>
  </conditionalFormatting>
  <conditionalFormatting sqref="O52">
    <cfRule type="cellIs" dxfId="567" priority="9" operator="greaterThan">
      <formula>0</formula>
    </cfRule>
  </conditionalFormatting>
  <conditionalFormatting sqref="P52 AA52">
    <cfRule type="cellIs" dxfId="566" priority="12" operator="lessThan">
      <formula>0</formula>
    </cfRule>
  </conditionalFormatting>
  <conditionalFormatting sqref="Q52 AB52">
    <cfRule type="cellIs" dxfId="565" priority="10" operator="greaterThan">
      <formula>1</formula>
    </cfRule>
    <cfRule type="cellIs" dxfId="564" priority="11" operator="lessThan">
      <formula>0.8</formula>
    </cfRule>
  </conditionalFormatting>
  <conditionalFormatting sqref="R52 AC52">
    <cfRule type="cellIs" dxfId="563" priority="13" operator="lessThan">
      <formula>0.8</formula>
    </cfRule>
  </conditionalFormatting>
  <conditionalFormatting sqref="P8">
    <cfRule type="cellIs" dxfId="562" priority="8" operator="lessThan">
      <formula>0</formula>
    </cfRule>
  </conditionalFormatting>
  <conditionalFormatting sqref="P16">
    <cfRule type="cellIs" dxfId="561" priority="7" operator="lessThan">
      <formula>0</formula>
    </cfRule>
  </conditionalFormatting>
  <conditionalFormatting sqref="P22">
    <cfRule type="cellIs" dxfId="560" priority="6" operator="lessThan">
      <formula>0</formula>
    </cfRule>
  </conditionalFormatting>
  <conditionalFormatting sqref="P29">
    <cfRule type="cellIs" dxfId="559" priority="5" operator="lessThan">
      <formula>0</formula>
    </cfRule>
  </conditionalFormatting>
  <conditionalFormatting sqref="P43">
    <cfRule type="cellIs" dxfId="558" priority="4" operator="lessThan">
      <formula>0</formula>
    </cfRule>
  </conditionalFormatting>
  <conditionalFormatting sqref="P50">
    <cfRule type="cellIs" dxfId="557" priority="3" operator="lessThan">
      <formula>0</formula>
    </cfRule>
  </conditionalFormatting>
  <conditionalFormatting sqref="P54">
    <cfRule type="cellIs" dxfId="556" priority="2" operator="lessThan">
      <formula>0</formula>
    </cfRule>
  </conditionalFormatting>
  <conditionalFormatting sqref="P62">
    <cfRule type="cellIs" dxfId="555" priority="1" operator="lessThan">
      <formula>0</formula>
    </cfRule>
  </conditionalFormatting>
  <dataValidations count="1">
    <dataValidation type="list" allowBlank="1" showInputMessage="1" showErrorMessage="1" sqref="Z8 Y5:Z7 Y8:Y53 Z10:Z51 Y54:Z62">
      <formula1>#REF!</formula1>
    </dataValidation>
  </dataValidations>
  <pageMargins left="0" right="0" top="0" bottom="0" header="0" footer="0"/>
  <pageSetup paperSize="9" scale="11" orientation="landscape" horizontalDpi="300" verticalDpi="300" r:id="rId1"/>
</worksheet>
</file>

<file path=xl/worksheets/sheet4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工作表38"/>
  <dimension ref="B1:Q28"/>
  <sheetViews>
    <sheetView zoomScale="85" zoomScaleNormal="85" workbookViewId="0">
      <selection activeCell="I3" sqref="I3:J3"/>
    </sheetView>
  </sheetViews>
  <sheetFormatPr defaultColWidth="8.75" defaultRowHeight="15.75"/>
  <cols>
    <col min="1" max="1" width="8.75" style="30"/>
    <col min="2" max="2" width="17.875" style="30" customWidth="1"/>
    <col min="3" max="3" width="9.25" style="37" customWidth="1"/>
    <col min="4" max="13" width="12.625" style="30" customWidth="1"/>
    <col min="14" max="14" width="11" style="30" bestFit="1" customWidth="1"/>
    <col min="15" max="15" width="17.75" style="30" bestFit="1" customWidth="1"/>
    <col min="16" max="16" width="12.25" style="30" bestFit="1" customWidth="1"/>
    <col min="17" max="22" width="9.25" style="30" customWidth="1"/>
    <col min="23" max="23" width="10.75" style="30" customWidth="1"/>
    <col min="24" max="24" width="11" style="30" customWidth="1"/>
    <col min="25" max="16384" width="8.75" style="30"/>
  </cols>
  <sheetData>
    <row r="1" spans="2:17" ht="27.75" customHeight="1">
      <c r="B1" s="552" t="s">
        <v>675</v>
      </c>
      <c r="C1" s="552"/>
      <c r="D1" s="552"/>
      <c r="E1" s="552"/>
      <c r="F1" s="552"/>
      <c r="G1" s="552"/>
      <c r="H1" s="552"/>
      <c r="I1" s="552"/>
      <c r="J1" s="552"/>
      <c r="K1" s="29"/>
      <c r="L1" s="29"/>
      <c r="M1" s="29"/>
      <c r="N1" s="29"/>
      <c r="O1" s="29"/>
      <c r="P1" s="29"/>
    </row>
    <row r="2" spans="2:17" ht="27.75" customHeight="1">
      <c r="B2" s="553"/>
      <c r="C2" s="553"/>
      <c r="D2" s="553"/>
      <c r="E2" s="553"/>
      <c r="F2" s="553"/>
      <c r="G2" s="553"/>
      <c r="H2" s="553"/>
      <c r="I2" s="553"/>
      <c r="J2" s="553"/>
      <c r="K2" s="31"/>
      <c r="L2" s="31"/>
      <c r="M2" s="31"/>
      <c r="N2" s="29"/>
      <c r="O2" s="29"/>
      <c r="P2" s="29"/>
    </row>
    <row r="3" spans="2:17" ht="46.5" customHeight="1">
      <c r="B3" s="32" t="s">
        <v>676</v>
      </c>
      <c r="C3" s="554" t="str">
        <f>TEXT('1008 4度C'!A2,"yyyy.mm.ddaaaa")</f>
        <v>2025.10.08星期三</v>
      </c>
      <c r="D3" s="555"/>
      <c r="E3" s="32" t="s">
        <v>89</v>
      </c>
      <c r="F3" s="556">
        <f>'1008 4度C'!D1</f>
        <v>175504</v>
      </c>
      <c r="G3" s="557"/>
      <c r="H3" s="32" t="s">
        <v>677</v>
      </c>
      <c r="I3" s="558">
        <f>'1008 4度C'!F1</f>
        <v>5629987.7999999989</v>
      </c>
      <c r="J3" s="559"/>
      <c r="K3" s="33"/>
      <c r="L3" s="34"/>
      <c r="M3" s="35"/>
      <c r="N3" s="35"/>
    </row>
    <row r="4" spans="2:17" ht="28.5" customHeight="1">
      <c r="B4" s="560" t="s">
        <v>678</v>
      </c>
      <c r="C4" s="542" t="s">
        <v>679</v>
      </c>
      <c r="D4" s="543"/>
      <c r="E4" s="563" t="s">
        <v>680</v>
      </c>
      <c r="F4" s="564"/>
      <c r="G4" s="563" t="s">
        <v>681</v>
      </c>
      <c r="H4" s="564"/>
      <c r="I4" s="563" t="s">
        <v>682</v>
      </c>
      <c r="J4" s="564"/>
      <c r="L4" s="35"/>
      <c r="M4" s="35"/>
      <c r="N4" s="35"/>
    </row>
    <row r="5" spans="2:17" ht="28.5" customHeight="1">
      <c r="B5" s="561"/>
      <c r="C5" s="542" t="s">
        <v>683</v>
      </c>
      <c r="D5" s="543"/>
      <c r="E5" s="542" t="s">
        <v>684</v>
      </c>
      <c r="F5" s="543"/>
      <c r="G5" s="544" t="s">
        <v>685</v>
      </c>
      <c r="H5" s="545"/>
      <c r="I5" s="546" t="s">
        <v>686</v>
      </c>
      <c r="J5" s="547"/>
      <c r="K5" s="35"/>
      <c r="L5" s="35"/>
      <c r="M5" s="35"/>
      <c r="N5" s="35"/>
    </row>
    <row r="6" spans="2:17" ht="28.5" customHeight="1">
      <c r="B6" s="561"/>
      <c r="C6" s="542" t="s">
        <v>92</v>
      </c>
      <c r="D6" s="543"/>
      <c r="E6" s="548">
        <f>AVERAGE(D13:M13)</f>
        <v>152.01357490514386</v>
      </c>
      <c r="F6" s="549">
        <f>AVERAGE(D27:O27,D13:J13)</f>
        <v>157.69605051178175</v>
      </c>
      <c r="G6" s="550">
        <f>AVERAGE(D13:J13)</f>
        <v>157.69605051178175</v>
      </c>
      <c r="H6" s="551"/>
      <c r="I6" s="550">
        <f>AVERAGE(K13:M13)</f>
        <v>138.75446515632208</v>
      </c>
      <c r="J6" s="551"/>
      <c r="K6" s="35"/>
      <c r="L6" s="35"/>
      <c r="M6" s="35"/>
      <c r="N6" s="35"/>
    </row>
    <row r="7" spans="2:17" ht="28.5" customHeight="1">
      <c r="B7" s="561"/>
      <c r="C7" s="532" t="s">
        <v>93</v>
      </c>
      <c r="D7" s="533"/>
      <c r="E7" s="534">
        <f>AVERAGE(D14:M14)</f>
        <v>145.70175825095927</v>
      </c>
      <c r="F7" s="535">
        <f>AVERAGE(D28:O28,D14:J14)</f>
        <v>151.25640500228891</v>
      </c>
      <c r="G7" s="536">
        <f>AVERAGE(D14:J14)</f>
        <v>151.25640500228891</v>
      </c>
      <c r="H7" s="537"/>
      <c r="I7" s="536">
        <f>AVERAGE(K14:M14)</f>
        <v>132.74091583119014</v>
      </c>
      <c r="J7" s="537"/>
      <c r="K7" s="35"/>
      <c r="L7" s="35"/>
      <c r="M7" s="35"/>
      <c r="N7" s="35"/>
    </row>
    <row r="8" spans="2:17" ht="28.5" customHeight="1">
      <c r="B8" s="562"/>
      <c r="C8" s="532" t="s">
        <v>94</v>
      </c>
      <c r="D8" s="533"/>
      <c r="E8" s="538">
        <f>AVERAGE(D15:M15)</f>
        <v>0.9583331805612133</v>
      </c>
      <c r="F8" s="539">
        <f>AVERAGE(D15:J15,D29:O29)</f>
        <v>0.95902542075773101</v>
      </c>
      <c r="G8" s="540">
        <f>AVERAGE(D15:J15)</f>
        <v>0.95902542075773101</v>
      </c>
      <c r="H8" s="541"/>
      <c r="I8" s="540">
        <f>AVERAGE(K15:M15)</f>
        <v>0.95671795343600563</v>
      </c>
      <c r="J8" s="541"/>
      <c r="K8" s="36" t="s">
        <v>212</v>
      </c>
      <c r="L8" s="35"/>
      <c r="M8" s="35"/>
      <c r="N8" s="35"/>
    </row>
    <row r="9" spans="2:17" ht="28.5" customHeight="1" thickBot="1">
      <c r="H9" s="38"/>
      <c r="N9" s="35"/>
      <c r="O9" s="35"/>
      <c r="P9" s="35"/>
      <c r="Q9" s="35"/>
    </row>
    <row r="10" spans="2:17" ht="30" customHeight="1">
      <c r="B10" s="515" t="s">
        <v>687</v>
      </c>
      <c r="C10" s="516"/>
      <c r="D10" s="517" t="s">
        <v>95</v>
      </c>
      <c r="E10" s="518"/>
      <c r="F10" s="518"/>
      <c r="G10" s="518"/>
      <c r="H10" s="518"/>
      <c r="I10" s="518"/>
      <c r="J10" s="519"/>
      <c r="K10" s="520" t="s">
        <v>688</v>
      </c>
      <c r="L10" s="521"/>
      <c r="M10" s="522"/>
      <c r="P10" s="39"/>
      <c r="Q10" s="39"/>
    </row>
    <row r="11" spans="2:17" ht="17.25" customHeight="1">
      <c r="B11" s="523" t="s">
        <v>126</v>
      </c>
      <c r="C11" s="524"/>
      <c r="D11" s="40">
        <v>1</v>
      </c>
      <c r="E11" s="41">
        <v>2</v>
      </c>
      <c r="F11" s="41">
        <v>3</v>
      </c>
      <c r="G11" s="41">
        <v>4</v>
      </c>
      <c r="H11" s="41">
        <v>5</v>
      </c>
      <c r="I11" s="41">
        <v>6</v>
      </c>
      <c r="J11" s="42">
        <v>7</v>
      </c>
      <c r="K11" s="40">
        <v>1</v>
      </c>
      <c r="L11" s="41">
        <v>2</v>
      </c>
      <c r="M11" s="42">
        <v>3</v>
      </c>
      <c r="P11" s="39"/>
      <c r="Q11" s="39"/>
    </row>
    <row r="12" spans="2:17" ht="34.15" customHeight="1">
      <c r="B12" s="525"/>
      <c r="C12" s="526"/>
      <c r="D12" s="43" t="s">
        <v>96</v>
      </c>
      <c r="E12" s="44" t="s">
        <v>97</v>
      </c>
      <c r="F12" s="44" t="s">
        <v>98</v>
      </c>
      <c r="G12" s="44" t="s">
        <v>99</v>
      </c>
      <c r="H12" s="44" t="s">
        <v>100</v>
      </c>
      <c r="I12" s="44" t="s">
        <v>101</v>
      </c>
      <c r="J12" s="45" t="s">
        <v>102</v>
      </c>
      <c r="K12" s="43" t="s">
        <v>103</v>
      </c>
      <c r="L12" s="44" t="s">
        <v>104</v>
      </c>
      <c r="M12" s="45" t="s">
        <v>105</v>
      </c>
    </row>
    <row r="13" spans="2:17" ht="40.15" customHeight="1">
      <c r="B13" s="527" t="s">
        <v>689</v>
      </c>
      <c r="C13" s="46" t="s">
        <v>690</v>
      </c>
      <c r="D13" s="47">
        <f>SUMIFS('1008 4度C'!$K:$K,'1008 4度C'!$A:$A,"新豐6線",'1008 4度C'!$B:$B,"平均")</f>
        <v>125</v>
      </c>
      <c r="E13" s="48">
        <f>SUMIFS('1008 4度C'!$K:$K,'1008 4度C'!$A:$A,"新豐2線",'1008 4度C'!$B:$B,"平均")</f>
        <v>81.081081081081081</v>
      </c>
      <c r="F13" s="49">
        <f>SUMIFS('1008 4度C'!$K:$K,'1008 4度C'!$A:$A,"新豐5線",'1008 4度C'!$B:$B,"平均")</f>
        <v>92.10526315789474</v>
      </c>
      <c r="G13" s="49">
        <f>SUMIFS('1008 4度C'!$K:$K,'1008 4度C'!$A:$A,"新豐7線",'1008 4度C'!$B:$B,"平均")</f>
        <v>120.48192771084337</v>
      </c>
      <c r="H13" s="49">
        <f>SUMIFS('1008 4度C'!$K:$K,'1008 4度C'!$A:$A,"新豐3線",'1008 4度C'!$B:$B,"平均")</f>
        <v>300</v>
      </c>
      <c r="I13" s="49">
        <f>SUMIFS('1008 4度C'!$K:$K,'1008 4度C'!$A:$A,"新豐1線",'1008 4度C'!$B:$B,"平均")</f>
        <v>117.34693877551021</v>
      </c>
      <c r="J13" s="50">
        <f>SUMIFS('1008 4度C'!$K:$K,'1008 4度C'!$A:$A,"新豐10線",'1008 4度C'!$B:$B,"平均")</f>
        <v>267.85714285714283</v>
      </c>
      <c r="K13" s="51">
        <f>SUMIFS('1008 4度C'!$K:$K,'1008 4度C'!$A:$A,"新豐8線",'1008 4度C'!$B:$B,"平均")</f>
        <v>130.12048192771084</v>
      </c>
      <c r="L13" s="52">
        <f>SUMIFS('1008 4度C'!$K:$K,'1008 4度C'!$A:$A,"新豐9線",'1008 4度C'!$B:$B,"平均")</f>
        <v>141.1764705882353</v>
      </c>
      <c r="M13" s="50">
        <f>SUMIFS('1008 4度C'!$K:$K,'1008 4度C'!$A:$A,"新豐4線",'1008 4度C'!$B:$B,"平均")</f>
        <v>144.96644295302013</v>
      </c>
    </row>
    <row r="14" spans="2:17" ht="39.6" customHeight="1">
      <c r="B14" s="528"/>
      <c r="C14" s="53" t="s">
        <v>128</v>
      </c>
      <c r="D14" s="54">
        <f>SUMIFS('1008 4度C'!$N:$N,'1008 4度C'!$A:$A,"新豐6線",'1008 4度C'!$B:$B,"平均")</f>
        <v>119.90041555158076</v>
      </c>
      <c r="E14" s="55">
        <f>SUMIFS('1008 4度C'!$N:$N,'1008 4度C'!$A:$A,"新豐2線",'1008 4度C'!$B:$B,"平均")</f>
        <v>77.457653836232865</v>
      </c>
      <c r="F14" s="55">
        <f>SUMIFS('1008 4度C'!$N:$N,'1008 4度C'!$A:$A,"新豐5線",'1008 4度C'!$B:$B,"平均")</f>
        <v>88.234585013177067</v>
      </c>
      <c r="G14" s="55">
        <f>SUMIFS('1008 4度C'!$N:$N,'1008 4度C'!$A:$A,"新豐7線",'1008 4度C'!$B:$B,"平均")</f>
        <v>115.85966673422824</v>
      </c>
      <c r="H14" s="55">
        <f>SUMIFS('1008 4度C'!$N:$N,'1008 4度C'!$A:$A,"新豐3線",'1008 4度C'!$B:$B,"平均")</f>
        <v>287.2940281570464</v>
      </c>
      <c r="I14" s="55">
        <f>SUMIFS('1008 4度C'!$N:$N,'1008 4度C'!$A:$A,"新豐1線",'1008 4度C'!$B:$B,"平均")</f>
        <v>112.74978442505592</v>
      </c>
      <c r="J14" s="56">
        <f>SUMIFS('1008 4度C'!$N:$N,'1008 4度C'!$A:$A,"新豐10線",'1008 4度C'!$B:$B,"平均")</f>
        <v>257.29870129870119</v>
      </c>
      <c r="K14" s="57">
        <f>SUMIFS('1008 4度C'!$N:$N,'1008 4度C'!$A:$A,"新豐8線",'1008 4度C'!$B:$B,"平均")</f>
        <v>124.76628419180028</v>
      </c>
      <c r="L14" s="58">
        <f>SUMIFS('1008 4度C'!$N:$N,'1008 4度C'!$A:$A,"新豐9線",'1008 4度C'!$B:$B,"平均")</f>
        <v>134.77679371264483</v>
      </c>
      <c r="M14" s="56">
        <f>SUMIFS('1008 4度C'!$N:$N,'1008 4度C'!$A:$A,"新豐4線",'1008 4度C'!$B:$B,"平均")</f>
        <v>138.67966958912527</v>
      </c>
    </row>
    <row r="15" spans="2:17" ht="40.15" customHeight="1">
      <c r="B15" s="529"/>
      <c r="C15" s="59" t="s">
        <v>219</v>
      </c>
      <c r="D15" s="60">
        <f t="shared" ref="D15:M15" si="0">D14/D13</f>
        <v>0.95920332441264611</v>
      </c>
      <c r="E15" s="61">
        <f t="shared" si="0"/>
        <v>0.95531106398020538</v>
      </c>
      <c r="F15" s="61">
        <f t="shared" si="0"/>
        <v>0.95797549442877961</v>
      </c>
      <c r="G15" s="61">
        <f t="shared" si="0"/>
        <v>0.96163523389409444</v>
      </c>
      <c r="H15" s="61">
        <f t="shared" si="0"/>
        <v>0.95764676052348796</v>
      </c>
      <c r="I15" s="61">
        <f t="shared" si="0"/>
        <v>0.96082424988308524</v>
      </c>
      <c r="J15" s="62">
        <f t="shared" si="0"/>
        <v>0.96058181818181787</v>
      </c>
      <c r="K15" s="60">
        <f t="shared" si="0"/>
        <v>0.95885199888142814</v>
      </c>
      <c r="L15" s="61">
        <f t="shared" si="0"/>
        <v>0.95466895546456754</v>
      </c>
      <c r="M15" s="62">
        <f t="shared" si="0"/>
        <v>0.95663290596202155</v>
      </c>
    </row>
    <row r="16" spans="2:17" ht="17.25" customHeight="1">
      <c r="B16" s="530" t="s">
        <v>130</v>
      </c>
      <c r="C16" s="63" t="s">
        <v>131</v>
      </c>
      <c r="D16" s="64">
        <f>VLOOKUP("新豐6線",'1008 4度C'!$A:$T,19,0)</f>
        <v>0.70833333333333337</v>
      </c>
      <c r="E16" s="24">
        <f>VLOOKUP("新豐2線",'1008 4度C'!$A:$T,19,0)</f>
        <v>0.125</v>
      </c>
      <c r="F16" s="24">
        <f>VLOOKUP("新豐5線",'1008 4度C'!$A:$T,19,0)</f>
        <v>0.16666666666666666</v>
      </c>
      <c r="G16" s="24">
        <f>VLOOKUP("新豐7線",'1008 4度C'!$A:$T,19,0)</f>
        <v>0.33333333333333331</v>
      </c>
      <c r="H16" s="24">
        <f>VLOOKUP("新豐3線",'1008 4度C'!$A:$T,19,0)</f>
        <v>8.3333333333333329E-2</v>
      </c>
      <c r="I16" s="24">
        <f>VLOOKUP("新豐1線",'1008 4度C'!$A:$T,19,0)</f>
        <v>0.29166666666666669</v>
      </c>
      <c r="J16" s="65">
        <f>VLOOKUP("新豐10線",'1008 4度C'!$A:$T,19,0)</f>
        <v>0.20833333333333334</v>
      </c>
      <c r="K16" s="66">
        <f>VLOOKUP("新豐8線",'1008 4度C'!$A:$T,19,0)</f>
        <v>8.3333333333333329E-2</v>
      </c>
      <c r="L16" s="67">
        <f>VLOOKUP("新豐9線",'1008 4度C'!$A:$T,19,0)</f>
        <v>8.3333333333333329E-2</v>
      </c>
      <c r="M16" s="68">
        <f>VLOOKUP("新豐4線",'1008 4度C'!$A:$T,19,0)</f>
        <v>8.3333333333333329E-2</v>
      </c>
    </row>
    <row r="17" spans="2:13" ht="17.25" customHeight="1">
      <c r="B17" s="531"/>
      <c r="C17" s="63" t="s">
        <v>691</v>
      </c>
      <c r="D17" s="66">
        <f>LOOKUP(2,1/(('1008 4度C'!$A:$A="新豐6線")*('1008 4度C'!$T:$T&lt;&gt;"")),'1008 4度C'!$T:$T)</f>
        <v>0.81041666666666667</v>
      </c>
      <c r="E17" s="24">
        <f>LOOKUP(2,1/(('1008 4度C'!$A:$A="新豐2線")*('1008 4度C'!$T:$T&lt;&gt;"")),'1008 4度C'!$T:$T)</f>
        <v>0.4055555555555555</v>
      </c>
      <c r="F17" s="24">
        <f>LOOKUP(2,1/(('1008 4度C'!$A:$A="新豐5線")*('1008 4度C'!$T:$T&lt;&gt;"")),'1008 4度C'!$T:$T)</f>
        <v>0.83333333333333337</v>
      </c>
      <c r="G17" s="24">
        <f>LOOKUP(2,1/(('1008 4度C'!$A:$A="新豐7線")*('1008 4度C'!$T:$T&lt;&gt;"")),'1008 4度C'!$T:$T)</f>
        <v>0.75694444444444453</v>
      </c>
      <c r="H17" s="24">
        <f>LOOKUP(2,1/(('1008 4度C'!$A:$A="新豐3線")*('1008 4度C'!$T:$T&lt;&gt;"")),'1008 4度C'!$T:$T)</f>
        <v>0.64027777777777772</v>
      </c>
      <c r="I17" s="24">
        <f>LOOKUP(2,1/(('1008 4度C'!$A:$A="新豐1線")*('1008 4度C'!$T:$T&lt;&gt;"")),'1008 4度C'!$T:$T)</f>
        <v>0.82638888888888884</v>
      </c>
      <c r="J17" s="65">
        <f>LOOKUP(2,1/(('1008 4度C'!$A:$A="新豐10線")*('1008 4度C'!$T:$T&lt;&gt;"")),'1008 4度C'!$T:$T)</f>
        <v>0.37152777777777779</v>
      </c>
      <c r="K17" s="64">
        <f>LOOKUP(2,1/(('1008 4度C'!$A:$A="新豐8線")*('1008 4度C'!$T:$T&lt;&gt;"")),'1008 4度C'!$T:$T)</f>
        <v>0.72291666666666665</v>
      </c>
      <c r="L17" s="24">
        <f>LOOKUP(2,1/(('1008 4度C'!$A:$A="新豐9線")*('1008 4度C'!$T:$T&lt;&gt;"")),'1008 4度C'!$T:$T)</f>
        <v>0.67638888888888882</v>
      </c>
      <c r="M17" s="65">
        <f>LOOKUP(2,1/(('1008 4度C'!$A:$A="新豐4線")*('1008 4度C'!$T:$T&lt;&gt;"")),'1008 4度C'!$T:$T)</f>
        <v>0.71388888888888868</v>
      </c>
    </row>
    <row r="18" spans="2:13" ht="17.25" customHeight="1">
      <c r="B18" s="509" t="s">
        <v>223</v>
      </c>
      <c r="C18" s="510"/>
      <c r="D18" s="69">
        <f>SUMIFS('1008 4度C'!$I:$I,'1008 4度C'!$A:$A,"新豐6線",'1008 4度C'!$B:$B,"平均")</f>
        <v>16</v>
      </c>
      <c r="E18" s="70">
        <f>SUMIFS('1008 4度C'!$I:$I,'1008 4度C'!$A:$A,"新豐2線",'1008 4度C'!$B:$B,"平均")</f>
        <v>18.5</v>
      </c>
      <c r="F18" s="70">
        <f>SUMIFS('1008 4度C'!$I:$I,'1008 4度C'!$A:$A,"新豐5線",'1008 4度C'!$B:$B,"平均")</f>
        <v>19</v>
      </c>
      <c r="G18" s="70">
        <f>SUMIFS('1008 4度C'!$I:$I,'1008 4度C'!$A:$A,"新豐7線",'1008 4度C'!$B:$B,"平均")</f>
        <v>16.600000000000001</v>
      </c>
      <c r="H18" s="70">
        <f>SUMIFS('1008 4度C'!$I:$I,'1008 4度C'!$A:$A,"新豐3線",'1008 4度C'!$B:$B,"平均")</f>
        <v>10</v>
      </c>
      <c r="I18" s="70">
        <f>SUMIFS('1008 4度C'!$I:$I,'1008 4度C'!$A:$A,"新豐1線",'1008 4度C'!$B:$B,"平均")</f>
        <v>16.333333333333332</v>
      </c>
      <c r="J18" s="71">
        <f>SUMIFS('1008 4度C'!$I:$I,'1008 4度C'!$A:$A,"新豐10線",'1008 4度C'!$B:$B,"平均")</f>
        <v>9.3333333333333339</v>
      </c>
      <c r="K18" s="69">
        <f>SUMIFS('1008 4度C'!$I:$I,'1008 4度C'!$A:$A,"新豐8線",'1008 4度C'!$B:$B,"平均")</f>
        <v>18.444444444444443</v>
      </c>
      <c r="L18" s="70">
        <f>SUMIFS('1008 4度C'!$I:$I,'1008 4度C'!$A:$A,"新豐9線",'1008 4度C'!$B:$B,"平均")</f>
        <v>17</v>
      </c>
      <c r="M18" s="71">
        <f>SUMIFS('1008 4度C'!$I:$I,'1008 4度C'!$A:$A,"新豐4線",'1008 4度C'!$B:$B,"平均")</f>
        <v>16.555555555555557</v>
      </c>
    </row>
    <row r="19" spans="2:13" ht="17.25" customHeight="1">
      <c r="B19" s="509" t="s">
        <v>224</v>
      </c>
      <c r="C19" s="510"/>
      <c r="D19" s="72" t="s">
        <v>109</v>
      </c>
      <c r="E19" s="73" t="s">
        <v>110</v>
      </c>
      <c r="F19" s="73" t="s">
        <v>134</v>
      </c>
      <c r="G19" s="73" t="s">
        <v>692</v>
      </c>
      <c r="H19" s="73" t="s">
        <v>111</v>
      </c>
      <c r="I19" s="73" t="s">
        <v>109</v>
      </c>
      <c r="J19" s="74" t="s">
        <v>111</v>
      </c>
      <c r="K19" s="72" t="s">
        <v>136</v>
      </c>
      <c r="L19" s="73" t="s">
        <v>136</v>
      </c>
      <c r="M19" s="74" t="s">
        <v>136</v>
      </c>
    </row>
    <row r="20" spans="2:13" ht="17.25" customHeight="1">
      <c r="B20" s="509" t="s">
        <v>693</v>
      </c>
      <c r="C20" s="510"/>
      <c r="D20" s="72"/>
      <c r="E20" s="73"/>
      <c r="F20" s="73" t="s">
        <v>301</v>
      </c>
      <c r="G20" s="73" t="s">
        <v>109</v>
      </c>
      <c r="H20" s="73"/>
      <c r="I20" s="73"/>
      <c r="J20" s="74"/>
      <c r="K20" s="72"/>
      <c r="L20" s="73"/>
      <c r="M20" s="74"/>
    </row>
    <row r="21" spans="2:13" ht="17.25" customHeight="1" thickBot="1">
      <c r="B21" s="511" t="s">
        <v>141</v>
      </c>
      <c r="C21" s="512"/>
      <c r="D21" s="75"/>
      <c r="E21" s="76" t="s">
        <v>142</v>
      </c>
      <c r="F21" s="513" t="s">
        <v>143</v>
      </c>
      <c r="G21" s="514"/>
      <c r="H21" s="76" t="s">
        <v>694</v>
      </c>
      <c r="I21" s="76" t="s">
        <v>145</v>
      </c>
      <c r="J21" s="77" t="s">
        <v>304</v>
      </c>
      <c r="K21" s="78"/>
      <c r="L21" s="76"/>
      <c r="M21" s="77"/>
    </row>
    <row r="22" spans="2:13" ht="17.25" customHeight="1"/>
    <row r="23" spans="2:13" ht="17.25" customHeight="1"/>
    <row r="24" spans="2:13" ht="17.25" customHeight="1"/>
    <row r="25" spans="2:13" ht="37.5" customHeight="1"/>
    <row r="26" spans="2:13" ht="35.25" customHeight="1"/>
    <row r="27" spans="2:13" ht="35.25" customHeight="1"/>
    <row r="28" spans="2:13" ht="39.75" customHeight="1"/>
  </sheetData>
  <mergeCells count="36">
    <mergeCell ref="B20:C20"/>
    <mergeCell ref="B21:C21"/>
    <mergeCell ref="F21:G21"/>
    <mergeCell ref="K10:M10"/>
    <mergeCell ref="B11:C12"/>
    <mergeCell ref="B13:B15"/>
    <mergeCell ref="B18:C18"/>
    <mergeCell ref="B19:C19"/>
    <mergeCell ref="I6:J6"/>
    <mergeCell ref="B16:B17"/>
    <mergeCell ref="C7:D7"/>
    <mergeCell ref="E7:F7"/>
    <mergeCell ref="G7:H7"/>
    <mergeCell ref="I7:J7"/>
    <mergeCell ref="C8:D8"/>
    <mergeCell ref="E8:F8"/>
    <mergeCell ref="G8:H8"/>
    <mergeCell ref="I8:J8"/>
    <mergeCell ref="B10:C10"/>
    <mergeCell ref="D10:J10"/>
    <mergeCell ref="B1:J2"/>
    <mergeCell ref="C3:D3"/>
    <mergeCell ref="F3:G3"/>
    <mergeCell ref="I3:J3"/>
    <mergeCell ref="B4:B8"/>
    <mergeCell ref="C4:D4"/>
    <mergeCell ref="E4:F4"/>
    <mergeCell ref="G4:H4"/>
    <mergeCell ref="I4:J4"/>
    <mergeCell ref="C5:D5"/>
    <mergeCell ref="E5:F5"/>
    <mergeCell ref="G5:H5"/>
    <mergeCell ref="I5:J5"/>
    <mergeCell ref="C6:D6"/>
    <mergeCell ref="E6:F6"/>
    <mergeCell ref="G6:H6"/>
  </mergeCells>
  <phoneticPr fontId="3" type="noConversion"/>
  <conditionalFormatting sqref="D15:M15">
    <cfRule type="cellIs" dxfId="554" priority="1" operator="lessThan">
      <formula>0.8</formula>
    </cfRule>
  </conditionalFormatting>
  <pageMargins left="0.7" right="0.7" top="0.75" bottom="0.75" header="0.3" footer="0.3"/>
  <pageSetup paperSize="9" orientation="portrait" horizontalDpi="300" verticalDpi="300" r:id="rId1"/>
</worksheet>
</file>

<file path=xl/worksheets/sheet4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工作表1310">
    <pageSetUpPr fitToPage="1"/>
  </sheetPr>
  <dimension ref="A1:AC72"/>
  <sheetViews>
    <sheetView zoomScale="80" zoomScaleNormal="80" workbookViewId="0">
      <pane ySplit="4" topLeftCell="A5" activePane="bottomLeft" state="frozen"/>
      <selection activeCell="C3" sqref="C3:D3"/>
      <selection pane="bottomLeft" activeCell="C3" sqref="C3:D4"/>
    </sheetView>
  </sheetViews>
  <sheetFormatPr defaultColWidth="8" defaultRowHeight="15.75"/>
  <cols>
    <col min="1" max="1" width="15.125" style="5" customWidth="1"/>
    <col min="2" max="2" width="19.375" style="5" customWidth="1"/>
    <col min="3" max="3" width="15.25" style="5" customWidth="1"/>
    <col min="4" max="4" width="17.5" style="5" customWidth="1"/>
    <col min="5" max="5" width="7.5" style="5" bestFit="1" customWidth="1"/>
    <col min="6" max="6" width="14.375" style="5" bestFit="1" customWidth="1"/>
    <col min="7" max="7" width="14.375" style="5" customWidth="1"/>
    <col min="8" max="8" width="8" style="5" customWidth="1"/>
    <col min="9" max="9" width="5.875" style="5" customWidth="1"/>
    <col min="10" max="10" width="10.625" style="5" customWidth="1"/>
    <col min="11" max="11" width="14.625" style="5" customWidth="1"/>
    <col min="12" max="12" width="7.25" style="5" bestFit="1" customWidth="1"/>
    <col min="13" max="13" width="8" style="5" customWidth="1"/>
    <col min="14" max="14" width="12" style="5" customWidth="1"/>
    <col min="15" max="15" width="6" style="5" customWidth="1"/>
    <col min="16" max="16" width="9.25" style="5" customWidth="1"/>
    <col min="17" max="17" width="11.5" style="5" customWidth="1"/>
    <col min="18" max="18" width="8.5" style="5" customWidth="1"/>
    <col min="19" max="19" width="10.125" style="22" bestFit="1" customWidth="1"/>
    <col min="20" max="20" width="7.625" style="22" bestFit="1" customWidth="1"/>
    <col min="21" max="21" width="10.25" style="5" bestFit="1" customWidth="1"/>
    <col min="22" max="22" width="8.75" style="18" customWidth="1"/>
    <col min="23" max="23" width="7.375" style="5" customWidth="1"/>
    <col min="24" max="24" width="6.875" style="5" bestFit="1" customWidth="1"/>
    <col min="25" max="25" width="12.75" style="5" customWidth="1"/>
    <col min="26" max="26" width="18.875" style="5" customWidth="1"/>
    <col min="27" max="27" width="13.125" style="5" bestFit="1" customWidth="1"/>
    <col min="28" max="28" width="10.375" style="5" customWidth="1"/>
    <col min="29" max="29" width="9.375" style="5" customWidth="1"/>
    <col min="30" max="30" width="8" style="5"/>
    <col min="31" max="31" width="24.625" style="5" bestFit="1" customWidth="1"/>
    <col min="32" max="16384" width="8" style="5"/>
  </cols>
  <sheetData>
    <row r="1" spans="1:29" ht="26.25" customHeight="1">
      <c r="A1" s="1" t="s">
        <v>695</v>
      </c>
      <c r="B1" s="1"/>
      <c r="C1" s="2" t="s">
        <v>696</v>
      </c>
      <c r="D1" s="3">
        <f>SUM(F5:F71)</f>
        <v>175504</v>
      </c>
      <c r="E1" s="180" t="s">
        <v>697</v>
      </c>
      <c r="F1" s="1">
        <f>SUM(G5:G71)</f>
        <v>5629987.7999999989</v>
      </c>
      <c r="G1" s="1" t="s">
        <v>698</v>
      </c>
      <c r="H1" s="4">
        <f>L8+L11+L50+L57+L16+L61+L32+L40+L22+L71</f>
        <v>157.76666666666665</v>
      </c>
      <c r="I1" s="652" t="s">
        <v>699</v>
      </c>
      <c r="J1" s="652"/>
      <c r="K1" s="652"/>
      <c r="L1" s="652" t="s">
        <v>310</v>
      </c>
      <c r="M1" s="652"/>
      <c r="N1" s="652"/>
      <c r="O1" s="652" t="s">
        <v>152</v>
      </c>
      <c r="P1" s="652"/>
      <c r="Q1" s="652"/>
      <c r="R1" s="652"/>
      <c r="S1" s="652" t="s">
        <v>537</v>
      </c>
      <c r="T1" s="652"/>
      <c r="U1" s="652"/>
      <c r="V1" s="652"/>
      <c r="W1" s="652"/>
      <c r="X1" s="652"/>
      <c r="Y1" s="652" t="s">
        <v>0</v>
      </c>
      <c r="Z1" s="652"/>
      <c r="AA1" s="652" t="s">
        <v>700</v>
      </c>
      <c r="AB1" s="653"/>
      <c r="AC1" s="653"/>
    </row>
    <row r="2" spans="1:29" ht="26.25" customHeight="1">
      <c r="A2" s="19">
        <v>45938</v>
      </c>
      <c r="B2" s="20" t="s">
        <v>34</v>
      </c>
      <c r="C2" s="2" t="s">
        <v>701</v>
      </c>
      <c r="D2" s="6">
        <f>AVERAGE(N8,N11,N50,N57,N16,N61,N22,N32,N40,N71)</f>
        <v>145.70175825095927</v>
      </c>
      <c r="E2" s="7" t="s">
        <v>2</v>
      </c>
      <c r="F2" s="8">
        <f>F1/D1</f>
        <v>32.078971419454824</v>
      </c>
      <c r="G2" s="1" t="s">
        <v>702</v>
      </c>
      <c r="H2" s="185">
        <f>COUNT(H5:H71)</f>
        <v>9</v>
      </c>
      <c r="I2" s="652"/>
      <c r="J2" s="652"/>
      <c r="K2" s="652"/>
      <c r="L2" s="652"/>
      <c r="M2" s="652"/>
      <c r="N2" s="652"/>
      <c r="O2" s="652"/>
      <c r="P2" s="652"/>
      <c r="Q2" s="652"/>
      <c r="R2" s="652"/>
      <c r="S2" s="652"/>
      <c r="T2" s="652"/>
      <c r="U2" s="652"/>
      <c r="V2" s="652"/>
      <c r="W2" s="652"/>
      <c r="X2" s="652"/>
      <c r="Y2" s="652"/>
      <c r="Z2" s="652"/>
      <c r="AA2" s="653"/>
      <c r="AB2" s="653"/>
      <c r="AC2" s="653"/>
    </row>
    <row r="3" spans="1:29" ht="23.25" customHeight="1">
      <c r="A3" s="617" t="s">
        <v>317</v>
      </c>
      <c r="B3" s="617" t="s">
        <v>4</v>
      </c>
      <c r="C3" s="617" t="s">
        <v>703</v>
      </c>
      <c r="D3" s="617"/>
      <c r="E3" s="654" t="s">
        <v>6</v>
      </c>
      <c r="F3" s="617" t="s">
        <v>704</v>
      </c>
      <c r="G3" s="654" t="s">
        <v>705</v>
      </c>
      <c r="H3" s="646" t="s">
        <v>706</v>
      </c>
      <c r="I3" s="645" t="s">
        <v>10</v>
      </c>
      <c r="J3" s="649" t="s">
        <v>11</v>
      </c>
      <c r="K3" s="651" t="s">
        <v>1</v>
      </c>
      <c r="L3" s="645" t="s">
        <v>10</v>
      </c>
      <c r="M3" s="649" t="s">
        <v>707</v>
      </c>
      <c r="N3" s="651" t="s">
        <v>701</v>
      </c>
      <c r="O3" s="645" t="s">
        <v>10</v>
      </c>
      <c r="P3" s="651" t="s">
        <v>701</v>
      </c>
      <c r="Q3" s="650" t="s">
        <v>708</v>
      </c>
      <c r="R3" s="633" t="s">
        <v>13</v>
      </c>
      <c r="S3" s="656" t="s">
        <v>14</v>
      </c>
      <c r="T3" s="656"/>
      <c r="U3" s="646" t="s">
        <v>15</v>
      </c>
      <c r="V3" s="646" t="s">
        <v>709</v>
      </c>
      <c r="W3" s="617" t="s">
        <v>710</v>
      </c>
      <c r="X3" s="617"/>
      <c r="Y3" s="647" t="s">
        <v>711</v>
      </c>
      <c r="Z3" s="648"/>
      <c r="AA3" s="649" t="s">
        <v>707</v>
      </c>
      <c r="AB3" s="650" t="s">
        <v>12</v>
      </c>
      <c r="AC3" s="633" t="s">
        <v>712</v>
      </c>
    </row>
    <row r="4" spans="1:29">
      <c r="A4" s="617"/>
      <c r="B4" s="617"/>
      <c r="C4" s="617"/>
      <c r="D4" s="617"/>
      <c r="E4" s="655"/>
      <c r="F4" s="617"/>
      <c r="G4" s="655"/>
      <c r="H4" s="646"/>
      <c r="I4" s="645"/>
      <c r="J4" s="649"/>
      <c r="K4" s="651"/>
      <c r="L4" s="645"/>
      <c r="M4" s="649"/>
      <c r="N4" s="651"/>
      <c r="O4" s="645"/>
      <c r="P4" s="651"/>
      <c r="Q4" s="650"/>
      <c r="R4" s="633"/>
      <c r="S4" s="186" t="s">
        <v>18</v>
      </c>
      <c r="T4" s="186" t="s">
        <v>19</v>
      </c>
      <c r="U4" s="646"/>
      <c r="V4" s="646"/>
      <c r="W4" s="180" t="s">
        <v>713</v>
      </c>
      <c r="X4" s="180" t="s">
        <v>714</v>
      </c>
      <c r="Y4" s="648"/>
      <c r="Z4" s="648"/>
      <c r="AA4" s="649"/>
      <c r="AB4" s="650"/>
      <c r="AC4" s="633"/>
    </row>
    <row r="5" spans="1:29">
      <c r="A5" s="644" t="s">
        <v>715</v>
      </c>
      <c r="B5" s="26" t="s">
        <v>36</v>
      </c>
      <c r="C5" s="601" t="s">
        <v>37</v>
      </c>
      <c r="D5" s="601"/>
      <c r="E5" s="26">
        <v>46.93</v>
      </c>
      <c r="F5" s="186">
        <v>735</v>
      </c>
      <c r="G5" s="180">
        <f>E5*F5</f>
        <v>34493.550000000003</v>
      </c>
      <c r="H5" s="21" t="s">
        <v>35</v>
      </c>
      <c r="I5" s="183">
        <v>16</v>
      </c>
      <c r="J5" s="23">
        <v>2000</v>
      </c>
      <c r="K5" s="9">
        <f>J5/I5</f>
        <v>125</v>
      </c>
      <c r="L5" s="183">
        <v>16</v>
      </c>
      <c r="M5" s="10">
        <f>F5/V5*60</f>
        <v>1917.3913043478196</v>
      </c>
      <c r="N5" s="9">
        <f>M5/L5</f>
        <v>119.83695652173873</v>
      </c>
      <c r="O5" s="11">
        <f t="shared" ref="O5:O7" si="0">L5-I5</f>
        <v>0</v>
      </c>
      <c r="P5" s="12">
        <f t="shared" ref="P5:P7" si="1">N5-K5</f>
        <v>-5.1630434782612724</v>
      </c>
      <c r="Q5" s="181">
        <f>N5/K5</f>
        <v>0.95869565217390984</v>
      </c>
      <c r="R5" s="571">
        <f>Q8</f>
        <v>0.95920332441264611</v>
      </c>
      <c r="S5" s="24">
        <v>0.70833333333333337</v>
      </c>
      <c r="T5" s="24">
        <v>0.72430555555555565</v>
      </c>
      <c r="U5" s="180"/>
      <c r="V5" s="184">
        <f>(T5-S5)*24*60</f>
        <v>23.000000000000078</v>
      </c>
      <c r="W5" s="13"/>
      <c r="X5" s="14"/>
      <c r="Y5" s="617"/>
      <c r="Z5" s="617"/>
      <c r="AA5" s="11">
        <f t="shared" ref="AA5:AA68" si="2">M5-J5</f>
        <v>-82.608695652180359</v>
      </c>
      <c r="AB5" s="181">
        <f t="shared" ref="AB5:AB7" si="3">M5/J5</f>
        <v>0.95869565217390984</v>
      </c>
      <c r="AC5" s="571">
        <f>AB8</f>
        <v>0.95920332441264611</v>
      </c>
    </row>
    <row r="6" spans="1:29">
      <c r="A6" s="645" t="s">
        <v>716</v>
      </c>
      <c r="B6" s="26" t="s">
        <v>36</v>
      </c>
      <c r="C6" s="601" t="s">
        <v>38</v>
      </c>
      <c r="D6" s="601"/>
      <c r="E6" s="26">
        <v>50.49</v>
      </c>
      <c r="F6" s="186">
        <v>1959</v>
      </c>
      <c r="G6" s="180">
        <f t="shared" ref="G6:G7" si="4">E6*F6</f>
        <v>98909.91</v>
      </c>
      <c r="H6" s="21" t="s">
        <v>35</v>
      </c>
      <c r="I6" s="183">
        <v>15</v>
      </c>
      <c r="J6" s="23">
        <v>2000</v>
      </c>
      <c r="K6" s="9">
        <f t="shared" ref="K6:K7" si="5">J6/I6</f>
        <v>133.33333333333334</v>
      </c>
      <c r="L6" s="183">
        <v>15</v>
      </c>
      <c r="M6" s="10">
        <f>F6/V6*60</f>
        <v>1926.8852459016412</v>
      </c>
      <c r="N6" s="9">
        <f t="shared" ref="N6:N7" si="6">M6/L6</f>
        <v>128.45901639344274</v>
      </c>
      <c r="O6" s="11">
        <f t="shared" si="0"/>
        <v>0</v>
      </c>
      <c r="P6" s="12">
        <f t="shared" si="1"/>
        <v>-4.8743169398906048</v>
      </c>
      <c r="Q6" s="181">
        <f t="shared" ref="Q6:Q7" si="7">N6/K6</f>
        <v>0.9634426229508205</v>
      </c>
      <c r="R6" s="571"/>
      <c r="S6" s="24">
        <v>0.72777777777777786</v>
      </c>
      <c r="T6" s="24">
        <v>0.77013888888888893</v>
      </c>
      <c r="U6" s="180">
        <f>IF(S6=TIME(17,0,0),"",(S6-T5)*24*60)</f>
        <v>4.9999999999999822</v>
      </c>
      <c r="V6" s="184">
        <f>(T6-S6)*24*60</f>
        <v>60.999999999999943</v>
      </c>
      <c r="W6" s="13"/>
      <c r="X6" s="13"/>
      <c r="Y6" s="617"/>
      <c r="Z6" s="617"/>
      <c r="AA6" s="11">
        <f t="shared" si="2"/>
        <v>-73.114754098358844</v>
      </c>
      <c r="AB6" s="181">
        <f t="shared" si="3"/>
        <v>0.96344262295082062</v>
      </c>
      <c r="AC6" s="571"/>
    </row>
    <row r="7" spans="1:29">
      <c r="A7" s="645" t="s">
        <v>717</v>
      </c>
      <c r="B7" s="26" t="s">
        <v>36</v>
      </c>
      <c r="C7" s="594" t="s">
        <v>39</v>
      </c>
      <c r="D7" s="595"/>
      <c r="E7" s="26">
        <v>50.67</v>
      </c>
      <c r="F7" s="186">
        <v>1688</v>
      </c>
      <c r="G7" s="180">
        <f t="shared" si="4"/>
        <v>85530.96</v>
      </c>
      <c r="H7" s="21" t="s">
        <v>35</v>
      </c>
      <c r="I7" s="183">
        <v>17</v>
      </c>
      <c r="J7" s="23">
        <v>2000</v>
      </c>
      <c r="K7" s="9">
        <f t="shared" si="5"/>
        <v>117.64705882352941</v>
      </c>
      <c r="L7" s="183">
        <v>17</v>
      </c>
      <c r="M7" s="10">
        <f t="shared" ref="M7" si="8">F7/V7*60</f>
        <v>1910.9433962264161</v>
      </c>
      <c r="N7" s="9">
        <f t="shared" si="6"/>
        <v>112.40843507214213</v>
      </c>
      <c r="O7" s="11">
        <f t="shared" si="0"/>
        <v>0</v>
      </c>
      <c r="P7" s="12">
        <f t="shared" si="1"/>
        <v>-5.23862375138728</v>
      </c>
      <c r="Q7" s="181">
        <f t="shared" si="7"/>
        <v>0.95547169811320809</v>
      </c>
      <c r="R7" s="571"/>
      <c r="S7" s="24">
        <v>0.77361111111111114</v>
      </c>
      <c r="T7" s="24">
        <v>0.81041666666666667</v>
      </c>
      <c r="U7" s="180">
        <f t="shared" ref="U7" si="9">IF(S7=TIME(17,0,0),"",(S7-T6)*24*60)</f>
        <v>4.9999999999999822</v>
      </c>
      <c r="V7" s="184">
        <f t="shared" ref="V7" si="10">(T7-S7)*24*60</f>
        <v>52.999999999999972</v>
      </c>
      <c r="W7" s="13"/>
      <c r="X7" s="13"/>
      <c r="Y7" s="621"/>
      <c r="Z7" s="622"/>
      <c r="AA7" s="11">
        <f t="shared" si="2"/>
        <v>-89.056603773583902</v>
      </c>
      <c r="AB7" s="181">
        <f t="shared" si="3"/>
        <v>0.95547169811320809</v>
      </c>
      <c r="AC7" s="571"/>
    </row>
    <row r="8" spans="1:29">
      <c r="A8" s="645" t="s">
        <v>167</v>
      </c>
      <c r="B8" s="26" t="s">
        <v>718</v>
      </c>
      <c r="C8" s="629"/>
      <c r="D8" s="629"/>
      <c r="E8" s="179"/>
      <c r="F8" s="27"/>
      <c r="G8" s="9"/>
      <c r="H8" s="186"/>
      <c r="I8" s="16">
        <v>16</v>
      </c>
      <c r="J8" s="23">
        <v>2000</v>
      </c>
      <c r="K8" s="9">
        <f>J8/I8</f>
        <v>125</v>
      </c>
      <c r="L8" s="16">
        <v>16</v>
      </c>
      <c r="M8" s="10">
        <f>AVERAGE(M5:M7)</f>
        <v>1918.4066488252922</v>
      </c>
      <c r="N8" s="9">
        <f>M8/L8</f>
        <v>119.90041555158076</v>
      </c>
      <c r="O8" s="11">
        <f>L8-I8</f>
        <v>0</v>
      </c>
      <c r="P8" s="12">
        <f>N8-K8</f>
        <v>-5.0995844484192361</v>
      </c>
      <c r="Q8" s="181">
        <f>N8/K8</f>
        <v>0.95920332441264611</v>
      </c>
      <c r="R8" s="571"/>
      <c r="S8" s="24"/>
      <c r="T8" s="24"/>
      <c r="U8" s="180"/>
      <c r="V8" s="184"/>
      <c r="W8" s="9"/>
      <c r="X8" s="9"/>
      <c r="Y8" s="617"/>
      <c r="Z8" s="617"/>
      <c r="AA8" s="11">
        <f t="shared" si="2"/>
        <v>-81.593351174707777</v>
      </c>
      <c r="AB8" s="181">
        <f>M8/J8</f>
        <v>0.95920332441264611</v>
      </c>
      <c r="AC8" s="571"/>
    </row>
    <row r="9" spans="1:29" ht="15.75" customHeight="1">
      <c r="A9" s="643" t="s">
        <v>169</v>
      </c>
      <c r="B9" s="26" t="s">
        <v>40</v>
      </c>
      <c r="C9" s="594" t="s">
        <v>42</v>
      </c>
      <c r="D9" s="595"/>
      <c r="E9" s="26">
        <v>39.36</v>
      </c>
      <c r="F9" s="186">
        <v>2945</v>
      </c>
      <c r="G9" s="180">
        <f t="shared" ref="G9:G10" si="11">E9*F9</f>
        <v>115915.2</v>
      </c>
      <c r="H9" s="21" t="s">
        <v>35</v>
      </c>
      <c r="I9" s="183">
        <v>20</v>
      </c>
      <c r="J9" s="23">
        <v>1500</v>
      </c>
      <c r="K9" s="9">
        <f t="shared" ref="K9:K10" si="12">J9/I9</f>
        <v>75</v>
      </c>
      <c r="L9" s="183">
        <v>20</v>
      </c>
      <c r="M9" s="10">
        <f t="shared" ref="M9:M10" si="13">F9/V9*60</f>
        <v>1436.5853658536591</v>
      </c>
      <c r="N9" s="9">
        <f t="shared" ref="N9:N10" si="14">M9/L9</f>
        <v>71.829268292682954</v>
      </c>
      <c r="O9" s="11">
        <f t="shared" ref="O9:O10" si="15">L9-I9</f>
        <v>0</v>
      </c>
      <c r="P9" s="12">
        <f>N9-K9</f>
        <v>-3.1707317073170458</v>
      </c>
      <c r="Q9" s="181">
        <f>N9/K9</f>
        <v>0.95772357723577273</v>
      </c>
      <c r="R9" s="571">
        <f>Q11</f>
        <v>0.95531106398020538</v>
      </c>
      <c r="S9" s="24">
        <v>0.125</v>
      </c>
      <c r="T9" s="24">
        <v>0.21041666666666664</v>
      </c>
      <c r="U9" s="180"/>
      <c r="V9" s="184">
        <f t="shared" ref="V9:V10" si="16">(T9-S9)*24*60</f>
        <v>122.99999999999996</v>
      </c>
      <c r="W9" s="13"/>
      <c r="X9" s="13"/>
      <c r="Y9" s="617"/>
      <c r="Z9" s="617"/>
      <c r="AA9" s="11">
        <f t="shared" si="2"/>
        <v>-63.414634146340859</v>
      </c>
      <c r="AB9" s="181">
        <f>M9/J9</f>
        <v>0.95772357723577273</v>
      </c>
      <c r="AC9" s="571">
        <f>AB11</f>
        <v>0.95531106398020527</v>
      </c>
    </row>
    <row r="10" spans="1:29" ht="15.75" customHeight="1">
      <c r="A10" s="643" t="s">
        <v>719</v>
      </c>
      <c r="B10" s="26" t="s">
        <v>40</v>
      </c>
      <c r="C10" s="594" t="s">
        <v>41</v>
      </c>
      <c r="D10" s="595"/>
      <c r="E10" s="26">
        <v>39.799999999999997</v>
      </c>
      <c r="F10" s="186">
        <v>6575</v>
      </c>
      <c r="G10" s="180">
        <f t="shared" si="11"/>
        <v>261684.99999999997</v>
      </c>
      <c r="H10" s="21" t="s">
        <v>35</v>
      </c>
      <c r="I10" s="183">
        <v>17</v>
      </c>
      <c r="J10" s="23">
        <v>1500</v>
      </c>
      <c r="K10" s="9">
        <f t="shared" si="12"/>
        <v>88.235294117647058</v>
      </c>
      <c r="L10" s="183">
        <v>17</v>
      </c>
      <c r="M10" s="10">
        <f t="shared" si="13"/>
        <v>1429.3478260869565</v>
      </c>
      <c r="N10" s="9">
        <f t="shared" si="14"/>
        <v>84.079283887468023</v>
      </c>
      <c r="O10" s="11">
        <f t="shared" si="15"/>
        <v>0</v>
      </c>
      <c r="P10" s="12">
        <f t="shared" ref="P10" si="17">N10-K10</f>
        <v>-4.1560102301790351</v>
      </c>
      <c r="Q10" s="181">
        <f t="shared" ref="Q10" si="18">N10/K10</f>
        <v>0.95289855072463758</v>
      </c>
      <c r="R10" s="571"/>
      <c r="S10" s="24">
        <v>0.21388888888888885</v>
      </c>
      <c r="T10" s="24">
        <v>0.4055555555555555</v>
      </c>
      <c r="U10" s="180">
        <f>IF(S10=TIME(17,0,0),"",(S10-T9)*24*60)</f>
        <v>4.9999999999999822</v>
      </c>
      <c r="V10" s="184">
        <f t="shared" si="16"/>
        <v>276</v>
      </c>
      <c r="W10" s="13"/>
      <c r="X10" s="13"/>
      <c r="Y10" s="617"/>
      <c r="Z10" s="617"/>
      <c r="AA10" s="11">
        <f t="shared" si="2"/>
        <v>-70.652173913043498</v>
      </c>
      <c r="AB10" s="181">
        <f t="shared" ref="AB10:AB22" si="19">M10/J10</f>
        <v>0.95289855072463769</v>
      </c>
      <c r="AC10" s="571"/>
    </row>
    <row r="11" spans="1:29" ht="16.5" customHeight="1">
      <c r="A11" s="643" t="s">
        <v>169</v>
      </c>
      <c r="B11" s="26" t="s">
        <v>720</v>
      </c>
      <c r="C11" s="629"/>
      <c r="D11" s="629"/>
      <c r="E11" s="179"/>
      <c r="F11" s="23"/>
      <c r="G11" s="10"/>
      <c r="H11" s="186"/>
      <c r="I11" s="16">
        <v>18.5</v>
      </c>
      <c r="J11" s="23">
        <v>1500</v>
      </c>
      <c r="K11" s="9">
        <f>J11/I11</f>
        <v>81.081081081081081</v>
      </c>
      <c r="L11" s="16">
        <v>18.5</v>
      </c>
      <c r="M11" s="10">
        <f>AVERAGE(M9:M10)</f>
        <v>1432.9665959703079</v>
      </c>
      <c r="N11" s="9">
        <f>M11/L11</f>
        <v>77.457653836232865</v>
      </c>
      <c r="O11" s="11">
        <f>L11-I11</f>
        <v>0</v>
      </c>
      <c r="P11" s="12">
        <f>N11-K11</f>
        <v>-3.6234272448482159</v>
      </c>
      <c r="Q11" s="181">
        <f>N11/K11</f>
        <v>0.95531106398020538</v>
      </c>
      <c r="R11" s="571"/>
      <c r="S11" s="24"/>
      <c r="T11" s="24"/>
      <c r="U11" s="9"/>
      <c r="V11" s="184"/>
      <c r="W11" s="9"/>
      <c r="X11" s="9"/>
      <c r="Y11" s="617"/>
      <c r="Z11" s="617"/>
      <c r="AA11" s="11">
        <f t="shared" si="2"/>
        <v>-67.033404029692065</v>
      </c>
      <c r="AB11" s="181">
        <f t="shared" si="19"/>
        <v>0.95531106398020527</v>
      </c>
      <c r="AC11" s="571"/>
    </row>
    <row r="12" spans="1:29" ht="16.5" customHeight="1">
      <c r="A12" s="641" t="s">
        <v>721</v>
      </c>
      <c r="B12" s="186" t="s">
        <v>43</v>
      </c>
      <c r="C12" s="636" t="s">
        <v>44</v>
      </c>
      <c r="D12" s="636"/>
      <c r="E12" s="26">
        <v>41</v>
      </c>
      <c r="F12" s="186">
        <v>1980</v>
      </c>
      <c r="G12" s="180">
        <f t="shared" ref="G12:G15" si="20">E12*F12</f>
        <v>81180</v>
      </c>
      <c r="H12" s="21" t="s">
        <v>35</v>
      </c>
      <c r="I12" s="183">
        <v>26</v>
      </c>
      <c r="J12" s="23">
        <v>1500</v>
      </c>
      <c r="K12" s="9">
        <f>J12/I12</f>
        <v>57.692307692307693</v>
      </c>
      <c r="L12" s="183">
        <v>26</v>
      </c>
      <c r="M12" s="10">
        <f>F12/V12*60</f>
        <v>1431.3253012048197</v>
      </c>
      <c r="N12" s="9">
        <f t="shared" ref="N12:N21" si="21">M12/L12</f>
        <v>55.050973123262295</v>
      </c>
      <c r="O12" s="11">
        <f t="shared" ref="O12" si="22">L12-I12</f>
        <v>0</v>
      </c>
      <c r="P12" s="12">
        <f t="shared" ref="P12" si="23">N12-K12</f>
        <v>-2.641334569045398</v>
      </c>
      <c r="Q12" s="181">
        <f>N12/K12</f>
        <v>0.95421686746987977</v>
      </c>
      <c r="R12" s="571">
        <f>Q16</f>
        <v>0.95797549442877961</v>
      </c>
      <c r="S12" s="24">
        <v>0.16666666666666666</v>
      </c>
      <c r="T12" s="24">
        <v>0.22430555555555554</v>
      </c>
      <c r="U12" s="180"/>
      <c r="V12" s="184">
        <f>(T12-S12)*24*60</f>
        <v>82.999999999999986</v>
      </c>
      <c r="W12" s="15"/>
      <c r="X12" s="15"/>
      <c r="Y12" s="617"/>
      <c r="Z12" s="617"/>
      <c r="AA12" s="11">
        <f t="shared" si="2"/>
        <v>-68.674698795180348</v>
      </c>
      <c r="AB12" s="181">
        <f t="shared" si="19"/>
        <v>0.95421686746987977</v>
      </c>
      <c r="AC12" s="571">
        <f>AB16</f>
        <v>0.95797549442877961</v>
      </c>
    </row>
    <row r="13" spans="1:29" ht="16.5" customHeight="1">
      <c r="A13" s="642" t="s">
        <v>722</v>
      </c>
      <c r="B13" s="186" t="s">
        <v>40</v>
      </c>
      <c r="C13" s="636" t="s">
        <v>45</v>
      </c>
      <c r="D13" s="636"/>
      <c r="E13" s="26">
        <v>39.619999999999997</v>
      </c>
      <c r="F13" s="186">
        <v>4601</v>
      </c>
      <c r="G13" s="180">
        <f t="shared" si="20"/>
        <v>182291.62</v>
      </c>
      <c r="H13" s="21" t="s">
        <v>35</v>
      </c>
      <c r="I13" s="183">
        <v>19</v>
      </c>
      <c r="J13" s="23">
        <v>1500</v>
      </c>
      <c r="K13" s="9">
        <f>J13/I13</f>
        <v>78.94736842105263</v>
      </c>
      <c r="L13" s="183">
        <v>19</v>
      </c>
      <c r="M13" s="10">
        <f>F13/V13*60</f>
        <v>1430.3626943005181</v>
      </c>
      <c r="N13" s="9">
        <f t="shared" si="21"/>
        <v>75.282247068448328</v>
      </c>
      <c r="O13" s="11">
        <f>L13-I13</f>
        <v>0</v>
      </c>
      <c r="P13" s="12">
        <f>N13-K13</f>
        <v>-3.6651213526043023</v>
      </c>
      <c r="Q13" s="181">
        <f>N13/K13</f>
        <v>0.95357512953367884</v>
      </c>
      <c r="R13" s="571"/>
      <c r="S13" s="24">
        <v>0.2298611111111111</v>
      </c>
      <c r="T13" s="24">
        <v>0.36388888888888887</v>
      </c>
      <c r="U13" s="180">
        <f>IF(S13=TIME(17,0,0),"",(S13-T12)*24*60)</f>
        <v>8.0000000000000107</v>
      </c>
      <c r="V13" s="184">
        <f>(T13-S13)*24*60</f>
        <v>193</v>
      </c>
      <c r="W13" s="13"/>
      <c r="X13" s="13"/>
      <c r="Y13" s="617"/>
      <c r="Z13" s="617"/>
      <c r="AA13" s="11">
        <f t="shared" si="2"/>
        <v>-69.637305699481885</v>
      </c>
      <c r="AB13" s="181">
        <f t="shared" si="19"/>
        <v>0.95357512953367873</v>
      </c>
      <c r="AC13" s="571"/>
    </row>
    <row r="14" spans="1:29" ht="16.5" customHeight="1">
      <c r="A14" s="642" t="s">
        <v>24</v>
      </c>
      <c r="B14" s="186" t="s">
        <v>36</v>
      </c>
      <c r="C14" s="636" t="s">
        <v>49</v>
      </c>
      <c r="D14" s="636"/>
      <c r="E14" s="26">
        <v>50.98</v>
      </c>
      <c r="F14" s="186">
        <v>2536</v>
      </c>
      <c r="G14" s="180">
        <f t="shared" si="20"/>
        <v>129285.28</v>
      </c>
      <c r="H14" s="21" t="s">
        <v>35</v>
      </c>
      <c r="I14" s="183">
        <v>16</v>
      </c>
      <c r="J14" s="23">
        <v>2000</v>
      </c>
      <c r="K14" s="9">
        <f t="shared" ref="K14:K15" si="24">J14/I14</f>
        <v>125</v>
      </c>
      <c r="L14" s="183">
        <v>16</v>
      </c>
      <c r="M14" s="10">
        <f t="shared" ref="M14:M15" si="25">F14/V14*60</f>
        <v>1926.0759493670873</v>
      </c>
      <c r="N14" s="9">
        <f t="shared" si="21"/>
        <v>120.37974683544296</v>
      </c>
      <c r="O14" s="11">
        <f t="shared" ref="O14:O15" si="26">L14-I14</f>
        <v>0</v>
      </c>
      <c r="P14" s="12">
        <f t="shared" ref="P14:P15" si="27">N14-K14</f>
        <v>-4.6202531645570417</v>
      </c>
      <c r="Q14" s="181">
        <f t="shared" ref="Q14:Q21" si="28">N14/K14</f>
        <v>0.96303797468354368</v>
      </c>
      <c r="R14" s="571"/>
      <c r="S14" s="24">
        <v>0.70833333333333337</v>
      </c>
      <c r="T14" s="24">
        <v>0.76319444444444451</v>
      </c>
      <c r="U14" s="180" t="str">
        <f t="shared" ref="U14:U15" si="29">IF(S14=TIME(17,0,0),"",(S14-T13)*24*60)</f>
        <v/>
      </c>
      <c r="V14" s="184">
        <f t="shared" ref="V14:V15" si="30">(T14-S14)*24*60</f>
        <v>79.000000000000043</v>
      </c>
      <c r="W14" s="13"/>
      <c r="X14" s="13"/>
      <c r="Y14" s="617"/>
      <c r="Z14" s="617"/>
      <c r="AA14" s="11">
        <f t="shared" si="2"/>
        <v>-73.924050632912667</v>
      </c>
      <c r="AB14" s="181">
        <f t="shared" si="19"/>
        <v>0.96303797468354368</v>
      </c>
      <c r="AC14" s="571"/>
    </row>
    <row r="15" spans="1:29" ht="16.5" customHeight="1">
      <c r="A15" s="642" t="s">
        <v>24</v>
      </c>
      <c r="B15" s="186" t="s">
        <v>36</v>
      </c>
      <c r="C15" s="636" t="s">
        <v>50</v>
      </c>
      <c r="D15" s="636"/>
      <c r="E15" s="26">
        <v>50.92</v>
      </c>
      <c r="F15" s="186">
        <v>2973</v>
      </c>
      <c r="G15" s="180">
        <f t="shared" si="20"/>
        <v>151385.16</v>
      </c>
      <c r="H15" s="21" t="s">
        <v>35</v>
      </c>
      <c r="I15" s="183">
        <v>15</v>
      </c>
      <c r="J15" s="23">
        <v>2000</v>
      </c>
      <c r="K15" s="9">
        <f t="shared" si="24"/>
        <v>133.33333333333334</v>
      </c>
      <c r="L15" s="183">
        <v>15</v>
      </c>
      <c r="M15" s="10">
        <f t="shared" si="25"/>
        <v>1918.0645161290324</v>
      </c>
      <c r="N15" s="9">
        <f t="shared" si="21"/>
        <v>127.8709677419355</v>
      </c>
      <c r="O15" s="11">
        <f t="shared" si="26"/>
        <v>0</v>
      </c>
      <c r="P15" s="12">
        <f t="shared" si="27"/>
        <v>-5.4623655913978411</v>
      </c>
      <c r="Q15" s="181">
        <f t="shared" si="28"/>
        <v>0.9590322580645162</v>
      </c>
      <c r="R15" s="571"/>
      <c r="S15" s="24">
        <v>0.76875000000000004</v>
      </c>
      <c r="T15" s="24">
        <v>0.83333333333333337</v>
      </c>
      <c r="U15" s="180">
        <f t="shared" si="29"/>
        <v>7.9999999999999716</v>
      </c>
      <c r="V15" s="184">
        <f t="shared" si="30"/>
        <v>92.999999999999986</v>
      </c>
      <c r="W15" s="13"/>
      <c r="X15" s="13"/>
      <c r="Y15" s="617"/>
      <c r="Z15" s="617"/>
      <c r="AA15" s="11">
        <f t="shared" si="2"/>
        <v>-81.935483870967573</v>
      </c>
      <c r="AB15" s="181">
        <f t="shared" si="19"/>
        <v>0.9590322580645162</v>
      </c>
      <c r="AC15" s="571"/>
    </row>
    <row r="16" spans="1:29" ht="16.5" customHeight="1">
      <c r="A16" s="642" t="s">
        <v>723</v>
      </c>
      <c r="B16" s="26" t="s">
        <v>724</v>
      </c>
      <c r="C16" s="629"/>
      <c r="D16" s="629"/>
      <c r="E16" s="179"/>
      <c r="F16" s="27"/>
      <c r="G16" s="9"/>
      <c r="H16" s="186"/>
      <c r="I16" s="16">
        <v>19</v>
      </c>
      <c r="J16" s="23">
        <v>1750</v>
      </c>
      <c r="K16" s="9">
        <f>J16/I16</f>
        <v>92.10526315789474</v>
      </c>
      <c r="L16" s="16">
        <v>19</v>
      </c>
      <c r="M16" s="10">
        <f>AVERAGE(M12:M15)</f>
        <v>1676.4571152503643</v>
      </c>
      <c r="N16" s="9">
        <f t="shared" si="21"/>
        <v>88.234585013177067</v>
      </c>
      <c r="O16" s="11">
        <f>L16-I16</f>
        <v>0</v>
      </c>
      <c r="P16" s="12">
        <f>N16-K16</f>
        <v>-3.8706781447176724</v>
      </c>
      <c r="Q16" s="181">
        <f t="shared" si="28"/>
        <v>0.95797549442877961</v>
      </c>
      <c r="R16" s="571"/>
      <c r="S16" s="24"/>
      <c r="T16" s="24"/>
      <c r="U16" s="180"/>
      <c r="V16" s="184"/>
      <c r="W16" s="9"/>
      <c r="X16" s="9"/>
      <c r="Y16" s="617"/>
      <c r="Z16" s="617"/>
      <c r="AA16" s="11">
        <f t="shared" si="2"/>
        <v>-73.542884749635732</v>
      </c>
      <c r="AB16" s="181">
        <f t="shared" si="19"/>
        <v>0.95797549442877961</v>
      </c>
      <c r="AC16" s="571"/>
    </row>
    <row r="17" spans="1:29" ht="15.75" customHeight="1">
      <c r="A17" s="639" t="s">
        <v>725</v>
      </c>
      <c r="B17" s="26" t="s">
        <v>43</v>
      </c>
      <c r="C17" s="636" t="s">
        <v>51</v>
      </c>
      <c r="D17" s="636"/>
      <c r="E17" s="26">
        <v>43.14</v>
      </c>
      <c r="F17" s="186">
        <v>1295</v>
      </c>
      <c r="G17" s="180">
        <f t="shared" ref="G17:G21" si="31">E17*F17</f>
        <v>55866.3</v>
      </c>
      <c r="H17" s="21" t="s">
        <v>35</v>
      </c>
      <c r="I17" s="183">
        <v>17</v>
      </c>
      <c r="J17" s="23">
        <v>2000</v>
      </c>
      <c r="K17" s="9">
        <f t="shared" ref="K17:K22" si="32">J17/I17</f>
        <v>117.64705882352941</v>
      </c>
      <c r="L17" s="183">
        <v>17</v>
      </c>
      <c r="M17" s="10">
        <f t="shared" ref="M17:M21" si="33">F17/V17*60</f>
        <v>1942.4999999999991</v>
      </c>
      <c r="N17" s="9">
        <f t="shared" si="21"/>
        <v>114.26470588235289</v>
      </c>
      <c r="O17" s="11">
        <f t="shared" ref="O17:O21" si="34">L17-I17</f>
        <v>0</v>
      </c>
      <c r="P17" s="12">
        <f t="shared" ref="P17:P21" si="35">N17-K17</f>
        <v>-3.3823529411765207</v>
      </c>
      <c r="Q17" s="181">
        <f t="shared" si="28"/>
        <v>0.97124999999999961</v>
      </c>
      <c r="R17" s="571">
        <f>Q22</f>
        <v>0.96163523389409444</v>
      </c>
      <c r="S17" s="24">
        <v>0.33333333333333331</v>
      </c>
      <c r="T17" s="24">
        <v>0.3611111111111111</v>
      </c>
      <c r="U17" s="180"/>
      <c r="V17" s="184">
        <f>(T17-S17)*24*60</f>
        <v>40.000000000000014</v>
      </c>
      <c r="W17" s="15"/>
      <c r="X17" s="15"/>
      <c r="Y17" s="617"/>
      <c r="Z17" s="617"/>
      <c r="AA17" s="11">
        <f t="shared" si="2"/>
        <v>-57.500000000000909</v>
      </c>
      <c r="AB17" s="181">
        <f t="shared" si="19"/>
        <v>0.9712499999999995</v>
      </c>
      <c r="AC17" s="571">
        <f>AB22</f>
        <v>0.96163523389409455</v>
      </c>
    </row>
    <row r="18" spans="1:29" ht="15.75" customHeight="1">
      <c r="A18" s="640" t="s">
        <v>26</v>
      </c>
      <c r="B18" s="26" t="s">
        <v>36</v>
      </c>
      <c r="C18" s="636" t="s">
        <v>54</v>
      </c>
      <c r="D18" s="636"/>
      <c r="E18" s="26">
        <v>53.27</v>
      </c>
      <c r="F18" s="186">
        <v>1424</v>
      </c>
      <c r="G18" s="180">
        <f t="shared" si="31"/>
        <v>75856.48000000001</v>
      </c>
      <c r="H18" s="21" t="s">
        <v>35</v>
      </c>
      <c r="I18" s="183">
        <v>16</v>
      </c>
      <c r="J18" s="23">
        <v>2000</v>
      </c>
      <c r="K18" s="9">
        <f t="shared" si="32"/>
        <v>125</v>
      </c>
      <c r="L18" s="183">
        <v>16</v>
      </c>
      <c r="M18" s="10">
        <f t="shared" si="33"/>
        <v>1941.818181818182</v>
      </c>
      <c r="N18" s="9">
        <f t="shared" si="21"/>
        <v>121.36363636363637</v>
      </c>
      <c r="O18" s="11">
        <f t="shared" si="34"/>
        <v>0</v>
      </c>
      <c r="P18" s="12">
        <f t="shared" si="35"/>
        <v>-3.636363636363626</v>
      </c>
      <c r="Q18" s="181">
        <f t="shared" si="28"/>
        <v>0.97090909090909094</v>
      </c>
      <c r="R18" s="571"/>
      <c r="S18" s="24">
        <v>0.36666666666666664</v>
      </c>
      <c r="T18" s="24">
        <v>0.3972222222222222</v>
      </c>
      <c r="U18" s="180">
        <f>IF(S18=TIME(17,0,0),"",(S18-T17)*24*60)</f>
        <v>7.9999999999999716</v>
      </c>
      <c r="V18" s="184">
        <f t="shared" ref="V18:V21" si="36">(T18-S18)*24*60</f>
        <v>44</v>
      </c>
      <c r="W18" s="13"/>
      <c r="X18" s="180"/>
      <c r="Y18" s="617"/>
      <c r="Z18" s="617"/>
      <c r="AA18" s="11">
        <f t="shared" si="2"/>
        <v>-58.181818181818016</v>
      </c>
      <c r="AB18" s="181">
        <f t="shared" si="19"/>
        <v>0.97090909090909094</v>
      </c>
      <c r="AC18" s="571"/>
    </row>
    <row r="19" spans="1:29" ht="15.75" customHeight="1">
      <c r="A19" s="640" t="s">
        <v>26</v>
      </c>
      <c r="B19" s="26" t="s">
        <v>36</v>
      </c>
      <c r="C19" s="636" t="s">
        <v>53</v>
      </c>
      <c r="D19" s="636"/>
      <c r="E19" s="26">
        <v>53.68</v>
      </c>
      <c r="F19" s="186">
        <v>1712</v>
      </c>
      <c r="G19" s="180">
        <f t="shared" si="31"/>
        <v>91900.160000000003</v>
      </c>
      <c r="H19" s="21" t="s">
        <v>35</v>
      </c>
      <c r="I19" s="183">
        <v>16</v>
      </c>
      <c r="J19" s="23">
        <v>2000</v>
      </c>
      <c r="K19" s="9">
        <f t="shared" si="32"/>
        <v>125</v>
      </c>
      <c r="L19" s="183">
        <v>16</v>
      </c>
      <c r="M19" s="10">
        <f t="shared" si="33"/>
        <v>1902.2222222222233</v>
      </c>
      <c r="N19" s="9">
        <f t="shared" si="21"/>
        <v>118.88888888888896</v>
      </c>
      <c r="O19" s="11">
        <f t="shared" si="34"/>
        <v>0</v>
      </c>
      <c r="P19" s="12">
        <f t="shared" si="35"/>
        <v>-6.1111111111110432</v>
      </c>
      <c r="Q19" s="181">
        <f t="shared" si="28"/>
        <v>0.95111111111111168</v>
      </c>
      <c r="R19" s="571"/>
      <c r="S19" s="24">
        <v>0.40069444444444441</v>
      </c>
      <c r="T19" s="24">
        <v>0.43819444444444439</v>
      </c>
      <c r="U19" s="180">
        <f t="shared" ref="U19:U21" si="37">IF(S19=TIME(17,0,0),"",(S19-T18)*24*60)</f>
        <v>4.9999999999999822</v>
      </c>
      <c r="V19" s="184">
        <f t="shared" si="36"/>
        <v>53.999999999999972</v>
      </c>
      <c r="W19" s="13"/>
      <c r="X19" s="180"/>
      <c r="Y19" s="617"/>
      <c r="Z19" s="617"/>
      <c r="AA19" s="11">
        <f t="shared" si="2"/>
        <v>-97.777777777776691</v>
      </c>
      <c r="AB19" s="181">
        <f t="shared" si="19"/>
        <v>0.95111111111111168</v>
      </c>
      <c r="AC19" s="571"/>
    </row>
    <row r="20" spans="1:29" ht="15.75" customHeight="1">
      <c r="A20" s="640" t="s">
        <v>725</v>
      </c>
      <c r="B20" s="26" t="s">
        <v>36</v>
      </c>
      <c r="C20" s="636" t="s">
        <v>52</v>
      </c>
      <c r="D20" s="636"/>
      <c r="E20" s="26">
        <v>57.73</v>
      </c>
      <c r="F20" s="186">
        <v>2527</v>
      </c>
      <c r="G20" s="180">
        <f t="shared" si="31"/>
        <v>145883.71</v>
      </c>
      <c r="H20" s="21" t="s">
        <v>35</v>
      </c>
      <c r="I20" s="183">
        <v>15</v>
      </c>
      <c r="J20" s="23">
        <v>2000</v>
      </c>
      <c r="K20" s="9">
        <f t="shared" si="32"/>
        <v>133.33333333333334</v>
      </c>
      <c r="L20" s="183">
        <v>15</v>
      </c>
      <c r="M20" s="10">
        <f t="shared" si="33"/>
        <v>1919.2405063291149</v>
      </c>
      <c r="N20" s="9">
        <f t="shared" si="21"/>
        <v>127.94936708860766</v>
      </c>
      <c r="O20" s="11">
        <f t="shared" si="34"/>
        <v>0</v>
      </c>
      <c r="P20" s="12">
        <f t="shared" si="35"/>
        <v>-5.3839662447256842</v>
      </c>
      <c r="Q20" s="181">
        <f t="shared" si="28"/>
        <v>0.95962025316455735</v>
      </c>
      <c r="R20" s="571"/>
      <c r="S20" s="24">
        <v>0.4416666666666666</v>
      </c>
      <c r="T20" s="24">
        <v>0.49652777777777768</v>
      </c>
      <c r="U20" s="180">
        <f t="shared" si="37"/>
        <v>4.9999999999999822</v>
      </c>
      <c r="V20" s="184">
        <f t="shared" si="36"/>
        <v>78.999999999999957</v>
      </c>
      <c r="W20" s="13"/>
      <c r="X20" s="180"/>
      <c r="Y20" s="617"/>
      <c r="Z20" s="617"/>
      <c r="AA20" s="11">
        <f t="shared" si="2"/>
        <v>-80.759493670885149</v>
      </c>
      <c r="AB20" s="181">
        <f t="shared" si="19"/>
        <v>0.95962025316455746</v>
      </c>
      <c r="AC20" s="571"/>
    </row>
    <row r="21" spans="1:29" ht="15.75" customHeight="1">
      <c r="A21" s="640" t="s">
        <v>725</v>
      </c>
      <c r="B21" s="26" t="s">
        <v>36</v>
      </c>
      <c r="C21" s="636" t="s">
        <v>55</v>
      </c>
      <c r="D21" s="636"/>
      <c r="E21" s="26">
        <v>54.09</v>
      </c>
      <c r="F21" s="186">
        <v>2229</v>
      </c>
      <c r="G21" s="180">
        <f t="shared" si="31"/>
        <v>120566.61</v>
      </c>
      <c r="H21" s="21" t="s">
        <v>35</v>
      </c>
      <c r="I21" s="183">
        <v>19</v>
      </c>
      <c r="J21" s="23">
        <v>2000</v>
      </c>
      <c r="K21" s="9">
        <f t="shared" si="32"/>
        <v>105.26315789473684</v>
      </c>
      <c r="L21" s="183">
        <v>19</v>
      </c>
      <c r="M21" s="10">
        <f t="shared" si="33"/>
        <v>1910.5714285714266</v>
      </c>
      <c r="N21" s="9">
        <f t="shared" si="21"/>
        <v>100.55639097744351</v>
      </c>
      <c r="O21" s="11">
        <f t="shared" si="34"/>
        <v>0</v>
      </c>
      <c r="P21" s="12">
        <f t="shared" si="35"/>
        <v>-4.7067669172933222</v>
      </c>
      <c r="Q21" s="181">
        <f t="shared" si="28"/>
        <v>0.95528571428571341</v>
      </c>
      <c r="R21" s="571"/>
      <c r="S21" s="24">
        <v>0.70833333333333337</v>
      </c>
      <c r="T21" s="24">
        <v>0.75694444444444453</v>
      </c>
      <c r="U21" s="180" t="str">
        <f t="shared" si="37"/>
        <v/>
      </c>
      <c r="V21" s="184">
        <f t="shared" si="36"/>
        <v>70.000000000000071</v>
      </c>
      <c r="W21" s="13"/>
      <c r="X21" s="180"/>
      <c r="Y21" s="617"/>
      <c r="Z21" s="617"/>
      <c r="AA21" s="11">
        <f t="shared" si="2"/>
        <v>-89.428571428573377</v>
      </c>
      <c r="AB21" s="181">
        <f t="shared" si="19"/>
        <v>0.95528571428571329</v>
      </c>
      <c r="AC21" s="571"/>
    </row>
    <row r="22" spans="1:29" ht="15.75" customHeight="1">
      <c r="A22" s="640" t="s">
        <v>725</v>
      </c>
      <c r="B22" s="26" t="s">
        <v>22</v>
      </c>
      <c r="C22" s="629"/>
      <c r="D22" s="629"/>
      <c r="E22" s="179"/>
      <c r="F22" s="186"/>
      <c r="G22" s="180"/>
      <c r="H22" s="186"/>
      <c r="I22" s="16">
        <v>16.600000000000001</v>
      </c>
      <c r="J22" s="23">
        <v>2000</v>
      </c>
      <c r="K22" s="9">
        <f t="shared" si="32"/>
        <v>120.48192771084337</v>
      </c>
      <c r="L22" s="16">
        <v>16.600000000000001</v>
      </c>
      <c r="M22" s="10">
        <f>AVERAGE(M17:M21)</f>
        <v>1923.2704677881891</v>
      </c>
      <c r="N22" s="9">
        <f>M22/L22</f>
        <v>115.85966673422824</v>
      </c>
      <c r="O22" s="11">
        <f>L22-I22</f>
        <v>0</v>
      </c>
      <c r="P22" s="12">
        <f>N22-K22</f>
        <v>-4.6222609766151237</v>
      </c>
      <c r="Q22" s="181">
        <f>N22/K22</f>
        <v>0.96163523389409444</v>
      </c>
      <c r="R22" s="571"/>
      <c r="S22" s="24"/>
      <c r="T22" s="24"/>
      <c r="U22" s="9"/>
      <c r="V22" s="184"/>
      <c r="W22" s="9"/>
      <c r="X22" s="9"/>
      <c r="Y22" s="617"/>
      <c r="Z22" s="617"/>
      <c r="AA22" s="11">
        <f t="shared" si="2"/>
        <v>-76.72953221181092</v>
      </c>
      <c r="AB22" s="181">
        <f t="shared" si="19"/>
        <v>0.96163523389409455</v>
      </c>
      <c r="AC22" s="571"/>
    </row>
    <row r="23" spans="1:29" ht="15.75" customHeight="1">
      <c r="A23" s="635" t="s">
        <v>28</v>
      </c>
      <c r="B23" s="26" t="s">
        <v>46</v>
      </c>
      <c r="C23" s="636" t="s">
        <v>60</v>
      </c>
      <c r="D23" s="636"/>
      <c r="E23" s="26">
        <v>26.2</v>
      </c>
      <c r="F23" s="186">
        <v>3000</v>
      </c>
      <c r="G23" s="180">
        <f t="shared" ref="G23:G31" si="38">E23*F23</f>
        <v>78600</v>
      </c>
      <c r="H23" s="21">
        <v>2</v>
      </c>
      <c r="I23" s="183">
        <v>19</v>
      </c>
      <c r="J23" s="23">
        <v>2400</v>
      </c>
      <c r="K23" s="9">
        <f>J23/I23</f>
        <v>126.31578947368421</v>
      </c>
      <c r="L23" s="183">
        <v>19</v>
      </c>
      <c r="M23" s="10">
        <f t="shared" ref="M23:M31" si="39">F23/V23*60</f>
        <v>2307.6923076923072</v>
      </c>
      <c r="N23" s="9">
        <f t="shared" ref="N23:N31" si="40">M23/L23</f>
        <v>121.45748987854249</v>
      </c>
      <c r="O23" s="11">
        <f t="shared" ref="O23:O31" si="41">L23-I23</f>
        <v>0</v>
      </c>
      <c r="P23" s="12">
        <f t="shared" ref="P23:P31" si="42">N23-K23</f>
        <v>-4.8582995951417161</v>
      </c>
      <c r="Q23" s="181">
        <f t="shared" ref="Q23:Q28" si="43">N23/K23</f>
        <v>0.96153846153846145</v>
      </c>
      <c r="R23" s="571">
        <f>Q32</f>
        <v>0.95885199888142814</v>
      </c>
      <c r="S23" s="24">
        <v>8.3333333333333329E-2</v>
      </c>
      <c r="T23" s="24">
        <v>0.13750000000000001</v>
      </c>
      <c r="U23" s="180"/>
      <c r="V23" s="184">
        <f t="shared" ref="V23:V31" si="44">(T23-S23)*24*60</f>
        <v>78.000000000000014</v>
      </c>
      <c r="W23" s="13">
        <f>T23</f>
        <v>0.13750000000000001</v>
      </c>
      <c r="X23" s="13">
        <f>S24</f>
        <v>0.15833333333333335</v>
      </c>
      <c r="Y23" s="617"/>
      <c r="Z23" s="617"/>
      <c r="AA23" s="11">
        <f t="shared" si="2"/>
        <v>-92.307692307692832</v>
      </c>
      <c r="AB23" s="181">
        <f>M23/J23</f>
        <v>0.96153846153846134</v>
      </c>
      <c r="AC23" s="571">
        <f>AB32</f>
        <v>0.95885199888142802</v>
      </c>
    </row>
    <row r="24" spans="1:29" ht="15.75" customHeight="1">
      <c r="A24" s="635" t="s">
        <v>726</v>
      </c>
      <c r="B24" s="26" t="s">
        <v>46</v>
      </c>
      <c r="C24" s="636" t="s">
        <v>57</v>
      </c>
      <c r="D24" s="636"/>
      <c r="E24" s="26">
        <v>20.52</v>
      </c>
      <c r="F24" s="186">
        <v>3088</v>
      </c>
      <c r="G24" s="180">
        <f t="shared" si="38"/>
        <v>63365.760000000002</v>
      </c>
      <c r="H24" s="21" t="s">
        <v>35</v>
      </c>
      <c r="I24" s="183">
        <v>18</v>
      </c>
      <c r="J24" s="23">
        <v>2400</v>
      </c>
      <c r="K24" s="9">
        <f t="shared" ref="K24:K32" si="45">J24/I24</f>
        <v>133.33333333333334</v>
      </c>
      <c r="L24" s="183">
        <v>18</v>
      </c>
      <c r="M24" s="10">
        <f t="shared" si="39"/>
        <v>2287.4074074074078</v>
      </c>
      <c r="N24" s="9">
        <f t="shared" si="40"/>
        <v>127.07818930041155</v>
      </c>
      <c r="O24" s="11">
        <f t="shared" si="41"/>
        <v>0</v>
      </c>
      <c r="P24" s="12">
        <f t="shared" si="42"/>
        <v>-6.2551440329217911</v>
      </c>
      <c r="Q24" s="181">
        <f t="shared" si="43"/>
        <v>0.95308641975308661</v>
      </c>
      <c r="R24" s="571"/>
      <c r="S24" s="24">
        <v>0.15833333333333335</v>
      </c>
      <c r="T24" s="24">
        <v>0.21458333333333335</v>
      </c>
      <c r="U24" s="180">
        <f>(S24-T23)*24*60</f>
        <v>30.000000000000014</v>
      </c>
      <c r="V24" s="184">
        <f t="shared" si="44"/>
        <v>80.999999999999986</v>
      </c>
      <c r="W24" s="13"/>
      <c r="X24" s="13"/>
      <c r="Y24" s="617"/>
      <c r="Z24" s="617"/>
      <c r="AA24" s="11">
        <f t="shared" si="2"/>
        <v>-112.59259259259215</v>
      </c>
      <c r="AB24" s="181">
        <f t="shared" ref="AB24:AB31" si="46">M24/J24</f>
        <v>0.95308641975308661</v>
      </c>
      <c r="AC24" s="571"/>
    </row>
    <row r="25" spans="1:29" ht="15.75" customHeight="1">
      <c r="A25" s="635" t="s">
        <v>726</v>
      </c>
      <c r="B25" s="26" t="s">
        <v>46</v>
      </c>
      <c r="C25" s="636" t="s">
        <v>61</v>
      </c>
      <c r="D25" s="636"/>
      <c r="E25" s="26">
        <v>31.29</v>
      </c>
      <c r="F25" s="186">
        <v>4000</v>
      </c>
      <c r="G25" s="180">
        <f t="shared" si="38"/>
        <v>125160</v>
      </c>
      <c r="H25" s="21">
        <v>2</v>
      </c>
      <c r="I25" s="183">
        <v>18</v>
      </c>
      <c r="J25" s="23">
        <v>2400</v>
      </c>
      <c r="K25" s="9">
        <f t="shared" si="45"/>
        <v>133.33333333333334</v>
      </c>
      <c r="L25" s="183">
        <v>18</v>
      </c>
      <c r="M25" s="10">
        <f t="shared" si="39"/>
        <v>2285.7142857142862</v>
      </c>
      <c r="N25" s="9">
        <f t="shared" si="40"/>
        <v>126.98412698412702</v>
      </c>
      <c r="O25" s="11">
        <f t="shared" si="41"/>
        <v>0</v>
      </c>
      <c r="P25" s="12">
        <f t="shared" si="42"/>
        <v>-6.3492063492063266</v>
      </c>
      <c r="Q25" s="181">
        <f t="shared" si="43"/>
        <v>0.95238095238095255</v>
      </c>
      <c r="R25" s="571"/>
      <c r="S25" s="24">
        <v>0.21875000000000003</v>
      </c>
      <c r="T25" s="24">
        <v>0.29166666666666669</v>
      </c>
      <c r="U25" s="180">
        <f t="shared" ref="U25:U31" si="47">(S25-T24)*24*60</f>
        <v>6.0000000000000187</v>
      </c>
      <c r="V25" s="184">
        <f t="shared" si="44"/>
        <v>104.99999999999999</v>
      </c>
      <c r="W25" s="13"/>
      <c r="X25" s="13"/>
      <c r="Y25" s="617"/>
      <c r="Z25" s="617"/>
      <c r="AA25" s="11">
        <f t="shared" si="2"/>
        <v>-114.28571428571377</v>
      </c>
      <c r="AB25" s="181">
        <f t="shared" si="46"/>
        <v>0.95238095238095255</v>
      </c>
      <c r="AC25" s="571"/>
    </row>
    <row r="26" spans="1:29" ht="15.75" customHeight="1">
      <c r="A26" s="635" t="s">
        <v>726</v>
      </c>
      <c r="B26" s="26" t="s">
        <v>46</v>
      </c>
      <c r="C26" s="636" t="s">
        <v>59</v>
      </c>
      <c r="D26" s="636"/>
      <c r="E26" s="26">
        <v>26.18</v>
      </c>
      <c r="F26" s="186">
        <v>3889</v>
      </c>
      <c r="G26" s="180">
        <f t="shared" si="38"/>
        <v>101814.02</v>
      </c>
      <c r="H26" s="21" t="s">
        <v>35</v>
      </c>
      <c r="I26" s="183">
        <v>19</v>
      </c>
      <c r="J26" s="23">
        <v>2400</v>
      </c>
      <c r="K26" s="9">
        <f t="shared" si="45"/>
        <v>126.31578947368421</v>
      </c>
      <c r="L26" s="183">
        <v>19</v>
      </c>
      <c r="M26" s="10">
        <f t="shared" si="39"/>
        <v>2287.6470588235284</v>
      </c>
      <c r="N26" s="9">
        <f t="shared" si="40"/>
        <v>120.40247678018571</v>
      </c>
      <c r="O26" s="11">
        <f t="shared" si="41"/>
        <v>0</v>
      </c>
      <c r="P26" s="12">
        <f t="shared" si="42"/>
        <v>-5.9133126934984972</v>
      </c>
      <c r="Q26" s="181">
        <f t="shared" si="43"/>
        <v>0.95318627450980353</v>
      </c>
      <c r="R26" s="571"/>
      <c r="S26" s="24">
        <v>0.2951388888888889</v>
      </c>
      <c r="T26" s="24">
        <v>0.36597222222222225</v>
      </c>
      <c r="U26" s="180">
        <f t="shared" si="47"/>
        <v>4.9999999999999822</v>
      </c>
      <c r="V26" s="184">
        <f t="shared" si="44"/>
        <v>102.00000000000004</v>
      </c>
      <c r="W26" s="13"/>
      <c r="X26" s="13"/>
      <c r="Y26" s="617"/>
      <c r="Z26" s="617"/>
      <c r="AA26" s="11">
        <f t="shared" si="2"/>
        <v>-112.35294117647163</v>
      </c>
      <c r="AB26" s="181">
        <f t="shared" si="46"/>
        <v>0.95318627450980353</v>
      </c>
      <c r="AC26" s="571"/>
    </row>
    <row r="27" spans="1:29" ht="15.75" customHeight="1">
      <c r="A27" s="635" t="s">
        <v>726</v>
      </c>
      <c r="B27" s="26" t="s">
        <v>46</v>
      </c>
      <c r="C27" s="636" t="s">
        <v>56</v>
      </c>
      <c r="D27" s="636"/>
      <c r="E27" s="26">
        <v>26.2</v>
      </c>
      <c r="F27" s="186">
        <v>3200</v>
      </c>
      <c r="G27" s="180">
        <f t="shared" si="38"/>
        <v>83840</v>
      </c>
      <c r="H27" s="21">
        <v>2</v>
      </c>
      <c r="I27" s="183">
        <v>20</v>
      </c>
      <c r="J27" s="23">
        <v>2400</v>
      </c>
      <c r="K27" s="9">
        <f t="shared" si="45"/>
        <v>120</v>
      </c>
      <c r="L27" s="183">
        <v>20</v>
      </c>
      <c r="M27" s="10">
        <f t="shared" si="39"/>
        <v>2285.7142857142849</v>
      </c>
      <c r="N27" s="9">
        <f t="shared" si="40"/>
        <v>114.28571428571425</v>
      </c>
      <c r="O27" s="11">
        <f t="shared" si="41"/>
        <v>0</v>
      </c>
      <c r="P27" s="12">
        <f t="shared" si="42"/>
        <v>-5.7142857142857508</v>
      </c>
      <c r="Q27" s="181">
        <f t="shared" si="43"/>
        <v>0.95238095238095211</v>
      </c>
      <c r="R27" s="571"/>
      <c r="S27" s="24">
        <v>0.37152777777777779</v>
      </c>
      <c r="T27" s="24">
        <v>0.42986111111111114</v>
      </c>
      <c r="U27" s="180">
        <f t="shared" si="47"/>
        <v>7.9999999999999716</v>
      </c>
      <c r="V27" s="184">
        <f t="shared" si="44"/>
        <v>84.000000000000028</v>
      </c>
      <c r="W27" s="13"/>
      <c r="X27" s="13"/>
      <c r="Y27" s="617"/>
      <c r="Z27" s="617"/>
      <c r="AA27" s="11">
        <f t="shared" si="2"/>
        <v>-114.28571428571513</v>
      </c>
      <c r="AB27" s="181">
        <f t="shared" si="46"/>
        <v>0.952380952380952</v>
      </c>
      <c r="AC27" s="571"/>
    </row>
    <row r="28" spans="1:29" ht="15.75" customHeight="1">
      <c r="A28" s="635" t="s">
        <v>726</v>
      </c>
      <c r="B28" s="26" t="s">
        <v>46</v>
      </c>
      <c r="C28" s="636" t="s">
        <v>62</v>
      </c>
      <c r="D28" s="636"/>
      <c r="E28" s="26">
        <v>25</v>
      </c>
      <c r="F28" s="186">
        <v>4720</v>
      </c>
      <c r="G28" s="180">
        <f t="shared" si="38"/>
        <v>118000</v>
      </c>
      <c r="H28" s="21" t="s">
        <v>35</v>
      </c>
      <c r="I28" s="183">
        <v>15</v>
      </c>
      <c r="J28" s="23">
        <v>2400</v>
      </c>
      <c r="K28" s="9">
        <f t="shared" si="45"/>
        <v>160</v>
      </c>
      <c r="L28" s="183">
        <v>15</v>
      </c>
      <c r="M28" s="10">
        <f t="shared" si="39"/>
        <v>2283.8709677419347</v>
      </c>
      <c r="N28" s="9">
        <f t="shared" si="40"/>
        <v>152.25806451612897</v>
      </c>
      <c r="O28" s="11">
        <f t="shared" si="41"/>
        <v>0</v>
      </c>
      <c r="P28" s="12">
        <f t="shared" si="42"/>
        <v>-7.7419354838710319</v>
      </c>
      <c r="Q28" s="181">
        <f t="shared" si="43"/>
        <v>0.95161290322580605</v>
      </c>
      <c r="R28" s="571"/>
      <c r="S28" s="24">
        <v>0.43333333333333335</v>
      </c>
      <c r="T28" s="24">
        <v>0.51944444444444449</v>
      </c>
      <c r="U28" s="180">
        <f t="shared" si="47"/>
        <v>4.9999999999999822</v>
      </c>
      <c r="V28" s="184">
        <f t="shared" si="44"/>
        <v>124.00000000000004</v>
      </c>
      <c r="W28" s="13">
        <f>T28</f>
        <v>0.51944444444444449</v>
      </c>
      <c r="X28" s="13">
        <f>S29</f>
        <v>0.55972222222222223</v>
      </c>
      <c r="Y28" s="617"/>
      <c r="Z28" s="617"/>
      <c r="AA28" s="11">
        <f t="shared" si="2"/>
        <v>-116.12903225806531</v>
      </c>
      <c r="AB28" s="181">
        <f t="shared" si="46"/>
        <v>0.95161290322580616</v>
      </c>
      <c r="AC28" s="571"/>
    </row>
    <row r="29" spans="1:29" ht="15.75" customHeight="1">
      <c r="A29" s="635" t="s">
        <v>727</v>
      </c>
      <c r="B29" s="26" t="s">
        <v>46</v>
      </c>
      <c r="C29" s="636" t="s">
        <v>61</v>
      </c>
      <c r="D29" s="636"/>
      <c r="E29" s="26">
        <v>31.29</v>
      </c>
      <c r="F29" s="186">
        <v>5508</v>
      </c>
      <c r="G29" s="180">
        <f t="shared" si="38"/>
        <v>172345.32</v>
      </c>
      <c r="H29" s="21" t="s">
        <v>35</v>
      </c>
      <c r="I29" s="183">
        <v>18</v>
      </c>
      <c r="J29" s="23">
        <v>2400</v>
      </c>
      <c r="K29" s="9">
        <f t="shared" si="45"/>
        <v>133.33333333333334</v>
      </c>
      <c r="L29" s="183">
        <v>18</v>
      </c>
      <c r="M29" s="10">
        <f t="shared" si="39"/>
        <v>2295.0000000000005</v>
      </c>
      <c r="N29" s="9">
        <f t="shared" si="40"/>
        <v>127.50000000000003</v>
      </c>
      <c r="O29" s="11">
        <f t="shared" si="41"/>
        <v>0</v>
      </c>
      <c r="P29" s="12">
        <f t="shared" si="42"/>
        <v>-5.8333333333333144</v>
      </c>
      <c r="Q29" s="181">
        <f>N29/K29</f>
        <v>0.95625000000000016</v>
      </c>
      <c r="R29" s="571"/>
      <c r="S29" s="24">
        <v>0.55972222222222223</v>
      </c>
      <c r="T29" s="24">
        <v>0.65972222222222221</v>
      </c>
      <c r="U29" s="180">
        <f t="shared" si="47"/>
        <v>57.999999999999957</v>
      </c>
      <c r="V29" s="184">
        <f t="shared" si="44"/>
        <v>143.99999999999997</v>
      </c>
      <c r="W29" s="13"/>
      <c r="X29" s="13"/>
      <c r="Y29" s="617"/>
      <c r="Z29" s="617"/>
      <c r="AA29" s="11">
        <f t="shared" si="2"/>
        <v>-104.99999999999955</v>
      </c>
      <c r="AB29" s="181">
        <f t="shared" si="46"/>
        <v>0.95625000000000016</v>
      </c>
      <c r="AC29" s="571"/>
    </row>
    <row r="30" spans="1:29" ht="15.75" customHeight="1">
      <c r="A30" s="635" t="s">
        <v>727</v>
      </c>
      <c r="B30" s="26" t="s">
        <v>46</v>
      </c>
      <c r="C30" s="636" t="s">
        <v>56</v>
      </c>
      <c r="D30" s="636"/>
      <c r="E30" s="26">
        <v>26.2</v>
      </c>
      <c r="F30" s="186">
        <v>1331</v>
      </c>
      <c r="G30" s="180">
        <f t="shared" si="38"/>
        <v>34872.199999999997</v>
      </c>
      <c r="H30" s="21" t="s">
        <v>35</v>
      </c>
      <c r="I30" s="183">
        <v>20</v>
      </c>
      <c r="J30" s="23">
        <v>2400</v>
      </c>
      <c r="K30" s="9">
        <f t="shared" si="45"/>
        <v>120</v>
      </c>
      <c r="L30" s="183">
        <v>20</v>
      </c>
      <c r="M30" s="10">
        <f t="shared" si="39"/>
        <v>2348.8235294117617</v>
      </c>
      <c r="N30" s="9">
        <f t="shared" si="40"/>
        <v>117.44117647058809</v>
      </c>
      <c r="O30" s="11">
        <f t="shared" si="41"/>
        <v>0</v>
      </c>
      <c r="P30" s="12">
        <f t="shared" si="42"/>
        <v>-2.5588235294119102</v>
      </c>
      <c r="Q30" s="181">
        <f>N30/K30</f>
        <v>0.97867647058823404</v>
      </c>
      <c r="R30" s="571"/>
      <c r="S30" s="24">
        <v>0.66388888888888886</v>
      </c>
      <c r="T30" s="24">
        <v>0.6875</v>
      </c>
      <c r="U30" s="180">
        <f t="shared" si="47"/>
        <v>5.9999999999999787</v>
      </c>
      <c r="V30" s="184">
        <f t="shared" si="44"/>
        <v>34.000000000000043</v>
      </c>
      <c r="W30" s="13"/>
      <c r="X30" s="13"/>
      <c r="Y30" s="617"/>
      <c r="Z30" s="617"/>
      <c r="AA30" s="11">
        <f t="shared" si="2"/>
        <v>-51.176470588238317</v>
      </c>
      <c r="AB30" s="181">
        <f t="shared" si="46"/>
        <v>0.97867647058823404</v>
      </c>
      <c r="AC30" s="571"/>
    </row>
    <row r="31" spans="1:29" ht="15.75" customHeight="1">
      <c r="A31" s="635" t="s">
        <v>727</v>
      </c>
      <c r="B31" s="26" t="s">
        <v>46</v>
      </c>
      <c r="C31" s="658" t="s">
        <v>60</v>
      </c>
      <c r="D31" s="659"/>
      <c r="E31" s="26">
        <v>26.2</v>
      </c>
      <c r="F31" s="186">
        <v>1747</v>
      </c>
      <c r="G31" s="180">
        <f t="shared" si="38"/>
        <v>45771.4</v>
      </c>
      <c r="H31" s="21" t="s">
        <v>35</v>
      </c>
      <c r="I31" s="183">
        <v>19</v>
      </c>
      <c r="J31" s="23">
        <v>2400</v>
      </c>
      <c r="K31" s="9">
        <f t="shared" si="45"/>
        <v>126.31578947368421</v>
      </c>
      <c r="L31" s="183">
        <v>19</v>
      </c>
      <c r="M31" s="10">
        <f t="shared" si="39"/>
        <v>2329.3333333333335</v>
      </c>
      <c r="N31" s="9">
        <f t="shared" si="40"/>
        <v>122.59649122807018</v>
      </c>
      <c r="O31" s="11">
        <f t="shared" si="41"/>
        <v>0</v>
      </c>
      <c r="P31" s="12">
        <f t="shared" si="42"/>
        <v>-3.7192982456140271</v>
      </c>
      <c r="Q31" s="181">
        <f t="shared" ref="Q31" si="48">N31/K31</f>
        <v>0.97055555555555562</v>
      </c>
      <c r="R31" s="571"/>
      <c r="S31" s="24">
        <v>0.69166666666666665</v>
      </c>
      <c r="T31" s="24">
        <v>0.72291666666666665</v>
      </c>
      <c r="U31" s="180">
        <f t="shared" si="47"/>
        <v>5.9999999999999787</v>
      </c>
      <c r="V31" s="184">
        <f t="shared" si="44"/>
        <v>45</v>
      </c>
      <c r="W31" s="13"/>
      <c r="X31" s="13"/>
      <c r="Y31" s="621"/>
      <c r="Z31" s="622"/>
      <c r="AA31" s="11">
        <f t="shared" si="2"/>
        <v>-70.666666666666515</v>
      </c>
      <c r="AB31" s="181">
        <f t="shared" si="46"/>
        <v>0.97055555555555562</v>
      </c>
      <c r="AC31" s="571"/>
    </row>
    <row r="32" spans="1:29" ht="15.75" customHeight="1">
      <c r="A32" s="635" t="s">
        <v>727</v>
      </c>
      <c r="B32" s="26" t="s">
        <v>720</v>
      </c>
      <c r="C32" s="629"/>
      <c r="D32" s="629"/>
      <c r="E32" s="179"/>
      <c r="F32" s="186"/>
      <c r="G32" s="180"/>
      <c r="H32" s="186"/>
      <c r="I32" s="16">
        <v>18.444444444444443</v>
      </c>
      <c r="J32" s="23">
        <v>2400</v>
      </c>
      <c r="K32" s="9">
        <f t="shared" si="45"/>
        <v>130.12048192771084</v>
      </c>
      <c r="L32" s="16">
        <v>18.444444444444443</v>
      </c>
      <c r="M32" s="10">
        <f>AVERAGE(M23:M31)</f>
        <v>2301.2447973154271</v>
      </c>
      <c r="N32" s="9">
        <f>M32/L32</f>
        <v>124.76628419180028</v>
      </c>
      <c r="O32" s="11">
        <f>L32-I32</f>
        <v>0</v>
      </c>
      <c r="P32" s="12">
        <f>N32-K32</f>
        <v>-5.3541977359105601</v>
      </c>
      <c r="Q32" s="181">
        <f>N32/K32</f>
        <v>0.95885199888142814</v>
      </c>
      <c r="R32" s="571"/>
      <c r="S32" s="24"/>
      <c r="T32" s="24"/>
      <c r="U32" s="180"/>
      <c r="V32" s="184"/>
      <c r="W32" s="180"/>
      <c r="X32" s="180"/>
      <c r="Y32" s="617"/>
      <c r="Z32" s="617"/>
      <c r="AA32" s="11">
        <f t="shared" si="2"/>
        <v>-98.755202684572851</v>
      </c>
      <c r="AB32" s="181">
        <f>M32/J32</f>
        <v>0.95885199888142802</v>
      </c>
      <c r="AC32" s="571"/>
    </row>
    <row r="33" spans="1:29" ht="15.75" customHeight="1">
      <c r="A33" s="637" t="s">
        <v>728</v>
      </c>
      <c r="B33" s="26" t="s">
        <v>46</v>
      </c>
      <c r="C33" s="616" t="s">
        <v>63</v>
      </c>
      <c r="D33" s="616"/>
      <c r="E33" s="26">
        <v>26.2</v>
      </c>
      <c r="F33" s="186">
        <v>3800</v>
      </c>
      <c r="G33" s="180">
        <f t="shared" ref="G33:G39" si="49">E33*F33</f>
        <v>99560</v>
      </c>
      <c r="H33" s="21">
        <v>2</v>
      </c>
      <c r="I33" s="183">
        <v>18</v>
      </c>
      <c r="J33" s="23">
        <v>2400</v>
      </c>
      <c r="K33" s="9">
        <f>J33/I33</f>
        <v>133.33333333333334</v>
      </c>
      <c r="L33" s="183">
        <v>18</v>
      </c>
      <c r="M33" s="10">
        <f>F33/V33*60</f>
        <v>2279.9999999999995</v>
      </c>
      <c r="N33" s="9">
        <f>M33/L33</f>
        <v>126.66666666666664</v>
      </c>
      <c r="O33" s="11">
        <f t="shared" ref="O33:O39" si="50">L33-I33</f>
        <v>0</v>
      </c>
      <c r="P33" s="12">
        <f t="shared" ref="P33:P50" si="51">N33-K33</f>
        <v>-6.6666666666666998</v>
      </c>
      <c r="Q33" s="181">
        <f t="shared" ref="Q33:Q44" si="52">N33/K33</f>
        <v>0.94999999999999973</v>
      </c>
      <c r="R33" s="571">
        <f>Q40</f>
        <v>0.95466895546456754</v>
      </c>
      <c r="S33" s="24">
        <v>8.3333333333333329E-2</v>
      </c>
      <c r="T33" s="24">
        <v>0.15277777777777779</v>
      </c>
      <c r="U33" s="180"/>
      <c r="V33" s="184">
        <f t="shared" ref="V33:V39" si="53">(T33-S33)*24*60</f>
        <v>100.00000000000001</v>
      </c>
      <c r="W33" s="15">
        <f>T33</f>
        <v>0.15277777777777779</v>
      </c>
      <c r="X33" s="15">
        <f>S34</f>
        <v>0.17152777777777778</v>
      </c>
      <c r="Y33" s="617"/>
      <c r="Z33" s="617"/>
      <c r="AA33" s="11">
        <f t="shared" si="2"/>
        <v>-120.00000000000045</v>
      </c>
      <c r="AB33" s="181">
        <f>M33/J33</f>
        <v>0.94999999999999984</v>
      </c>
      <c r="AC33" s="571">
        <f>AB40</f>
        <v>0.95466895546456765</v>
      </c>
    </row>
    <row r="34" spans="1:29" ht="15.75" customHeight="1">
      <c r="A34" s="637" t="s">
        <v>729</v>
      </c>
      <c r="B34" s="26" t="s">
        <v>46</v>
      </c>
      <c r="C34" s="616" t="s">
        <v>64</v>
      </c>
      <c r="D34" s="616"/>
      <c r="E34" s="26">
        <v>26.39</v>
      </c>
      <c r="F34" s="186">
        <v>6176</v>
      </c>
      <c r="G34" s="180">
        <f t="shared" si="49"/>
        <v>162984.64000000001</v>
      </c>
      <c r="H34" s="21" t="s">
        <v>35</v>
      </c>
      <c r="I34" s="183">
        <v>19</v>
      </c>
      <c r="J34" s="23">
        <v>2400</v>
      </c>
      <c r="K34" s="9">
        <f t="shared" ref="K34:K49" si="54">J34/I34</f>
        <v>126.31578947368421</v>
      </c>
      <c r="L34" s="183">
        <v>19</v>
      </c>
      <c r="M34" s="10">
        <f t="shared" ref="M34:M39" si="55">F34/V34*60</f>
        <v>2287.4074074074078</v>
      </c>
      <c r="N34" s="9">
        <f t="shared" ref="N34:N39" si="56">M34/L34</f>
        <v>120.38986354775831</v>
      </c>
      <c r="O34" s="11">
        <f t="shared" si="50"/>
        <v>0</v>
      </c>
      <c r="P34" s="12">
        <f t="shared" si="51"/>
        <v>-5.9259259259258954</v>
      </c>
      <c r="Q34" s="181">
        <f t="shared" si="52"/>
        <v>0.95308641975308661</v>
      </c>
      <c r="R34" s="571"/>
      <c r="S34" s="24">
        <v>0.17152777777777778</v>
      </c>
      <c r="T34" s="24">
        <v>0.28402777777777777</v>
      </c>
      <c r="U34" s="180">
        <f>(S34-T33)*24*60</f>
        <v>26.999999999999986</v>
      </c>
      <c r="V34" s="184">
        <f t="shared" si="53"/>
        <v>161.99999999999997</v>
      </c>
      <c r="W34" s="180"/>
      <c r="X34" s="180"/>
      <c r="Y34" s="617"/>
      <c r="Z34" s="617"/>
      <c r="AA34" s="11">
        <f t="shared" si="2"/>
        <v>-112.59259259259215</v>
      </c>
      <c r="AB34" s="181">
        <f t="shared" ref="AB34:AB61" si="57">M34/J34</f>
        <v>0.95308641975308661</v>
      </c>
      <c r="AC34" s="571"/>
    </row>
    <row r="35" spans="1:29">
      <c r="A35" s="638" t="s">
        <v>730</v>
      </c>
      <c r="B35" s="26" t="s">
        <v>46</v>
      </c>
      <c r="C35" s="616" t="s">
        <v>87</v>
      </c>
      <c r="D35" s="616"/>
      <c r="E35" s="26">
        <v>20.52</v>
      </c>
      <c r="F35" s="186">
        <v>5044</v>
      </c>
      <c r="G35" s="180">
        <f t="shared" si="49"/>
        <v>103502.88</v>
      </c>
      <c r="H35" s="21" t="s">
        <v>35</v>
      </c>
      <c r="I35" s="183">
        <v>18</v>
      </c>
      <c r="J35" s="23">
        <v>2400</v>
      </c>
      <c r="K35" s="9">
        <f t="shared" si="54"/>
        <v>133.33333333333334</v>
      </c>
      <c r="L35" s="183">
        <v>18</v>
      </c>
      <c r="M35" s="10">
        <f t="shared" si="55"/>
        <v>2292.7272727272725</v>
      </c>
      <c r="N35" s="9">
        <f t="shared" si="56"/>
        <v>127.37373737373736</v>
      </c>
      <c r="O35" s="11">
        <f t="shared" si="50"/>
        <v>0</v>
      </c>
      <c r="P35" s="12">
        <f t="shared" si="51"/>
        <v>-5.9595959595959869</v>
      </c>
      <c r="Q35" s="181">
        <f t="shared" si="52"/>
        <v>0.9553030303030301</v>
      </c>
      <c r="R35" s="571"/>
      <c r="S35" s="24">
        <v>0.28749999999999998</v>
      </c>
      <c r="T35" s="24">
        <v>0.37916666666666665</v>
      </c>
      <c r="U35" s="180">
        <f t="shared" ref="U35:U39" si="58">(S35-T34)*24*60</f>
        <v>4.9999999999999822</v>
      </c>
      <c r="V35" s="184">
        <f t="shared" si="53"/>
        <v>132</v>
      </c>
      <c r="W35" s="180"/>
      <c r="X35" s="180"/>
      <c r="Y35" s="617"/>
      <c r="Z35" s="617"/>
      <c r="AA35" s="11">
        <f t="shared" si="2"/>
        <v>-107.27272727272748</v>
      </c>
      <c r="AB35" s="181">
        <f t="shared" si="57"/>
        <v>0.95530303030303021</v>
      </c>
      <c r="AC35" s="571"/>
    </row>
    <row r="36" spans="1:29">
      <c r="A36" s="638" t="s">
        <v>181</v>
      </c>
      <c r="B36" s="26" t="s">
        <v>46</v>
      </c>
      <c r="C36" s="616" t="s">
        <v>48</v>
      </c>
      <c r="D36" s="616"/>
      <c r="E36" s="26">
        <v>22.35</v>
      </c>
      <c r="F36" s="186">
        <v>1768</v>
      </c>
      <c r="G36" s="180">
        <f t="shared" si="49"/>
        <v>39514.800000000003</v>
      </c>
      <c r="H36" s="21" t="s">
        <v>35</v>
      </c>
      <c r="I36" s="183">
        <v>16</v>
      </c>
      <c r="J36" s="23">
        <v>2400</v>
      </c>
      <c r="K36" s="9">
        <f t="shared" si="54"/>
        <v>150</v>
      </c>
      <c r="L36" s="183">
        <v>16</v>
      </c>
      <c r="M36" s="10">
        <f t="shared" si="55"/>
        <v>2306.086956521739</v>
      </c>
      <c r="N36" s="9">
        <f t="shared" si="56"/>
        <v>144.13043478260869</v>
      </c>
      <c r="O36" s="11">
        <f t="shared" si="50"/>
        <v>0</v>
      </c>
      <c r="P36" s="12">
        <f t="shared" si="51"/>
        <v>-5.8695652173913118</v>
      </c>
      <c r="Q36" s="181">
        <f t="shared" si="52"/>
        <v>0.96086956521739131</v>
      </c>
      <c r="R36" s="571"/>
      <c r="S36" s="24">
        <v>0.38263888888888886</v>
      </c>
      <c r="T36" s="24">
        <v>0.4145833333333333</v>
      </c>
      <c r="U36" s="180">
        <f t="shared" si="58"/>
        <v>4.9999999999999822</v>
      </c>
      <c r="V36" s="184">
        <f t="shared" si="53"/>
        <v>46</v>
      </c>
      <c r="W36" s="13"/>
      <c r="X36" s="13"/>
      <c r="Y36" s="617"/>
      <c r="Z36" s="617"/>
      <c r="AA36" s="11">
        <f t="shared" si="2"/>
        <v>-93.913043478260988</v>
      </c>
      <c r="AB36" s="181">
        <f t="shared" si="57"/>
        <v>0.96086956521739131</v>
      </c>
      <c r="AC36" s="571"/>
    </row>
    <row r="37" spans="1:29">
      <c r="A37" s="638" t="s">
        <v>730</v>
      </c>
      <c r="B37" s="26" t="s">
        <v>46</v>
      </c>
      <c r="C37" s="616" t="s">
        <v>65</v>
      </c>
      <c r="D37" s="616"/>
      <c r="E37" s="26">
        <v>24.43</v>
      </c>
      <c r="F37" s="186">
        <v>3800</v>
      </c>
      <c r="G37" s="180">
        <f t="shared" si="49"/>
        <v>92834</v>
      </c>
      <c r="H37" s="21">
        <v>2</v>
      </c>
      <c r="I37" s="183">
        <v>15</v>
      </c>
      <c r="J37" s="23">
        <v>2400</v>
      </c>
      <c r="K37" s="9">
        <f t="shared" si="54"/>
        <v>160</v>
      </c>
      <c r="L37" s="183">
        <v>15</v>
      </c>
      <c r="M37" s="10">
        <f t="shared" si="55"/>
        <v>2303.0303030303039</v>
      </c>
      <c r="N37" s="9">
        <f t="shared" si="56"/>
        <v>153.53535353535361</v>
      </c>
      <c r="O37" s="11">
        <f t="shared" si="50"/>
        <v>0</v>
      </c>
      <c r="P37" s="12">
        <f t="shared" si="51"/>
        <v>-6.4646464646463926</v>
      </c>
      <c r="Q37" s="181">
        <f t="shared" si="52"/>
        <v>0.95959595959596</v>
      </c>
      <c r="R37" s="571"/>
      <c r="S37" s="24">
        <v>0.42013888888888884</v>
      </c>
      <c r="T37" s="24">
        <v>0.48888888888888882</v>
      </c>
      <c r="U37" s="180">
        <f t="shared" si="58"/>
        <v>7.9999999999999716</v>
      </c>
      <c r="V37" s="184">
        <f t="shared" si="53"/>
        <v>98.999999999999972</v>
      </c>
      <c r="W37" s="13">
        <f>T37</f>
        <v>0.48888888888888882</v>
      </c>
      <c r="X37" s="13">
        <f>S38</f>
        <v>0.53055555555555545</v>
      </c>
      <c r="Y37" s="617"/>
      <c r="Z37" s="617"/>
      <c r="AA37" s="11">
        <f t="shared" si="2"/>
        <v>-96.969696969696088</v>
      </c>
      <c r="AB37" s="181">
        <f t="shared" si="57"/>
        <v>0.95959595959596</v>
      </c>
      <c r="AC37" s="571"/>
    </row>
    <row r="38" spans="1:29">
      <c r="A38" s="638" t="s">
        <v>729</v>
      </c>
      <c r="B38" s="26" t="s">
        <v>46</v>
      </c>
      <c r="C38" s="616" t="s">
        <v>65</v>
      </c>
      <c r="D38" s="616"/>
      <c r="E38" s="26">
        <v>24.43</v>
      </c>
      <c r="F38" s="186">
        <v>4951</v>
      </c>
      <c r="G38" s="180">
        <f t="shared" si="49"/>
        <v>120952.93</v>
      </c>
      <c r="H38" s="21" t="s">
        <v>35</v>
      </c>
      <c r="I38" s="183">
        <v>15</v>
      </c>
      <c r="J38" s="23">
        <v>2400</v>
      </c>
      <c r="K38" s="9">
        <f t="shared" si="54"/>
        <v>160</v>
      </c>
      <c r="L38" s="183">
        <v>15</v>
      </c>
      <c r="M38" s="10">
        <f t="shared" si="55"/>
        <v>2285.0769230769224</v>
      </c>
      <c r="N38" s="9">
        <f t="shared" si="56"/>
        <v>152.3384615384615</v>
      </c>
      <c r="O38" s="11">
        <f t="shared" si="50"/>
        <v>0</v>
      </c>
      <c r="P38" s="12">
        <f t="shared" si="51"/>
        <v>-7.6615384615384983</v>
      </c>
      <c r="Q38" s="181">
        <f t="shared" si="52"/>
        <v>0.95211538461538436</v>
      </c>
      <c r="R38" s="571"/>
      <c r="S38" s="24">
        <v>0.53055555555555545</v>
      </c>
      <c r="T38" s="24">
        <v>0.62083333333333324</v>
      </c>
      <c r="U38" s="180">
        <f t="shared" si="58"/>
        <v>59.999999999999943</v>
      </c>
      <c r="V38" s="184">
        <f t="shared" si="53"/>
        <v>130.00000000000003</v>
      </c>
      <c r="W38" s="13"/>
      <c r="X38" s="13"/>
      <c r="Y38" s="617"/>
      <c r="Z38" s="617"/>
      <c r="AA38" s="11">
        <f t="shared" si="2"/>
        <v>-114.92307692307759</v>
      </c>
      <c r="AB38" s="181">
        <f t="shared" si="57"/>
        <v>0.95211538461538436</v>
      </c>
      <c r="AC38" s="571"/>
    </row>
    <row r="39" spans="1:29">
      <c r="A39" s="638" t="s">
        <v>730</v>
      </c>
      <c r="B39" s="26" t="s">
        <v>46</v>
      </c>
      <c r="C39" s="616" t="s">
        <v>63</v>
      </c>
      <c r="D39" s="616"/>
      <c r="E39" s="26">
        <v>26.2</v>
      </c>
      <c r="F39" s="186">
        <v>2779</v>
      </c>
      <c r="G39" s="180">
        <f t="shared" si="49"/>
        <v>72809.8</v>
      </c>
      <c r="H39" s="21" t="s">
        <v>35</v>
      </c>
      <c r="I39" s="183">
        <v>18</v>
      </c>
      <c r="J39" s="23">
        <v>2400</v>
      </c>
      <c r="K39" s="9">
        <f t="shared" si="54"/>
        <v>133.33333333333334</v>
      </c>
      <c r="L39" s="183">
        <v>18</v>
      </c>
      <c r="M39" s="10">
        <f t="shared" si="55"/>
        <v>2284.1095890410943</v>
      </c>
      <c r="N39" s="9">
        <f t="shared" si="56"/>
        <v>126.89497716894968</v>
      </c>
      <c r="O39" s="11">
        <f t="shared" si="50"/>
        <v>0</v>
      </c>
      <c r="P39" s="12">
        <f t="shared" si="51"/>
        <v>-6.4383561643836629</v>
      </c>
      <c r="Q39" s="181">
        <f t="shared" si="52"/>
        <v>0.95171232876712253</v>
      </c>
      <c r="R39" s="571"/>
      <c r="S39" s="24">
        <v>0.62569444444444433</v>
      </c>
      <c r="T39" s="24">
        <v>0.67638888888888882</v>
      </c>
      <c r="U39" s="180">
        <f t="shared" si="58"/>
        <v>6.9999999999999751</v>
      </c>
      <c r="V39" s="184">
        <f t="shared" si="53"/>
        <v>73.000000000000057</v>
      </c>
      <c r="W39" s="13"/>
      <c r="X39" s="13"/>
      <c r="Y39" s="621"/>
      <c r="Z39" s="622"/>
      <c r="AA39" s="11">
        <f t="shared" si="2"/>
        <v>-115.8904109589057</v>
      </c>
      <c r="AB39" s="181">
        <f t="shared" si="57"/>
        <v>0.95171232876712264</v>
      </c>
      <c r="AC39" s="571"/>
    </row>
    <row r="40" spans="1:29">
      <c r="A40" s="638" t="s">
        <v>728</v>
      </c>
      <c r="B40" s="27" t="s">
        <v>731</v>
      </c>
      <c r="C40" s="629"/>
      <c r="D40" s="629"/>
      <c r="E40" s="179"/>
      <c r="F40" s="27"/>
      <c r="G40" s="9"/>
      <c r="H40" s="186"/>
      <c r="I40" s="16">
        <v>17</v>
      </c>
      <c r="J40" s="23">
        <v>2400</v>
      </c>
      <c r="K40" s="9">
        <f t="shared" si="54"/>
        <v>141.1764705882353</v>
      </c>
      <c r="L40" s="16">
        <v>17</v>
      </c>
      <c r="M40" s="10">
        <f>AVERAGE(M33:M39)</f>
        <v>2291.2054931149623</v>
      </c>
      <c r="N40" s="9">
        <f>M40/L40</f>
        <v>134.77679371264483</v>
      </c>
      <c r="O40" s="11">
        <f>L40-I40</f>
        <v>0</v>
      </c>
      <c r="P40" s="12">
        <f t="shared" si="51"/>
        <v>-6.3996768755904725</v>
      </c>
      <c r="Q40" s="181">
        <f t="shared" si="52"/>
        <v>0.95466895546456754</v>
      </c>
      <c r="R40" s="571"/>
      <c r="S40" s="24"/>
      <c r="T40" s="24"/>
      <c r="U40" s="9"/>
      <c r="V40" s="184"/>
      <c r="W40" s="9"/>
      <c r="X40" s="9"/>
      <c r="Y40" s="617"/>
      <c r="Z40" s="617"/>
      <c r="AA40" s="11">
        <f t="shared" si="2"/>
        <v>-108.79450688503766</v>
      </c>
      <c r="AB40" s="181">
        <f t="shared" si="57"/>
        <v>0.95466895546456765</v>
      </c>
      <c r="AC40" s="571"/>
    </row>
    <row r="41" spans="1:29" ht="15.75" customHeight="1">
      <c r="A41" s="630" t="s">
        <v>732</v>
      </c>
      <c r="B41" s="26" t="s">
        <v>67</v>
      </c>
      <c r="C41" s="627" t="s">
        <v>68</v>
      </c>
      <c r="D41" s="628"/>
      <c r="E41" s="26">
        <v>21.13</v>
      </c>
      <c r="F41" s="186">
        <v>4959</v>
      </c>
      <c r="G41" s="180">
        <f t="shared" ref="G41:G49" si="59">E41*F41</f>
        <v>104783.67</v>
      </c>
      <c r="H41" s="21" t="s">
        <v>35</v>
      </c>
      <c r="I41" s="183">
        <v>10</v>
      </c>
      <c r="J41" s="23">
        <v>3000</v>
      </c>
      <c r="K41" s="9">
        <f t="shared" si="54"/>
        <v>300</v>
      </c>
      <c r="L41" s="183">
        <v>10</v>
      </c>
      <c r="M41" s="10">
        <f t="shared" ref="M41:M42" si="60">F41/V41*60</f>
        <v>2860.9615384615386</v>
      </c>
      <c r="N41" s="10">
        <f t="shared" ref="N41:N50" si="61">M41/L41</f>
        <v>286.09615384615387</v>
      </c>
      <c r="O41" s="11">
        <f t="shared" ref="O41:O50" si="62">L41-I41</f>
        <v>0</v>
      </c>
      <c r="P41" s="12">
        <f t="shared" si="51"/>
        <v>-13.903846153846132</v>
      </c>
      <c r="Q41" s="181">
        <f t="shared" si="52"/>
        <v>0.95365384615384619</v>
      </c>
      <c r="R41" s="582">
        <f>Q50</f>
        <v>0.95764676052348796</v>
      </c>
      <c r="S41" s="24">
        <v>8.3333333333333329E-2</v>
      </c>
      <c r="T41" s="24">
        <v>0.15555555555555556</v>
      </c>
      <c r="U41" s="15"/>
      <c r="V41" s="184">
        <f t="shared" ref="V41:V49" si="63">(T41-S41)*24*60</f>
        <v>104</v>
      </c>
      <c r="W41" s="13">
        <f>T41</f>
        <v>0.15555555555555556</v>
      </c>
      <c r="X41" s="13">
        <f>S42</f>
        <v>0.17499999999999999</v>
      </c>
      <c r="Y41" s="621"/>
      <c r="Z41" s="622"/>
      <c r="AA41" s="11">
        <f t="shared" si="2"/>
        <v>-139.03846153846143</v>
      </c>
      <c r="AB41" s="181">
        <f t="shared" si="57"/>
        <v>0.95365384615384619</v>
      </c>
      <c r="AC41" s="582">
        <f>AB50</f>
        <v>0.95764676052348796</v>
      </c>
    </row>
    <row r="42" spans="1:29" ht="15.75" customHeight="1">
      <c r="A42" s="631" t="s">
        <v>733</v>
      </c>
      <c r="B42" s="26" t="s">
        <v>67</v>
      </c>
      <c r="C42" s="627" t="s">
        <v>69</v>
      </c>
      <c r="D42" s="628"/>
      <c r="E42" s="26">
        <v>27.17</v>
      </c>
      <c r="F42" s="186">
        <v>2800</v>
      </c>
      <c r="G42" s="180">
        <f t="shared" si="59"/>
        <v>76076</v>
      </c>
      <c r="H42" s="21">
        <v>2</v>
      </c>
      <c r="I42" s="183">
        <v>10</v>
      </c>
      <c r="J42" s="23">
        <v>3000</v>
      </c>
      <c r="K42" s="9">
        <f t="shared" si="54"/>
        <v>300</v>
      </c>
      <c r="L42" s="183">
        <v>10</v>
      </c>
      <c r="M42" s="10">
        <f t="shared" si="60"/>
        <v>2896.5517241379312</v>
      </c>
      <c r="N42" s="10">
        <f t="shared" si="61"/>
        <v>289.65517241379314</v>
      </c>
      <c r="O42" s="11">
        <f t="shared" si="62"/>
        <v>0</v>
      </c>
      <c r="P42" s="12">
        <f t="shared" si="51"/>
        <v>-10.344827586206861</v>
      </c>
      <c r="Q42" s="181">
        <f t="shared" si="52"/>
        <v>0.9655172413793105</v>
      </c>
      <c r="R42" s="583"/>
      <c r="S42" s="24">
        <v>0.17499999999999999</v>
      </c>
      <c r="T42" s="24">
        <v>0.21527777777777776</v>
      </c>
      <c r="U42" s="180">
        <f>(S42-T41)*24*60</f>
        <v>27.999999999999979</v>
      </c>
      <c r="V42" s="184">
        <f t="shared" si="63"/>
        <v>57.999999999999993</v>
      </c>
      <c r="W42" s="13"/>
      <c r="X42" s="13"/>
      <c r="Y42" s="621"/>
      <c r="Z42" s="622"/>
      <c r="AA42" s="11">
        <f t="shared" si="2"/>
        <v>-103.44827586206884</v>
      </c>
      <c r="AB42" s="181">
        <f t="shared" si="57"/>
        <v>0.96551724137931039</v>
      </c>
      <c r="AC42" s="583"/>
    </row>
    <row r="43" spans="1:29" ht="15.75" customHeight="1">
      <c r="A43" s="631" t="s">
        <v>733</v>
      </c>
      <c r="B43" s="26" t="s">
        <v>67</v>
      </c>
      <c r="C43" s="627" t="s">
        <v>70</v>
      </c>
      <c r="D43" s="628"/>
      <c r="E43" s="26">
        <v>35.119999999999997</v>
      </c>
      <c r="F43" s="186">
        <v>4645</v>
      </c>
      <c r="G43" s="180">
        <f t="shared" si="59"/>
        <v>163132.4</v>
      </c>
      <c r="H43" s="21" t="s">
        <v>35</v>
      </c>
      <c r="I43" s="183">
        <v>10</v>
      </c>
      <c r="J43" s="23">
        <v>3000</v>
      </c>
      <c r="K43" s="9">
        <f t="shared" si="54"/>
        <v>300</v>
      </c>
      <c r="L43" s="183">
        <v>10</v>
      </c>
      <c r="M43" s="10">
        <f>F43/V43*60</f>
        <v>2873.1958762886607</v>
      </c>
      <c r="N43" s="10">
        <f t="shared" si="61"/>
        <v>287.31958762886609</v>
      </c>
      <c r="O43" s="11">
        <f t="shared" si="62"/>
        <v>0</v>
      </c>
      <c r="P43" s="12">
        <f t="shared" si="51"/>
        <v>-12.680412371133912</v>
      </c>
      <c r="Q43" s="181">
        <f t="shared" si="52"/>
        <v>0.95773195876288697</v>
      </c>
      <c r="R43" s="583"/>
      <c r="S43" s="24">
        <v>0.22013888888888888</v>
      </c>
      <c r="T43" s="24">
        <v>0.28749999999999998</v>
      </c>
      <c r="U43" s="180">
        <f t="shared" ref="U43:U49" si="64">(S43-T42)*24*60</f>
        <v>7.0000000000000151</v>
      </c>
      <c r="V43" s="184">
        <f t="shared" si="63"/>
        <v>96.999999999999972</v>
      </c>
      <c r="W43" s="13"/>
      <c r="X43" s="13"/>
      <c r="Y43" s="621"/>
      <c r="Z43" s="622"/>
      <c r="AA43" s="11">
        <f t="shared" si="2"/>
        <v>-126.80412371133934</v>
      </c>
      <c r="AB43" s="181">
        <f t="shared" si="57"/>
        <v>0.95773195876288686</v>
      </c>
      <c r="AC43" s="583"/>
    </row>
    <row r="44" spans="1:29" ht="15.75" customHeight="1">
      <c r="A44" s="631" t="s">
        <v>734</v>
      </c>
      <c r="B44" s="26" t="s">
        <v>67</v>
      </c>
      <c r="C44" s="627" t="s">
        <v>71</v>
      </c>
      <c r="D44" s="628"/>
      <c r="E44" s="26">
        <v>35.869999999999997</v>
      </c>
      <c r="F44" s="186">
        <v>2913</v>
      </c>
      <c r="G44" s="180">
        <f t="shared" si="59"/>
        <v>104489.31</v>
      </c>
      <c r="H44" s="21" t="s">
        <v>35</v>
      </c>
      <c r="I44" s="183">
        <v>10</v>
      </c>
      <c r="J44" s="23">
        <v>3000</v>
      </c>
      <c r="K44" s="9">
        <f t="shared" si="54"/>
        <v>300</v>
      </c>
      <c r="L44" s="183">
        <v>10</v>
      </c>
      <c r="M44" s="10">
        <f t="shared" ref="M44:M49" si="65">F44/V44*60</f>
        <v>2865.2459016393432</v>
      </c>
      <c r="N44" s="10">
        <f t="shared" si="61"/>
        <v>286.52459016393431</v>
      </c>
      <c r="O44" s="11">
        <f t="shared" si="62"/>
        <v>0</v>
      </c>
      <c r="P44" s="12">
        <f t="shared" si="51"/>
        <v>-13.475409836065694</v>
      </c>
      <c r="Q44" s="181">
        <f t="shared" si="52"/>
        <v>0.95508196721311434</v>
      </c>
      <c r="R44" s="583"/>
      <c r="S44" s="24">
        <v>0.29166666666666663</v>
      </c>
      <c r="T44" s="24">
        <v>0.33402777777777776</v>
      </c>
      <c r="U44" s="180">
        <f t="shared" si="64"/>
        <v>5.9999999999999787</v>
      </c>
      <c r="V44" s="184">
        <f t="shared" si="63"/>
        <v>61.000000000000021</v>
      </c>
      <c r="W44" s="13"/>
      <c r="X44" s="13"/>
      <c r="Y44" s="621"/>
      <c r="Z44" s="622"/>
      <c r="AA44" s="11">
        <f t="shared" si="2"/>
        <v>-134.75409836065683</v>
      </c>
      <c r="AB44" s="181">
        <f t="shared" si="57"/>
        <v>0.95508196721311445</v>
      </c>
      <c r="AC44" s="583"/>
    </row>
    <row r="45" spans="1:29" ht="15.75" customHeight="1">
      <c r="A45" s="631" t="s">
        <v>30</v>
      </c>
      <c r="B45" s="26" t="s">
        <v>67</v>
      </c>
      <c r="C45" s="627" t="s">
        <v>72</v>
      </c>
      <c r="D45" s="628"/>
      <c r="E45" s="26">
        <v>36.14</v>
      </c>
      <c r="F45" s="186">
        <v>1855</v>
      </c>
      <c r="G45" s="180">
        <f t="shared" si="59"/>
        <v>67039.7</v>
      </c>
      <c r="H45" s="21" t="s">
        <v>35</v>
      </c>
      <c r="I45" s="183">
        <v>8</v>
      </c>
      <c r="J45" s="23">
        <v>3000</v>
      </c>
      <c r="K45" s="9">
        <f t="shared" si="54"/>
        <v>375</v>
      </c>
      <c r="L45" s="183">
        <v>8</v>
      </c>
      <c r="M45" s="10">
        <f t="shared" si="65"/>
        <v>2853.8461538461524</v>
      </c>
      <c r="N45" s="10">
        <f t="shared" si="61"/>
        <v>356.73076923076906</v>
      </c>
      <c r="O45" s="11">
        <f t="shared" si="62"/>
        <v>0</v>
      </c>
      <c r="P45" s="12">
        <f t="shared" si="51"/>
        <v>-18.269230769230944</v>
      </c>
      <c r="Q45" s="181">
        <f>N45/K45</f>
        <v>0.95128205128205079</v>
      </c>
      <c r="R45" s="583"/>
      <c r="S45" s="24">
        <v>0.33749999999999997</v>
      </c>
      <c r="T45" s="24">
        <v>0.36458333333333331</v>
      </c>
      <c r="U45" s="180">
        <f t="shared" si="64"/>
        <v>4.9999999999999822</v>
      </c>
      <c r="V45" s="184">
        <f t="shared" si="63"/>
        <v>39.000000000000021</v>
      </c>
      <c r="W45" s="13"/>
      <c r="X45" s="13"/>
      <c r="Y45" s="621"/>
      <c r="Z45" s="622"/>
      <c r="AA45" s="11">
        <f t="shared" si="2"/>
        <v>-146.15384615384755</v>
      </c>
      <c r="AB45" s="181">
        <f t="shared" si="57"/>
        <v>0.95128205128205079</v>
      </c>
      <c r="AC45" s="583"/>
    </row>
    <row r="46" spans="1:29" ht="15.75" customHeight="1">
      <c r="A46" s="631" t="s">
        <v>735</v>
      </c>
      <c r="B46" s="26" t="s">
        <v>67</v>
      </c>
      <c r="C46" s="627" t="s">
        <v>664</v>
      </c>
      <c r="D46" s="628"/>
      <c r="E46" s="26">
        <v>32.83</v>
      </c>
      <c r="F46" s="186">
        <v>5861</v>
      </c>
      <c r="G46" s="180">
        <f t="shared" si="59"/>
        <v>192416.62999999998</v>
      </c>
      <c r="H46" s="21" t="s">
        <v>35</v>
      </c>
      <c r="I46" s="183">
        <v>10</v>
      </c>
      <c r="J46" s="23">
        <v>3000</v>
      </c>
      <c r="K46" s="9">
        <f t="shared" si="54"/>
        <v>300</v>
      </c>
      <c r="L46" s="183">
        <v>10</v>
      </c>
      <c r="M46" s="10">
        <f t="shared" si="65"/>
        <v>2859.0243902439038</v>
      </c>
      <c r="N46" s="10">
        <f t="shared" si="61"/>
        <v>285.90243902439039</v>
      </c>
      <c r="O46" s="11">
        <f t="shared" si="62"/>
        <v>0</v>
      </c>
      <c r="P46" s="12">
        <f t="shared" si="51"/>
        <v>-14.097560975609611</v>
      </c>
      <c r="Q46" s="181">
        <f t="shared" ref="Q46:Q50" si="66">N46/K46</f>
        <v>0.95300813008130125</v>
      </c>
      <c r="R46" s="583"/>
      <c r="S46" s="24">
        <v>0.36805555555555552</v>
      </c>
      <c r="T46" s="24">
        <v>0.45347222222222217</v>
      </c>
      <c r="U46" s="180">
        <f t="shared" si="64"/>
        <v>4.9999999999999822</v>
      </c>
      <c r="V46" s="184">
        <f t="shared" si="63"/>
        <v>122.99999999999996</v>
      </c>
      <c r="W46" s="13"/>
      <c r="X46" s="13"/>
      <c r="Y46" s="621"/>
      <c r="Z46" s="622"/>
      <c r="AA46" s="11">
        <f t="shared" si="2"/>
        <v>-140.97560975609622</v>
      </c>
      <c r="AB46" s="181">
        <f t="shared" si="57"/>
        <v>0.95300813008130125</v>
      </c>
      <c r="AC46" s="583"/>
    </row>
    <row r="47" spans="1:29" ht="15.75" customHeight="1">
      <c r="A47" s="631" t="s">
        <v>30</v>
      </c>
      <c r="B47" s="26" t="s">
        <v>67</v>
      </c>
      <c r="C47" s="627" t="s">
        <v>666</v>
      </c>
      <c r="D47" s="628"/>
      <c r="E47" s="26">
        <v>36.19</v>
      </c>
      <c r="F47" s="186">
        <v>3600</v>
      </c>
      <c r="G47" s="180">
        <f t="shared" si="59"/>
        <v>130283.99999999999</v>
      </c>
      <c r="H47" s="21">
        <v>2</v>
      </c>
      <c r="I47" s="183">
        <v>11</v>
      </c>
      <c r="J47" s="23">
        <v>3000</v>
      </c>
      <c r="K47" s="9">
        <f t="shared" si="54"/>
        <v>272.72727272727275</v>
      </c>
      <c r="L47" s="183">
        <v>11</v>
      </c>
      <c r="M47" s="10">
        <f t="shared" si="65"/>
        <v>2879.9999999999977</v>
      </c>
      <c r="N47" s="10">
        <f t="shared" si="61"/>
        <v>261.81818181818159</v>
      </c>
      <c r="O47" s="11">
        <f t="shared" si="62"/>
        <v>0</v>
      </c>
      <c r="P47" s="12">
        <f t="shared" si="51"/>
        <v>-10.909090909091162</v>
      </c>
      <c r="Q47" s="181">
        <f t="shared" si="66"/>
        <v>0.95999999999999908</v>
      </c>
      <c r="R47" s="583"/>
      <c r="S47" s="24">
        <v>0.45833333333333326</v>
      </c>
      <c r="T47" s="24">
        <v>0.51041666666666663</v>
      </c>
      <c r="U47" s="180">
        <f t="shared" si="64"/>
        <v>6.9999999999999751</v>
      </c>
      <c r="V47" s="184">
        <f t="shared" si="63"/>
        <v>75.000000000000057</v>
      </c>
      <c r="W47" s="13">
        <f>T47</f>
        <v>0.51041666666666663</v>
      </c>
      <c r="X47" s="13">
        <f>S48</f>
        <v>0.54930555555555549</v>
      </c>
      <c r="Y47" s="621"/>
      <c r="Z47" s="622"/>
      <c r="AA47" s="11">
        <f t="shared" si="2"/>
        <v>-120.00000000000227</v>
      </c>
      <c r="AB47" s="181">
        <f t="shared" si="57"/>
        <v>0.95999999999999919</v>
      </c>
      <c r="AC47" s="583"/>
    </row>
    <row r="48" spans="1:29" ht="15.75" customHeight="1">
      <c r="A48" s="631" t="s">
        <v>736</v>
      </c>
      <c r="B48" s="26" t="s">
        <v>67</v>
      </c>
      <c r="C48" s="627" t="s">
        <v>69</v>
      </c>
      <c r="D48" s="628"/>
      <c r="E48" s="26">
        <v>27.17</v>
      </c>
      <c r="F48" s="186">
        <v>3622</v>
      </c>
      <c r="G48" s="180">
        <f t="shared" si="59"/>
        <v>98409.74</v>
      </c>
      <c r="H48" s="21" t="s">
        <v>35</v>
      </c>
      <c r="I48" s="183">
        <v>10</v>
      </c>
      <c r="J48" s="23">
        <v>3000</v>
      </c>
      <c r="K48" s="9">
        <f t="shared" si="54"/>
        <v>300</v>
      </c>
      <c r="L48" s="183">
        <v>10</v>
      </c>
      <c r="M48" s="10">
        <f t="shared" si="65"/>
        <v>2859.473684210524</v>
      </c>
      <c r="N48" s="10">
        <f t="shared" si="61"/>
        <v>285.94736842105237</v>
      </c>
      <c r="O48" s="11">
        <f t="shared" si="62"/>
        <v>0</v>
      </c>
      <c r="P48" s="12">
        <f t="shared" si="51"/>
        <v>-14.052631578947626</v>
      </c>
      <c r="Q48" s="181">
        <f t="shared" si="66"/>
        <v>0.9531578947368412</v>
      </c>
      <c r="R48" s="583"/>
      <c r="S48" s="24">
        <v>0.54930555555555549</v>
      </c>
      <c r="T48" s="24">
        <v>0.6020833333333333</v>
      </c>
      <c r="U48" s="180">
        <f t="shared" si="64"/>
        <v>55.999999999999957</v>
      </c>
      <c r="V48" s="184">
        <f t="shared" si="63"/>
        <v>76.000000000000057</v>
      </c>
      <c r="W48" s="13"/>
      <c r="X48" s="13"/>
      <c r="Y48" s="621"/>
      <c r="Z48" s="622"/>
      <c r="AA48" s="11">
        <f t="shared" si="2"/>
        <v>-140.52631578947603</v>
      </c>
      <c r="AB48" s="181">
        <f t="shared" si="57"/>
        <v>0.95315789473684132</v>
      </c>
      <c r="AC48" s="583"/>
    </row>
    <row r="49" spans="1:29" ht="15.75" customHeight="1">
      <c r="A49" s="631" t="s">
        <v>737</v>
      </c>
      <c r="B49" s="26" t="s">
        <v>67</v>
      </c>
      <c r="C49" s="627" t="s">
        <v>666</v>
      </c>
      <c r="D49" s="628"/>
      <c r="E49" s="26">
        <v>36.19</v>
      </c>
      <c r="F49" s="186">
        <v>2375</v>
      </c>
      <c r="G49" s="180">
        <f t="shared" si="59"/>
        <v>85951.25</v>
      </c>
      <c r="H49" s="21" t="s">
        <v>35</v>
      </c>
      <c r="I49" s="183">
        <v>11</v>
      </c>
      <c r="J49" s="23">
        <v>3000</v>
      </c>
      <c r="K49" s="9">
        <f t="shared" si="54"/>
        <v>272.72727272727275</v>
      </c>
      <c r="L49" s="183">
        <v>11</v>
      </c>
      <c r="M49" s="10">
        <f t="shared" si="65"/>
        <v>2908.1632653061233</v>
      </c>
      <c r="N49" s="10">
        <f t="shared" si="61"/>
        <v>264.37847866419304</v>
      </c>
      <c r="O49" s="11">
        <f t="shared" si="62"/>
        <v>0</v>
      </c>
      <c r="P49" s="12">
        <f t="shared" si="51"/>
        <v>-8.3487940630797084</v>
      </c>
      <c r="Q49" s="181">
        <f t="shared" si="66"/>
        <v>0.96938775510204112</v>
      </c>
      <c r="R49" s="583"/>
      <c r="S49" s="24">
        <v>0.60624999999999996</v>
      </c>
      <c r="T49" s="24">
        <v>0.64027777777777772</v>
      </c>
      <c r="U49" s="180">
        <f t="shared" si="64"/>
        <v>5.9999999999999787</v>
      </c>
      <c r="V49" s="184">
        <f t="shared" si="63"/>
        <v>48.999999999999986</v>
      </c>
      <c r="W49" s="13"/>
      <c r="X49" s="13"/>
      <c r="Y49" s="621"/>
      <c r="Z49" s="622"/>
      <c r="AA49" s="11">
        <f t="shared" si="2"/>
        <v>-91.836734693876679</v>
      </c>
      <c r="AB49" s="181">
        <f t="shared" si="57"/>
        <v>0.96938775510204112</v>
      </c>
      <c r="AC49" s="583"/>
    </row>
    <row r="50" spans="1:29" ht="15.75" customHeight="1">
      <c r="A50" s="632" t="s">
        <v>734</v>
      </c>
      <c r="B50" s="26" t="s">
        <v>22</v>
      </c>
      <c r="C50" s="625"/>
      <c r="D50" s="626"/>
      <c r="E50" s="182"/>
      <c r="F50" s="186"/>
      <c r="G50" s="180"/>
      <c r="H50" s="186"/>
      <c r="I50" s="16">
        <v>10</v>
      </c>
      <c r="J50" s="23">
        <v>3000</v>
      </c>
      <c r="K50" s="9">
        <f>J50/I50</f>
        <v>300</v>
      </c>
      <c r="L50" s="16">
        <v>10</v>
      </c>
      <c r="M50" s="10">
        <f>AVERAGE(M41:M49)</f>
        <v>2872.9402815704639</v>
      </c>
      <c r="N50" s="9">
        <f t="shared" si="61"/>
        <v>287.2940281570464</v>
      </c>
      <c r="O50" s="11">
        <f t="shared" si="62"/>
        <v>0</v>
      </c>
      <c r="P50" s="12">
        <f t="shared" si="51"/>
        <v>-12.705971842953602</v>
      </c>
      <c r="Q50" s="181">
        <f t="shared" si="66"/>
        <v>0.95764676052348796</v>
      </c>
      <c r="R50" s="584"/>
      <c r="S50" s="24"/>
      <c r="T50" s="24"/>
      <c r="U50" s="180"/>
      <c r="V50" s="184"/>
      <c r="W50" s="13"/>
      <c r="X50" s="13"/>
      <c r="Y50" s="621"/>
      <c r="Z50" s="622"/>
      <c r="AA50" s="11">
        <f t="shared" si="2"/>
        <v>-127.05971842953613</v>
      </c>
      <c r="AB50" s="181">
        <f t="shared" si="57"/>
        <v>0.95764676052348796</v>
      </c>
      <c r="AC50" s="584"/>
    </row>
    <row r="51" spans="1:29" ht="15.75" customHeight="1">
      <c r="A51" s="633" t="s">
        <v>31</v>
      </c>
      <c r="B51" s="26" t="s">
        <v>40</v>
      </c>
      <c r="C51" s="616" t="s">
        <v>73</v>
      </c>
      <c r="D51" s="616"/>
      <c r="E51" s="26">
        <v>46</v>
      </c>
      <c r="F51" s="28">
        <v>2864</v>
      </c>
      <c r="G51" s="180">
        <f t="shared" ref="G51:G56" si="67">E51*F51</f>
        <v>131744</v>
      </c>
      <c r="H51" s="21" t="s">
        <v>35</v>
      </c>
      <c r="I51" s="183">
        <v>17</v>
      </c>
      <c r="J51" s="23">
        <v>2000</v>
      </c>
      <c r="K51" s="9">
        <f t="shared" ref="K51:K56" si="68">J51/I51</f>
        <v>117.64705882352941</v>
      </c>
      <c r="L51" s="183">
        <v>17</v>
      </c>
      <c r="M51" s="10">
        <f t="shared" ref="M51:M56" si="69">F51/V51*60</f>
        <v>1909.3333333333335</v>
      </c>
      <c r="N51" s="10">
        <f>M51/L51</f>
        <v>112.31372549019609</v>
      </c>
      <c r="O51" s="11">
        <f>L51-I51</f>
        <v>0</v>
      </c>
      <c r="P51" s="12">
        <f>N51-K51</f>
        <v>-5.3333333333333144</v>
      </c>
      <c r="Q51" s="181">
        <f>N51/K51</f>
        <v>0.95466666666666677</v>
      </c>
      <c r="R51" s="571">
        <f>Q57</f>
        <v>0.96082424988308524</v>
      </c>
      <c r="S51" s="24">
        <v>0.29166666666666669</v>
      </c>
      <c r="T51" s="24">
        <v>0.35416666666666669</v>
      </c>
      <c r="U51" s="15"/>
      <c r="V51" s="184">
        <f t="shared" ref="V51:V56" si="70">(T51-S51)*24*60</f>
        <v>90</v>
      </c>
      <c r="W51" s="15"/>
      <c r="X51" s="15"/>
      <c r="Y51" s="617"/>
      <c r="Z51" s="617"/>
      <c r="AA51" s="11">
        <f t="shared" si="2"/>
        <v>-90.666666666666515</v>
      </c>
      <c r="AB51" s="181">
        <f t="shared" si="57"/>
        <v>0.95466666666666677</v>
      </c>
      <c r="AC51" s="571">
        <f>AB57</f>
        <v>0.96082424988308524</v>
      </c>
    </row>
    <row r="52" spans="1:29" ht="15.75" customHeight="1">
      <c r="A52" s="633" t="s">
        <v>738</v>
      </c>
      <c r="B52" s="26" t="s">
        <v>36</v>
      </c>
      <c r="C52" s="616" t="s">
        <v>75</v>
      </c>
      <c r="D52" s="616"/>
      <c r="E52" s="26">
        <v>54.09</v>
      </c>
      <c r="F52" s="28">
        <v>1026</v>
      </c>
      <c r="G52" s="180">
        <f t="shared" si="67"/>
        <v>55496.340000000004</v>
      </c>
      <c r="H52" s="21" t="s">
        <v>35</v>
      </c>
      <c r="I52" s="183">
        <v>16</v>
      </c>
      <c r="J52" s="23">
        <v>2000</v>
      </c>
      <c r="K52" s="9">
        <f t="shared" si="68"/>
        <v>125</v>
      </c>
      <c r="L52" s="183">
        <v>16</v>
      </c>
      <c r="M52" s="10">
        <f t="shared" si="69"/>
        <v>1923.750000000002</v>
      </c>
      <c r="N52" s="10">
        <f t="shared" ref="N52:N56" si="71">M52/L52</f>
        <v>120.23437500000013</v>
      </c>
      <c r="O52" s="11">
        <f t="shared" ref="O52:O56" si="72">L52-I52</f>
        <v>0</v>
      </c>
      <c r="P52" s="12">
        <f t="shared" ref="P52:P56" si="73">N52-K52</f>
        <v>-4.7656249999998721</v>
      </c>
      <c r="Q52" s="181">
        <f t="shared" ref="Q52:Q56" si="74">N52/K52</f>
        <v>0.96187500000000103</v>
      </c>
      <c r="R52" s="571"/>
      <c r="S52" s="24">
        <v>0.35972222222222222</v>
      </c>
      <c r="T52" s="24">
        <v>0.38194444444444442</v>
      </c>
      <c r="U52" s="180">
        <f>IF(S52=TIME(17,0,0),"",(S52-T51)*24*60)</f>
        <v>7.9999999999999716</v>
      </c>
      <c r="V52" s="184">
        <f t="shared" si="70"/>
        <v>31.999999999999964</v>
      </c>
      <c r="W52" s="13"/>
      <c r="X52" s="13"/>
      <c r="Y52" s="617"/>
      <c r="Z52" s="617"/>
      <c r="AA52" s="11">
        <f t="shared" si="2"/>
        <v>-76.249999999997954</v>
      </c>
      <c r="AB52" s="181">
        <f t="shared" si="57"/>
        <v>0.96187500000000103</v>
      </c>
      <c r="AC52" s="571"/>
    </row>
    <row r="53" spans="1:29" ht="15.75" customHeight="1">
      <c r="A53" s="633" t="s">
        <v>739</v>
      </c>
      <c r="B53" s="26" t="s">
        <v>40</v>
      </c>
      <c r="C53" s="627" t="s">
        <v>74</v>
      </c>
      <c r="D53" s="628"/>
      <c r="E53" s="26">
        <v>46</v>
      </c>
      <c r="F53" s="28">
        <v>3035</v>
      </c>
      <c r="G53" s="180">
        <f t="shared" si="67"/>
        <v>139610</v>
      </c>
      <c r="H53" s="21" t="s">
        <v>35</v>
      </c>
      <c r="I53" s="183">
        <v>17</v>
      </c>
      <c r="J53" s="23">
        <v>2000</v>
      </c>
      <c r="K53" s="9">
        <f t="shared" si="68"/>
        <v>117.64705882352941</v>
      </c>
      <c r="L53" s="183">
        <v>17</v>
      </c>
      <c r="M53" s="10">
        <f t="shared" si="69"/>
        <v>1916.8421052631581</v>
      </c>
      <c r="N53" s="10">
        <f t="shared" si="71"/>
        <v>112.75541795665636</v>
      </c>
      <c r="O53" s="11">
        <f t="shared" si="72"/>
        <v>0</v>
      </c>
      <c r="P53" s="12">
        <f t="shared" si="73"/>
        <v>-4.8916408668730469</v>
      </c>
      <c r="Q53" s="181">
        <f t="shared" si="74"/>
        <v>0.95842105263157906</v>
      </c>
      <c r="R53" s="571"/>
      <c r="S53" s="24">
        <v>0.38611111111111107</v>
      </c>
      <c r="T53" s="24">
        <v>0.45208333333333328</v>
      </c>
      <c r="U53" s="180">
        <f t="shared" ref="U53:U56" si="75">IF(S53=TIME(17,0,0),"",(S53-T52)*24*60)</f>
        <v>5.9999999999999787</v>
      </c>
      <c r="V53" s="184">
        <f t="shared" si="70"/>
        <v>94.999999999999986</v>
      </c>
      <c r="W53" s="13"/>
      <c r="X53" s="13"/>
      <c r="Y53" s="177"/>
      <c r="Z53" s="178"/>
      <c r="AA53" s="11">
        <f t="shared" si="2"/>
        <v>-83.157894736841854</v>
      </c>
      <c r="AB53" s="181">
        <f t="shared" si="57"/>
        <v>0.95842105263157906</v>
      </c>
      <c r="AC53" s="571"/>
    </row>
    <row r="54" spans="1:29" ht="15.75" customHeight="1">
      <c r="A54" s="633" t="s">
        <v>740</v>
      </c>
      <c r="B54" s="26" t="s">
        <v>36</v>
      </c>
      <c r="C54" s="175" t="s">
        <v>76</v>
      </c>
      <c r="D54" s="176"/>
      <c r="E54" s="26">
        <v>55.56</v>
      </c>
      <c r="F54" s="28">
        <v>1961</v>
      </c>
      <c r="G54" s="180">
        <f t="shared" si="67"/>
        <v>108953.16</v>
      </c>
      <c r="H54" s="21" t="s">
        <v>35</v>
      </c>
      <c r="I54" s="183">
        <v>17</v>
      </c>
      <c r="J54" s="23">
        <v>2000</v>
      </c>
      <c r="K54" s="9">
        <f t="shared" si="68"/>
        <v>117.64705882352941</v>
      </c>
      <c r="L54" s="183">
        <v>17</v>
      </c>
      <c r="M54" s="10">
        <f t="shared" si="69"/>
        <v>1928.8524590163954</v>
      </c>
      <c r="N54" s="10">
        <f t="shared" si="71"/>
        <v>113.46190935390561</v>
      </c>
      <c r="O54" s="11">
        <f t="shared" si="72"/>
        <v>0</v>
      </c>
      <c r="P54" s="12">
        <f t="shared" si="73"/>
        <v>-4.185149469623795</v>
      </c>
      <c r="Q54" s="181">
        <f t="shared" si="74"/>
        <v>0.96442622950819779</v>
      </c>
      <c r="R54" s="571"/>
      <c r="S54" s="24">
        <v>0.70833333333333337</v>
      </c>
      <c r="T54" s="24">
        <v>0.75069444444444444</v>
      </c>
      <c r="U54" s="180" t="str">
        <f t="shared" si="75"/>
        <v/>
      </c>
      <c r="V54" s="184">
        <f t="shared" si="70"/>
        <v>60.999999999999943</v>
      </c>
      <c r="W54" s="13"/>
      <c r="X54" s="13"/>
      <c r="Y54" s="177"/>
      <c r="Z54" s="178"/>
      <c r="AA54" s="11">
        <f t="shared" si="2"/>
        <v>-71.147540983604586</v>
      </c>
      <c r="AB54" s="181">
        <f t="shared" si="57"/>
        <v>0.96442622950819767</v>
      </c>
      <c r="AC54" s="571"/>
    </row>
    <row r="55" spans="1:29" ht="15.75" customHeight="1">
      <c r="A55" s="633" t="s">
        <v>740</v>
      </c>
      <c r="B55" s="26" t="s">
        <v>36</v>
      </c>
      <c r="C55" s="175" t="s">
        <v>77</v>
      </c>
      <c r="D55" s="176"/>
      <c r="E55" s="26">
        <v>55.32</v>
      </c>
      <c r="F55" s="28">
        <v>1581</v>
      </c>
      <c r="G55" s="180">
        <f t="shared" si="67"/>
        <v>87460.92</v>
      </c>
      <c r="H55" s="21" t="s">
        <v>35</v>
      </c>
      <c r="I55" s="183">
        <v>15</v>
      </c>
      <c r="J55" s="23">
        <v>2000</v>
      </c>
      <c r="K55" s="9">
        <f t="shared" si="68"/>
        <v>133.33333333333334</v>
      </c>
      <c r="L55" s="183">
        <v>15</v>
      </c>
      <c r="M55" s="10">
        <f t="shared" si="69"/>
        <v>1935.9183673469395</v>
      </c>
      <c r="N55" s="10">
        <f t="shared" si="71"/>
        <v>129.06122448979596</v>
      </c>
      <c r="O55" s="11">
        <f t="shared" si="72"/>
        <v>0</v>
      </c>
      <c r="P55" s="12">
        <f t="shared" si="73"/>
        <v>-4.2721088435373815</v>
      </c>
      <c r="Q55" s="181">
        <f t="shared" si="74"/>
        <v>0.96795918367346967</v>
      </c>
      <c r="R55" s="571"/>
      <c r="S55" s="24">
        <v>0.75624999999999998</v>
      </c>
      <c r="T55" s="24">
        <v>0.79027777777777775</v>
      </c>
      <c r="U55" s="180">
        <f t="shared" si="75"/>
        <v>7.9999999999999716</v>
      </c>
      <c r="V55" s="184">
        <f t="shared" si="70"/>
        <v>48.999999999999986</v>
      </c>
      <c r="W55" s="13"/>
      <c r="X55" s="13"/>
      <c r="Y55" s="177"/>
      <c r="Z55" s="178"/>
      <c r="AA55" s="11">
        <f t="shared" si="2"/>
        <v>-64.081632653060524</v>
      </c>
      <c r="AB55" s="181">
        <f t="shared" si="57"/>
        <v>0.96795918367346978</v>
      </c>
      <c r="AC55" s="571"/>
    </row>
    <row r="56" spans="1:29" ht="15.75" customHeight="1">
      <c r="A56" s="633" t="s">
        <v>741</v>
      </c>
      <c r="B56" s="26" t="s">
        <v>36</v>
      </c>
      <c r="C56" s="627" t="s">
        <v>78</v>
      </c>
      <c r="D56" s="628"/>
      <c r="E56" s="26">
        <v>57.73</v>
      </c>
      <c r="F56" s="28">
        <v>1100</v>
      </c>
      <c r="G56" s="180">
        <f t="shared" si="67"/>
        <v>63503</v>
      </c>
      <c r="H56" s="21" t="s">
        <v>35</v>
      </c>
      <c r="I56" s="183">
        <v>16</v>
      </c>
      <c r="J56" s="23">
        <v>1500</v>
      </c>
      <c r="K56" s="9">
        <f t="shared" si="68"/>
        <v>93.75</v>
      </c>
      <c r="L56" s="183">
        <v>16</v>
      </c>
      <c r="M56" s="10">
        <f t="shared" si="69"/>
        <v>1434.7826086956522</v>
      </c>
      <c r="N56" s="10">
        <f t="shared" si="71"/>
        <v>89.673913043478265</v>
      </c>
      <c r="O56" s="11">
        <f t="shared" si="72"/>
        <v>0</v>
      </c>
      <c r="P56" s="12">
        <f t="shared" si="73"/>
        <v>-4.0760869565217348</v>
      </c>
      <c r="Q56" s="181">
        <f t="shared" si="74"/>
        <v>0.95652173913043481</v>
      </c>
      <c r="R56" s="571"/>
      <c r="S56" s="24">
        <v>0.7944444444444444</v>
      </c>
      <c r="T56" s="24">
        <v>0.82638888888888884</v>
      </c>
      <c r="U56" s="180">
        <f t="shared" si="75"/>
        <v>5.9999999999999787</v>
      </c>
      <c r="V56" s="184">
        <f t="shared" si="70"/>
        <v>46</v>
      </c>
      <c r="W56" s="13"/>
      <c r="X56" s="13"/>
      <c r="Y56" s="621"/>
      <c r="Z56" s="622"/>
      <c r="AA56" s="11">
        <f t="shared" si="2"/>
        <v>-65.217391304347757</v>
      </c>
      <c r="AB56" s="181">
        <f t="shared" si="57"/>
        <v>0.95652173913043481</v>
      </c>
      <c r="AC56" s="571"/>
    </row>
    <row r="57" spans="1:29">
      <c r="A57" s="634" t="s">
        <v>738</v>
      </c>
      <c r="B57" s="26" t="s">
        <v>742</v>
      </c>
      <c r="C57" s="629"/>
      <c r="D57" s="629"/>
      <c r="E57" s="179"/>
      <c r="F57" s="27"/>
      <c r="G57" s="9"/>
      <c r="H57" s="186"/>
      <c r="I57" s="16">
        <v>16.333333333333332</v>
      </c>
      <c r="J57" s="23">
        <v>1916.6666666666667</v>
      </c>
      <c r="K57" s="9">
        <f>J57/I57</f>
        <v>117.34693877551021</v>
      </c>
      <c r="L57" s="16">
        <v>16.333333333333332</v>
      </c>
      <c r="M57" s="10">
        <f>AVERAGE(M51:M56)</f>
        <v>1841.5798122759134</v>
      </c>
      <c r="N57" s="9">
        <f>M57/L57</f>
        <v>112.74978442505592</v>
      </c>
      <c r="O57" s="11">
        <f>L57-I57</f>
        <v>0</v>
      </c>
      <c r="P57" s="12">
        <f>N57-K57</f>
        <v>-4.5971543504542893</v>
      </c>
      <c r="Q57" s="181">
        <f>N57/K57</f>
        <v>0.96082424988308524</v>
      </c>
      <c r="R57" s="571"/>
      <c r="S57" s="25"/>
      <c r="T57" s="24"/>
      <c r="U57" s="9"/>
      <c r="V57" s="184"/>
      <c r="W57" s="9"/>
      <c r="X57" s="9"/>
      <c r="Y57" s="617"/>
      <c r="Z57" s="617"/>
      <c r="AA57" s="11">
        <f t="shared" si="2"/>
        <v>-75.086854390753388</v>
      </c>
      <c r="AB57" s="181">
        <f t="shared" si="57"/>
        <v>0.96082424988308524</v>
      </c>
      <c r="AC57" s="571"/>
    </row>
    <row r="58" spans="1:29" ht="15.75" customHeight="1">
      <c r="A58" s="623" t="s">
        <v>743</v>
      </c>
      <c r="B58" s="186" t="s">
        <v>40</v>
      </c>
      <c r="C58" s="616" t="s">
        <v>82</v>
      </c>
      <c r="D58" s="616"/>
      <c r="E58" s="26">
        <v>26.97</v>
      </c>
      <c r="F58" s="28">
        <v>3223</v>
      </c>
      <c r="G58" s="180">
        <f t="shared" ref="G58:G60" si="76">E58*F58</f>
        <v>86924.31</v>
      </c>
      <c r="H58" s="21" t="s">
        <v>35</v>
      </c>
      <c r="I58" s="183">
        <v>8</v>
      </c>
      <c r="J58" s="23">
        <v>1500</v>
      </c>
      <c r="K58" s="9">
        <f t="shared" ref="K58:K60" si="77">J58/I58</f>
        <v>187.5</v>
      </c>
      <c r="L58" s="16">
        <v>8</v>
      </c>
      <c r="M58" s="10">
        <f t="shared" ref="M58:M60" si="78">F58/V58*60</f>
        <v>1432.4444444444437</v>
      </c>
      <c r="N58" s="9">
        <f>M58/L58</f>
        <v>179.05555555555546</v>
      </c>
      <c r="O58" s="11">
        <f t="shared" ref="O58:O60" si="79">L58-I58</f>
        <v>0</v>
      </c>
      <c r="P58" s="12">
        <f t="shared" ref="P58:P60" si="80">N58-K58</f>
        <v>-8.4444444444445423</v>
      </c>
      <c r="Q58" s="181">
        <f>N58/K58</f>
        <v>0.95496296296296246</v>
      </c>
      <c r="R58" s="571">
        <f>Q61</f>
        <v>0.96058181818181787</v>
      </c>
      <c r="S58" s="24">
        <v>0.20833333333333334</v>
      </c>
      <c r="T58" s="24">
        <v>0.30208333333333337</v>
      </c>
      <c r="U58" s="180"/>
      <c r="V58" s="184">
        <f t="shared" ref="V58:V60" si="81">(T58-S58)*24*60</f>
        <v>135.00000000000006</v>
      </c>
      <c r="W58" s="15"/>
      <c r="X58" s="15"/>
      <c r="Y58" s="617"/>
      <c r="Z58" s="617"/>
      <c r="AA58" s="11">
        <f t="shared" si="2"/>
        <v>-67.555555555556339</v>
      </c>
      <c r="AB58" s="181">
        <f t="shared" si="57"/>
        <v>0.95496296296296246</v>
      </c>
      <c r="AC58" s="571">
        <f>AB61</f>
        <v>0.96058181818181787</v>
      </c>
    </row>
    <row r="59" spans="1:29" ht="15.75" customHeight="1">
      <c r="A59" s="623" t="s">
        <v>744</v>
      </c>
      <c r="B59" s="186" t="s">
        <v>67</v>
      </c>
      <c r="C59" s="616" t="s">
        <v>79</v>
      </c>
      <c r="D59" s="616"/>
      <c r="E59" s="26">
        <v>26.78</v>
      </c>
      <c r="F59" s="28">
        <v>2570</v>
      </c>
      <c r="G59" s="180">
        <f t="shared" si="76"/>
        <v>68824.600000000006</v>
      </c>
      <c r="H59" s="21" t="s">
        <v>35</v>
      </c>
      <c r="I59" s="183">
        <v>10</v>
      </c>
      <c r="J59" s="23">
        <v>3000</v>
      </c>
      <c r="K59" s="9">
        <f t="shared" si="77"/>
        <v>300</v>
      </c>
      <c r="L59" s="16">
        <v>10</v>
      </c>
      <c r="M59" s="10">
        <f t="shared" si="78"/>
        <v>2855.555555555557</v>
      </c>
      <c r="N59" s="9">
        <f t="shared" ref="N59:N60" si="82">M59/L59</f>
        <v>285.55555555555571</v>
      </c>
      <c r="O59" s="11">
        <f t="shared" si="79"/>
        <v>0</v>
      </c>
      <c r="P59" s="12">
        <f t="shared" si="80"/>
        <v>-14.444444444444287</v>
      </c>
      <c r="Q59" s="181">
        <f t="shared" ref="Q59:Q60" si="83">N59/K59</f>
        <v>0.95185185185185239</v>
      </c>
      <c r="R59" s="571"/>
      <c r="S59" s="24">
        <v>0.30763888888888891</v>
      </c>
      <c r="T59" s="24">
        <v>0.34513888888888888</v>
      </c>
      <c r="U59" s="180">
        <f>(S59-T58)*24*60</f>
        <v>7.9999999999999716</v>
      </c>
      <c r="V59" s="184">
        <f t="shared" si="81"/>
        <v>53.999999999999972</v>
      </c>
      <c r="W59" s="180"/>
      <c r="X59" s="180"/>
      <c r="Y59" s="617"/>
      <c r="Z59" s="617"/>
      <c r="AA59" s="11">
        <f t="shared" si="2"/>
        <v>-144.44444444444298</v>
      </c>
      <c r="AB59" s="181">
        <f t="shared" si="57"/>
        <v>0.95185185185185239</v>
      </c>
      <c r="AC59" s="571"/>
    </row>
    <row r="60" spans="1:29" ht="15.75" customHeight="1">
      <c r="A60" s="623" t="s">
        <v>744</v>
      </c>
      <c r="B60" s="186" t="s">
        <v>67</v>
      </c>
      <c r="C60" s="616" t="s">
        <v>83</v>
      </c>
      <c r="D60" s="616"/>
      <c r="E60" s="26">
        <v>35.369999999999997</v>
      </c>
      <c r="F60" s="28">
        <v>1604</v>
      </c>
      <c r="G60" s="180">
        <f t="shared" si="76"/>
        <v>56733.479999999996</v>
      </c>
      <c r="H60" s="21" t="s">
        <v>35</v>
      </c>
      <c r="I60" s="183">
        <v>10</v>
      </c>
      <c r="J60" s="23">
        <v>3000</v>
      </c>
      <c r="K60" s="9">
        <f t="shared" si="77"/>
        <v>300</v>
      </c>
      <c r="L60" s="16">
        <v>10</v>
      </c>
      <c r="M60" s="10">
        <f t="shared" si="78"/>
        <v>2916.3636363636328</v>
      </c>
      <c r="N60" s="9">
        <f t="shared" si="82"/>
        <v>291.63636363636328</v>
      </c>
      <c r="O60" s="11">
        <f t="shared" si="79"/>
        <v>0</v>
      </c>
      <c r="P60" s="12">
        <f t="shared" si="80"/>
        <v>-8.363636363636715</v>
      </c>
      <c r="Q60" s="181">
        <f t="shared" si="83"/>
        <v>0.97212121212121094</v>
      </c>
      <c r="R60" s="571"/>
      <c r="S60" s="24">
        <v>0.34861111111111109</v>
      </c>
      <c r="T60" s="24">
        <v>0.37152777777777779</v>
      </c>
      <c r="U60" s="180">
        <f t="shared" ref="U60" si="84">(S60-T59)*24*60</f>
        <v>4.9999999999999822</v>
      </c>
      <c r="V60" s="184">
        <f t="shared" si="81"/>
        <v>33.000000000000043</v>
      </c>
      <c r="W60" s="180"/>
      <c r="X60" s="180"/>
      <c r="Y60" s="617"/>
      <c r="Z60" s="617"/>
      <c r="AA60" s="11">
        <f t="shared" si="2"/>
        <v>-83.63636363636715</v>
      </c>
      <c r="AB60" s="181">
        <f t="shared" si="57"/>
        <v>0.97212121212121094</v>
      </c>
      <c r="AC60" s="571"/>
    </row>
    <row r="61" spans="1:29">
      <c r="A61" s="624" t="s">
        <v>745</v>
      </c>
      <c r="B61" s="26" t="s">
        <v>720</v>
      </c>
      <c r="C61" s="629"/>
      <c r="D61" s="629"/>
      <c r="E61" s="179"/>
      <c r="F61" s="27"/>
      <c r="G61" s="9"/>
      <c r="H61" s="186"/>
      <c r="I61" s="16">
        <v>9.3333333333333339</v>
      </c>
      <c r="J61" s="23">
        <v>2500</v>
      </c>
      <c r="K61" s="9">
        <f>J61/I61</f>
        <v>267.85714285714283</v>
      </c>
      <c r="L61" s="16">
        <v>9.3333333333333339</v>
      </c>
      <c r="M61" s="10">
        <f>AVERAGE(M58:M60)</f>
        <v>2401.4545454545446</v>
      </c>
      <c r="N61" s="9">
        <f>M61/L61</f>
        <v>257.29870129870119</v>
      </c>
      <c r="O61" s="11">
        <f>L61-I61</f>
        <v>0</v>
      </c>
      <c r="P61" s="12">
        <f>N61-K61</f>
        <v>-10.558441558441643</v>
      </c>
      <c r="Q61" s="181">
        <f>N61/K61</f>
        <v>0.96058181818181787</v>
      </c>
      <c r="R61" s="571"/>
      <c r="S61" s="24"/>
      <c r="T61" s="24"/>
      <c r="U61" s="9"/>
      <c r="V61" s="184"/>
      <c r="W61" s="9"/>
      <c r="X61" s="9"/>
      <c r="Y61" s="617"/>
      <c r="Z61" s="617"/>
      <c r="AA61" s="11">
        <f t="shared" si="2"/>
        <v>-98.545454545455414</v>
      </c>
      <c r="AB61" s="181">
        <f t="shared" si="57"/>
        <v>0.96058181818181787</v>
      </c>
      <c r="AC61" s="571"/>
    </row>
    <row r="62" spans="1:29" ht="15.75" customHeight="1">
      <c r="A62" s="643" t="s">
        <v>746</v>
      </c>
      <c r="B62" s="186" t="s">
        <v>46</v>
      </c>
      <c r="C62" s="616" t="s">
        <v>84</v>
      </c>
      <c r="D62" s="616"/>
      <c r="E62" s="26">
        <v>20.2</v>
      </c>
      <c r="F62" s="186">
        <v>2283</v>
      </c>
      <c r="G62" s="180">
        <f t="shared" ref="G62:G70" si="85">E62*F62</f>
        <v>46116.6</v>
      </c>
      <c r="H62" s="21" t="s">
        <v>35</v>
      </c>
      <c r="I62" s="183">
        <v>19</v>
      </c>
      <c r="J62" s="23">
        <v>2400</v>
      </c>
      <c r="K62" s="9">
        <f t="shared" ref="K62:K64" si="86">J62/I62</f>
        <v>126.31578947368421</v>
      </c>
      <c r="L62" s="16">
        <v>19</v>
      </c>
      <c r="M62" s="10">
        <f>F62/V62*60</f>
        <v>2283</v>
      </c>
      <c r="N62" s="9">
        <f t="shared" ref="N62:N70" si="87">M62/L62</f>
        <v>120.15789473684211</v>
      </c>
      <c r="O62" s="11">
        <f t="shared" ref="O62:O70" si="88">L62-I62</f>
        <v>0</v>
      </c>
      <c r="P62" s="12">
        <f t="shared" ref="P62:P70" si="89">N62-K62</f>
        <v>-6.1578947368420955</v>
      </c>
      <c r="Q62" s="181">
        <f>N62/K62</f>
        <v>0.95125000000000004</v>
      </c>
      <c r="R62" s="571">
        <f>Q71</f>
        <v>0.95663290596202155</v>
      </c>
      <c r="S62" s="24">
        <v>8.3333333333333329E-2</v>
      </c>
      <c r="T62" s="24">
        <v>0.125</v>
      </c>
      <c r="U62" s="15"/>
      <c r="V62" s="184">
        <f t="shared" ref="V62:V70" si="90">(T62-S62)*24*60</f>
        <v>60</v>
      </c>
      <c r="W62" s="13">
        <f>T62</f>
        <v>0.125</v>
      </c>
      <c r="X62" s="13">
        <f>S63</f>
        <v>0.14305555555555555</v>
      </c>
      <c r="Y62" s="617"/>
      <c r="Z62" s="617"/>
      <c r="AA62" s="11">
        <f t="shared" si="2"/>
        <v>-117</v>
      </c>
      <c r="AB62" s="181">
        <f>M62/J62</f>
        <v>0.95125000000000004</v>
      </c>
      <c r="AC62" s="571">
        <f>AB71</f>
        <v>0.95663290596202155</v>
      </c>
    </row>
    <row r="63" spans="1:29" ht="15.75" customHeight="1">
      <c r="A63" s="643" t="s">
        <v>33</v>
      </c>
      <c r="B63" s="186" t="s">
        <v>46</v>
      </c>
      <c r="C63" s="616" t="s">
        <v>85</v>
      </c>
      <c r="D63" s="616"/>
      <c r="E63" s="26">
        <v>19.02</v>
      </c>
      <c r="F63" s="186">
        <v>4300</v>
      </c>
      <c r="G63" s="180">
        <f t="shared" si="85"/>
        <v>81786</v>
      </c>
      <c r="H63" s="21">
        <v>2</v>
      </c>
      <c r="I63" s="183">
        <v>15</v>
      </c>
      <c r="J63" s="23">
        <v>2400</v>
      </c>
      <c r="K63" s="9">
        <f t="shared" si="86"/>
        <v>160</v>
      </c>
      <c r="L63" s="16">
        <v>15</v>
      </c>
      <c r="M63" s="10">
        <f t="shared" ref="M63:M70" si="91">F63/V63*60</f>
        <v>2283.1858407079644</v>
      </c>
      <c r="N63" s="9">
        <f t="shared" si="87"/>
        <v>152.21238938053096</v>
      </c>
      <c r="O63" s="11">
        <f t="shared" si="88"/>
        <v>0</v>
      </c>
      <c r="P63" s="12">
        <f t="shared" si="89"/>
        <v>-7.7876106194690351</v>
      </c>
      <c r="Q63" s="181">
        <f t="shared" ref="Q63:Q71" si="92">N63/K63</f>
        <v>0.95132743362831851</v>
      </c>
      <c r="R63" s="571"/>
      <c r="S63" s="24">
        <v>0.14305555555555555</v>
      </c>
      <c r="T63" s="24">
        <v>0.22152777777777777</v>
      </c>
      <c r="U63" s="180">
        <f>(S63-T62)*24*60</f>
        <v>25.999999999999986</v>
      </c>
      <c r="V63" s="184">
        <f t="shared" si="90"/>
        <v>113</v>
      </c>
      <c r="W63" s="13"/>
      <c r="X63" s="13"/>
      <c r="Y63" s="617"/>
      <c r="Z63" s="617"/>
      <c r="AA63" s="11">
        <f t="shared" si="2"/>
        <v>-116.81415929203558</v>
      </c>
      <c r="AB63" s="181">
        <f t="shared" ref="AB63:AB71" si="93">M63/J63</f>
        <v>0.95132743362831851</v>
      </c>
      <c r="AC63" s="571"/>
    </row>
    <row r="64" spans="1:29" ht="15.75" customHeight="1">
      <c r="A64" s="643" t="s">
        <v>33</v>
      </c>
      <c r="B64" s="186" t="s">
        <v>46</v>
      </c>
      <c r="C64" s="616" t="s">
        <v>86</v>
      </c>
      <c r="D64" s="616"/>
      <c r="E64" s="26">
        <v>24.25</v>
      </c>
      <c r="F64" s="186">
        <v>2788</v>
      </c>
      <c r="G64" s="180">
        <f t="shared" si="85"/>
        <v>67609</v>
      </c>
      <c r="H64" s="21" t="s">
        <v>35</v>
      </c>
      <c r="I64" s="183">
        <v>18</v>
      </c>
      <c r="J64" s="23">
        <v>2400</v>
      </c>
      <c r="K64" s="9">
        <f t="shared" si="86"/>
        <v>133.33333333333334</v>
      </c>
      <c r="L64" s="16">
        <v>18</v>
      </c>
      <c r="M64" s="10">
        <f t="shared" si="91"/>
        <v>2291.5068493150684</v>
      </c>
      <c r="N64" s="9">
        <f t="shared" si="87"/>
        <v>127.30593607305936</v>
      </c>
      <c r="O64" s="11">
        <f t="shared" si="88"/>
        <v>0</v>
      </c>
      <c r="P64" s="12">
        <f t="shared" si="89"/>
        <v>-6.027397260273986</v>
      </c>
      <c r="Q64" s="181">
        <f t="shared" si="92"/>
        <v>0.95479452054794511</v>
      </c>
      <c r="R64" s="571"/>
      <c r="S64" s="24">
        <v>0.22638888888888889</v>
      </c>
      <c r="T64" s="24">
        <v>0.27708333333333335</v>
      </c>
      <c r="U64" s="180">
        <f t="shared" ref="U64:U70" si="94">(S64-T63)*24*60</f>
        <v>7.0000000000000151</v>
      </c>
      <c r="V64" s="184">
        <f t="shared" si="90"/>
        <v>73.000000000000014</v>
      </c>
      <c r="W64" s="13"/>
      <c r="X64" s="13"/>
      <c r="Y64" s="617"/>
      <c r="Z64" s="617"/>
      <c r="AA64" s="11">
        <f t="shared" si="2"/>
        <v>-108.49315068493161</v>
      </c>
      <c r="AB64" s="181">
        <f t="shared" si="93"/>
        <v>0.95479452054794511</v>
      </c>
      <c r="AC64" s="571"/>
    </row>
    <row r="65" spans="1:29" ht="15.75" customHeight="1">
      <c r="A65" s="643" t="s">
        <v>33</v>
      </c>
      <c r="B65" s="186" t="s">
        <v>46</v>
      </c>
      <c r="C65" s="616" t="s">
        <v>88</v>
      </c>
      <c r="D65" s="616"/>
      <c r="E65" s="26">
        <v>24.25</v>
      </c>
      <c r="F65" s="186">
        <v>3887</v>
      </c>
      <c r="G65" s="180">
        <f t="shared" si="85"/>
        <v>94259.75</v>
      </c>
      <c r="H65" s="21" t="s">
        <v>35</v>
      </c>
      <c r="I65" s="183">
        <v>17</v>
      </c>
      <c r="J65" s="23">
        <v>2400</v>
      </c>
      <c r="K65" s="9">
        <f>J65/I65</f>
        <v>141.1764705882353</v>
      </c>
      <c r="L65" s="16">
        <v>17</v>
      </c>
      <c r="M65" s="10">
        <f t="shared" si="91"/>
        <v>2286.4705882352951</v>
      </c>
      <c r="N65" s="9">
        <f t="shared" si="87"/>
        <v>134.49826989619382</v>
      </c>
      <c r="O65" s="11">
        <f t="shared" si="88"/>
        <v>0</v>
      </c>
      <c r="P65" s="12">
        <f t="shared" si="89"/>
        <v>-6.6782006920414858</v>
      </c>
      <c r="Q65" s="181">
        <f t="shared" si="92"/>
        <v>0.95269607843137283</v>
      </c>
      <c r="R65" s="571"/>
      <c r="S65" s="24">
        <v>0.28125</v>
      </c>
      <c r="T65" s="24">
        <v>0.3520833333333333</v>
      </c>
      <c r="U65" s="180">
        <f t="shared" si="94"/>
        <v>5.9999999999999787</v>
      </c>
      <c r="V65" s="184">
        <f t="shared" si="90"/>
        <v>101.99999999999996</v>
      </c>
      <c r="W65" s="13"/>
      <c r="X65" s="13"/>
      <c r="Y65" s="617"/>
      <c r="Z65" s="617"/>
      <c r="AA65" s="11">
        <f t="shared" si="2"/>
        <v>-113.52941176470495</v>
      </c>
      <c r="AB65" s="181">
        <f t="shared" si="93"/>
        <v>0.95269607843137294</v>
      </c>
      <c r="AC65" s="571"/>
    </row>
    <row r="66" spans="1:29" ht="15.75" customHeight="1">
      <c r="A66" s="643" t="s">
        <v>747</v>
      </c>
      <c r="B66" s="186" t="s">
        <v>46</v>
      </c>
      <c r="C66" s="616" t="s">
        <v>47</v>
      </c>
      <c r="D66" s="616"/>
      <c r="E66" s="26">
        <v>24.45</v>
      </c>
      <c r="F66" s="186">
        <v>2145</v>
      </c>
      <c r="G66" s="180">
        <f t="shared" si="85"/>
        <v>52445.25</v>
      </c>
      <c r="H66" s="21" t="s">
        <v>35</v>
      </c>
      <c r="I66" s="183">
        <v>20</v>
      </c>
      <c r="J66" s="23">
        <v>2400</v>
      </c>
      <c r="K66" s="9">
        <f t="shared" ref="K66:K71" si="95">J66/I66</f>
        <v>120</v>
      </c>
      <c r="L66" s="16">
        <v>20</v>
      </c>
      <c r="M66" s="10">
        <f t="shared" si="91"/>
        <v>2298.2142857142876</v>
      </c>
      <c r="N66" s="9">
        <f t="shared" si="87"/>
        <v>114.91071428571438</v>
      </c>
      <c r="O66" s="11">
        <f t="shared" si="88"/>
        <v>0</v>
      </c>
      <c r="P66" s="12">
        <f t="shared" si="89"/>
        <v>-5.0892857142856229</v>
      </c>
      <c r="Q66" s="181">
        <f t="shared" si="92"/>
        <v>0.95758928571428648</v>
      </c>
      <c r="R66" s="571"/>
      <c r="S66" s="24">
        <v>0.3569444444444444</v>
      </c>
      <c r="T66" s="24">
        <v>0.39583333333333326</v>
      </c>
      <c r="U66" s="180">
        <f t="shared" si="94"/>
        <v>6.9999999999999751</v>
      </c>
      <c r="V66" s="184">
        <f t="shared" si="90"/>
        <v>55.999999999999957</v>
      </c>
      <c r="W66" s="13"/>
      <c r="X66" s="13"/>
      <c r="Y66" s="617"/>
      <c r="Z66" s="617"/>
      <c r="AA66" s="11">
        <f t="shared" si="2"/>
        <v>-101.7857142857124</v>
      </c>
      <c r="AB66" s="181">
        <f t="shared" si="93"/>
        <v>0.95758928571428648</v>
      </c>
      <c r="AC66" s="571"/>
    </row>
    <row r="67" spans="1:29" ht="15.75" customHeight="1">
      <c r="A67" s="643" t="s">
        <v>748</v>
      </c>
      <c r="B67" s="186" t="s">
        <v>46</v>
      </c>
      <c r="C67" s="616" t="s">
        <v>66</v>
      </c>
      <c r="D67" s="616"/>
      <c r="E67" s="26">
        <v>24.25</v>
      </c>
      <c r="F67" s="186">
        <v>3600</v>
      </c>
      <c r="G67" s="180">
        <f t="shared" si="85"/>
        <v>87300</v>
      </c>
      <c r="H67" s="21">
        <v>2</v>
      </c>
      <c r="I67" s="183">
        <v>14</v>
      </c>
      <c r="J67" s="23">
        <v>2400</v>
      </c>
      <c r="K67" s="9">
        <f t="shared" si="95"/>
        <v>171.42857142857142</v>
      </c>
      <c r="L67" s="16">
        <v>14</v>
      </c>
      <c r="M67" s="10">
        <f t="shared" si="91"/>
        <v>2297.872340425532</v>
      </c>
      <c r="N67" s="9">
        <f t="shared" si="87"/>
        <v>164.13373860182372</v>
      </c>
      <c r="O67" s="11">
        <f t="shared" si="88"/>
        <v>0</v>
      </c>
      <c r="P67" s="12">
        <f t="shared" si="89"/>
        <v>-7.2948328267476938</v>
      </c>
      <c r="Q67" s="181">
        <f t="shared" si="92"/>
        <v>0.95744680851063846</v>
      </c>
      <c r="R67" s="571"/>
      <c r="S67" s="24">
        <v>0.4013888888888888</v>
      </c>
      <c r="T67" s="24">
        <v>0.46666666666666656</v>
      </c>
      <c r="U67" s="180">
        <f t="shared" si="94"/>
        <v>7.9999999999999716</v>
      </c>
      <c r="V67" s="184">
        <f t="shared" si="90"/>
        <v>93.999999999999986</v>
      </c>
      <c r="W67" s="13"/>
      <c r="X67" s="13"/>
      <c r="Y67" s="617"/>
      <c r="Z67" s="617"/>
      <c r="AA67" s="11">
        <f t="shared" si="2"/>
        <v>-102.127659574468</v>
      </c>
      <c r="AB67" s="181">
        <f t="shared" si="93"/>
        <v>0.95744680851063835</v>
      </c>
      <c r="AC67" s="571"/>
    </row>
    <row r="68" spans="1:29" ht="15.75" customHeight="1">
      <c r="A68" s="643" t="s">
        <v>33</v>
      </c>
      <c r="B68" s="186" t="s">
        <v>46</v>
      </c>
      <c r="C68" s="627" t="s">
        <v>58</v>
      </c>
      <c r="D68" s="628"/>
      <c r="E68" s="26">
        <v>25.98</v>
      </c>
      <c r="F68" s="186">
        <v>1701</v>
      </c>
      <c r="G68" s="180">
        <f t="shared" si="85"/>
        <v>44191.98</v>
      </c>
      <c r="H68" s="21" t="s">
        <v>35</v>
      </c>
      <c r="I68" s="183">
        <v>17</v>
      </c>
      <c r="J68" s="23">
        <v>2400</v>
      </c>
      <c r="K68" s="9">
        <f t="shared" si="95"/>
        <v>141.1764705882353</v>
      </c>
      <c r="L68" s="16">
        <v>17</v>
      </c>
      <c r="M68" s="10">
        <f t="shared" si="91"/>
        <v>2319.5454545454545</v>
      </c>
      <c r="N68" s="9">
        <f t="shared" si="87"/>
        <v>136.44385026737967</v>
      </c>
      <c r="O68" s="11">
        <f t="shared" si="88"/>
        <v>0</v>
      </c>
      <c r="P68" s="12">
        <f t="shared" si="89"/>
        <v>-4.7326203208556308</v>
      </c>
      <c r="Q68" s="181">
        <f t="shared" si="92"/>
        <v>0.96647727272727257</v>
      </c>
      <c r="R68" s="571"/>
      <c r="S68" s="24">
        <v>0.47152777777777766</v>
      </c>
      <c r="T68" s="24">
        <v>0.50208333333333321</v>
      </c>
      <c r="U68" s="180">
        <f t="shared" si="94"/>
        <v>6.9999999999999751</v>
      </c>
      <c r="V68" s="184">
        <f t="shared" si="90"/>
        <v>44</v>
      </c>
      <c r="W68" s="13">
        <f>T68</f>
        <v>0.50208333333333321</v>
      </c>
      <c r="X68" s="13">
        <f>S69</f>
        <v>0.5430555555555554</v>
      </c>
      <c r="Y68" s="621"/>
      <c r="Z68" s="622"/>
      <c r="AA68" s="11">
        <f t="shared" si="2"/>
        <v>-80.454545454545496</v>
      </c>
      <c r="AB68" s="181">
        <f t="shared" si="93"/>
        <v>0.96647727272727268</v>
      </c>
      <c r="AC68" s="571"/>
    </row>
    <row r="69" spans="1:29" ht="15.75" customHeight="1">
      <c r="A69" s="643" t="s">
        <v>747</v>
      </c>
      <c r="B69" s="186" t="s">
        <v>46</v>
      </c>
      <c r="C69" s="627" t="s">
        <v>85</v>
      </c>
      <c r="D69" s="628"/>
      <c r="E69" s="26">
        <v>19.02</v>
      </c>
      <c r="F69" s="186">
        <v>6876</v>
      </c>
      <c r="G69" s="180">
        <f t="shared" si="85"/>
        <v>130781.52</v>
      </c>
      <c r="H69" s="21" t="s">
        <v>35</v>
      </c>
      <c r="I69" s="183">
        <v>15</v>
      </c>
      <c r="J69" s="23">
        <v>2400</v>
      </c>
      <c r="K69" s="9">
        <f t="shared" si="95"/>
        <v>160</v>
      </c>
      <c r="L69" s="16">
        <v>15</v>
      </c>
      <c r="M69" s="10">
        <f t="shared" si="91"/>
        <v>2292</v>
      </c>
      <c r="N69" s="9">
        <f t="shared" si="87"/>
        <v>152.80000000000001</v>
      </c>
      <c r="O69" s="11">
        <f t="shared" si="88"/>
        <v>0</v>
      </c>
      <c r="P69" s="12">
        <f t="shared" si="89"/>
        <v>-7.1999999999999886</v>
      </c>
      <c r="Q69" s="181">
        <f t="shared" si="92"/>
        <v>0.95500000000000007</v>
      </c>
      <c r="R69" s="571"/>
      <c r="S69" s="24">
        <v>0.5430555555555554</v>
      </c>
      <c r="T69" s="24">
        <v>0.6680555555555554</v>
      </c>
      <c r="U69" s="180">
        <f t="shared" si="94"/>
        <v>58.99999999999995</v>
      </c>
      <c r="V69" s="184">
        <f t="shared" si="90"/>
        <v>180</v>
      </c>
      <c r="W69" s="13"/>
      <c r="X69" s="13"/>
      <c r="Y69" s="621"/>
      <c r="Z69" s="622"/>
      <c r="AA69" s="11">
        <f t="shared" ref="AA69:AA71" si="96">M69-J69</f>
        <v>-108</v>
      </c>
      <c r="AB69" s="181">
        <f t="shared" si="93"/>
        <v>0.95499999999999996</v>
      </c>
      <c r="AC69" s="571"/>
    </row>
    <row r="70" spans="1:29" ht="15.75" customHeight="1">
      <c r="A70" s="643" t="s">
        <v>747</v>
      </c>
      <c r="B70" s="186" t="s">
        <v>46</v>
      </c>
      <c r="C70" s="627" t="s">
        <v>66</v>
      </c>
      <c r="D70" s="628"/>
      <c r="E70" s="26">
        <v>24.25</v>
      </c>
      <c r="F70" s="186">
        <v>2350</v>
      </c>
      <c r="G70" s="180">
        <f t="shared" si="85"/>
        <v>56987.5</v>
      </c>
      <c r="H70" s="21" t="s">
        <v>35</v>
      </c>
      <c r="I70" s="183">
        <v>14</v>
      </c>
      <c r="J70" s="23">
        <v>2400</v>
      </c>
      <c r="K70" s="9">
        <f t="shared" si="95"/>
        <v>171.42857142857142</v>
      </c>
      <c r="L70" s="16">
        <v>14</v>
      </c>
      <c r="M70" s="10">
        <f t="shared" si="91"/>
        <v>2311.4754098360677</v>
      </c>
      <c r="N70" s="9">
        <f t="shared" si="87"/>
        <v>165.10538641686199</v>
      </c>
      <c r="O70" s="11">
        <f t="shared" si="88"/>
        <v>0</v>
      </c>
      <c r="P70" s="12">
        <f t="shared" si="89"/>
        <v>-6.3231850117094268</v>
      </c>
      <c r="Q70" s="181">
        <f t="shared" si="92"/>
        <v>0.96311475409836167</v>
      </c>
      <c r="R70" s="571"/>
      <c r="S70" s="24">
        <v>0.67152777777777761</v>
      </c>
      <c r="T70" s="24">
        <v>0.71388888888888868</v>
      </c>
      <c r="U70" s="180">
        <f t="shared" si="94"/>
        <v>4.9999999999999822</v>
      </c>
      <c r="V70" s="184">
        <f t="shared" si="90"/>
        <v>60.999999999999943</v>
      </c>
      <c r="W70" s="13"/>
      <c r="X70" s="13"/>
      <c r="Y70" s="621"/>
      <c r="Z70" s="622"/>
      <c r="AA70" s="11">
        <f t="shared" si="96"/>
        <v>-88.524590163932316</v>
      </c>
      <c r="AB70" s="181">
        <f t="shared" si="93"/>
        <v>0.96311475409836156</v>
      </c>
      <c r="AC70" s="571"/>
    </row>
    <row r="71" spans="1:29" ht="16.5" customHeight="1">
      <c r="A71" s="660" t="s">
        <v>749</v>
      </c>
      <c r="B71" s="26" t="s">
        <v>22</v>
      </c>
      <c r="C71" s="629"/>
      <c r="D71" s="629"/>
      <c r="E71" s="179"/>
      <c r="F71" s="27"/>
      <c r="G71" s="9"/>
      <c r="H71" s="186"/>
      <c r="I71" s="16">
        <v>16.555555555555557</v>
      </c>
      <c r="J71" s="23">
        <v>2400</v>
      </c>
      <c r="K71" s="9">
        <f t="shared" si="95"/>
        <v>144.96644295302013</v>
      </c>
      <c r="L71" s="16">
        <v>16.555555555555557</v>
      </c>
      <c r="M71" s="10">
        <f>AVERAGE(M62:M70)</f>
        <v>2295.9189743088518</v>
      </c>
      <c r="N71" s="9">
        <f>M71/L71</f>
        <v>138.67966958912527</v>
      </c>
      <c r="O71" s="11">
        <f>L71-I71</f>
        <v>0</v>
      </c>
      <c r="P71" s="12">
        <f>N71-K71</f>
        <v>-6.2867733638948664</v>
      </c>
      <c r="Q71" s="181">
        <f t="shared" si="92"/>
        <v>0.95663290596202155</v>
      </c>
      <c r="R71" s="571"/>
      <c r="S71" s="24"/>
      <c r="T71" s="24"/>
      <c r="U71" s="9"/>
      <c r="V71" s="184"/>
      <c r="W71" s="9"/>
      <c r="X71" s="9"/>
      <c r="Y71" s="617"/>
      <c r="Z71" s="617"/>
      <c r="AA71" s="11">
        <f t="shared" si="96"/>
        <v>-104.08102569114817</v>
      </c>
      <c r="AB71" s="181">
        <f t="shared" si="93"/>
        <v>0.95663290596202155</v>
      </c>
      <c r="AC71" s="571"/>
    </row>
    <row r="72" spans="1:29">
      <c r="D72" s="17"/>
      <c r="E72" s="17"/>
    </row>
  </sheetData>
  <mergeCells count="190">
    <mergeCell ref="C69:D69"/>
    <mergeCell ref="Y69:Z69"/>
    <mergeCell ref="C70:D70"/>
    <mergeCell ref="Y70:Z70"/>
    <mergeCell ref="C65:D65"/>
    <mergeCell ref="Y65:Z65"/>
    <mergeCell ref="C66:D66"/>
    <mergeCell ref="Y66:Z66"/>
    <mergeCell ref="C67:D67"/>
    <mergeCell ref="Y67:Z67"/>
    <mergeCell ref="Y61:Z61"/>
    <mergeCell ref="A62:A71"/>
    <mergeCell ref="C62:D62"/>
    <mergeCell ref="R62:R71"/>
    <mergeCell ref="Y62:Z62"/>
    <mergeCell ref="AC62:AC71"/>
    <mergeCell ref="C63:D63"/>
    <mergeCell ref="Y63:Z63"/>
    <mergeCell ref="C64:D64"/>
    <mergeCell ref="Y64:Z64"/>
    <mergeCell ref="A58:A61"/>
    <mergeCell ref="C58:D58"/>
    <mergeCell ref="R58:R61"/>
    <mergeCell ref="Y58:Z58"/>
    <mergeCell ref="AC58:AC61"/>
    <mergeCell ref="C59:D59"/>
    <mergeCell ref="Y59:Z59"/>
    <mergeCell ref="C60:D60"/>
    <mergeCell ref="Y60:Z60"/>
    <mergeCell ref="C61:D61"/>
    <mergeCell ref="C71:D71"/>
    <mergeCell ref="Y71:Z71"/>
    <mergeCell ref="C68:D68"/>
    <mergeCell ref="Y68:Z68"/>
    <mergeCell ref="A51:A57"/>
    <mergeCell ref="C51:D51"/>
    <mergeCell ref="R51:R57"/>
    <mergeCell ref="Y51:Z51"/>
    <mergeCell ref="AC41:AC50"/>
    <mergeCell ref="C42:D42"/>
    <mergeCell ref="Y42:Z42"/>
    <mergeCell ref="C43:D43"/>
    <mergeCell ref="Y43:Z43"/>
    <mergeCell ref="C44:D44"/>
    <mergeCell ref="Y44:Z44"/>
    <mergeCell ref="C45:D45"/>
    <mergeCell ref="Y45:Z45"/>
    <mergeCell ref="C46:D46"/>
    <mergeCell ref="AC51:AC57"/>
    <mergeCell ref="C52:D52"/>
    <mergeCell ref="Y52:Z52"/>
    <mergeCell ref="C53:D53"/>
    <mergeCell ref="C56:D56"/>
    <mergeCell ref="Y56:Z56"/>
    <mergeCell ref="C57:D57"/>
    <mergeCell ref="Y57:Z57"/>
    <mergeCell ref="Y48:Z48"/>
    <mergeCell ref="C49:D49"/>
    <mergeCell ref="A33:A40"/>
    <mergeCell ref="C33:D33"/>
    <mergeCell ref="R33:R40"/>
    <mergeCell ref="Y33:Z33"/>
    <mergeCell ref="C40:D40"/>
    <mergeCell ref="Y40:Z40"/>
    <mergeCell ref="A41:A50"/>
    <mergeCell ref="C41:D41"/>
    <mergeCell ref="R41:R50"/>
    <mergeCell ref="Y41:Z41"/>
    <mergeCell ref="Y46:Z46"/>
    <mergeCell ref="C47:D47"/>
    <mergeCell ref="Y47:Z47"/>
    <mergeCell ref="C48:D48"/>
    <mergeCell ref="Y49:Z49"/>
    <mergeCell ref="C50:D50"/>
    <mergeCell ref="Y50:Z50"/>
    <mergeCell ref="AC33:AC40"/>
    <mergeCell ref="C34:D34"/>
    <mergeCell ref="Y34:Z34"/>
    <mergeCell ref="C35:D35"/>
    <mergeCell ref="Y35:Z35"/>
    <mergeCell ref="C36:D36"/>
    <mergeCell ref="C30:D30"/>
    <mergeCell ref="Y30:Z30"/>
    <mergeCell ref="C31:D31"/>
    <mergeCell ref="Y31:Z31"/>
    <mergeCell ref="C32:D32"/>
    <mergeCell ref="Y32:Z32"/>
    <mergeCell ref="AC23:AC32"/>
    <mergeCell ref="Y36:Z36"/>
    <mergeCell ref="C37:D37"/>
    <mergeCell ref="Y37:Z37"/>
    <mergeCell ref="C38:D38"/>
    <mergeCell ref="Y38:Z38"/>
    <mergeCell ref="C39:D39"/>
    <mergeCell ref="Y39:Z39"/>
    <mergeCell ref="Y26:Z26"/>
    <mergeCell ref="C27:D27"/>
    <mergeCell ref="Y27:Z27"/>
    <mergeCell ref="C28:D28"/>
    <mergeCell ref="Y28:Z28"/>
    <mergeCell ref="C29:D29"/>
    <mergeCell ref="Y29:Z29"/>
    <mergeCell ref="A23:A32"/>
    <mergeCell ref="C23:D23"/>
    <mergeCell ref="R23:R32"/>
    <mergeCell ref="Y23:Z23"/>
    <mergeCell ref="C24:D24"/>
    <mergeCell ref="Y24:Z24"/>
    <mergeCell ref="C25:D25"/>
    <mergeCell ref="Y25:Z25"/>
    <mergeCell ref="C26:D26"/>
    <mergeCell ref="AC17:AC22"/>
    <mergeCell ref="C18:D18"/>
    <mergeCell ref="Y18:Z18"/>
    <mergeCell ref="C19:D19"/>
    <mergeCell ref="Y19:Z19"/>
    <mergeCell ref="C20:D20"/>
    <mergeCell ref="Y20:Z20"/>
    <mergeCell ref="C21:D21"/>
    <mergeCell ref="Y21:Z21"/>
    <mergeCell ref="C22:D22"/>
    <mergeCell ref="A17:A22"/>
    <mergeCell ref="C17:D17"/>
    <mergeCell ref="R17:R22"/>
    <mergeCell ref="Y17:Z17"/>
    <mergeCell ref="Y22:Z22"/>
    <mergeCell ref="C13:D13"/>
    <mergeCell ref="Y13:Z13"/>
    <mergeCell ref="C14:D14"/>
    <mergeCell ref="Y14:Z14"/>
    <mergeCell ref="C15:D15"/>
    <mergeCell ref="Y15:Z15"/>
    <mergeCell ref="AC9:AC11"/>
    <mergeCell ref="C10:D10"/>
    <mergeCell ref="Y10:Z10"/>
    <mergeCell ref="C11:D11"/>
    <mergeCell ref="Y11:Z11"/>
    <mergeCell ref="A12:A16"/>
    <mergeCell ref="C12:D12"/>
    <mergeCell ref="R12:R16"/>
    <mergeCell ref="Y12:Z12"/>
    <mergeCell ref="AC12:AC16"/>
    <mergeCell ref="C16:D16"/>
    <mergeCell ref="Y16:Z16"/>
    <mergeCell ref="C8:D8"/>
    <mergeCell ref="Y8:Z8"/>
    <mergeCell ref="A9:A11"/>
    <mergeCell ref="C9:D9"/>
    <mergeCell ref="R9:R11"/>
    <mergeCell ref="Y9:Z9"/>
    <mergeCell ref="AC3:AC4"/>
    <mergeCell ref="A5:A8"/>
    <mergeCell ref="C5:D5"/>
    <mergeCell ref="R5:R8"/>
    <mergeCell ref="Y5:Z5"/>
    <mergeCell ref="AC5:AC8"/>
    <mergeCell ref="C6:D6"/>
    <mergeCell ref="Y6:Z6"/>
    <mergeCell ref="C7:D7"/>
    <mergeCell ref="Y7:Z7"/>
    <mergeCell ref="U3:U4"/>
    <mergeCell ref="V3:V4"/>
    <mergeCell ref="W3:X3"/>
    <mergeCell ref="Y3:Z4"/>
    <mergeCell ref="AA3:AA4"/>
    <mergeCell ref="AB3:AB4"/>
    <mergeCell ref="N3:N4"/>
    <mergeCell ref="O3:O4"/>
    <mergeCell ref="S1:X2"/>
    <mergeCell ref="Y1:Z2"/>
    <mergeCell ref="AA1:AC2"/>
    <mergeCell ref="A3:A4"/>
    <mergeCell ref="B3:B4"/>
    <mergeCell ref="C3:D4"/>
    <mergeCell ref="E3:E4"/>
    <mergeCell ref="F3:F4"/>
    <mergeCell ref="G3:G4"/>
    <mergeCell ref="I1:K2"/>
    <mergeCell ref="L1:N2"/>
    <mergeCell ref="O1:R2"/>
    <mergeCell ref="P3:P4"/>
    <mergeCell ref="Q3:Q4"/>
    <mergeCell ref="R3:R4"/>
    <mergeCell ref="S3:T3"/>
    <mergeCell ref="H3:H4"/>
    <mergeCell ref="I3:I4"/>
    <mergeCell ref="J3:J4"/>
    <mergeCell ref="K3:K4"/>
    <mergeCell ref="L3:L4"/>
    <mergeCell ref="M3:M4"/>
  </mergeCells>
  <phoneticPr fontId="3" type="noConversion"/>
  <conditionalFormatting sqref="O61:O67 O71 O5:O9 O11:O13 O50:O58 O16:O30 O32:O46">
    <cfRule type="cellIs" dxfId="553" priority="69" operator="greaterThan">
      <formula>0</formula>
    </cfRule>
  </conditionalFormatting>
  <conditionalFormatting sqref="P5:P7 P62:P67 P23:P30 P58 P9 P11:P13 P17:P21 P51:P56 P33:P46 AA5:AA58 AA62:AA71">
    <cfRule type="cellIs" dxfId="552" priority="73" operator="lessThan">
      <formula>0</formula>
    </cfRule>
  </conditionalFormatting>
  <conditionalFormatting sqref="Q61:Q67 Q71 Q5:Q9 Q11:Q13 Q50:Q58 Q16:Q30 Q32:Q46 AB5:AB58 AB62:AB71">
    <cfRule type="cellIs" dxfId="551" priority="70" operator="greaterThan">
      <formula>1</formula>
    </cfRule>
    <cfRule type="cellIs" dxfId="550" priority="71" operator="lessThan">
      <formula>0.8</formula>
    </cfRule>
  </conditionalFormatting>
  <conditionalFormatting sqref="AC12:AC13 R12:R13 R61:R67 AC16:AC30 R16:R30 R71 AC5:AC9 R5:R9 R32:R46 AC32:AC46 AC50:AC58 R50:R58">
    <cfRule type="cellIs" dxfId="549" priority="75" operator="lessThan">
      <formula>0.8</formula>
    </cfRule>
  </conditionalFormatting>
  <conditionalFormatting sqref="AC41">
    <cfRule type="cellIs" dxfId="548" priority="77" operator="lessThan">
      <formula>0.8</formula>
    </cfRule>
  </conditionalFormatting>
  <conditionalFormatting sqref="AC17:AC21">
    <cfRule type="cellIs" dxfId="547" priority="74" operator="lessThan">
      <formula>0.8</formula>
    </cfRule>
  </conditionalFormatting>
  <conditionalFormatting sqref="AC23">
    <cfRule type="cellIs" dxfId="546" priority="76" operator="lessThan">
      <formula>0.8</formula>
    </cfRule>
  </conditionalFormatting>
  <conditionalFormatting sqref="AC33:AC39">
    <cfRule type="cellIs" dxfId="545" priority="72" operator="lessThan">
      <formula>0.8</formula>
    </cfRule>
  </conditionalFormatting>
  <conditionalFormatting sqref="AA61">
    <cfRule type="cellIs" dxfId="544" priority="68" operator="lessThan">
      <formula>0</formula>
    </cfRule>
  </conditionalFormatting>
  <conditionalFormatting sqref="AB61">
    <cfRule type="cellIs" dxfId="543" priority="66" operator="greaterThan">
      <formula>1</formula>
    </cfRule>
    <cfRule type="cellIs" dxfId="542" priority="67" operator="lessThan">
      <formula>0.8</formula>
    </cfRule>
  </conditionalFormatting>
  <conditionalFormatting sqref="O14:O15">
    <cfRule type="cellIs" dxfId="541" priority="61" operator="greaterThan">
      <formula>0</formula>
    </cfRule>
  </conditionalFormatting>
  <conditionalFormatting sqref="P14:P15">
    <cfRule type="cellIs" dxfId="540" priority="64" operator="lessThan">
      <formula>0</formula>
    </cfRule>
  </conditionalFormatting>
  <conditionalFormatting sqref="Q14:Q15">
    <cfRule type="cellIs" dxfId="539" priority="62" operator="greaterThan">
      <formula>1</formula>
    </cfRule>
    <cfRule type="cellIs" dxfId="538" priority="63" operator="lessThan">
      <formula>0.8</formula>
    </cfRule>
  </conditionalFormatting>
  <conditionalFormatting sqref="R14:R15 AC14:AC15">
    <cfRule type="cellIs" dxfId="537" priority="65" operator="lessThan">
      <formula>0.8</formula>
    </cfRule>
  </conditionalFormatting>
  <conditionalFormatting sqref="O10">
    <cfRule type="cellIs" dxfId="536" priority="57" operator="greaterThan">
      <formula>0</formula>
    </cfRule>
  </conditionalFormatting>
  <conditionalFormatting sqref="P10">
    <cfRule type="cellIs" dxfId="535" priority="60" operator="lessThan">
      <formula>0</formula>
    </cfRule>
  </conditionalFormatting>
  <conditionalFormatting sqref="Q10">
    <cfRule type="cellIs" dxfId="534" priority="58" operator="greaterThan">
      <formula>1</formula>
    </cfRule>
    <cfRule type="cellIs" dxfId="533" priority="59" operator="lessThan">
      <formula>0.8</formula>
    </cfRule>
  </conditionalFormatting>
  <conditionalFormatting sqref="O60">
    <cfRule type="cellIs" dxfId="532" priority="52" operator="greaterThan">
      <formula>0</formula>
    </cfRule>
  </conditionalFormatting>
  <conditionalFormatting sqref="P60 AA60">
    <cfRule type="cellIs" dxfId="531" priority="55" operator="lessThan">
      <formula>0</formula>
    </cfRule>
  </conditionalFormatting>
  <conditionalFormatting sqref="Q60 AB60">
    <cfRule type="cellIs" dxfId="530" priority="53" operator="greaterThan">
      <formula>1</formula>
    </cfRule>
    <cfRule type="cellIs" dxfId="529" priority="54" operator="lessThan">
      <formula>0.8</formula>
    </cfRule>
  </conditionalFormatting>
  <conditionalFormatting sqref="R60 AC60">
    <cfRule type="cellIs" dxfId="528" priority="56" operator="lessThan">
      <formula>0.8</formula>
    </cfRule>
  </conditionalFormatting>
  <conditionalFormatting sqref="O31">
    <cfRule type="cellIs" dxfId="527" priority="47" operator="greaterThan">
      <formula>0</formula>
    </cfRule>
  </conditionalFormatting>
  <conditionalFormatting sqref="P31">
    <cfRule type="cellIs" dxfId="526" priority="50" operator="lessThan">
      <formula>0</formula>
    </cfRule>
  </conditionalFormatting>
  <conditionalFormatting sqref="Q31">
    <cfRule type="cellIs" dxfId="525" priority="48" operator="greaterThan">
      <formula>1</formula>
    </cfRule>
    <cfRule type="cellIs" dxfId="524" priority="49" operator="lessThan">
      <formula>0.8</formula>
    </cfRule>
  </conditionalFormatting>
  <conditionalFormatting sqref="R31 AC31">
    <cfRule type="cellIs" dxfId="523" priority="51" operator="lessThan">
      <formula>0.8</formula>
    </cfRule>
  </conditionalFormatting>
  <conditionalFormatting sqref="O68">
    <cfRule type="cellIs" dxfId="522" priority="42" operator="greaterThan">
      <formula>0</formula>
    </cfRule>
  </conditionalFormatting>
  <conditionalFormatting sqref="P68">
    <cfRule type="cellIs" dxfId="521" priority="45" operator="lessThan">
      <formula>0</formula>
    </cfRule>
  </conditionalFormatting>
  <conditionalFormatting sqref="Q68">
    <cfRule type="cellIs" dxfId="520" priority="43" operator="greaterThan">
      <formula>1</formula>
    </cfRule>
    <cfRule type="cellIs" dxfId="519" priority="44" operator="lessThan">
      <formula>0.8</formula>
    </cfRule>
  </conditionalFormatting>
  <conditionalFormatting sqref="R68">
    <cfRule type="cellIs" dxfId="518" priority="46" operator="lessThan">
      <formula>0.8</formula>
    </cfRule>
  </conditionalFormatting>
  <conditionalFormatting sqref="O47">
    <cfRule type="cellIs" dxfId="517" priority="36" operator="greaterThan">
      <formula>0</formula>
    </cfRule>
  </conditionalFormatting>
  <conditionalFormatting sqref="P47">
    <cfRule type="cellIs" dxfId="516" priority="40" operator="lessThan">
      <formula>0</formula>
    </cfRule>
  </conditionalFormatting>
  <conditionalFormatting sqref="Q47">
    <cfRule type="cellIs" dxfId="515" priority="37" operator="greaterThan">
      <formula>1</formula>
    </cfRule>
    <cfRule type="cellIs" dxfId="514" priority="38" operator="lessThan">
      <formula>0.8</formula>
    </cfRule>
  </conditionalFormatting>
  <conditionalFormatting sqref="R47 AC47">
    <cfRule type="cellIs" dxfId="513" priority="41" operator="lessThan">
      <formula>0.8</formula>
    </cfRule>
  </conditionalFormatting>
  <conditionalFormatting sqref="AC47">
    <cfRule type="cellIs" dxfId="512" priority="39" operator="lessThan">
      <formula>0.8</formula>
    </cfRule>
  </conditionalFormatting>
  <conditionalFormatting sqref="O48">
    <cfRule type="cellIs" dxfId="511" priority="30" operator="greaterThan">
      <formula>0</formula>
    </cfRule>
  </conditionalFormatting>
  <conditionalFormatting sqref="P48">
    <cfRule type="cellIs" dxfId="510" priority="34" operator="lessThan">
      <formula>0</formula>
    </cfRule>
  </conditionalFormatting>
  <conditionalFormatting sqref="Q48">
    <cfRule type="cellIs" dxfId="509" priority="31" operator="greaterThan">
      <formula>1</formula>
    </cfRule>
    <cfRule type="cellIs" dxfId="508" priority="32" operator="lessThan">
      <formula>0.8</formula>
    </cfRule>
  </conditionalFormatting>
  <conditionalFormatting sqref="R48 AC48">
    <cfRule type="cellIs" dxfId="507" priority="35" operator="lessThan">
      <formula>0.8</formula>
    </cfRule>
  </conditionalFormatting>
  <conditionalFormatting sqref="AC48">
    <cfRule type="cellIs" dxfId="506" priority="33" operator="lessThan">
      <formula>0.8</formula>
    </cfRule>
  </conditionalFormatting>
  <conditionalFormatting sqref="O49">
    <cfRule type="cellIs" dxfId="505" priority="24" operator="greaterThan">
      <formula>0</formula>
    </cfRule>
  </conditionalFormatting>
  <conditionalFormatting sqref="P49">
    <cfRule type="cellIs" dxfId="504" priority="28" operator="lessThan">
      <formula>0</formula>
    </cfRule>
  </conditionalFormatting>
  <conditionalFormatting sqref="Q49">
    <cfRule type="cellIs" dxfId="503" priority="25" operator="greaterThan">
      <formula>1</formula>
    </cfRule>
    <cfRule type="cellIs" dxfId="502" priority="26" operator="lessThan">
      <formula>0.8</formula>
    </cfRule>
  </conditionalFormatting>
  <conditionalFormatting sqref="R49 AC49">
    <cfRule type="cellIs" dxfId="501" priority="29" operator="lessThan">
      <formula>0.8</formula>
    </cfRule>
  </conditionalFormatting>
  <conditionalFormatting sqref="AC49">
    <cfRule type="cellIs" dxfId="500" priority="27" operator="lessThan">
      <formula>0.8</formula>
    </cfRule>
  </conditionalFormatting>
  <conditionalFormatting sqref="O59">
    <cfRule type="cellIs" dxfId="499" priority="19" operator="greaterThan">
      <formula>0</formula>
    </cfRule>
  </conditionalFormatting>
  <conditionalFormatting sqref="P59 AA59">
    <cfRule type="cellIs" dxfId="498" priority="22" operator="lessThan">
      <formula>0</formula>
    </cfRule>
  </conditionalFormatting>
  <conditionalFormatting sqref="Q59 AB59">
    <cfRule type="cellIs" dxfId="497" priority="20" operator="greaterThan">
      <formula>1</formula>
    </cfRule>
    <cfRule type="cellIs" dxfId="496" priority="21" operator="lessThan">
      <formula>0.8</formula>
    </cfRule>
  </conditionalFormatting>
  <conditionalFormatting sqref="R59 AC59">
    <cfRule type="cellIs" dxfId="495" priority="23" operator="lessThan">
      <formula>0.8</formula>
    </cfRule>
  </conditionalFormatting>
  <conditionalFormatting sqref="P8">
    <cfRule type="cellIs" dxfId="494" priority="18" operator="lessThan">
      <formula>0</formula>
    </cfRule>
  </conditionalFormatting>
  <conditionalFormatting sqref="P16">
    <cfRule type="cellIs" dxfId="493" priority="17" operator="lessThan">
      <formula>0</formula>
    </cfRule>
  </conditionalFormatting>
  <conditionalFormatting sqref="P22">
    <cfRule type="cellIs" dxfId="492" priority="16" operator="lessThan">
      <formula>0</formula>
    </cfRule>
  </conditionalFormatting>
  <conditionalFormatting sqref="P32">
    <cfRule type="cellIs" dxfId="491" priority="15" operator="lessThan">
      <formula>0</formula>
    </cfRule>
  </conditionalFormatting>
  <conditionalFormatting sqref="P50">
    <cfRule type="cellIs" dxfId="490" priority="14" operator="lessThan">
      <formula>0</formula>
    </cfRule>
  </conditionalFormatting>
  <conditionalFormatting sqref="P57">
    <cfRule type="cellIs" dxfId="489" priority="13" operator="lessThan">
      <formula>0</formula>
    </cfRule>
  </conditionalFormatting>
  <conditionalFormatting sqref="P61">
    <cfRule type="cellIs" dxfId="488" priority="12" operator="lessThan">
      <formula>0</formula>
    </cfRule>
  </conditionalFormatting>
  <conditionalFormatting sqref="P71">
    <cfRule type="cellIs" dxfId="487" priority="11" operator="lessThan">
      <formula>0</formula>
    </cfRule>
  </conditionalFormatting>
  <conditionalFormatting sqref="O69">
    <cfRule type="cellIs" dxfId="486" priority="6" operator="greaterThan">
      <formula>0</formula>
    </cfRule>
  </conditionalFormatting>
  <conditionalFormatting sqref="P69">
    <cfRule type="cellIs" dxfId="485" priority="9" operator="lessThan">
      <formula>0</formula>
    </cfRule>
  </conditionalFormatting>
  <conditionalFormatting sqref="Q69">
    <cfRule type="cellIs" dxfId="484" priority="7" operator="greaterThan">
      <formula>1</formula>
    </cfRule>
    <cfRule type="cellIs" dxfId="483" priority="8" operator="lessThan">
      <formula>0.8</formula>
    </cfRule>
  </conditionalFormatting>
  <conditionalFormatting sqref="R69">
    <cfRule type="cellIs" dxfId="482" priority="10" operator="lessThan">
      <formula>0.8</formula>
    </cfRule>
  </conditionalFormatting>
  <conditionalFormatting sqref="O70">
    <cfRule type="cellIs" dxfId="481" priority="1" operator="greaterThan">
      <formula>0</formula>
    </cfRule>
  </conditionalFormatting>
  <conditionalFormatting sqref="P70">
    <cfRule type="cellIs" dxfId="480" priority="4" operator="lessThan">
      <formula>0</formula>
    </cfRule>
  </conditionalFormatting>
  <conditionalFormatting sqref="Q70">
    <cfRule type="cellIs" dxfId="479" priority="2" operator="greaterThan">
      <formula>1</formula>
    </cfRule>
    <cfRule type="cellIs" dxfId="478" priority="3" operator="lessThan">
      <formula>0.8</formula>
    </cfRule>
  </conditionalFormatting>
  <conditionalFormatting sqref="R70">
    <cfRule type="cellIs" dxfId="477" priority="5" operator="lessThan">
      <formula>0.8</formula>
    </cfRule>
  </conditionalFormatting>
  <dataValidations count="1">
    <dataValidation type="list" allowBlank="1" showInputMessage="1" showErrorMessage="1" sqref="Z8 Y5:Z7 Y8:Y60 Z10:Z58 Y61:Z71">
      <formula1>#REF!</formula1>
    </dataValidation>
  </dataValidations>
  <pageMargins left="0" right="0" top="0" bottom="0" header="0" footer="0"/>
  <pageSetup paperSize="9" scale="11" orientation="landscape" horizontalDpi="300" verticalDpi="300" r:id="rId1"/>
</worksheet>
</file>

<file path=xl/worksheets/sheet4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工作表39"/>
  <dimension ref="B1:Q28"/>
  <sheetViews>
    <sheetView zoomScale="85" zoomScaleNormal="85" workbookViewId="0">
      <selection activeCell="C3" sqref="C3:D3"/>
    </sheetView>
  </sheetViews>
  <sheetFormatPr defaultColWidth="8.75" defaultRowHeight="15.75"/>
  <cols>
    <col min="1" max="1" width="8.75" style="30"/>
    <col min="2" max="2" width="17.875" style="30" customWidth="1"/>
    <col min="3" max="3" width="9.25" style="37" customWidth="1"/>
    <col min="4" max="13" width="12.625" style="30" customWidth="1"/>
    <col min="14" max="14" width="11" style="30" bestFit="1" customWidth="1"/>
    <col min="15" max="15" width="17.75" style="30" bestFit="1" customWidth="1"/>
    <col min="16" max="16" width="12.25" style="30" bestFit="1" customWidth="1"/>
    <col min="17" max="22" width="9.25" style="30" customWidth="1"/>
    <col min="23" max="23" width="10.75" style="30" customWidth="1"/>
    <col min="24" max="24" width="11" style="30" customWidth="1"/>
    <col min="25" max="16384" width="8.75" style="30"/>
  </cols>
  <sheetData>
    <row r="1" spans="2:17" ht="27.75" customHeight="1">
      <c r="B1" s="552" t="s">
        <v>199</v>
      </c>
      <c r="C1" s="552"/>
      <c r="D1" s="552"/>
      <c r="E1" s="552"/>
      <c r="F1" s="552"/>
      <c r="G1" s="552"/>
      <c r="H1" s="552"/>
      <c r="I1" s="552"/>
      <c r="J1" s="552"/>
      <c r="K1" s="29"/>
      <c r="L1" s="29"/>
      <c r="M1" s="29"/>
      <c r="N1" s="29"/>
      <c r="O1" s="29"/>
      <c r="P1" s="29"/>
    </row>
    <row r="2" spans="2:17" ht="27.75" customHeight="1">
      <c r="B2" s="553"/>
      <c r="C2" s="553"/>
      <c r="D2" s="553"/>
      <c r="E2" s="553"/>
      <c r="F2" s="553"/>
      <c r="G2" s="553"/>
      <c r="H2" s="553"/>
      <c r="I2" s="553"/>
      <c r="J2" s="553"/>
      <c r="K2" s="31"/>
      <c r="L2" s="31"/>
      <c r="M2" s="31"/>
      <c r="N2" s="29"/>
      <c r="O2" s="29"/>
      <c r="P2" s="29"/>
    </row>
    <row r="3" spans="2:17" ht="46.5" customHeight="1">
      <c r="B3" s="32" t="s">
        <v>594</v>
      </c>
      <c r="C3" s="554" t="str">
        <f>TEXT('1007 4度C'!A2,"yyyy.mm.ddaaaa")</f>
        <v>2025.10.07星期二</v>
      </c>
      <c r="D3" s="555"/>
      <c r="E3" s="32" t="s">
        <v>201</v>
      </c>
      <c r="F3" s="556">
        <f>'1007 4度C'!D1</f>
        <v>198029</v>
      </c>
      <c r="G3" s="557"/>
      <c r="H3" s="32" t="s">
        <v>202</v>
      </c>
      <c r="I3" s="558">
        <f>'1007 4度C'!F1</f>
        <v>6380120.7399999993</v>
      </c>
      <c r="J3" s="559"/>
      <c r="K3" s="33"/>
      <c r="L3" s="34"/>
      <c r="M3" s="35"/>
      <c r="N3" s="35"/>
    </row>
    <row r="4" spans="2:17" ht="28.5" customHeight="1">
      <c r="B4" s="560" t="s">
        <v>203</v>
      </c>
      <c r="C4" s="542" t="s">
        <v>204</v>
      </c>
      <c r="D4" s="543"/>
      <c r="E4" s="563" t="s">
        <v>205</v>
      </c>
      <c r="F4" s="564"/>
      <c r="G4" s="563" t="s">
        <v>595</v>
      </c>
      <c r="H4" s="564"/>
      <c r="I4" s="563" t="s">
        <v>596</v>
      </c>
      <c r="J4" s="564"/>
      <c r="L4" s="35"/>
      <c r="M4" s="35"/>
      <c r="N4" s="35"/>
    </row>
    <row r="5" spans="2:17" ht="28.5" customHeight="1">
      <c r="B5" s="561"/>
      <c r="C5" s="542" t="s">
        <v>208</v>
      </c>
      <c r="D5" s="543"/>
      <c r="E5" s="542" t="s">
        <v>209</v>
      </c>
      <c r="F5" s="543"/>
      <c r="G5" s="544" t="s">
        <v>210</v>
      </c>
      <c r="H5" s="545"/>
      <c r="I5" s="546" t="s">
        <v>211</v>
      </c>
      <c r="J5" s="547"/>
      <c r="K5" s="35"/>
      <c r="L5" s="35"/>
      <c r="M5" s="35"/>
      <c r="N5" s="35"/>
    </row>
    <row r="6" spans="2:17" ht="28.5" customHeight="1">
      <c r="B6" s="561"/>
      <c r="C6" s="542" t="s">
        <v>92</v>
      </c>
      <c r="D6" s="543"/>
      <c r="E6" s="548">
        <f>AVERAGE(D13:M13)</f>
        <v>156.22006055512981</v>
      </c>
      <c r="F6" s="549">
        <f>AVERAGE(D27:O27,D13:J13)</f>
        <v>164.73922841117607</v>
      </c>
      <c r="G6" s="550">
        <f>AVERAGE(D13:J13)</f>
        <v>164.73922841117607</v>
      </c>
      <c r="H6" s="551"/>
      <c r="I6" s="550">
        <f>AVERAGE(K13:M13)</f>
        <v>136.34200222435518</v>
      </c>
      <c r="J6" s="551"/>
      <c r="K6" s="35"/>
      <c r="L6" s="35"/>
      <c r="M6" s="35"/>
      <c r="N6" s="35"/>
    </row>
    <row r="7" spans="2:17" ht="28.5" customHeight="1">
      <c r="B7" s="561"/>
      <c r="C7" s="532" t="s">
        <v>93</v>
      </c>
      <c r="D7" s="533"/>
      <c r="E7" s="534">
        <f>AVERAGE(D14:M14)</f>
        <v>149.68159026083731</v>
      </c>
      <c r="F7" s="535">
        <f>AVERAGE(D28:O28,D14:J14)</f>
        <v>157.95095470399045</v>
      </c>
      <c r="G7" s="536">
        <f>AVERAGE(D14:J14)</f>
        <v>157.95095470399045</v>
      </c>
      <c r="H7" s="537"/>
      <c r="I7" s="536">
        <f>AVERAGE(K14:M14)</f>
        <v>130.3864065601467</v>
      </c>
      <c r="J7" s="537"/>
      <c r="K7" s="35"/>
      <c r="L7" s="35"/>
      <c r="M7" s="35"/>
      <c r="N7" s="35"/>
    </row>
    <row r="8" spans="2:17" ht="28.5" customHeight="1">
      <c r="B8" s="562"/>
      <c r="C8" s="532" t="s">
        <v>94</v>
      </c>
      <c r="D8" s="533"/>
      <c r="E8" s="538">
        <f>AVERAGE(D15:M15)</f>
        <v>0.95745482949609551</v>
      </c>
      <c r="F8" s="539">
        <f>AVERAGE(D15:J15,D29:O29)</f>
        <v>0.95792200692958063</v>
      </c>
      <c r="G8" s="540">
        <f>AVERAGE(D15:J15)</f>
        <v>0.95792200692958063</v>
      </c>
      <c r="H8" s="541"/>
      <c r="I8" s="540">
        <f>AVERAGE(K15:M15)</f>
        <v>0.95636474881796352</v>
      </c>
      <c r="J8" s="541"/>
      <c r="K8" s="36" t="s">
        <v>212</v>
      </c>
      <c r="L8" s="35"/>
      <c r="M8" s="35"/>
      <c r="N8" s="35"/>
    </row>
    <row r="9" spans="2:17" ht="28.5" customHeight="1" thickBot="1">
      <c r="H9" s="38"/>
      <c r="N9" s="35"/>
      <c r="O9" s="35"/>
      <c r="P9" s="35"/>
      <c r="Q9" s="35"/>
    </row>
    <row r="10" spans="2:17" ht="30" customHeight="1">
      <c r="B10" s="515" t="s">
        <v>597</v>
      </c>
      <c r="C10" s="516"/>
      <c r="D10" s="517" t="s">
        <v>124</v>
      </c>
      <c r="E10" s="518"/>
      <c r="F10" s="518"/>
      <c r="G10" s="518"/>
      <c r="H10" s="518"/>
      <c r="I10" s="518"/>
      <c r="J10" s="519"/>
      <c r="K10" s="520" t="s">
        <v>125</v>
      </c>
      <c r="L10" s="521"/>
      <c r="M10" s="522"/>
      <c r="P10" s="39"/>
      <c r="Q10" s="39"/>
    </row>
    <row r="11" spans="2:17" ht="17.25" customHeight="1">
      <c r="B11" s="523" t="s">
        <v>126</v>
      </c>
      <c r="C11" s="524"/>
      <c r="D11" s="40">
        <v>1</v>
      </c>
      <c r="E11" s="41">
        <v>2</v>
      </c>
      <c r="F11" s="41">
        <v>3</v>
      </c>
      <c r="G11" s="41">
        <v>4</v>
      </c>
      <c r="H11" s="41">
        <v>5</v>
      </c>
      <c r="I11" s="41">
        <v>6</v>
      </c>
      <c r="J11" s="42">
        <v>7</v>
      </c>
      <c r="K11" s="40">
        <v>1</v>
      </c>
      <c r="L11" s="41">
        <v>2</v>
      </c>
      <c r="M11" s="42">
        <v>3</v>
      </c>
      <c r="P11" s="39"/>
      <c r="Q11" s="39"/>
    </row>
    <row r="12" spans="2:17" ht="34.15" customHeight="1">
      <c r="B12" s="525"/>
      <c r="C12" s="526"/>
      <c r="D12" s="43" t="s">
        <v>96</v>
      </c>
      <c r="E12" s="44" t="s">
        <v>97</v>
      </c>
      <c r="F12" s="44" t="s">
        <v>98</v>
      </c>
      <c r="G12" s="44" t="s">
        <v>99</v>
      </c>
      <c r="H12" s="44" t="s">
        <v>100</v>
      </c>
      <c r="I12" s="44" t="s">
        <v>101</v>
      </c>
      <c r="J12" s="45" t="s">
        <v>102</v>
      </c>
      <c r="K12" s="43" t="s">
        <v>103</v>
      </c>
      <c r="L12" s="44" t="s">
        <v>104</v>
      </c>
      <c r="M12" s="45" t="s">
        <v>105</v>
      </c>
    </row>
    <row r="13" spans="2:17" ht="40.15" customHeight="1">
      <c r="B13" s="527" t="s">
        <v>127</v>
      </c>
      <c r="C13" s="46" t="s">
        <v>598</v>
      </c>
      <c r="D13" s="47">
        <f>SUMIFS('1007 4度C'!$K:$K,'1007 4度C'!$A:$A,"新豐6線",'1007 4度C'!$B:$B,"平均")</f>
        <v>133.80281690140845</v>
      </c>
      <c r="E13" s="48">
        <f>SUMIFS('1007 4度C'!$K:$K,'1007 4度C'!$A:$A,"新豐2線",'1007 4度C'!$B:$B,"平均")</f>
        <v>81.081081081081081</v>
      </c>
      <c r="F13" s="49">
        <f>SUMIFS('1007 4度C'!$K:$K,'1007 4度C'!$A:$A,"新豐5線",'1007 4度C'!$B:$B,"平均")</f>
        <v>103.2967032967033</v>
      </c>
      <c r="G13" s="49">
        <f>SUMIFS('1007 4度C'!$K:$K,'1007 4度C'!$A:$A,"新豐7線",'1007 4度C'!$B:$B,"平均")</f>
        <v>117.64705882352941</v>
      </c>
      <c r="H13" s="49">
        <f>SUMIFS('1007 4度C'!$K:$K,'1007 4度C'!$A:$A,"新豐3線",'1007 4度C'!$B:$B,"平均")</f>
        <v>300</v>
      </c>
      <c r="I13" s="49">
        <f>SUMIFS('1007 4度C'!$K:$K,'1007 4度C'!$A:$A,"新豐1線",'1007 4度C'!$B:$B,"平均")</f>
        <v>117.34693877551021</v>
      </c>
      <c r="J13" s="50">
        <f>SUMIFS('1007 4度C'!$K:$K,'1007 4度C'!$A:$A,"新豐10線",'1007 4度C'!$B:$B,"平均")</f>
        <v>300</v>
      </c>
      <c r="K13" s="51">
        <f>SUMIFS('1007 4度C'!$K:$K,'1007 4度C'!$A:$A,"新豐8線",'1007 4度C'!$B:$B,"平均")</f>
        <v>128.34224598930481</v>
      </c>
      <c r="L13" s="52">
        <f>SUMIFS('1007 4度C'!$K:$K,'1007 4度C'!$A:$A,"新豐9線",'1007 4度C'!$B:$B,"平均")</f>
        <v>138.46153846153848</v>
      </c>
      <c r="M13" s="50">
        <f>SUMIFS('1007 4度C'!$K:$K,'1007 4度C'!$A:$A,"新豐4線",'1007 4度C'!$B:$B,"平均")</f>
        <v>142.22222222222223</v>
      </c>
    </row>
    <row r="14" spans="2:17" ht="39.6" customHeight="1">
      <c r="B14" s="528"/>
      <c r="C14" s="53" t="s">
        <v>128</v>
      </c>
      <c r="D14" s="54">
        <f>SUMIFS('1007 4度C'!$N:$N,'1007 4度C'!$A:$A,"新豐6線",'1007 4度C'!$B:$B,"平均")</f>
        <v>127.99484862317368</v>
      </c>
      <c r="E14" s="55">
        <f>SUMIFS('1007 4度C'!$N:$N,'1007 4度C'!$A:$A,"新豐2線",'1007 4度C'!$B:$B,"平均")</f>
        <v>77.344788878335208</v>
      </c>
      <c r="F14" s="55">
        <f>SUMIFS('1007 4度C'!$N:$N,'1007 4度C'!$A:$A,"新豐5線",'1007 4度C'!$B:$B,"平均")</f>
        <v>98.66546977201304</v>
      </c>
      <c r="G14" s="55">
        <f>SUMIFS('1007 4度C'!$N:$N,'1007 4度C'!$A:$A,"新豐7線",'1007 4度C'!$B:$B,"平均")</f>
        <v>113.18162734634234</v>
      </c>
      <c r="H14" s="55">
        <f>SUMIFS('1007 4度C'!$N:$N,'1007 4度C'!$A:$A,"新豐3線",'1007 4度C'!$B:$B,"平均")</f>
        <v>288.06509714596467</v>
      </c>
      <c r="I14" s="55">
        <f>SUMIFS('1007 4度C'!$N:$N,'1007 4度C'!$A:$A,"新豐1線",'1007 4度C'!$B:$B,"平均")</f>
        <v>112.33364373176394</v>
      </c>
      <c r="J14" s="56">
        <f>SUMIFS('1007 4度C'!$N:$N,'1007 4度C'!$A:$A,"新豐10線",'1007 4度C'!$B:$B,"平均")</f>
        <v>288.07120743034039</v>
      </c>
      <c r="K14" s="57">
        <f>SUMIFS('1007 4度C'!$N:$N,'1007 4度C'!$A:$A,"新豐8線",'1007 4度C'!$B:$B,"平均")</f>
        <v>122.9253120366207</v>
      </c>
      <c r="L14" s="58">
        <f>SUMIFS('1007 4度C'!$N:$N,'1007 4度C'!$A:$A,"新豐9線",'1007 4度C'!$B:$B,"平均")</f>
        <v>132.38326890562774</v>
      </c>
      <c r="M14" s="56">
        <f>SUMIFS('1007 4度C'!$N:$N,'1007 4度C'!$A:$A,"新豐4線",'1007 4度C'!$B:$B,"平均")</f>
        <v>135.85063873819158</v>
      </c>
    </row>
    <row r="15" spans="2:17" ht="40.15" customHeight="1">
      <c r="B15" s="529"/>
      <c r="C15" s="59" t="s">
        <v>129</v>
      </c>
      <c r="D15" s="60">
        <f t="shared" ref="D15:M15" si="0">D14/D13</f>
        <v>0.95659307918371905</v>
      </c>
      <c r="E15" s="61">
        <f t="shared" si="0"/>
        <v>0.95391906283280092</v>
      </c>
      <c r="F15" s="61">
        <f t="shared" si="0"/>
        <v>0.95516571800565808</v>
      </c>
      <c r="G15" s="61">
        <f t="shared" si="0"/>
        <v>0.9620438324439099</v>
      </c>
      <c r="H15" s="61">
        <f t="shared" si="0"/>
        <v>0.96021699048654885</v>
      </c>
      <c r="I15" s="61">
        <f t="shared" si="0"/>
        <v>0.95727800745329272</v>
      </c>
      <c r="J15" s="62">
        <f t="shared" si="0"/>
        <v>0.96023735810113464</v>
      </c>
      <c r="K15" s="60">
        <f t="shared" si="0"/>
        <v>0.95779305628533629</v>
      </c>
      <c r="L15" s="61">
        <f t="shared" si="0"/>
        <v>0.95610138654064469</v>
      </c>
      <c r="M15" s="62">
        <f t="shared" si="0"/>
        <v>0.95519980362790946</v>
      </c>
    </row>
    <row r="16" spans="2:17" ht="17.25" customHeight="1">
      <c r="B16" s="530" t="s">
        <v>599</v>
      </c>
      <c r="C16" s="63" t="s">
        <v>131</v>
      </c>
      <c r="D16" s="64">
        <f>VLOOKUP("新豐6線",'1007 4度C'!$A:$T,19,0)</f>
        <v>0.29166666666666669</v>
      </c>
      <c r="E16" s="24">
        <f>VLOOKUP("新豐2線",'1007 4度C'!$A:$T,19,0)</f>
        <v>0.125</v>
      </c>
      <c r="F16" s="24">
        <f>VLOOKUP("新豐5線",'1007 4度C'!$A:$T,19,0)</f>
        <v>0.16666666666666666</v>
      </c>
      <c r="G16" s="24">
        <f>VLOOKUP("新豐7線",'1007 4度C'!$A:$T,19,0)</f>
        <v>0.33333333333333331</v>
      </c>
      <c r="H16" s="24">
        <f>VLOOKUP("新豐3線",'1007 4度C'!$A:$T,19,0)</f>
        <v>8.3333333333333329E-2</v>
      </c>
      <c r="I16" s="24">
        <f>VLOOKUP("新豐1線",'1007 4度C'!$A:$T,19,0)</f>
        <v>0.29166666666666669</v>
      </c>
      <c r="J16" s="65">
        <f>VLOOKUP("新豐10線",'1007 4度C'!$A:$T,19,0)</f>
        <v>0.20833333333333334</v>
      </c>
      <c r="K16" s="66">
        <f>VLOOKUP("新豐8線",'1007 4度C'!$A:$T,19,0)</f>
        <v>0.125</v>
      </c>
      <c r="L16" s="67">
        <f>VLOOKUP("新豐9線",'1007 4度C'!$A:$T,19,0)</f>
        <v>8.3333333333333329E-2</v>
      </c>
      <c r="M16" s="68">
        <f>VLOOKUP("新豐4線",'1007 4度C'!$A:$T,19,0)</f>
        <v>8.3333333333333329E-2</v>
      </c>
    </row>
    <row r="17" spans="2:13" ht="17.25" customHeight="1">
      <c r="B17" s="531"/>
      <c r="C17" s="63" t="s">
        <v>132</v>
      </c>
      <c r="D17" s="66">
        <f>LOOKUP(2,1/(('1007 4度C'!$A:$A="新豐6線")*('1007 4度C'!$T:$T&lt;&gt;"")),'1007 4度C'!$T:$T)</f>
        <v>0.82777777777777772</v>
      </c>
      <c r="E17" s="24">
        <f>LOOKUP(2,1/(('1007 4度C'!$A:$A="新豐2線")*('1007 4度C'!$T:$T&lt;&gt;"")),'1007 4度C'!$T:$T)</f>
        <v>0.43888888888888888</v>
      </c>
      <c r="F17" s="24">
        <f>LOOKUP(2,1/(('1007 4度C'!$A:$A="新豐5線")*('1007 4度C'!$T:$T&lt;&gt;"")),'1007 4度C'!$T:$T)</f>
        <v>0.84444444444444444</v>
      </c>
      <c r="G17" s="24">
        <f>LOOKUP(2,1/(('1007 4度C'!$A:$A="新豐7線")*('1007 4度C'!$T:$T&lt;&gt;"")),'1007 4度C'!$T:$T)</f>
        <v>0.76944444444444449</v>
      </c>
      <c r="H17" s="24">
        <f>LOOKUP(2,1/(('1007 4度C'!$A:$A="新豐3線")*('1007 4度C'!$T:$T&lt;&gt;"")),'1007 4度C'!$T:$T)</f>
        <v>0.76180555555555551</v>
      </c>
      <c r="I17" s="24">
        <f>LOOKUP(2,1/(('1007 4度C'!$A:$A="新豐1線")*('1007 4度C'!$T:$T&lt;&gt;"")),'1007 4度C'!$T:$T)</f>
        <v>0.84097222222222223</v>
      </c>
      <c r="J17" s="65">
        <f>LOOKUP(2,1/(('1007 4度C'!$A:$A="新豐10線")*('1007 4度C'!$T:$T&lt;&gt;"")),'1007 4度C'!$T:$T)</f>
        <v>0.27500000000000002</v>
      </c>
      <c r="K17" s="64">
        <f>LOOKUP(2,1/(('1007 4度C'!$A:$A="新豐8線")*('1007 4度C'!$T:$T&lt;&gt;"")),'1007 4度C'!$T:$T)</f>
        <v>0.77708333333333313</v>
      </c>
      <c r="L17" s="24">
        <f>LOOKUP(2,1/(('1007 4度C'!$A:$A="新豐9線")*('1007 4度C'!$T:$T&lt;&gt;"")),'1007 4度C'!$T:$T)</f>
        <v>0.74930555555555522</v>
      </c>
      <c r="M17" s="65">
        <f>LOOKUP(2,1/(('1007 4度C'!$A:$A="新豐4線")*('1007 4度C'!$T:$T&lt;&gt;"")),'1007 4度C'!$T:$T)</f>
        <v>0.72152777777777766</v>
      </c>
    </row>
    <row r="18" spans="2:13" ht="17.25" customHeight="1">
      <c r="B18" s="509" t="s">
        <v>600</v>
      </c>
      <c r="C18" s="510"/>
      <c r="D18" s="69">
        <f>SUMIFS('1007 4度C'!$I:$I,'1007 4度C'!$A:$A,"新豐6線",'1007 4度C'!$B:$B,"平均")</f>
        <v>14.2</v>
      </c>
      <c r="E18" s="70">
        <f>SUMIFS('1007 4度C'!$I:$I,'1007 4度C'!$A:$A,"新豐2線",'1007 4度C'!$B:$B,"平均")</f>
        <v>18.5</v>
      </c>
      <c r="F18" s="70">
        <f>SUMIFS('1007 4度C'!$I:$I,'1007 4度C'!$A:$A,"新豐5線",'1007 4度C'!$B:$B,"平均")</f>
        <v>18.2</v>
      </c>
      <c r="G18" s="70">
        <f>SUMIFS('1007 4度C'!$I:$I,'1007 4度C'!$A:$A,"新豐7線",'1007 4度C'!$B:$B,"平均")</f>
        <v>17</v>
      </c>
      <c r="H18" s="70">
        <f>SUMIFS('1007 4度C'!$I:$I,'1007 4度C'!$A:$A,"新豐3線",'1007 4度C'!$B:$B,"平均")</f>
        <v>10</v>
      </c>
      <c r="I18" s="70">
        <f>SUMIFS('1007 4度C'!$I:$I,'1007 4度C'!$A:$A,"新豐1線",'1007 4度C'!$B:$B,"平均")</f>
        <v>16.333333333333332</v>
      </c>
      <c r="J18" s="71">
        <f>SUMIFS('1007 4度C'!$I:$I,'1007 4度C'!$A:$A,"新豐10線",'1007 4度C'!$B:$B,"平均")</f>
        <v>10</v>
      </c>
      <c r="K18" s="69">
        <f>SUMIFS('1007 4度C'!$I:$I,'1007 4度C'!$A:$A,"新豐8線",'1007 4度C'!$B:$B,"平均")</f>
        <v>18.7</v>
      </c>
      <c r="L18" s="70">
        <f>SUMIFS('1007 4度C'!$I:$I,'1007 4度C'!$A:$A,"新豐9線",'1007 4度C'!$B:$B,"平均")</f>
        <v>17.333333333333332</v>
      </c>
      <c r="M18" s="71">
        <f>SUMIFS('1007 4度C'!$I:$I,'1007 4度C'!$A:$A,"新豐4線",'1007 4度C'!$B:$B,"平均")</f>
        <v>16.875</v>
      </c>
    </row>
    <row r="19" spans="2:13" ht="17.25" customHeight="1">
      <c r="B19" s="509" t="s">
        <v>133</v>
      </c>
      <c r="C19" s="510"/>
      <c r="D19" s="72" t="s">
        <v>109</v>
      </c>
      <c r="E19" s="73" t="s">
        <v>110</v>
      </c>
      <c r="F19" s="73" t="s">
        <v>601</v>
      </c>
      <c r="G19" s="73" t="s">
        <v>134</v>
      </c>
      <c r="H19" s="73" t="s">
        <v>111</v>
      </c>
      <c r="I19" s="73" t="s">
        <v>109</v>
      </c>
      <c r="J19" s="74" t="s">
        <v>111</v>
      </c>
      <c r="K19" s="72" t="s">
        <v>602</v>
      </c>
      <c r="L19" s="73" t="s">
        <v>603</v>
      </c>
      <c r="M19" s="74" t="s">
        <v>602</v>
      </c>
    </row>
    <row r="20" spans="2:13" ht="17.25" customHeight="1">
      <c r="B20" s="509" t="s">
        <v>604</v>
      </c>
      <c r="C20" s="510"/>
      <c r="D20" s="72"/>
      <c r="E20" s="73"/>
      <c r="F20" s="73" t="s">
        <v>140</v>
      </c>
      <c r="G20" s="73" t="s">
        <v>109</v>
      </c>
      <c r="H20" s="73"/>
      <c r="I20" s="73"/>
      <c r="J20" s="74"/>
      <c r="K20" s="72"/>
      <c r="L20" s="73"/>
      <c r="M20" s="74"/>
    </row>
    <row r="21" spans="2:13" ht="17.25" customHeight="1" thickBot="1">
      <c r="B21" s="511" t="s">
        <v>141</v>
      </c>
      <c r="C21" s="512"/>
      <c r="D21" s="75"/>
      <c r="E21" s="76" t="s">
        <v>142</v>
      </c>
      <c r="F21" s="513" t="s">
        <v>143</v>
      </c>
      <c r="G21" s="514"/>
      <c r="H21" s="76" t="s">
        <v>144</v>
      </c>
      <c r="I21" s="76" t="s">
        <v>605</v>
      </c>
      <c r="J21" s="77" t="s">
        <v>606</v>
      </c>
      <c r="K21" s="78"/>
      <c r="L21" s="76"/>
      <c r="M21" s="77"/>
    </row>
    <row r="22" spans="2:13" ht="17.25" customHeight="1"/>
    <row r="23" spans="2:13" ht="17.25" customHeight="1"/>
    <row r="24" spans="2:13" ht="17.25" customHeight="1"/>
    <row r="25" spans="2:13" ht="37.5" customHeight="1"/>
    <row r="26" spans="2:13" ht="35.25" customHeight="1"/>
    <row r="27" spans="2:13" ht="35.25" customHeight="1"/>
    <row r="28" spans="2:13" ht="39.75" customHeight="1"/>
  </sheetData>
  <mergeCells count="36">
    <mergeCell ref="B1:J2"/>
    <mergeCell ref="C3:D3"/>
    <mergeCell ref="F3:G3"/>
    <mergeCell ref="I3:J3"/>
    <mergeCell ref="B4:B8"/>
    <mergeCell ref="C4:D4"/>
    <mergeCell ref="E4:F4"/>
    <mergeCell ref="G4:H4"/>
    <mergeCell ref="I4:J4"/>
    <mergeCell ref="C5:D5"/>
    <mergeCell ref="E5:F5"/>
    <mergeCell ref="G5:H5"/>
    <mergeCell ref="I5:J5"/>
    <mergeCell ref="C6:D6"/>
    <mergeCell ref="E6:F6"/>
    <mergeCell ref="G6:H6"/>
    <mergeCell ref="I6:J6"/>
    <mergeCell ref="B16:B17"/>
    <mergeCell ref="C7:D7"/>
    <mergeCell ref="E7:F7"/>
    <mergeCell ref="G7:H7"/>
    <mergeCell ref="I7:J7"/>
    <mergeCell ref="C8:D8"/>
    <mergeCell ref="E8:F8"/>
    <mergeCell ref="G8:H8"/>
    <mergeCell ref="I8:J8"/>
    <mergeCell ref="B10:C10"/>
    <mergeCell ref="D10:J10"/>
    <mergeCell ref="B20:C20"/>
    <mergeCell ref="B21:C21"/>
    <mergeCell ref="F21:G21"/>
    <mergeCell ref="K10:M10"/>
    <mergeCell ref="B11:C12"/>
    <mergeCell ref="B13:B15"/>
    <mergeCell ref="B18:C18"/>
    <mergeCell ref="B19:C19"/>
  </mergeCells>
  <phoneticPr fontId="3" type="noConversion"/>
  <conditionalFormatting sqref="D15:M15">
    <cfRule type="cellIs" dxfId="476" priority="1" operator="lessThan">
      <formula>0.8</formula>
    </cfRule>
  </conditionalFormatting>
  <pageMargins left="0.7" right="0.7" top="0.75" bottom="0.75" header="0.3" footer="0.3"/>
  <pageSetup paperSize="9" orientation="portrait" horizontalDpi="300" verticalDpi="300" r:id="rId1"/>
</worksheet>
</file>

<file path=xl/worksheets/sheet5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工作表40">
    <pageSetUpPr fitToPage="1"/>
  </sheetPr>
  <dimension ref="A1:AC77"/>
  <sheetViews>
    <sheetView zoomScale="80" zoomScaleNormal="80" workbookViewId="0">
      <pane ySplit="4" topLeftCell="A5" activePane="bottomLeft" state="frozen"/>
      <selection activeCell="C3" sqref="C3:D3"/>
      <selection pane="bottomLeft" activeCell="C3" sqref="C3:D4"/>
    </sheetView>
  </sheetViews>
  <sheetFormatPr defaultColWidth="8" defaultRowHeight="15.75"/>
  <cols>
    <col min="1" max="1" width="15.125" style="5" customWidth="1"/>
    <col min="2" max="2" width="19.375" style="5" customWidth="1"/>
    <col min="3" max="3" width="15.25" style="5" customWidth="1"/>
    <col min="4" max="4" width="17.5" style="5" customWidth="1"/>
    <col min="5" max="5" width="7.5" style="5" bestFit="1" customWidth="1"/>
    <col min="6" max="6" width="14.375" style="5" bestFit="1" customWidth="1"/>
    <col min="7" max="7" width="14.375" style="5" customWidth="1"/>
    <col min="8" max="8" width="8" style="5" customWidth="1"/>
    <col min="9" max="9" width="5.875" style="5" customWidth="1"/>
    <col min="10" max="10" width="10.625" style="5" customWidth="1"/>
    <col min="11" max="11" width="14.625" style="5" customWidth="1"/>
    <col min="12" max="12" width="7.25" style="5" bestFit="1" customWidth="1"/>
    <col min="13" max="13" width="8" style="5" customWidth="1"/>
    <col min="14" max="14" width="12" style="5" customWidth="1"/>
    <col min="15" max="15" width="6" style="5" customWidth="1"/>
    <col min="16" max="16" width="9.25" style="5" customWidth="1"/>
    <col min="17" max="17" width="11.5" style="5" customWidth="1"/>
    <col min="18" max="18" width="8.5" style="5" customWidth="1"/>
    <col min="19" max="19" width="10.125" style="22" bestFit="1" customWidth="1"/>
    <col min="20" max="20" width="7.625" style="22" bestFit="1" customWidth="1"/>
    <col min="21" max="21" width="10.25" style="5" bestFit="1" customWidth="1"/>
    <col min="22" max="22" width="8.75" style="18" customWidth="1"/>
    <col min="23" max="23" width="7.375" style="5" customWidth="1"/>
    <col min="24" max="24" width="6.875" style="5" bestFit="1" customWidth="1"/>
    <col min="25" max="25" width="12.75" style="5" customWidth="1"/>
    <col min="26" max="26" width="18.875" style="5" customWidth="1"/>
    <col min="27" max="27" width="13.125" style="5" bestFit="1" customWidth="1"/>
    <col min="28" max="28" width="10.375" style="5" customWidth="1"/>
    <col min="29" max="29" width="9.375" style="5" customWidth="1"/>
    <col min="30" max="30" width="8" style="5"/>
    <col min="31" max="31" width="24.625" style="5" bestFit="1" customWidth="1"/>
    <col min="32" max="16384" width="8" style="5"/>
  </cols>
  <sheetData>
    <row r="1" spans="1:29" ht="26.25" customHeight="1">
      <c r="A1" s="1" t="s">
        <v>146</v>
      </c>
      <c r="B1" s="1"/>
      <c r="C1" s="2" t="s">
        <v>607</v>
      </c>
      <c r="D1" s="3">
        <f>SUM(F5:F76)</f>
        <v>198029</v>
      </c>
      <c r="E1" s="164" t="s">
        <v>608</v>
      </c>
      <c r="F1" s="1">
        <f>SUM(G5:G76)</f>
        <v>6380120.7399999993</v>
      </c>
      <c r="G1" s="1" t="s">
        <v>149</v>
      </c>
      <c r="H1" s="4">
        <f>L10+L13+L57+L64+L19+L67+L35+L45+L24+L76</f>
        <v>157.14166666666665</v>
      </c>
      <c r="I1" s="652" t="s">
        <v>609</v>
      </c>
      <c r="J1" s="652"/>
      <c r="K1" s="652"/>
      <c r="L1" s="652" t="s">
        <v>610</v>
      </c>
      <c r="M1" s="652"/>
      <c r="N1" s="652"/>
      <c r="O1" s="652" t="s">
        <v>152</v>
      </c>
      <c r="P1" s="652"/>
      <c r="Q1" s="652"/>
      <c r="R1" s="652"/>
      <c r="S1" s="652" t="s">
        <v>611</v>
      </c>
      <c r="T1" s="652"/>
      <c r="U1" s="652"/>
      <c r="V1" s="652"/>
      <c r="W1" s="652"/>
      <c r="X1" s="652"/>
      <c r="Y1" s="652" t="s">
        <v>242</v>
      </c>
      <c r="Z1" s="652"/>
      <c r="AA1" s="652" t="s">
        <v>612</v>
      </c>
      <c r="AB1" s="653"/>
      <c r="AC1" s="653"/>
    </row>
    <row r="2" spans="1:29" ht="26.25" customHeight="1">
      <c r="A2" s="19">
        <v>45937</v>
      </c>
      <c r="B2" s="20" t="s">
        <v>613</v>
      </c>
      <c r="C2" s="2" t="s">
        <v>614</v>
      </c>
      <c r="D2" s="6">
        <f>AVERAGE(N10,N13,N57,N64,N19,N67,N24,N35,N45,N76)</f>
        <v>149.68159026083731</v>
      </c>
      <c r="E2" s="7" t="s">
        <v>2</v>
      </c>
      <c r="F2" s="8">
        <f>F1/D1</f>
        <v>32.218113205641593</v>
      </c>
      <c r="G2" s="1" t="s">
        <v>615</v>
      </c>
      <c r="H2" s="173">
        <f>COUNT(H5:H76)</f>
        <v>14</v>
      </c>
      <c r="I2" s="652"/>
      <c r="J2" s="652"/>
      <c r="K2" s="652"/>
      <c r="L2" s="652"/>
      <c r="M2" s="652"/>
      <c r="N2" s="652"/>
      <c r="O2" s="652"/>
      <c r="P2" s="652"/>
      <c r="Q2" s="652"/>
      <c r="R2" s="652"/>
      <c r="S2" s="652"/>
      <c r="T2" s="652"/>
      <c r="U2" s="652"/>
      <c r="V2" s="652"/>
      <c r="W2" s="652"/>
      <c r="X2" s="652"/>
      <c r="Y2" s="652"/>
      <c r="Z2" s="652"/>
      <c r="AA2" s="653"/>
      <c r="AB2" s="653"/>
      <c r="AC2" s="653"/>
    </row>
    <row r="3" spans="1:29" ht="23.25" customHeight="1">
      <c r="A3" s="617" t="s">
        <v>616</v>
      </c>
      <c r="B3" s="617" t="s">
        <v>617</v>
      </c>
      <c r="C3" s="617" t="s">
        <v>618</v>
      </c>
      <c r="D3" s="617"/>
      <c r="E3" s="654" t="s">
        <v>619</v>
      </c>
      <c r="F3" s="617" t="s">
        <v>158</v>
      </c>
      <c r="G3" s="654" t="s">
        <v>620</v>
      </c>
      <c r="H3" s="646" t="s">
        <v>621</v>
      </c>
      <c r="I3" s="645" t="s">
        <v>160</v>
      </c>
      <c r="J3" s="649" t="s">
        <v>622</v>
      </c>
      <c r="K3" s="651" t="s">
        <v>623</v>
      </c>
      <c r="L3" s="645" t="s">
        <v>160</v>
      </c>
      <c r="M3" s="649" t="s">
        <v>624</v>
      </c>
      <c r="N3" s="651" t="s">
        <v>625</v>
      </c>
      <c r="O3" s="645" t="s">
        <v>626</v>
      </c>
      <c r="P3" s="651" t="s">
        <v>625</v>
      </c>
      <c r="Q3" s="650" t="s">
        <v>627</v>
      </c>
      <c r="R3" s="633" t="s">
        <v>628</v>
      </c>
      <c r="S3" s="656" t="s">
        <v>14</v>
      </c>
      <c r="T3" s="656"/>
      <c r="U3" s="646" t="s">
        <v>15</v>
      </c>
      <c r="V3" s="646" t="s">
        <v>629</v>
      </c>
      <c r="W3" s="617" t="s">
        <v>630</v>
      </c>
      <c r="X3" s="617"/>
      <c r="Y3" s="647" t="s">
        <v>631</v>
      </c>
      <c r="Z3" s="648"/>
      <c r="AA3" s="649" t="s">
        <v>165</v>
      </c>
      <c r="AB3" s="650" t="s">
        <v>632</v>
      </c>
      <c r="AC3" s="633" t="s">
        <v>633</v>
      </c>
    </row>
    <row r="4" spans="1:29">
      <c r="A4" s="617"/>
      <c r="B4" s="617"/>
      <c r="C4" s="617"/>
      <c r="D4" s="617"/>
      <c r="E4" s="655"/>
      <c r="F4" s="617"/>
      <c r="G4" s="655"/>
      <c r="H4" s="646"/>
      <c r="I4" s="645"/>
      <c r="J4" s="649"/>
      <c r="K4" s="651"/>
      <c r="L4" s="645"/>
      <c r="M4" s="649"/>
      <c r="N4" s="651"/>
      <c r="O4" s="645"/>
      <c r="P4" s="651"/>
      <c r="Q4" s="650"/>
      <c r="R4" s="633"/>
      <c r="S4" s="174" t="s">
        <v>18</v>
      </c>
      <c r="T4" s="174" t="s">
        <v>19</v>
      </c>
      <c r="U4" s="646"/>
      <c r="V4" s="646"/>
      <c r="W4" s="164" t="s">
        <v>634</v>
      </c>
      <c r="X4" s="164" t="s">
        <v>635</v>
      </c>
      <c r="Y4" s="648"/>
      <c r="Z4" s="648"/>
      <c r="AA4" s="649"/>
      <c r="AB4" s="650"/>
      <c r="AC4" s="633"/>
    </row>
    <row r="5" spans="1:29">
      <c r="A5" s="644" t="s">
        <v>636</v>
      </c>
      <c r="B5" s="26" t="s">
        <v>40</v>
      </c>
      <c r="C5" s="601" t="s">
        <v>82</v>
      </c>
      <c r="D5" s="601"/>
      <c r="E5" s="26">
        <v>26.97</v>
      </c>
      <c r="F5" s="174">
        <v>3383</v>
      </c>
      <c r="G5" s="164">
        <f>E5*F5</f>
        <v>91239.51</v>
      </c>
      <c r="H5" s="21" t="s">
        <v>35</v>
      </c>
      <c r="I5" s="171">
        <v>8</v>
      </c>
      <c r="J5" s="23">
        <v>1500</v>
      </c>
      <c r="K5" s="9">
        <f>J5/I5</f>
        <v>187.5</v>
      </c>
      <c r="L5" s="171">
        <v>8</v>
      </c>
      <c r="M5" s="10">
        <f>F5/V5*60</f>
        <v>1429.4366197183101</v>
      </c>
      <c r="N5" s="9">
        <f>M5/L5</f>
        <v>178.67957746478876</v>
      </c>
      <c r="O5" s="11">
        <f t="shared" ref="O5:O9" si="0">L5-I5</f>
        <v>0</v>
      </c>
      <c r="P5" s="12">
        <f t="shared" ref="P5:P7" si="1">N5-K5</f>
        <v>-8.820422535211236</v>
      </c>
      <c r="Q5" s="163">
        <f>N5/K5</f>
        <v>0.95295774647887344</v>
      </c>
      <c r="R5" s="571">
        <f>Q10</f>
        <v>0.95659307918371905</v>
      </c>
      <c r="S5" s="24">
        <v>0.29166666666666669</v>
      </c>
      <c r="T5" s="24">
        <v>0.39027777777777778</v>
      </c>
      <c r="U5" s="164"/>
      <c r="V5" s="172">
        <f>(T5-S5)*24*60</f>
        <v>141.99999999999997</v>
      </c>
      <c r="W5" s="13"/>
      <c r="X5" s="14"/>
      <c r="Y5" s="617"/>
      <c r="Z5" s="617"/>
      <c r="AA5" s="11">
        <f t="shared" ref="AA5:AA68" si="2">M5-J5</f>
        <v>-70.563380281689888</v>
      </c>
      <c r="AB5" s="163">
        <f t="shared" ref="AB5:AB9" si="3">M5/J5</f>
        <v>0.95295774647887344</v>
      </c>
      <c r="AC5" s="571">
        <f>AB10</f>
        <v>0.95659307918371905</v>
      </c>
    </row>
    <row r="6" spans="1:29">
      <c r="A6" s="645" t="s">
        <v>637</v>
      </c>
      <c r="B6" s="26" t="s">
        <v>36</v>
      </c>
      <c r="C6" s="601" t="s">
        <v>52</v>
      </c>
      <c r="D6" s="601"/>
      <c r="E6" s="26">
        <v>57.73</v>
      </c>
      <c r="F6" s="174">
        <v>2761</v>
      </c>
      <c r="G6" s="164">
        <f t="shared" ref="G6:G9" si="4">E6*F6</f>
        <v>159392.53</v>
      </c>
      <c r="H6" s="21" t="s">
        <v>35</v>
      </c>
      <c r="I6" s="171">
        <v>15</v>
      </c>
      <c r="J6" s="23">
        <v>2000</v>
      </c>
      <c r="K6" s="9">
        <f t="shared" ref="K6:K9" si="5">J6/I6</f>
        <v>133.33333333333334</v>
      </c>
      <c r="L6" s="171">
        <v>15</v>
      </c>
      <c r="M6" s="10">
        <f>F6/V6*60</f>
        <v>1904.1379310344826</v>
      </c>
      <c r="N6" s="9">
        <f t="shared" ref="N6:N7" si="6">M6/L6</f>
        <v>126.94252873563217</v>
      </c>
      <c r="O6" s="11">
        <f t="shared" si="0"/>
        <v>0</v>
      </c>
      <c r="P6" s="12">
        <f t="shared" si="1"/>
        <v>-6.3908045977011767</v>
      </c>
      <c r="Q6" s="163">
        <f t="shared" ref="Q6:Q9" si="7">N6/K6</f>
        <v>0.95206896551724118</v>
      </c>
      <c r="R6" s="571"/>
      <c r="S6" s="24">
        <v>0.39444444444444443</v>
      </c>
      <c r="T6" s="24">
        <v>0.4548611111111111</v>
      </c>
      <c r="U6" s="164">
        <f>IF(S6=TIME(17,0,0),"",(S6-T5)*24*60)</f>
        <v>5.9999999999999787</v>
      </c>
      <c r="V6" s="172">
        <f>(T6-S6)*24*60</f>
        <v>87.000000000000014</v>
      </c>
      <c r="W6" s="13"/>
      <c r="X6" s="13"/>
      <c r="Y6" s="617"/>
      <c r="Z6" s="617"/>
      <c r="AA6" s="11">
        <f t="shared" si="2"/>
        <v>-95.862068965517437</v>
      </c>
      <c r="AB6" s="163">
        <f t="shared" si="3"/>
        <v>0.95206896551724129</v>
      </c>
      <c r="AC6" s="571"/>
    </row>
    <row r="7" spans="1:29">
      <c r="A7" s="645" t="s">
        <v>638</v>
      </c>
      <c r="B7" s="26" t="s">
        <v>36</v>
      </c>
      <c r="C7" s="594" t="s">
        <v>37</v>
      </c>
      <c r="D7" s="595"/>
      <c r="E7" s="26">
        <v>46.93</v>
      </c>
      <c r="F7" s="174">
        <v>959</v>
      </c>
      <c r="G7" s="164">
        <f t="shared" si="4"/>
        <v>45005.87</v>
      </c>
      <c r="H7" s="21" t="s">
        <v>35</v>
      </c>
      <c r="I7" s="171">
        <v>16</v>
      </c>
      <c r="J7" s="23">
        <v>2000</v>
      </c>
      <c r="K7" s="9">
        <f t="shared" si="5"/>
        <v>125</v>
      </c>
      <c r="L7" s="171">
        <v>16</v>
      </c>
      <c r="M7" s="10">
        <f t="shared" ref="M7" si="8">F7/V7*60</f>
        <v>1917.9999999999966</v>
      </c>
      <c r="N7" s="9">
        <f t="shared" si="6"/>
        <v>119.87499999999979</v>
      </c>
      <c r="O7" s="11">
        <f t="shared" si="0"/>
        <v>0</v>
      </c>
      <c r="P7" s="12">
        <f t="shared" si="1"/>
        <v>-5.1250000000002132</v>
      </c>
      <c r="Q7" s="163">
        <f t="shared" si="7"/>
        <v>0.9589999999999983</v>
      </c>
      <c r="R7" s="571"/>
      <c r="S7" s="24">
        <v>0.70833333333333337</v>
      </c>
      <c r="T7" s="24">
        <v>0.72916666666666674</v>
      </c>
      <c r="U7" s="164" t="str">
        <f t="shared" ref="U7:U9" si="9">IF(S7=TIME(17,0,0),"",(S7-T6)*24*60)</f>
        <v/>
      </c>
      <c r="V7" s="172">
        <f t="shared" ref="V7:V9" si="10">(T7-S7)*24*60</f>
        <v>30.000000000000053</v>
      </c>
      <c r="W7" s="13"/>
      <c r="X7" s="13"/>
      <c r="Y7" s="621"/>
      <c r="Z7" s="622"/>
      <c r="AA7" s="11">
        <f t="shared" si="2"/>
        <v>-82.000000000003411</v>
      </c>
      <c r="AB7" s="163">
        <f t="shared" si="3"/>
        <v>0.9589999999999983</v>
      </c>
      <c r="AC7" s="571"/>
    </row>
    <row r="8" spans="1:29">
      <c r="A8" s="645" t="s">
        <v>639</v>
      </c>
      <c r="B8" s="26" t="s">
        <v>36</v>
      </c>
      <c r="C8" s="594" t="s">
        <v>38</v>
      </c>
      <c r="D8" s="595"/>
      <c r="E8" s="26">
        <v>50.49</v>
      </c>
      <c r="F8" s="174">
        <v>2153</v>
      </c>
      <c r="G8" s="164">
        <f t="shared" si="4"/>
        <v>108704.97</v>
      </c>
      <c r="H8" s="21" t="s">
        <v>35</v>
      </c>
      <c r="I8" s="171">
        <v>15</v>
      </c>
      <c r="J8" s="23">
        <v>2000</v>
      </c>
      <c r="K8" s="9">
        <f t="shared" si="5"/>
        <v>133.33333333333334</v>
      </c>
      <c r="L8" s="171">
        <v>15</v>
      </c>
      <c r="M8" s="10">
        <f>F8/V8*60</f>
        <v>1928.0597014925397</v>
      </c>
      <c r="N8" s="9">
        <f>M8/L8</f>
        <v>128.53731343283599</v>
      </c>
      <c r="O8" s="11">
        <f t="shared" si="0"/>
        <v>0</v>
      </c>
      <c r="P8" s="12">
        <f>N8-K8</f>
        <v>-4.796019900497356</v>
      </c>
      <c r="Q8" s="163">
        <f t="shared" si="7"/>
        <v>0.96402985074626979</v>
      </c>
      <c r="R8" s="571"/>
      <c r="S8" s="24">
        <v>0.73472222222222228</v>
      </c>
      <c r="T8" s="24">
        <v>0.78125</v>
      </c>
      <c r="U8" s="164">
        <f t="shared" si="9"/>
        <v>7.9999999999999716</v>
      </c>
      <c r="V8" s="172">
        <f t="shared" si="10"/>
        <v>66.999999999999915</v>
      </c>
      <c r="W8" s="15"/>
      <c r="X8" s="15"/>
      <c r="Y8" s="621"/>
      <c r="Z8" s="622"/>
      <c r="AA8" s="11">
        <f t="shared" si="2"/>
        <v>-71.940298507460284</v>
      </c>
      <c r="AB8" s="163">
        <f t="shared" si="3"/>
        <v>0.9640298507462699</v>
      </c>
      <c r="AC8" s="571"/>
    </row>
    <row r="9" spans="1:29">
      <c r="A9" s="645" t="s">
        <v>640</v>
      </c>
      <c r="B9" s="26" t="s">
        <v>36</v>
      </c>
      <c r="C9" s="594" t="s">
        <v>39</v>
      </c>
      <c r="D9" s="595"/>
      <c r="E9" s="26">
        <v>50.67</v>
      </c>
      <c r="F9" s="174">
        <v>1908</v>
      </c>
      <c r="G9" s="164">
        <f t="shared" si="4"/>
        <v>96678.36</v>
      </c>
      <c r="H9" s="21" t="s">
        <v>35</v>
      </c>
      <c r="I9" s="171">
        <v>17</v>
      </c>
      <c r="J9" s="23">
        <v>2000</v>
      </c>
      <c r="K9" s="9">
        <f t="shared" si="5"/>
        <v>117.64705882352941</v>
      </c>
      <c r="L9" s="171">
        <v>17</v>
      </c>
      <c r="M9" s="10">
        <f t="shared" ref="M9" si="11">F9/V9*60</f>
        <v>1908.0000000000018</v>
      </c>
      <c r="N9" s="9">
        <f t="shared" ref="N9" si="12">M9/L9</f>
        <v>112.23529411764717</v>
      </c>
      <c r="O9" s="11">
        <f t="shared" si="0"/>
        <v>0</v>
      </c>
      <c r="P9" s="12">
        <f t="shared" ref="P9" si="13">N9-K9</f>
        <v>-5.4117647058822342</v>
      </c>
      <c r="Q9" s="163">
        <f t="shared" si="7"/>
        <v>0.95400000000000096</v>
      </c>
      <c r="R9" s="571"/>
      <c r="S9" s="24">
        <v>0.78611111111111109</v>
      </c>
      <c r="T9" s="24">
        <v>0.82777777777777772</v>
      </c>
      <c r="U9" s="164">
        <f t="shared" si="9"/>
        <v>6.9999999999999751</v>
      </c>
      <c r="V9" s="172">
        <f t="shared" si="10"/>
        <v>59.999999999999943</v>
      </c>
      <c r="W9" s="13"/>
      <c r="X9" s="13"/>
      <c r="Y9" s="621"/>
      <c r="Z9" s="622"/>
      <c r="AA9" s="11">
        <f t="shared" si="2"/>
        <v>-91.999999999998181</v>
      </c>
      <c r="AB9" s="163">
        <f t="shared" si="3"/>
        <v>0.95400000000000096</v>
      </c>
      <c r="AC9" s="571"/>
    </row>
    <row r="10" spans="1:29">
      <c r="A10" s="645" t="s">
        <v>167</v>
      </c>
      <c r="B10" s="26" t="s">
        <v>641</v>
      </c>
      <c r="C10" s="629"/>
      <c r="D10" s="629"/>
      <c r="E10" s="165"/>
      <c r="F10" s="27"/>
      <c r="G10" s="9"/>
      <c r="H10" s="174"/>
      <c r="I10" s="16">
        <v>14.2</v>
      </c>
      <c r="J10" s="23">
        <v>1900</v>
      </c>
      <c r="K10" s="9">
        <f>J10/I10</f>
        <v>133.80281690140845</v>
      </c>
      <c r="L10" s="16">
        <v>14.2</v>
      </c>
      <c r="M10" s="10">
        <f>AVERAGE(M5:M9)</f>
        <v>1817.5268504490662</v>
      </c>
      <c r="N10" s="9">
        <f>M10/L10</f>
        <v>127.99484862317368</v>
      </c>
      <c r="O10" s="11">
        <f>L10-I10</f>
        <v>0</v>
      </c>
      <c r="P10" s="12">
        <f>N10-K10</f>
        <v>-5.8079682782347675</v>
      </c>
      <c r="Q10" s="163">
        <f>N10/K10</f>
        <v>0.95659307918371905</v>
      </c>
      <c r="R10" s="571"/>
      <c r="S10" s="24"/>
      <c r="T10" s="24"/>
      <c r="U10" s="164"/>
      <c r="V10" s="172"/>
      <c r="W10" s="9"/>
      <c r="X10" s="9"/>
      <c r="Y10" s="617"/>
      <c r="Z10" s="617"/>
      <c r="AA10" s="11">
        <f t="shared" si="2"/>
        <v>-82.47314955093384</v>
      </c>
      <c r="AB10" s="163">
        <f>M10/J10</f>
        <v>0.95659307918371905</v>
      </c>
      <c r="AC10" s="571"/>
    </row>
    <row r="11" spans="1:29" ht="15.75" customHeight="1">
      <c r="A11" s="643" t="s">
        <v>642</v>
      </c>
      <c r="B11" s="26" t="s">
        <v>40</v>
      </c>
      <c r="C11" s="594" t="s">
        <v>42</v>
      </c>
      <c r="D11" s="595"/>
      <c r="E11" s="26">
        <v>39.36</v>
      </c>
      <c r="F11" s="174">
        <v>3146</v>
      </c>
      <c r="G11" s="164">
        <f t="shared" ref="G11:G12" si="14">E11*F11</f>
        <v>123826.56</v>
      </c>
      <c r="H11" s="21" t="s">
        <v>35</v>
      </c>
      <c r="I11" s="171">
        <v>20</v>
      </c>
      <c r="J11" s="23">
        <v>1500</v>
      </c>
      <c r="K11" s="9">
        <f t="shared" ref="K11:K12" si="15">J11/I11</f>
        <v>75</v>
      </c>
      <c r="L11" s="171">
        <v>20</v>
      </c>
      <c r="M11" s="10">
        <f t="shared" ref="M11:M12" si="16">F11/V11*60</f>
        <v>1430</v>
      </c>
      <c r="N11" s="9">
        <f t="shared" ref="N11:N12" si="17">M11/L11</f>
        <v>71.5</v>
      </c>
      <c r="O11" s="11">
        <f t="shared" ref="O11:O12" si="18">L11-I11</f>
        <v>0</v>
      </c>
      <c r="P11" s="12">
        <f>N11-K11</f>
        <v>-3.5</v>
      </c>
      <c r="Q11" s="163">
        <f>N11/K11</f>
        <v>0.95333333333333337</v>
      </c>
      <c r="R11" s="571">
        <f>Q13</f>
        <v>0.95391906283280092</v>
      </c>
      <c r="S11" s="24">
        <v>0.125</v>
      </c>
      <c r="T11" s="24">
        <v>0.21666666666666667</v>
      </c>
      <c r="U11" s="164"/>
      <c r="V11" s="172">
        <f t="shared" ref="V11:V12" si="19">(T11-S11)*24*60</f>
        <v>132</v>
      </c>
      <c r="W11" s="13"/>
      <c r="X11" s="13"/>
      <c r="Y11" s="617"/>
      <c r="Z11" s="617"/>
      <c r="AA11" s="11">
        <f t="shared" si="2"/>
        <v>-70</v>
      </c>
      <c r="AB11" s="163">
        <f>M11/J11</f>
        <v>0.95333333333333337</v>
      </c>
      <c r="AC11" s="571">
        <f>AB13</f>
        <v>0.95391906283280092</v>
      </c>
    </row>
    <row r="12" spans="1:29" ht="15.75" customHeight="1">
      <c r="A12" s="643" t="s">
        <v>643</v>
      </c>
      <c r="B12" s="26" t="s">
        <v>40</v>
      </c>
      <c r="C12" s="594" t="s">
        <v>41</v>
      </c>
      <c r="D12" s="595"/>
      <c r="E12" s="26">
        <v>39.799999999999997</v>
      </c>
      <c r="F12" s="174">
        <v>7469</v>
      </c>
      <c r="G12" s="164">
        <f t="shared" si="14"/>
        <v>297266.19999999995</v>
      </c>
      <c r="H12" s="21" t="s">
        <v>35</v>
      </c>
      <c r="I12" s="171">
        <v>17</v>
      </c>
      <c r="J12" s="23">
        <v>1500</v>
      </c>
      <c r="K12" s="9">
        <f t="shared" si="15"/>
        <v>88.235294117647058</v>
      </c>
      <c r="L12" s="171">
        <v>17</v>
      </c>
      <c r="M12" s="10">
        <f t="shared" si="16"/>
        <v>1431.7571884984029</v>
      </c>
      <c r="N12" s="9">
        <f t="shared" si="17"/>
        <v>84.221011088141353</v>
      </c>
      <c r="O12" s="11">
        <f t="shared" si="18"/>
        <v>0</v>
      </c>
      <c r="P12" s="12">
        <f t="shared" ref="P12" si="20">N12-K12</f>
        <v>-4.0142830295057053</v>
      </c>
      <c r="Q12" s="163">
        <f t="shared" ref="Q12" si="21">N12/K12</f>
        <v>0.9545047923322687</v>
      </c>
      <c r="R12" s="571"/>
      <c r="S12" s="24">
        <v>0.2215277777777778</v>
      </c>
      <c r="T12" s="24">
        <v>0.43888888888888888</v>
      </c>
      <c r="U12" s="164">
        <f>(S12-T11)*24*60</f>
        <v>7.0000000000000151</v>
      </c>
      <c r="V12" s="172">
        <f t="shared" si="19"/>
        <v>312.99999999999994</v>
      </c>
      <c r="W12" s="13"/>
      <c r="X12" s="13"/>
      <c r="Y12" s="617"/>
      <c r="Z12" s="617"/>
      <c r="AA12" s="11">
        <f t="shared" si="2"/>
        <v>-68.242811501597089</v>
      </c>
      <c r="AB12" s="163">
        <f t="shared" ref="AB12:AB24" si="22">M12/J12</f>
        <v>0.95450479233226859</v>
      </c>
      <c r="AC12" s="571"/>
    </row>
    <row r="13" spans="1:29" ht="16.5" customHeight="1">
      <c r="A13" s="643" t="s">
        <v>169</v>
      </c>
      <c r="B13" s="26" t="s">
        <v>641</v>
      </c>
      <c r="C13" s="629"/>
      <c r="D13" s="629"/>
      <c r="E13" s="165"/>
      <c r="F13" s="23"/>
      <c r="G13" s="10"/>
      <c r="H13" s="174"/>
      <c r="I13" s="16">
        <v>18.5</v>
      </c>
      <c r="J13" s="23">
        <v>1500</v>
      </c>
      <c r="K13" s="9">
        <f>J13/I13</f>
        <v>81.081081081081081</v>
      </c>
      <c r="L13" s="16">
        <v>18.5</v>
      </c>
      <c r="M13" s="10">
        <f>AVERAGE(M11:M12)</f>
        <v>1430.8785942492013</v>
      </c>
      <c r="N13" s="9">
        <f>M13/L13</f>
        <v>77.344788878335208</v>
      </c>
      <c r="O13" s="11">
        <f>L13-I13</f>
        <v>0</v>
      </c>
      <c r="P13" s="12">
        <f>N13-K13</f>
        <v>-3.7362922027458723</v>
      </c>
      <c r="Q13" s="163">
        <f>N13/K13</f>
        <v>0.95391906283280092</v>
      </c>
      <c r="R13" s="571"/>
      <c r="S13" s="24"/>
      <c r="T13" s="24"/>
      <c r="U13" s="9"/>
      <c r="V13" s="172"/>
      <c r="W13" s="9"/>
      <c r="X13" s="9"/>
      <c r="Y13" s="617"/>
      <c r="Z13" s="617"/>
      <c r="AA13" s="11">
        <f t="shared" si="2"/>
        <v>-69.121405750798658</v>
      </c>
      <c r="AB13" s="163">
        <f t="shared" si="22"/>
        <v>0.95391906283280092</v>
      </c>
      <c r="AC13" s="571"/>
    </row>
    <row r="14" spans="1:29" ht="16.5" customHeight="1">
      <c r="A14" s="641" t="s">
        <v>644</v>
      </c>
      <c r="B14" s="174" t="s">
        <v>43</v>
      </c>
      <c r="C14" s="636" t="s">
        <v>44</v>
      </c>
      <c r="D14" s="636"/>
      <c r="E14" s="26">
        <v>41</v>
      </c>
      <c r="F14" s="174">
        <v>1914</v>
      </c>
      <c r="G14" s="164">
        <f t="shared" ref="G14:G18" si="23">E14*F14</f>
        <v>78474</v>
      </c>
      <c r="H14" s="21" t="s">
        <v>35</v>
      </c>
      <c r="I14" s="171">
        <v>26</v>
      </c>
      <c r="J14" s="23">
        <v>1500</v>
      </c>
      <c r="K14" s="9">
        <f>J14/I14</f>
        <v>57.692307692307693</v>
      </c>
      <c r="L14" s="171">
        <v>26</v>
      </c>
      <c r="M14" s="10">
        <f>F14/V14*60</f>
        <v>1435.5</v>
      </c>
      <c r="N14" s="9">
        <f t="shared" ref="N14:N23" si="24">M14/L14</f>
        <v>55.21153846153846</v>
      </c>
      <c r="O14" s="11">
        <f t="shared" ref="O14" si="25">L14-I14</f>
        <v>0</v>
      </c>
      <c r="P14" s="12">
        <f t="shared" ref="P14" si="26">N14-K14</f>
        <v>-2.4807692307692335</v>
      </c>
      <c r="Q14" s="163">
        <f>N14/K14</f>
        <v>0.95699999999999996</v>
      </c>
      <c r="R14" s="571">
        <f>Q19</f>
        <v>0.95516571800565808</v>
      </c>
      <c r="S14" s="24">
        <v>0.16666666666666666</v>
      </c>
      <c r="T14" s="24">
        <v>0.22222222222222221</v>
      </c>
      <c r="U14" s="164"/>
      <c r="V14" s="172">
        <f>(T14-S14)*24*60</f>
        <v>80</v>
      </c>
      <c r="W14" s="15"/>
      <c r="X14" s="15"/>
      <c r="Y14" s="617"/>
      <c r="Z14" s="617"/>
      <c r="AA14" s="11">
        <f t="shared" si="2"/>
        <v>-64.5</v>
      </c>
      <c r="AB14" s="163">
        <f t="shared" si="22"/>
        <v>0.95699999999999996</v>
      </c>
      <c r="AC14" s="571">
        <f>AB19</f>
        <v>0.95516571800565819</v>
      </c>
    </row>
    <row r="15" spans="1:29" ht="16.5" customHeight="1">
      <c r="A15" s="642" t="s">
        <v>645</v>
      </c>
      <c r="B15" s="174" t="s">
        <v>46</v>
      </c>
      <c r="C15" s="636" t="s">
        <v>62</v>
      </c>
      <c r="D15" s="636"/>
      <c r="E15" s="26">
        <v>25</v>
      </c>
      <c r="F15" s="174">
        <v>5040</v>
      </c>
      <c r="G15" s="164">
        <f t="shared" si="23"/>
        <v>126000</v>
      </c>
      <c r="H15" s="21" t="s">
        <v>35</v>
      </c>
      <c r="I15" s="171">
        <v>15</v>
      </c>
      <c r="J15" s="23">
        <v>2400</v>
      </c>
      <c r="K15" s="9">
        <f>J15/I15</f>
        <v>160</v>
      </c>
      <c r="L15" s="171">
        <v>15</v>
      </c>
      <c r="M15" s="10">
        <f>F15/V15*60</f>
        <v>2290.9090909090919</v>
      </c>
      <c r="N15" s="9">
        <f t="shared" si="24"/>
        <v>152.7272727272728</v>
      </c>
      <c r="O15" s="11">
        <f>L15-I15</f>
        <v>0</v>
      </c>
      <c r="P15" s="12">
        <f>N15-K15</f>
        <v>-7.2727272727271952</v>
      </c>
      <c r="Q15" s="163">
        <f>N15/K15</f>
        <v>0.95454545454545503</v>
      </c>
      <c r="R15" s="571"/>
      <c r="S15" s="24">
        <v>0.22777777777777777</v>
      </c>
      <c r="T15" s="24">
        <v>0.31944444444444442</v>
      </c>
      <c r="U15" s="164">
        <f>IF(S15=TIME(17,0,0),"",(S15-T14)*24*60)</f>
        <v>8.0000000000000107</v>
      </c>
      <c r="V15" s="172">
        <f>(T15-S15)*24*60</f>
        <v>131.99999999999994</v>
      </c>
      <c r="W15" s="13"/>
      <c r="X15" s="13"/>
      <c r="Y15" s="617"/>
      <c r="Z15" s="617"/>
      <c r="AA15" s="11">
        <f t="shared" si="2"/>
        <v>-109.0909090909081</v>
      </c>
      <c r="AB15" s="163">
        <f t="shared" si="22"/>
        <v>0.95454545454545492</v>
      </c>
      <c r="AC15" s="571"/>
    </row>
    <row r="16" spans="1:29" ht="16.5" customHeight="1">
      <c r="A16" s="642" t="s">
        <v>644</v>
      </c>
      <c r="B16" s="174" t="s">
        <v>40</v>
      </c>
      <c r="C16" s="636" t="s">
        <v>45</v>
      </c>
      <c r="D16" s="636"/>
      <c r="E16" s="26">
        <v>39.619999999999997</v>
      </c>
      <c r="F16" s="174">
        <v>4939</v>
      </c>
      <c r="G16" s="164">
        <f t="shared" si="23"/>
        <v>195683.18</v>
      </c>
      <c r="H16" s="21" t="s">
        <v>35</v>
      </c>
      <c r="I16" s="171">
        <v>19</v>
      </c>
      <c r="J16" s="23">
        <v>1500</v>
      </c>
      <c r="K16" s="9">
        <f t="shared" ref="K16:K18" si="27">J16/I16</f>
        <v>78.94736842105263</v>
      </c>
      <c r="L16" s="171">
        <v>19</v>
      </c>
      <c r="M16" s="10">
        <f t="shared" ref="M16:M18" si="28">F16/V16*60</f>
        <v>1431.5942028985505</v>
      </c>
      <c r="N16" s="9">
        <f t="shared" si="24"/>
        <v>75.347063310450025</v>
      </c>
      <c r="O16" s="11">
        <f t="shared" ref="O16:O18" si="29">L16-I16</f>
        <v>0</v>
      </c>
      <c r="P16" s="12">
        <f t="shared" ref="P16:P18" si="30">N16-K16</f>
        <v>-3.6003051106026049</v>
      </c>
      <c r="Q16" s="163">
        <f t="shared" ref="Q16:Q23" si="31">N16/K16</f>
        <v>0.95439613526570033</v>
      </c>
      <c r="R16" s="571"/>
      <c r="S16" s="24">
        <v>0.32361111111111107</v>
      </c>
      <c r="T16" s="24">
        <v>0.46736111111111112</v>
      </c>
      <c r="U16" s="164">
        <f t="shared" ref="U16:U18" si="32">IF(S16=TIME(17,0,0),"",(S16-T15)*24*60)</f>
        <v>5.9999999999999787</v>
      </c>
      <c r="V16" s="172">
        <f t="shared" ref="V16:V18" si="33">(T16-S16)*24*60</f>
        <v>207.00000000000006</v>
      </c>
      <c r="W16" s="13"/>
      <c r="X16" s="13"/>
      <c r="Y16" s="617"/>
      <c r="Z16" s="617"/>
      <c r="AA16" s="11">
        <f t="shared" si="2"/>
        <v>-68.40579710144948</v>
      </c>
      <c r="AB16" s="163">
        <f t="shared" si="22"/>
        <v>0.95439613526570033</v>
      </c>
      <c r="AC16" s="571"/>
    </row>
    <row r="17" spans="1:29" ht="16.5" customHeight="1">
      <c r="A17" s="642" t="s">
        <v>172</v>
      </c>
      <c r="B17" s="174" t="s">
        <v>36</v>
      </c>
      <c r="C17" s="636" t="s">
        <v>49</v>
      </c>
      <c r="D17" s="636"/>
      <c r="E17" s="26">
        <v>50.98</v>
      </c>
      <c r="F17" s="174">
        <v>2874</v>
      </c>
      <c r="G17" s="164">
        <f t="shared" si="23"/>
        <v>146516.51999999999</v>
      </c>
      <c r="H17" s="21" t="s">
        <v>35</v>
      </c>
      <c r="I17" s="171">
        <v>16</v>
      </c>
      <c r="J17" s="23">
        <v>2000</v>
      </c>
      <c r="K17" s="9">
        <f t="shared" si="27"/>
        <v>125</v>
      </c>
      <c r="L17" s="171">
        <v>16</v>
      </c>
      <c r="M17" s="10">
        <f t="shared" si="28"/>
        <v>1916</v>
      </c>
      <c r="N17" s="9">
        <f t="shared" si="24"/>
        <v>119.75</v>
      </c>
      <c r="O17" s="11">
        <f t="shared" si="29"/>
        <v>0</v>
      </c>
      <c r="P17" s="12">
        <f t="shared" si="30"/>
        <v>-5.25</v>
      </c>
      <c r="Q17" s="163">
        <f t="shared" si="31"/>
        <v>0.95799999999999996</v>
      </c>
      <c r="R17" s="571"/>
      <c r="S17" s="24">
        <v>0.70833333333333337</v>
      </c>
      <c r="T17" s="24">
        <v>0.77083333333333337</v>
      </c>
      <c r="U17" s="164" t="str">
        <f t="shared" si="32"/>
        <v/>
      </c>
      <c r="V17" s="172">
        <f t="shared" si="33"/>
        <v>90</v>
      </c>
      <c r="W17" s="13"/>
      <c r="X17" s="13"/>
      <c r="Y17" s="617"/>
      <c r="Z17" s="617"/>
      <c r="AA17" s="11">
        <f t="shared" si="2"/>
        <v>-84</v>
      </c>
      <c r="AB17" s="163">
        <f t="shared" si="22"/>
        <v>0.95799999999999996</v>
      </c>
      <c r="AC17" s="571"/>
    </row>
    <row r="18" spans="1:29" ht="16.5" customHeight="1">
      <c r="A18" s="642" t="s">
        <v>172</v>
      </c>
      <c r="B18" s="174" t="s">
        <v>36</v>
      </c>
      <c r="C18" s="636" t="s">
        <v>50</v>
      </c>
      <c r="D18" s="636"/>
      <c r="E18" s="26">
        <v>50.92</v>
      </c>
      <c r="F18" s="174">
        <v>3206</v>
      </c>
      <c r="G18" s="164">
        <f t="shared" si="23"/>
        <v>163249.52000000002</v>
      </c>
      <c r="H18" s="21" t="s">
        <v>35</v>
      </c>
      <c r="I18" s="171">
        <v>15</v>
      </c>
      <c r="J18" s="23">
        <v>2000</v>
      </c>
      <c r="K18" s="9">
        <f t="shared" si="27"/>
        <v>133.33333333333334</v>
      </c>
      <c r="L18" s="171">
        <v>15</v>
      </c>
      <c r="M18" s="10">
        <f t="shared" si="28"/>
        <v>1904.5544554455453</v>
      </c>
      <c r="N18" s="9">
        <f t="shared" si="24"/>
        <v>126.97029702970302</v>
      </c>
      <c r="O18" s="11">
        <f t="shared" si="29"/>
        <v>0</v>
      </c>
      <c r="P18" s="12">
        <f t="shared" si="30"/>
        <v>-6.3630363036303237</v>
      </c>
      <c r="Q18" s="163">
        <f t="shared" si="31"/>
        <v>0.95227722772277257</v>
      </c>
      <c r="R18" s="571"/>
      <c r="S18" s="24">
        <v>0.77430555555555558</v>
      </c>
      <c r="T18" s="24">
        <v>0.84444444444444444</v>
      </c>
      <c r="U18" s="164">
        <f t="shared" si="32"/>
        <v>4.9999999999999822</v>
      </c>
      <c r="V18" s="172">
        <f t="shared" si="33"/>
        <v>100.99999999999996</v>
      </c>
      <c r="W18" s="13"/>
      <c r="X18" s="13"/>
      <c r="Y18" s="617"/>
      <c r="Z18" s="617"/>
      <c r="AA18" s="11">
        <f t="shared" si="2"/>
        <v>-95.445544554454727</v>
      </c>
      <c r="AB18" s="163">
        <f t="shared" si="22"/>
        <v>0.95227722772277268</v>
      </c>
      <c r="AC18" s="571"/>
    </row>
    <row r="19" spans="1:29" ht="16.5" customHeight="1">
      <c r="A19" s="642" t="s">
        <v>644</v>
      </c>
      <c r="B19" s="26" t="s">
        <v>646</v>
      </c>
      <c r="C19" s="629"/>
      <c r="D19" s="629"/>
      <c r="E19" s="165"/>
      <c r="F19" s="27"/>
      <c r="G19" s="9"/>
      <c r="H19" s="174"/>
      <c r="I19" s="16">
        <v>18.2</v>
      </c>
      <c r="J19" s="23">
        <v>1880</v>
      </c>
      <c r="K19" s="9">
        <f>J19/I19</f>
        <v>103.2967032967033</v>
      </c>
      <c r="L19" s="16">
        <v>18.2</v>
      </c>
      <c r="M19" s="10">
        <f>AVERAGE(M14:M18)</f>
        <v>1795.7115498506373</v>
      </c>
      <c r="N19" s="9">
        <f t="shared" si="24"/>
        <v>98.66546977201304</v>
      </c>
      <c r="O19" s="11">
        <f>L19-I19</f>
        <v>0</v>
      </c>
      <c r="P19" s="12">
        <f>N19-K19</f>
        <v>-4.6312335246902592</v>
      </c>
      <c r="Q19" s="163">
        <f t="shared" si="31"/>
        <v>0.95516571800565808</v>
      </c>
      <c r="R19" s="571"/>
      <c r="S19" s="24"/>
      <c r="T19" s="24"/>
      <c r="U19" s="164"/>
      <c r="V19" s="172"/>
      <c r="W19" s="9"/>
      <c r="X19" s="9"/>
      <c r="Y19" s="617"/>
      <c r="Z19" s="617"/>
      <c r="AA19" s="11">
        <f t="shared" si="2"/>
        <v>-84.288450149362689</v>
      </c>
      <c r="AB19" s="163">
        <f t="shared" si="22"/>
        <v>0.95516571800565819</v>
      </c>
      <c r="AC19" s="571"/>
    </row>
    <row r="20" spans="1:29" ht="15.75" customHeight="1">
      <c r="A20" s="639" t="s">
        <v>175</v>
      </c>
      <c r="B20" s="26" t="s">
        <v>43</v>
      </c>
      <c r="C20" s="636" t="s">
        <v>51</v>
      </c>
      <c r="D20" s="636"/>
      <c r="E20" s="26">
        <v>43.14</v>
      </c>
      <c r="F20" s="174">
        <v>1333</v>
      </c>
      <c r="G20" s="164">
        <f t="shared" ref="G20:G23" si="34">E20*F20</f>
        <v>57505.62</v>
      </c>
      <c r="H20" s="21" t="s">
        <v>35</v>
      </c>
      <c r="I20" s="171">
        <v>17</v>
      </c>
      <c r="J20" s="23">
        <v>2000</v>
      </c>
      <c r="K20" s="9">
        <f t="shared" ref="K20:K24" si="35">J20/I20</f>
        <v>117.64705882352941</v>
      </c>
      <c r="L20" s="171">
        <v>17</v>
      </c>
      <c r="M20" s="10">
        <f t="shared" ref="M20:M23" si="36">F20/V20*60</f>
        <v>1950.7317073170725</v>
      </c>
      <c r="N20" s="9">
        <f t="shared" si="24"/>
        <v>114.74892395982779</v>
      </c>
      <c r="O20" s="11">
        <f t="shared" ref="O20:O23" si="37">L20-I20</f>
        <v>0</v>
      </c>
      <c r="P20" s="12">
        <f t="shared" ref="P20:P23" si="38">N20-K20</f>
        <v>-2.898134863701614</v>
      </c>
      <c r="Q20" s="163">
        <f t="shared" si="31"/>
        <v>0.97536585365853623</v>
      </c>
      <c r="R20" s="571">
        <f>Q24</f>
        <v>0.9620438324439099</v>
      </c>
      <c r="S20" s="24">
        <v>0.33333333333333331</v>
      </c>
      <c r="T20" s="24">
        <v>0.36180555555555555</v>
      </c>
      <c r="U20" s="164"/>
      <c r="V20" s="172">
        <f>(T20-S20)*24*60</f>
        <v>41.000000000000014</v>
      </c>
      <c r="W20" s="15"/>
      <c r="X20" s="15"/>
      <c r="Y20" s="617"/>
      <c r="Z20" s="617"/>
      <c r="AA20" s="11">
        <f t="shared" si="2"/>
        <v>-49.268292682927495</v>
      </c>
      <c r="AB20" s="163">
        <f t="shared" si="22"/>
        <v>0.97536585365853623</v>
      </c>
      <c r="AC20" s="571">
        <f>AB24</f>
        <v>0.9620438324439099</v>
      </c>
    </row>
    <row r="21" spans="1:29" ht="15.75" customHeight="1">
      <c r="A21" s="640" t="s">
        <v>175</v>
      </c>
      <c r="B21" s="26" t="s">
        <v>36</v>
      </c>
      <c r="C21" s="636" t="s">
        <v>54</v>
      </c>
      <c r="D21" s="636"/>
      <c r="E21" s="26">
        <v>53.27</v>
      </c>
      <c r="F21" s="174">
        <v>1609</v>
      </c>
      <c r="G21" s="164">
        <f t="shared" si="34"/>
        <v>85711.430000000008</v>
      </c>
      <c r="H21" s="21" t="s">
        <v>35</v>
      </c>
      <c r="I21" s="171">
        <v>16</v>
      </c>
      <c r="J21" s="23">
        <v>2000</v>
      </c>
      <c r="K21" s="9">
        <f t="shared" si="35"/>
        <v>125</v>
      </c>
      <c r="L21" s="171">
        <v>16</v>
      </c>
      <c r="M21" s="10">
        <f t="shared" si="36"/>
        <v>1930.8000000000004</v>
      </c>
      <c r="N21" s="9">
        <f t="shared" si="24"/>
        <v>120.67500000000003</v>
      </c>
      <c r="O21" s="11">
        <f t="shared" si="37"/>
        <v>0</v>
      </c>
      <c r="P21" s="12">
        <f t="shared" si="38"/>
        <v>-4.3249999999999744</v>
      </c>
      <c r="Q21" s="163">
        <f t="shared" si="31"/>
        <v>0.96540000000000026</v>
      </c>
      <c r="R21" s="571"/>
      <c r="S21" s="24">
        <v>0.3659722222222222</v>
      </c>
      <c r="T21" s="24">
        <v>0.40069444444444441</v>
      </c>
      <c r="U21" s="164">
        <f>IF(S21=TIME(17,0,0),"",(S21-T20)*24*60)</f>
        <v>5.9999999999999787</v>
      </c>
      <c r="V21" s="172">
        <f t="shared" ref="V21:V23" si="39">(T21-S21)*24*60</f>
        <v>49.999999999999986</v>
      </c>
      <c r="W21" s="13"/>
      <c r="X21" s="164"/>
      <c r="Y21" s="617"/>
      <c r="Z21" s="617"/>
      <c r="AA21" s="11">
        <f t="shared" si="2"/>
        <v>-69.199999999999591</v>
      </c>
      <c r="AB21" s="163">
        <f t="shared" si="22"/>
        <v>0.96540000000000026</v>
      </c>
      <c r="AC21" s="571"/>
    </row>
    <row r="22" spans="1:29" ht="15.75" customHeight="1">
      <c r="A22" s="640" t="s">
        <v>175</v>
      </c>
      <c r="B22" s="26" t="s">
        <v>36</v>
      </c>
      <c r="C22" s="636" t="s">
        <v>53</v>
      </c>
      <c r="D22" s="636"/>
      <c r="E22" s="26">
        <v>53.68</v>
      </c>
      <c r="F22" s="174">
        <v>1880</v>
      </c>
      <c r="G22" s="164">
        <f t="shared" si="34"/>
        <v>100918.39999999999</v>
      </c>
      <c r="H22" s="21" t="s">
        <v>35</v>
      </c>
      <c r="I22" s="171">
        <v>16</v>
      </c>
      <c r="J22" s="23">
        <v>2000</v>
      </c>
      <c r="K22" s="9">
        <f t="shared" si="35"/>
        <v>125</v>
      </c>
      <c r="L22" s="171">
        <v>16</v>
      </c>
      <c r="M22" s="10">
        <f t="shared" si="36"/>
        <v>1911.8644067796602</v>
      </c>
      <c r="N22" s="9">
        <f t="shared" si="24"/>
        <v>119.49152542372876</v>
      </c>
      <c r="O22" s="11">
        <f t="shared" si="37"/>
        <v>0</v>
      </c>
      <c r="P22" s="12">
        <f t="shared" si="38"/>
        <v>-5.5084745762712402</v>
      </c>
      <c r="Q22" s="163">
        <f t="shared" si="31"/>
        <v>0.95593220338983009</v>
      </c>
      <c r="R22" s="571"/>
      <c r="S22" s="24">
        <v>0.40416666666666662</v>
      </c>
      <c r="T22" s="24">
        <v>0.44513888888888886</v>
      </c>
      <c r="U22" s="164">
        <f t="shared" ref="U22:U23" si="40">IF(S22=TIME(17,0,0),"",(S22-T21)*24*60)</f>
        <v>4.9999999999999822</v>
      </c>
      <c r="V22" s="172">
        <f t="shared" si="39"/>
        <v>59.000000000000028</v>
      </c>
      <c r="W22" s="13"/>
      <c r="X22" s="164"/>
      <c r="Y22" s="617"/>
      <c r="Z22" s="617"/>
      <c r="AA22" s="11">
        <f t="shared" si="2"/>
        <v>-88.135593220339842</v>
      </c>
      <c r="AB22" s="163">
        <f t="shared" si="22"/>
        <v>0.95593220338983009</v>
      </c>
      <c r="AC22" s="571"/>
    </row>
    <row r="23" spans="1:29" ht="15.75" customHeight="1">
      <c r="A23" s="640" t="s">
        <v>175</v>
      </c>
      <c r="B23" s="26" t="s">
        <v>36</v>
      </c>
      <c r="C23" s="636" t="s">
        <v>55</v>
      </c>
      <c r="D23" s="636"/>
      <c r="E23" s="26">
        <v>54.09</v>
      </c>
      <c r="F23" s="174">
        <v>2791</v>
      </c>
      <c r="G23" s="164">
        <f t="shared" si="34"/>
        <v>150965.19</v>
      </c>
      <c r="H23" s="21" t="s">
        <v>35</v>
      </c>
      <c r="I23" s="171">
        <v>19</v>
      </c>
      <c r="J23" s="23">
        <v>2000</v>
      </c>
      <c r="K23" s="9">
        <f t="shared" si="35"/>
        <v>105.26315789473684</v>
      </c>
      <c r="L23" s="171">
        <v>19</v>
      </c>
      <c r="M23" s="10">
        <f t="shared" si="36"/>
        <v>1902.9545454545455</v>
      </c>
      <c r="N23" s="9">
        <f t="shared" si="24"/>
        <v>100.1555023923445</v>
      </c>
      <c r="O23" s="11">
        <f t="shared" si="37"/>
        <v>0</v>
      </c>
      <c r="P23" s="12">
        <f t="shared" si="38"/>
        <v>-5.1076555023923333</v>
      </c>
      <c r="Q23" s="163">
        <f t="shared" si="31"/>
        <v>0.95147727272727278</v>
      </c>
      <c r="R23" s="571"/>
      <c r="S23" s="24">
        <v>0.70833333333333337</v>
      </c>
      <c r="T23" s="24">
        <v>0.76944444444444449</v>
      </c>
      <c r="U23" s="164" t="str">
        <f t="shared" si="40"/>
        <v/>
      </c>
      <c r="V23" s="172">
        <f t="shared" si="39"/>
        <v>88</v>
      </c>
      <c r="W23" s="13"/>
      <c r="X23" s="164"/>
      <c r="Y23" s="617"/>
      <c r="Z23" s="617"/>
      <c r="AA23" s="11">
        <f t="shared" si="2"/>
        <v>-97.045454545454504</v>
      </c>
      <c r="AB23" s="163">
        <f t="shared" si="22"/>
        <v>0.95147727272727278</v>
      </c>
      <c r="AC23" s="571"/>
    </row>
    <row r="24" spans="1:29" ht="15.75" customHeight="1">
      <c r="A24" s="640" t="s">
        <v>175</v>
      </c>
      <c r="B24" s="26" t="s">
        <v>168</v>
      </c>
      <c r="C24" s="629"/>
      <c r="D24" s="629"/>
      <c r="E24" s="165"/>
      <c r="F24" s="174"/>
      <c r="G24" s="164"/>
      <c r="H24" s="174"/>
      <c r="I24" s="16">
        <v>17</v>
      </c>
      <c r="J24" s="23">
        <v>2000</v>
      </c>
      <c r="K24" s="9">
        <f t="shared" si="35"/>
        <v>117.64705882352941</v>
      </c>
      <c r="L24" s="16">
        <v>17</v>
      </c>
      <c r="M24" s="10">
        <f>AVERAGE(M20:M23)</f>
        <v>1924.0876648878198</v>
      </c>
      <c r="N24" s="9">
        <f>M24/L24</f>
        <v>113.18162734634234</v>
      </c>
      <c r="O24" s="11">
        <f>L24-I24</f>
        <v>0</v>
      </c>
      <c r="P24" s="12">
        <f>N24-K24</f>
        <v>-4.4654314771870673</v>
      </c>
      <c r="Q24" s="163">
        <f>N24/K24</f>
        <v>0.9620438324439099</v>
      </c>
      <c r="R24" s="571"/>
      <c r="S24" s="24"/>
      <c r="T24" s="24"/>
      <c r="U24" s="9"/>
      <c r="V24" s="172"/>
      <c r="W24" s="9"/>
      <c r="X24" s="9"/>
      <c r="Y24" s="617"/>
      <c r="Z24" s="617"/>
      <c r="AA24" s="11">
        <f t="shared" si="2"/>
        <v>-75.912335112180244</v>
      </c>
      <c r="AB24" s="163">
        <f t="shared" si="22"/>
        <v>0.9620438324439099</v>
      </c>
      <c r="AC24" s="571"/>
    </row>
    <row r="25" spans="1:29" ht="15.75" customHeight="1">
      <c r="A25" s="635" t="s">
        <v>178</v>
      </c>
      <c r="B25" s="26" t="s">
        <v>46</v>
      </c>
      <c r="C25" s="636" t="s">
        <v>58</v>
      </c>
      <c r="D25" s="636"/>
      <c r="E25" s="26">
        <v>25.98</v>
      </c>
      <c r="F25" s="174">
        <v>1975</v>
      </c>
      <c r="G25" s="164">
        <f t="shared" ref="G25:G34" si="41">E25*F25</f>
        <v>51310.5</v>
      </c>
      <c r="H25" s="21" t="s">
        <v>35</v>
      </c>
      <c r="I25" s="171">
        <v>17</v>
      </c>
      <c r="J25" s="23">
        <v>2400</v>
      </c>
      <c r="K25" s="9">
        <f>J25/I25</f>
        <v>141.1764705882353</v>
      </c>
      <c r="L25" s="171">
        <v>17</v>
      </c>
      <c r="M25" s="10">
        <f t="shared" ref="M25:M34" si="42">F25/V25*60</f>
        <v>2323.5294117647068</v>
      </c>
      <c r="N25" s="9">
        <f t="shared" ref="N25:N34" si="43">M25/L25</f>
        <v>136.67820069204157</v>
      </c>
      <c r="O25" s="11">
        <f t="shared" ref="O25:O34" si="44">L25-I25</f>
        <v>0</v>
      </c>
      <c r="P25" s="12">
        <f t="shared" ref="P25:P34" si="45">N25-K25</f>
        <v>-4.4982698961937331</v>
      </c>
      <c r="Q25" s="163">
        <f t="shared" ref="Q25:Q30" si="46">N25/K25</f>
        <v>0.96813725490196101</v>
      </c>
      <c r="R25" s="571">
        <f>Q35</f>
        <v>0.95779305628533629</v>
      </c>
      <c r="S25" s="24">
        <v>0.125</v>
      </c>
      <c r="T25" s="24">
        <v>0.16041666666666665</v>
      </c>
      <c r="U25" s="164"/>
      <c r="V25" s="172">
        <f t="shared" ref="V25:V34" si="47">(T25-S25)*24*60</f>
        <v>50.999999999999979</v>
      </c>
      <c r="W25" s="13">
        <f>T25</f>
        <v>0.16041666666666665</v>
      </c>
      <c r="X25" s="13">
        <f>S26</f>
        <v>0.17986111111111111</v>
      </c>
      <c r="Y25" s="617"/>
      <c r="Z25" s="617"/>
      <c r="AA25" s="11">
        <f t="shared" si="2"/>
        <v>-76.470588235293235</v>
      </c>
      <c r="AB25" s="163">
        <f>M25/J25</f>
        <v>0.96813725490196112</v>
      </c>
      <c r="AC25" s="571">
        <f>AB35</f>
        <v>0.95779305628533618</v>
      </c>
    </row>
    <row r="26" spans="1:29" ht="15.75" customHeight="1">
      <c r="A26" s="635" t="s">
        <v>647</v>
      </c>
      <c r="B26" s="26" t="s">
        <v>46</v>
      </c>
      <c r="C26" s="636" t="s">
        <v>57</v>
      </c>
      <c r="D26" s="636"/>
      <c r="E26" s="26">
        <v>20.52</v>
      </c>
      <c r="F26" s="174">
        <v>3667</v>
      </c>
      <c r="G26" s="164">
        <f t="shared" si="41"/>
        <v>75246.84</v>
      </c>
      <c r="H26" s="21" t="s">
        <v>35</v>
      </c>
      <c r="I26" s="171">
        <v>18</v>
      </c>
      <c r="J26" s="23">
        <v>2400</v>
      </c>
      <c r="K26" s="9">
        <f t="shared" ref="K26:K35" si="48">J26/I26</f>
        <v>133.33333333333334</v>
      </c>
      <c r="L26" s="171">
        <v>18</v>
      </c>
      <c r="M26" s="10">
        <f t="shared" si="42"/>
        <v>2291.875</v>
      </c>
      <c r="N26" s="9">
        <f t="shared" si="43"/>
        <v>127.32638888888889</v>
      </c>
      <c r="O26" s="11">
        <f t="shared" si="44"/>
        <v>0</v>
      </c>
      <c r="P26" s="12">
        <f t="shared" si="45"/>
        <v>-6.0069444444444571</v>
      </c>
      <c r="Q26" s="163">
        <f t="shared" si="46"/>
        <v>0.95494791666666656</v>
      </c>
      <c r="R26" s="571"/>
      <c r="S26" s="24">
        <v>0.17986111111111111</v>
      </c>
      <c r="T26" s="24">
        <v>0.24652777777777779</v>
      </c>
      <c r="U26" s="164">
        <f>(S26-T25)*24*60</f>
        <v>28.000000000000021</v>
      </c>
      <c r="V26" s="172">
        <f t="shared" si="47"/>
        <v>96.000000000000014</v>
      </c>
      <c r="W26" s="13"/>
      <c r="X26" s="13"/>
      <c r="Y26" s="617"/>
      <c r="Z26" s="617"/>
      <c r="AA26" s="11">
        <f t="shared" si="2"/>
        <v>-108.125</v>
      </c>
      <c r="AB26" s="163">
        <f t="shared" ref="AB26:AB34" si="49">M26/J26</f>
        <v>0.95494791666666667</v>
      </c>
      <c r="AC26" s="571"/>
    </row>
    <row r="27" spans="1:29" ht="15.75" customHeight="1">
      <c r="A27" s="635" t="s">
        <v>648</v>
      </c>
      <c r="B27" s="26" t="s">
        <v>46</v>
      </c>
      <c r="C27" s="636" t="s">
        <v>60</v>
      </c>
      <c r="D27" s="636"/>
      <c r="E27" s="26">
        <v>26.2</v>
      </c>
      <c r="F27" s="174">
        <v>3000</v>
      </c>
      <c r="G27" s="164">
        <f t="shared" si="41"/>
        <v>78600</v>
      </c>
      <c r="H27" s="21">
        <v>2</v>
      </c>
      <c r="I27" s="171">
        <v>19</v>
      </c>
      <c r="J27" s="23">
        <v>2400</v>
      </c>
      <c r="K27" s="9">
        <f t="shared" si="48"/>
        <v>126.31578947368421</v>
      </c>
      <c r="L27" s="171">
        <v>19</v>
      </c>
      <c r="M27" s="10">
        <f t="shared" si="42"/>
        <v>2307.6923076923063</v>
      </c>
      <c r="N27" s="9">
        <f t="shared" si="43"/>
        <v>121.45748987854243</v>
      </c>
      <c r="O27" s="11">
        <f t="shared" si="44"/>
        <v>0</v>
      </c>
      <c r="P27" s="12">
        <f t="shared" si="45"/>
        <v>-4.8582995951417729</v>
      </c>
      <c r="Q27" s="163">
        <f t="shared" si="46"/>
        <v>0.96153846153846101</v>
      </c>
      <c r="R27" s="571"/>
      <c r="S27" s="24">
        <v>0.25138888888888888</v>
      </c>
      <c r="T27" s="24">
        <v>0.30555555555555558</v>
      </c>
      <c r="U27" s="164">
        <f t="shared" ref="U27:U34" si="50">(S27-T26)*24*60</f>
        <v>6.9999999999999751</v>
      </c>
      <c r="V27" s="172">
        <f t="shared" si="47"/>
        <v>78.000000000000043</v>
      </c>
      <c r="W27" s="13"/>
      <c r="X27" s="13"/>
      <c r="Y27" s="617"/>
      <c r="Z27" s="617"/>
      <c r="AA27" s="11">
        <f t="shared" si="2"/>
        <v>-92.307692307693742</v>
      </c>
      <c r="AB27" s="163">
        <f t="shared" si="49"/>
        <v>0.9615384615384609</v>
      </c>
      <c r="AC27" s="571"/>
    </row>
    <row r="28" spans="1:29" ht="15.75" customHeight="1">
      <c r="A28" s="635" t="s">
        <v>647</v>
      </c>
      <c r="B28" s="26" t="s">
        <v>46</v>
      </c>
      <c r="C28" s="636" t="s">
        <v>61</v>
      </c>
      <c r="D28" s="636"/>
      <c r="E28" s="26">
        <v>31.29</v>
      </c>
      <c r="F28" s="174">
        <v>4400</v>
      </c>
      <c r="G28" s="164">
        <f t="shared" si="41"/>
        <v>137676</v>
      </c>
      <c r="H28" s="21">
        <v>2</v>
      </c>
      <c r="I28" s="171">
        <v>18</v>
      </c>
      <c r="J28" s="23">
        <v>2400</v>
      </c>
      <c r="K28" s="9">
        <f t="shared" si="48"/>
        <v>133.33333333333334</v>
      </c>
      <c r="L28" s="171">
        <v>18</v>
      </c>
      <c r="M28" s="10">
        <f t="shared" si="42"/>
        <v>2295.652173913044</v>
      </c>
      <c r="N28" s="9">
        <f t="shared" si="43"/>
        <v>127.536231884058</v>
      </c>
      <c r="O28" s="11">
        <f t="shared" si="44"/>
        <v>0</v>
      </c>
      <c r="P28" s="12">
        <f t="shared" si="45"/>
        <v>-5.7971014492753454</v>
      </c>
      <c r="Q28" s="163">
        <f t="shared" si="46"/>
        <v>0.95652173913043492</v>
      </c>
      <c r="R28" s="571"/>
      <c r="S28" s="24">
        <v>0.31041666666666667</v>
      </c>
      <c r="T28" s="24">
        <v>0.39027777777777778</v>
      </c>
      <c r="U28" s="164">
        <f t="shared" si="50"/>
        <v>6.9999999999999751</v>
      </c>
      <c r="V28" s="172">
        <f t="shared" si="47"/>
        <v>114.99999999999999</v>
      </c>
      <c r="W28" s="13"/>
      <c r="X28" s="13"/>
      <c r="Y28" s="617"/>
      <c r="Z28" s="617"/>
      <c r="AA28" s="11">
        <f t="shared" si="2"/>
        <v>-104.34782608695605</v>
      </c>
      <c r="AB28" s="163">
        <f t="shared" si="49"/>
        <v>0.95652173913043503</v>
      </c>
      <c r="AC28" s="571"/>
    </row>
    <row r="29" spans="1:29" ht="15.75" customHeight="1">
      <c r="A29" s="635" t="s">
        <v>649</v>
      </c>
      <c r="B29" s="26" t="s">
        <v>46</v>
      </c>
      <c r="C29" s="636" t="s">
        <v>59</v>
      </c>
      <c r="D29" s="636"/>
      <c r="E29" s="26">
        <v>26.18</v>
      </c>
      <c r="F29" s="174">
        <v>2700</v>
      </c>
      <c r="G29" s="164">
        <f t="shared" si="41"/>
        <v>70686</v>
      </c>
      <c r="H29" s="21">
        <v>2</v>
      </c>
      <c r="I29" s="171">
        <v>19</v>
      </c>
      <c r="J29" s="23">
        <v>2400</v>
      </c>
      <c r="K29" s="9">
        <f t="shared" si="48"/>
        <v>126.31578947368421</v>
      </c>
      <c r="L29" s="171">
        <v>19</v>
      </c>
      <c r="M29" s="10">
        <f t="shared" si="42"/>
        <v>2314.2857142857147</v>
      </c>
      <c r="N29" s="9">
        <f t="shared" si="43"/>
        <v>121.80451127819551</v>
      </c>
      <c r="O29" s="11">
        <f t="shared" si="44"/>
        <v>0</v>
      </c>
      <c r="P29" s="12">
        <f t="shared" si="45"/>
        <v>-4.5112781954886998</v>
      </c>
      <c r="Q29" s="163">
        <f t="shared" si="46"/>
        <v>0.96428571428571441</v>
      </c>
      <c r="R29" s="571"/>
      <c r="S29" s="24">
        <v>0.39583333333333331</v>
      </c>
      <c r="T29" s="24">
        <v>0.44444444444444442</v>
      </c>
      <c r="U29" s="164">
        <f t="shared" si="50"/>
        <v>7.9999999999999716</v>
      </c>
      <c r="V29" s="172">
        <f t="shared" si="47"/>
        <v>69.999999999999986</v>
      </c>
      <c r="W29" s="13"/>
      <c r="X29" s="13"/>
      <c r="Y29" s="617"/>
      <c r="Z29" s="617"/>
      <c r="AA29" s="11">
        <f t="shared" si="2"/>
        <v>-85.714285714285325</v>
      </c>
      <c r="AB29" s="163">
        <f t="shared" si="49"/>
        <v>0.96428571428571441</v>
      </c>
      <c r="AC29" s="571"/>
    </row>
    <row r="30" spans="1:29" ht="15.75" customHeight="1">
      <c r="A30" s="635" t="s">
        <v>647</v>
      </c>
      <c r="B30" s="26" t="s">
        <v>46</v>
      </c>
      <c r="C30" s="636" t="s">
        <v>56</v>
      </c>
      <c r="D30" s="636"/>
      <c r="E30" s="26">
        <v>26.2</v>
      </c>
      <c r="F30" s="174">
        <v>3200</v>
      </c>
      <c r="G30" s="164">
        <f t="shared" si="41"/>
        <v>83840</v>
      </c>
      <c r="H30" s="21">
        <v>2</v>
      </c>
      <c r="I30" s="171">
        <v>20</v>
      </c>
      <c r="J30" s="23">
        <v>2400</v>
      </c>
      <c r="K30" s="9">
        <f t="shared" si="48"/>
        <v>120</v>
      </c>
      <c r="L30" s="171">
        <v>20</v>
      </c>
      <c r="M30" s="10">
        <f t="shared" si="42"/>
        <v>2285.7142857142849</v>
      </c>
      <c r="N30" s="9">
        <f t="shared" si="43"/>
        <v>114.28571428571425</v>
      </c>
      <c r="O30" s="11">
        <f t="shared" si="44"/>
        <v>0</v>
      </c>
      <c r="P30" s="12">
        <f t="shared" si="45"/>
        <v>-5.7142857142857508</v>
      </c>
      <c r="Q30" s="163">
        <f t="shared" si="46"/>
        <v>0.95238095238095211</v>
      </c>
      <c r="R30" s="571"/>
      <c r="S30" s="24">
        <v>0.44861111111111107</v>
      </c>
      <c r="T30" s="24">
        <v>0.50694444444444442</v>
      </c>
      <c r="U30" s="164">
        <f t="shared" si="50"/>
        <v>5.9999999999999787</v>
      </c>
      <c r="V30" s="172">
        <f t="shared" si="47"/>
        <v>84.000000000000028</v>
      </c>
      <c r="W30" s="13">
        <f>T30</f>
        <v>0.50694444444444442</v>
      </c>
      <c r="X30" s="13">
        <f>S31</f>
        <v>0.54791666666666661</v>
      </c>
      <c r="Y30" s="617"/>
      <c r="Z30" s="617"/>
      <c r="AA30" s="11">
        <f t="shared" si="2"/>
        <v>-114.28571428571513</v>
      </c>
      <c r="AB30" s="163">
        <f t="shared" si="49"/>
        <v>0.952380952380952</v>
      </c>
      <c r="AC30" s="571"/>
    </row>
    <row r="31" spans="1:29" ht="15.75" customHeight="1">
      <c r="A31" s="635" t="s">
        <v>650</v>
      </c>
      <c r="B31" s="26" t="s">
        <v>46</v>
      </c>
      <c r="C31" s="636" t="s">
        <v>61</v>
      </c>
      <c r="D31" s="636"/>
      <c r="E31" s="26">
        <v>31.29</v>
      </c>
      <c r="F31" s="174">
        <v>5906</v>
      </c>
      <c r="G31" s="164">
        <f t="shared" si="41"/>
        <v>184798.74</v>
      </c>
      <c r="H31" s="21" t="s">
        <v>35</v>
      </c>
      <c r="I31" s="171">
        <v>18</v>
      </c>
      <c r="J31" s="23">
        <v>2400</v>
      </c>
      <c r="K31" s="9">
        <f t="shared" si="48"/>
        <v>133.33333333333334</v>
      </c>
      <c r="L31" s="171">
        <v>18</v>
      </c>
      <c r="M31" s="10">
        <f t="shared" si="42"/>
        <v>2286.1935483870975</v>
      </c>
      <c r="N31" s="9">
        <f t="shared" si="43"/>
        <v>127.01075268817209</v>
      </c>
      <c r="O31" s="11">
        <f t="shared" si="44"/>
        <v>0</v>
      </c>
      <c r="P31" s="12">
        <f t="shared" si="45"/>
        <v>-6.3225806451612527</v>
      </c>
      <c r="Q31" s="163">
        <f>N31/K31</f>
        <v>0.9525806451612906</v>
      </c>
      <c r="R31" s="571"/>
      <c r="S31" s="24">
        <v>0.54791666666666661</v>
      </c>
      <c r="T31" s="24">
        <v>0.65555555555555545</v>
      </c>
      <c r="U31" s="164">
        <f t="shared" si="50"/>
        <v>58.99999999999995</v>
      </c>
      <c r="V31" s="172">
        <f t="shared" si="47"/>
        <v>154.99999999999994</v>
      </c>
      <c r="W31" s="13"/>
      <c r="X31" s="13"/>
      <c r="Y31" s="617"/>
      <c r="Z31" s="617"/>
      <c r="AA31" s="11">
        <f t="shared" si="2"/>
        <v>-113.80645161290249</v>
      </c>
      <c r="AB31" s="163">
        <f t="shared" si="49"/>
        <v>0.9525806451612906</v>
      </c>
      <c r="AC31" s="571"/>
    </row>
    <row r="32" spans="1:29" ht="15.75" customHeight="1">
      <c r="A32" s="635" t="s">
        <v>650</v>
      </c>
      <c r="B32" s="26" t="s">
        <v>46</v>
      </c>
      <c r="C32" s="636" t="s">
        <v>56</v>
      </c>
      <c r="D32" s="636"/>
      <c r="E32" s="26">
        <v>26.2</v>
      </c>
      <c r="F32" s="174">
        <v>2285</v>
      </c>
      <c r="G32" s="164">
        <f t="shared" si="41"/>
        <v>59867</v>
      </c>
      <c r="H32" s="21" t="s">
        <v>35</v>
      </c>
      <c r="I32" s="171">
        <v>20</v>
      </c>
      <c r="J32" s="23">
        <v>2400</v>
      </c>
      <c r="K32" s="9">
        <f t="shared" si="48"/>
        <v>120</v>
      </c>
      <c r="L32" s="171">
        <v>20</v>
      </c>
      <c r="M32" s="10">
        <f t="shared" si="42"/>
        <v>2285.0000000000023</v>
      </c>
      <c r="N32" s="9">
        <f t="shared" si="43"/>
        <v>114.25000000000011</v>
      </c>
      <c r="O32" s="11">
        <f t="shared" si="44"/>
        <v>0</v>
      </c>
      <c r="P32" s="12">
        <f t="shared" si="45"/>
        <v>-5.7499999999998863</v>
      </c>
      <c r="Q32" s="163">
        <f>N32/K32</f>
        <v>0.95208333333333428</v>
      </c>
      <c r="R32" s="571"/>
      <c r="S32" s="24">
        <v>0.6597222222222221</v>
      </c>
      <c r="T32" s="24">
        <v>0.70138888888888873</v>
      </c>
      <c r="U32" s="164">
        <f t="shared" si="50"/>
        <v>5.9999999999999787</v>
      </c>
      <c r="V32" s="172">
        <f t="shared" si="47"/>
        <v>59.999999999999943</v>
      </c>
      <c r="W32" s="13"/>
      <c r="X32" s="13"/>
      <c r="Y32" s="617"/>
      <c r="Z32" s="617"/>
      <c r="AA32" s="11">
        <f t="shared" si="2"/>
        <v>-114.99999999999773</v>
      </c>
      <c r="AB32" s="163">
        <f t="shared" si="49"/>
        <v>0.95208333333333428</v>
      </c>
      <c r="AC32" s="571"/>
    </row>
    <row r="33" spans="1:29" ht="15.75" customHeight="1">
      <c r="A33" s="635" t="s">
        <v>648</v>
      </c>
      <c r="B33" s="26" t="s">
        <v>46</v>
      </c>
      <c r="C33" s="658" t="s">
        <v>60</v>
      </c>
      <c r="D33" s="659"/>
      <c r="E33" s="26">
        <v>26.2</v>
      </c>
      <c r="F33" s="174">
        <v>2113</v>
      </c>
      <c r="G33" s="164">
        <f t="shared" si="41"/>
        <v>55360.6</v>
      </c>
      <c r="H33" s="21" t="s">
        <v>35</v>
      </c>
      <c r="I33" s="171">
        <v>19</v>
      </c>
      <c r="J33" s="23">
        <v>2400</v>
      </c>
      <c r="K33" s="9">
        <f t="shared" si="48"/>
        <v>126.31578947368421</v>
      </c>
      <c r="L33" s="171">
        <v>19</v>
      </c>
      <c r="M33" s="10">
        <f t="shared" si="42"/>
        <v>2305.0909090909104</v>
      </c>
      <c r="N33" s="9">
        <f t="shared" si="43"/>
        <v>121.32057416267949</v>
      </c>
      <c r="O33" s="11">
        <f t="shared" si="44"/>
        <v>0</v>
      </c>
      <c r="P33" s="12">
        <f t="shared" si="45"/>
        <v>-4.9952153110047135</v>
      </c>
      <c r="Q33" s="163">
        <f t="shared" ref="Q33" si="51">N33/K33</f>
        <v>0.960454545454546</v>
      </c>
      <c r="R33" s="571"/>
      <c r="S33" s="24">
        <v>0.70555555555555538</v>
      </c>
      <c r="T33" s="24">
        <v>0.7437499999999998</v>
      </c>
      <c r="U33" s="164">
        <f t="shared" si="50"/>
        <v>5.9999999999999787</v>
      </c>
      <c r="V33" s="172">
        <f t="shared" si="47"/>
        <v>54.999999999999964</v>
      </c>
      <c r="W33" s="13"/>
      <c r="X33" s="13"/>
      <c r="Y33" s="621"/>
      <c r="Z33" s="622"/>
      <c r="AA33" s="11">
        <f t="shared" si="2"/>
        <v>-94.909090909089628</v>
      </c>
      <c r="AB33" s="163">
        <f t="shared" si="49"/>
        <v>0.960454545454546</v>
      </c>
      <c r="AC33" s="571"/>
    </row>
    <row r="34" spans="1:29" ht="15.75" customHeight="1">
      <c r="A34" s="635" t="s">
        <v>649</v>
      </c>
      <c r="B34" s="26" t="s">
        <v>46</v>
      </c>
      <c r="C34" s="658" t="s">
        <v>59</v>
      </c>
      <c r="D34" s="659"/>
      <c r="E34" s="26">
        <v>26.18</v>
      </c>
      <c r="F34" s="174">
        <v>1528</v>
      </c>
      <c r="G34" s="164">
        <f t="shared" si="41"/>
        <v>40003.040000000001</v>
      </c>
      <c r="H34" s="21" t="s">
        <v>35</v>
      </c>
      <c r="I34" s="171">
        <v>19</v>
      </c>
      <c r="J34" s="23">
        <v>2400</v>
      </c>
      <c r="K34" s="9">
        <f t="shared" si="48"/>
        <v>126.31578947368421</v>
      </c>
      <c r="L34" s="171">
        <v>19</v>
      </c>
      <c r="M34" s="10">
        <f t="shared" si="42"/>
        <v>2291.9999999999991</v>
      </c>
      <c r="N34" s="9">
        <f t="shared" si="43"/>
        <v>120.63157894736837</v>
      </c>
      <c r="O34" s="11">
        <f t="shared" si="44"/>
        <v>0</v>
      </c>
      <c r="P34" s="12">
        <f t="shared" si="45"/>
        <v>-5.6842105263158373</v>
      </c>
      <c r="Q34" s="163">
        <f>N34/K34</f>
        <v>0.95499999999999963</v>
      </c>
      <c r="R34" s="571"/>
      <c r="S34" s="24">
        <v>0.74930555555555534</v>
      </c>
      <c r="T34" s="24">
        <v>0.77708333333333313</v>
      </c>
      <c r="U34" s="164">
        <f t="shared" si="50"/>
        <v>7.9999999999999716</v>
      </c>
      <c r="V34" s="172">
        <f t="shared" si="47"/>
        <v>40.000000000000014</v>
      </c>
      <c r="W34" s="13"/>
      <c r="X34" s="13"/>
      <c r="Y34" s="621"/>
      <c r="Z34" s="622"/>
      <c r="AA34" s="11">
        <f t="shared" si="2"/>
        <v>-108.00000000000091</v>
      </c>
      <c r="AB34" s="163">
        <f t="shared" si="49"/>
        <v>0.95499999999999963</v>
      </c>
      <c r="AC34" s="571"/>
    </row>
    <row r="35" spans="1:29" ht="15.75" customHeight="1">
      <c r="A35" s="635" t="s">
        <v>650</v>
      </c>
      <c r="B35" s="26" t="s">
        <v>651</v>
      </c>
      <c r="C35" s="629"/>
      <c r="D35" s="629"/>
      <c r="E35" s="165"/>
      <c r="F35" s="174"/>
      <c r="G35" s="164"/>
      <c r="H35" s="174"/>
      <c r="I35" s="16">
        <v>18.7</v>
      </c>
      <c r="J35" s="23">
        <v>2400</v>
      </c>
      <c r="K35" s="9">
        <f t="shared" si="48"/>
        <v>128.34224598930481</v>
      </c>
      <c r="L35" s="16">
        <v>18.7</v>
      </c>
      <c r="M35" s="10">
        <f>AVERAGE(M25:M34)</f>
        <v>2298.7033350848069</v>
      </c>
      <c r="N35" s="9">
        <f>M35/L35</f>
        <v>122.9253120366207</v>
      </c>
      <c r="O35" s="11">
        <f>L35-I35</f>
        <v>0</v>
      </c>
      <c r="P35" s="12">
        <f>N35-K35</f>
        <v>-5.4169339526841185</v>
      </c>
      <c r="Q35" s="163">
        <f>N35/K35</f>
        <v>0.95779305628533629</v>
      </c>
      <c r="R35" s="571"/>
      <c r="S35" s="24"/>
      <c r="T35" s="24"/>
      <c r="U35" s="164"/>
      <c r="V35" s="172"/>
      <c r="W35" s="164"/>
      <c r="X35" s="164"/>
      <c r="Y35" s="617"/>
      <c r="Z35" s="617"/>
      <c r="AA35" s="11">
        <f t="shared" si="2"/>
        <v>-101.29666491519311</v>
      </c>
      <c r="AB35" s="163">
        <f>M35/J35</f>
        <v>0.95779305628533618</v>
      </c>
      <c r="AC35" s="571"/>
    </row>
    <row r="36" spans="1:29" ht="15.75" customHeight="1">
      <c r="A36" s="637" t="s">
        <v>652</v>
      </c>
      <c r="B36" s="26" t="s">
        <v>46</v>
      </c>
      <c r="C36" s="616" t="s">
        <v>63</v>
      </c>
      <c r="D36" s="616"/>
      <c r="E36" s="26">
        <v>26.2</v>
      </c>
      <c r="F36" s="174">
        <v>5400</v>
      </c>
      <c r="G36" s="164">
        <f t="shared" ref="G36:G44" si="52">E36*F36</f>
        <v>141480</v>
      </c>
      <c r="H36" s="21">
        <v>2</v>
      </c>
      <c r="I36" s="171">
        <v>18</v>
      </c>
      <c r="J36" s="23">
        <v>2400</v>
      </c>
      <c r="K36" s="9">
        <f>J36/I36</f>
        <v>133.33333333333334</v>
      </c>
      <c r="L36" s="171">
        <v>18</v>
      </c>
      <c r="M36" s="10">
        <f>F36/V36*60</f>
        <v>2297.872340425532</v>
      </c>
      <c r="N36" s="9">
        <f>M36/L36</f>
        <v>127.65957446808511</v>
      </c>
      <c r="O36" s="11">
        <f t="shared" ref="O36:O44" si="53">L36-I36</f>
        <v>0</v>
      </c>
      <c r="P36" s="12">
        <f t="shared" ref="P36:P57" si="54">N36-K36</f>
        <v>-5.6737588652482316</v>
      </c>
      <c r="Q36" s="163">
        <f t="shared" ref="Q36:Q49" si="55">N36/K36</f>
        <v>0.95744680851063824</v>
      </c>
      <c r="R36" s="571">
        <f>Q45</f>
        <v>0.95610138654064469</v>
      </c>
      <c r="S36" s="24">
        <v>8.3333333333333329E-2</v>
      </c>
      <c r="T36" s="24">
        <v>0.18124999999999999</v>
      </c>
      <c r="U36" s="164"/>
      <c r="V36" s="172">
        <f t="shared" ref="V36:V44" si="56">(T36-S36)*24*60</f>
        <v>141</v>
      </c>
      <c r="W36" s="15">
        <f>T36</f>
        <v>0.18124999999999999</v>
      </c>
      <c r="X36" s="15">
        <f>S37</f>
        <v>0.19999999999999998</v>
      </c>
      <c r="Y36" s="617"/>
      <c r="Z36" s="617"/>
      <c r="AA36" s="11">
        <f t="shared" si="2"/>
        <v>-102.127659574468</v>
      </c>
      <c r="AB36" s="163">
        <f>M36/J36</f>
        <v>0.95744680851063835</v>
      </c>
      <c r="AC36" s="571">
        <f>AB45</f>
        <v>0.9561013865406448</v>
      </c>
    </row>
    <row r="37" spans="1:29" ht="15.75" customHeight="1">
      <c r="A37" s="637" t="s">
        <v>653</v>
      </c>
      <c r="B37" s="26" t="s">
        <v>46</v>
      </c>
      <c r="C37" s="616" t="s">
        <v>64</v>
      </c>
      <c r="D37" s="616"/>
      <c r="E37" s="26">
        <v>26.39</v>
      </c>
      <c r="F37" s="174">
        <v>5000</v>
      </c>
      <c r="G37" s="164">
        <f t="shared" si="52"/>
        <v>131950</v>
      </c>
      <c r="H37" s="21">
        <v>2</v>
      </c>
      <c r="I37" s="171">
        <v>19</v>
      </c>
      <c r="J37" s="23">
        <v>2400</v>
      </c>
      <c r="K37" s="9">
        <f t="shared" ref="K37:K56" si="57">J37/I37</f>
        <v>126.31578947368421</v>
      </c>
      <c r="L37" s="171">
        <v>19</v>
      </c>
      <c r="M37" s="10">
        <f t="shared" ref="M37:M44" si="58">F37/V37*60</f>
        <v>2290.0763358778631</v>
      </c>
      <c r="N37" s="9">
        <f t="shared" ref="N37:N44" si="59">M37/L37</f>
        <v>120.53033346725596</v>
      </c>
      <c r="O37" s="11">
        <f t="shared" si="53"/>
        <v>0</v>
      </c>
      <c r="P37" s="12">
        <f t="shared" si="54"/>
        <v>-5.7854560064282481</v>
      </c>
      <c r="Q37" s="163">
        <f t="shared" si="55"/>
        <v>0.954198473282443</v>
      </c>
      <c r="R37" s="571"/>
      <c r="S37" s="24">
        <v>0.19999999999999998</v>
      </c>
      <c r="T37" s="24">
        <v>0.29097222222222219</v>
      </c>
      <c r="U37" s="164">
        <f>(S37-T36)*24*60</f>
        <v>26.999999999999986</v>
      </c>
      <c r="V37" s="172">
        <f t="shared" si="56"/>
        <v>130.99999999999997</v>
      </c>
      <c r="W37" s="164"/>
      <c r="X37" s="164"/>
      <c r="Y37" s="617"/>
      <c r="Z37" s="617"/>
      <c r="AA37" s="11">
        <f t="shared" si="2"/>
        <v>-109.92366412213687</v>
      </c>
      <c r="AB37" s="163">
        <f t="shared" ref="AB37:AB67" si="60">M37/J37</f>
        <v>0.954198473282443</v>
      </c>
      <c r="AC37" s="571"/>
    </row>
    <row r="38" spans="1:29">
      <c r="A38" s="638" t="s">
        <v>654</v>
      </c>
      <c r="B38" s="26" t="s">
        <v>46</v>
      </c>
      <c r="C38" s="616" t="s">
        <v>87</v>
      </c>
      <c r="D38" s="616"/>
      <c r="E38" s="26">
        <v>20.52</v>
      </c>
      <c r="F38" s="174">
        <v>3600</v>
      </c>
      <c r="G38" s="164">
        <f t="shared" si="52"/>
        <v>73872</v>
      </c>
      <c r="H38" s="21">
        <v>2</v>
      </c>
      <c r="I38" s="171">
        <v>18</v>
      </c>
      <c r="J38" s="23">
        <v>2400</v>
      </c>
      <c r="K38" s="9">
        <f t="shared" si="57"/>
        <v>133.33333333333334</v>
      </c>
      <c r="L38" s="171">
        <v>18</v>
      </c>
      <c r="M38" s="10">
        <f t="shared" si="58"/>
        <v>2297.872340425532</v>
      </c>
      <c r="N38" s="9">
        <f t="shared" si="59"/>
        <v>127.65957446808511</v>
      </c>
      <c r="O38" s="11">
        <f t="shared" si="53"/>
        <v>0</v>
      </c>
      <c r="P38" s="12">
        <f t="shared" si="54"/>
        <v>-5.6737588652482316</v>
      </c>
      <c r="Q38" s="163">
        <f t="shared" si="55"/>
        <v>0.95744680851063824</v>
      </c>
      <c r="R38" s="571"/>
      <c r="S38" s="24">
        <v>0.2944444444444444</v>
      </c>
      <c r="T38" s="24">
        <v>0.35972222222222217</v>
      </c>
      <c r="U38" s="164">
        <f t="shared" ref="U38:U44" si="61">(S38-T37)*24*60</f>
        <v>4.9999999999999822</v>
      </c>
      <c r="V38" s="172">
        <f t="shared" si="56"/>
        <v>93.999999999999986</v>
      </c>
      <c r="W38" s="164"/>
      <c r="X38" s="164"/>
      <c r="Y38" s="617"/>
      <c r="Z38" s="617"/>
      <c r="AA38" s="11">
        <f t="shared" si="2"/>
        <v>-102.127659574468</v>
      </c>
      <c r="AB38" s="163">
        <f t="shared" si="60"/>
        <v>0.95744680851063835</v>
      </c>
      <c r="AC38" s="571"/>
    </row>
    <row r="39" spans="1:29">
      <c r="A39" s="638" t="s">
        <v>655</v>
      </c>
      <c r="B39" s="26" t="s">
        <v>46</v>
      </c>
      <c r="C39" s="616" t="s">
        <v>48</v>
      </c>
      <c r="D39" s="616"/>
      <c r="E39" s="26">
        <v>22.35</v>
      </c>
      <c r="F39" s="174">
        <v>1950</v>
      </c>
      <c r="G39" s="164">
        <f t="shared" si="52"/>
        <v>43582.5</v>
      </c>
      <c r="H39" s="21" t="s">
        <v>35</v>
      </c>
      <c r="I39" s="171">
        <v>16</v>
      </c>
      <c r="J39" s="23">
        <v>2400</v>
      </c>
      <c r="K39" s="9">
        <f t="shared" si="57"/>
        <v>150</v>
      </c>
      <c r="L39" s="171">
        <v>16</v>
      </c>
      <c r="M39" s="10">
        <f t="shared" si="58"/>
        <v>2294.1176470588243</v>
      </c>
      <c r="N39" s="9">
        <f t="shared" si="59"/>
        <v>143.38235294117652</v>
      </c>
      <c r="O39" s="11">
        <f t="shared" si="53"/>
        <v>0</v>
      </c>
      <c r="P39" s="12">
        <f t="shared" si="54"/>
        <v>-6.6176470588234793</v>
      </c>
      <c r="Q39" s="163">
        <f t="shared" si="55"/>
        <v>0.95588235294117685</v>
      </c>
      <c r="R39" s="571"/>
      <c r="S39" s="24">
        <v>0.36458333333333326</v>
      </c>
      <c r="T39" s="24">
        <v>0.39999999999999991</v>
      </c>
      <c r="U39" s="164">
        <f t="shared" si="61"/>
        <v>6.9999999999999751</v>
      </c>
      <c r="V39" s="172">
        <f t="shared" si="56"/>
        <v>50.999999999999979</v>
      </c>
      <c r="W39" s="13"/>
      <c r="X39" s="13"/>
      <c r="Y39" s="617"/>
      <c r="Z39" s="617"/>
      <c r="AA39" s="11">
        <f t="shared" si="2"/>
        <v>-105.88235294117567</v>
      </c>
      <c r="AB39" s="163">
        <f t="shared" si="60"/>
        <v>0.95588235294117685</v>
      </c>
      <c r="AC39" s="571"/>
    </row>
    <row r="40" spans="1:29">
      <c r="A40" s="638" t="s">
        <v>181</v>
      </c>
      <c r="B40" s="26" t="s">
        <v>46</v>
      </c>
      <c r="C40" s="616" t="s">
        <v>65</v>
      </c>
      <c r="D40" s="616"/>
      <c r="E40" s="26">
        <v>24.43</v>
      </c>
      <c r="F40" s="174">
        <v>4500</v>
      </c>
      <c r="G40" s="164">
        <f t="shared" si="52"/>
        <v>109935</v>
      </c>
      <c r="H40" s="21">
        <v>2</v>
      </c>
      <c r="I40" s="171">
        <v>15</v>
      </c>
      <c r="J40" s="23">
        <v>2400</v>
      </c>
      <c r="K40" s="9">
        <f t="shared" si="57"/>
        <v>160</v>
      </c>
      <c r="L40" s="171">
        <v>15</v>
      </c>
      <c r="M40" s="10">
        <f t="shared" si="58"/>
        <v>2288.1355932203396</v>
      </c>
      <c r="N40" s="9">
        <f t="shared" si="59"/>
        <v>152.54237288135599</v>
      </c>
      <c r="O40" s="11">
        <f t="shared" si="53"/>
        <v>0</v>
      </c>
      <c r="P40" s="12">
        <f t="shared" si="54"/>
        <v>-7.4576271186440124</v>
      </c>
      <c r="Q40" s="163">
        <f t="shared" si="55"/>
        <v>0.95338983050847492</v>
      </c>
      <c r="R40" s="571"/>
      <c r="S40" s="24">
        <v>0.40555555555555545</v>
      </c>
      <c r="T40" s="24">
        <v>0.48749999999999988</v>
      </c>
      <c r="U40" s="164">
        <f t="shared" si="61"/>
        <v>7.9999999999999716</v>
      </c>
      <c r="V40" s="172">
        <f t="shared" si="56"/>
        <v>117.99999999999999</v>
      </c>
      <c r="W40" s="13">
        <f>T40</f>
        <v>0.48749999999999988</v>
      </c>
      <c r="X40" s="13">
        <f>S41</f>
        <v>0.52847222222222201</v>
      </c>
      <c r="Y40" s="617"/>
      <c r="Z40" s="617"/>
      <c r="AA40" s="11">
        <f t="shared" si="2"/>
        <v>-111.86440677966038</v>
      </c>
      <c r="AB40" s="163">
        <f t="shared" si="60"/>
        <v>0.95338983050847481</v>
      </c>
      <c r="AC40" s="571"/>
    </row>
    <row r="41" spans="1:29">
      <c r="A41" s="638" t="s">
        <v>656</v>
      </c>
      <c r="B41" s="26" t="s">
        <v>46</v>
      </c>
      <c r="C41" s="616" t="s">
        <v>65</v>
      </c>
      <c r="D41" s="616"/>
      <c r="E41" s="26">
        <v>24.43</v>
      </c>
      <c r="F41" s="174">
        <v>4767</v>
      </c>
      <c r="G41" s="164">
        <f t="shared" si="52"/>
        <v>116457.81</v>
      </c>
      <c r="H41" s="21" t="s">
        <v>35</v>
      </c>
      <c r="I41" s="171">
        <v>15</v>
      </c>
      <c r="J41" s="23">
        <v>2400</v>
      </c>
      <c r="K41" s="9">
        <f t="shared" si="57"/>
        <v>160</v>
      </c>
      <c r="L41" s="171">
        <v>15</v>
      </c>
      <c r="M41" s="10">
        <f t="shared" si="58"/>
        <v>2288.1599999999994</v>
      </c>
      <c r="N41" s="9">
        <f t="shared" si="59"/>
        <v>152.54399999999995</v>
      </c>
      <c r="O41" s="11">
        <f t="shared" si="53"/>
        <v>0</v>
      </c>
      <c r="P41" s="12">
        <f t="shared" si="54"/>
        <v>-7.4560000000000457</v>
      </c>
      <c r="Q41" s="163">
        <f t="shared" si="55"/>
        <v>0.95339999999999969</v>
      </c>
      <c r="R41" s="571"/>
      <c r="S41" s="24">
        <v>0.52847222222222201</v>
      </c>
      <c r="T41" s="24">
        <v>0.61527777777777759</v>
      </c>
      <c r="U41" s="164">
        <f t="shared" si="61"/>
        <v>58.999999999999872</v>
      </c>
      <c r="V41" s="172">
        <f t="shared" si="56"/>
        <v>125.00000000000003</v>
      </c>
      <c r="W41" s="13"/>
      <c r="X41" s="13"/>
      <c r="Y41" s="617"/>
      <c r="Z41" s="617"/>
      <c r="AA41" s="11">
        <f t="shared" si="2"/>
        <v>-111.8400000000006</v>
      </c>
      <c r="AB41" s="163">
        <f t="shared" si="60"/>
        <v>0.9533999999999998</v>
      </c>
      <c r="AC41" s="571"/>
    </row>
    <row r="42" spans="1:29">
      <c r="A42" s="638" t="s">
        <v>657</v>
      </c>
      <c r="B42" s="26" t="s">
        <v>46</v>
      </c>
      <c r="C42" s="616" t="s">
        <v>63</v>
      </c>
      <c r="D42" s="616"/>
      <c r="E42" s="26">
        <v>26.2</v>
      </c>
      <c r="F42" s="174">
        <v>2210</v>
      </c>
      <c r="G42" s="164">
        <f t="shared" si="52"/>
        <v>57902</v>
      </c>
      <c r="H42" s="21" t="s">
        <v>35</v>
      </c>
      <c r="I42" s="171">
        <v>18</v>
      </c>
      <c r="J42" s="23">
        <v>2400</v>
      </c>
      <c r="K42" s="9">
        <f t="shared" si="57"/>
        <v>133.33333333333334</v>
      </c>
      <c r="L42" s="171">
        <v>18</v>
      </c>
      <c r="M42" s="10">
        <f t="shared" si="58"/>
        <v>2286.206896551726</v>
      </c>
      <c r="N42" s="9">
        <f t="shared" si="59"/>
        <v>127.01149425287366</v>
      </c>
      <c r="O42" s="11">
        <f t="shared" si="53"/>
        <v>0</v>
      </c>
      <c r="P42" s="12">
        <f t="shared" si="54"/>
        <v>-6.3218390804596822</v>
      </c>
      <c r="Q42" s="163">
        <f t="shared" si="55"/>
        <v>0.95258620689655238</v>
      </c>
      <c r="R42" s="571"/>
      <c r="S42" s="24">
        <v>0.6187499999999998</v>
      </c>
      <c r="T42" s="24">
        <v>0.65902777777777755</v>
      </c>
      <c r="U42" s="164">
        <f t="shared" si="61"/>
        <v>4.9999999999999822</v>
      </c>
      <c r="V42" s="172">
        <f t="shared" si="56"/>
        <v>57.999999999999957</v>
      </c>
      <c r="W42" s="13"/>
      <c r="X42" s="13"/>
      <c r="Y42" s="621"/>
      <c r="Z42" s="622"/>
      <c r="AA42" s="11">
        <f t="shared" si="2"/>
        <v>-113.793103448274</v>
      </c>
      <c r="AB42" s="163">
        <f t="shared" si="60"/>
        <v>0.95258620689655249</v>
      </c>
      <c r="AC42" s="571"/>
    </row>
    <row r="43" spans="1:29">
      <c r="A43" s="638" t="s">
        <v>656</v>
      </c>
      <c r="B43" s="26" t="s">
        <v>46</v>
      </c>
      <c r="C43" s="616" t="s">
        <v>64</v>
      </c>
      <c r="D43" s="616"/>
      <c r="E43" s="26">
        <v>26.39</v>
      </c>
      <c r="F43" s="174">
        <v>2181</v>
      </c>
      <c r="G43" s="164">
        <f t="shared" si="52"/>
        <v>57556.590000000004</v>
      </c>
      <c r="H43" s="21" t="s">
        <v>35</v>
      </c>
      <c r="I43" s="171">
        <v>19</v>
      </c>
      <c r="J43" s="23">
        <v>2400</v>
      </c>
      <c r="K43" s="9">
        <f t="shared" si="57"/>
        <v>126.31578947368421</v>
      </c>
      <c r="L43" s="171">
        <v>19</v>
      </c>
      <c r="M43" s="10">
        <f t="shared" si="58"/>
        <v>2295.7894736842122</v>
      </c>
      <c r="N43" s="9">
        <f t="shared" si="59"/>
        <v>120.83102493074801</v>
      </c>
      <c r="O43" s="11">
        <f t="shared" si="53"/>
        <v>0</v>
      </c>
      <c r="P43" s="12">
        <f t="shared" si="54"/>
        <v>-5.4847645429361904</v>
      </c>
      <c r="Q43" s="163">
        <f t="shared" si="55"/>
        <v>0.95657894736842186</v>
      </c>
      <c r="R43" s="571"/>
      <c r="S43" s="24">
        <v>0.6631944444444442</v>
      </c>
      <c r="T43" s="24">
        <v>0.7027777777777775</v>
      </c>
      <c r="U43" s="164">
        <f t="shared" si="61"/>
        <v>5.9999999999999787</v>
      </c>
      <c r="V43" s="172">
        <f t="shared" si="56"/>
        <v>56.999999999999957</v>
      </c>
      <c r="W43" s="13"/>
      <c r="X43" s="13"/>
      <c r="Y43" s="621"/>
      <c r="Z43" s="622"/>
      <c r="AA43" s="11">
        <f t="shared" si="2"/>
        <v>-104.21052631578777</v>
      </c>
      <c r="AB43" s="163">
        <f t="shared" si="60"/>
        <v>0.95657894736842175</v>
      </c>
      <c r="AC43" s="571"/>
    </row>
    <row r="44" spans="1:29">
      <c r="A44" s="638" t="s">
        <v>658</v>
      </c>
      <c r="B44" s="26" t="s">
        <v>46</v>
      </c>
      <c r="C44" s="616" t="s">
        <v>87</v>
      </c>
      <c r="D44" s="616"/>
      <c r="E44" s="26">
        <v>20.52</v>
      </c>
      <c r="F44" s="174">
        <v>2275</v>
      </c>
      <c r="G44" s="164">
        <f t="shared" si="52"/>
        <v>46683</v>
      </c>
      <c r="H44" s="21" t="s">
        <v>35</v>
      </c>
      <c r="I44" s="171">
        <v>18</v>
      </c>
      <c r="J44" s="23">
        <v>2400</v>
      </c>
      <c r="K44" s="9">
        <f t="shared" si="57"/>
        <v>133.33333333333334</v>
      </c>
      <c r="L44" s="171">
        <v>18</v>
      </c>
      <c r="M44" s="10">
        <f t="shared" si="58"/>
        <v>2313.5593220339006</v>
      </c>
      <c r="N44" s="9">
        <f t="shared" si="59"/>
        <v>128.53107344632781</v>
      </c>
      <c r="O44" s="11">
        <f t="shared" si="53"/>
        <v>0</v>
      </c>
      <c r="P44" s="12">
        <f t="shared" si="54"/>
        <v>-4.8022598870055333</v>
      </c>
      <c r="Q44" s="163">
        <f t="shared" si="55"/>
        <v>0.9639830508474585</v>
      </c>
      <c r="R44" s="571"/>
      <c r="S44" s="24">
        <v>0.70833333333333304</v>
      </c>
      <c r="T44" s="24">
        <v>0.74930555555555522</v>
      </c>
      <c r="U44" s="164">
        <f t="shared" si="61"/>
        <v>7.9999999999999716</v>
      </c>
      <c r="V44" s="172">
        <f t="shared" si="56"/>
        <v>58.99999999999995</v>
      </c>
      <c r="W44" s="13"/>
      <c r="X44" s="13"/>
      <c r="Y44" s="621"/>
      <c r="Z44" s="622"/>
      <c r="AA44" s="11">
        <f t="shared" si="2"/>
        <v>-86.440677966099429</v>
      </c>
      <c r="AB44" s="163">
        <f t="shared" si="60"/>
        <v>0.96398305084745861</v>
      </c>
      <c r="AC44" s="571"/>
    </row>
    <row r="45" spans="1:29">
      <c r="A45" s="638" t="s">
        <v>181</v>
      </c>
      <c r="B45" s="27" t="s">
        <v>168</v>
      </c>
      <c r="C45" s="629"/>
      <c r="D45" s="629"/>
      <c r="E45" s="165"/>
      <c r="F45" s="27"/>
      <c r="G45" s="9"/>
      <c r="H45" s="174"/>
      <c r="I45" s="16">
        <v>17.333333333333332</v>
      </c>
      <c r="J45" s="23">
        <v>2400</v>
      </c>
      <c r="K45" s="9">
        <f t="shared" si="57"/>
        <v>138.46153846153848</v>
      </c>
      <c r="L45" s="16">
        <v>17.333333333333332</v>
      </c>
      <c r="M45" s="10">
        <f>AVERAGE(M36:M44)</f>
        <v>2294.6433276975476</v>
      </c>
      <c r="N45" s="9">
        <f>M45/L45</f>
        <v>132.38326890562774</v>
      </c>
      <c r="O45" s="11">
        <f>L45-I45</f>
        <v>0</v>
      </c>
      <c r="P45" s="12">
        <f t="shared" si="54"/>
        <v>-6.0782695559107367</v>
      </c>
      <c r="Q45" s="163">
        <f t="shared" si="55"/>
        <v>0.95610138654064469</v>
      </c>
      <c r="R45" s="571"/>
      <c r="S45" s="24"/>
      <c r="T45" s="24"/>
      <c r="U45" s="9"/>
      <c r="V45" s="172"/>
      <c r="W45" s="9"/>
      <c r="X45" s="9"/>
      <c r="Y45" s="617"/>
      <c r="Z45" s="617"/>
      <c r="AA45" s="11">
        <f t="shared" si="2"/>
        <v>-105.35667230245235</v>
      </c>
      <c r="AB45" s="163">
        <f t="shared" si="60"/>
        <v>0.9561013865406448</v>
      </c>
      <c r="AC45" s="571"/>
    </row>
    <row r="46" spans="1:29" ht="15.75" customHeight="1">
      <c r="A46" s="630" t="s">
        <v>659</v>
      </c>
      <c r="B46" s="26" t="s">
        <v>67</v>
      </c>
      <c r="C46" s="627" t="s">
        <v>68</v>
      </c>
      <c r="D46" s="628"/>
      <c r="E46" s="26">
        <v>21.13</v>
      </c>
      <c r="F46" s="174">
        <v>3000</v>
      </c>
      <c r="G46" s="164">
        <f t="shared" ref="G46:G56" si="62">E46*F46</f>
        <v>63390</v>
      </c>
      <c r="H46" s="21">
        <v>2</v>
      </c>
      <c r="I46" s="171">
        <v>10</v>
      </c>
      <c r="J46" s="23">
        <v>3000</v>
      </c>
      <c r="K46" s="9">
        <f t="shared" si="57"/>
        <v>300</v>
      </c>
      <c r="L46" s="171">
        <v>10</v>
      </c>
      <c r="M46" s="10">
        <f t="shared" ref="M46:M47" si="63">F46/V46*60</f>
        <v>2857.1428571428578</v>
      </c>
      <c r="N46" s="10">
        <f t="shared" ref="N46:N57" si="64">M46/L46</f>
        <v>285.71428571428578</v>
      </c>
      <c r="O46" s="11">
        <f t="shared" ref="O46:O57" si="65">L46-I46</f>
        <v>0</v>
      </c>
      <c r="P46" s="12">
        <f t="shared" si="54"/>
        <v>-14.285714285714221</v>
      </c>
      <c r="Q46" s="163">
        <f t="shared" si="55"/>
        <v>0.95238095238095255</v>
      </c>
      <c r="R46" s="582">
        <f>Q57</f>
        <v>0.96021699048654885</v>
      </c>
      <c r="S46" s="24">
        <v>8.3333333333333329E-2</v>
      </c>
      <c r="T46" s="24">
        <v>0.12708333333333333</v>
      </c>
      <c r="U46" s="15"/>
      <c r="V46" s="172">
        <f t="shared" ref="V46:V56" si="66">(T46-S46)*24*60</f>
        <v>62.999999999999986</v>
      </c>
      <c r="W46" s="13">
        <f>T46</f>
        <v>0.12708333333333333</v>
      </c>
      <c r="X46" s="13">
        <f>S47</f>
        <v>0.14722222222222223</v>
      </c>
      <c r="Y46" s="621"/>
      <c r="Z46" s="622"/>
      <c r="AA46" s="11">
        <f t="shared" si="2"/>
        <v>-142.85714285714221</v>
      </c>
      <c r="AB46" s="163">
        <f t="shared" si="60"/>
        <v>0.95238095238095255</v>
      </c>
      <c r="AC46" s="582">
        <f>AB57</f>
        <v>0.96021699048654896</v>
      </c>
    </row>
    <row r="47" spans="1:29" ht="15.75" customHeight="1">
      <c r="A47" s="631" t="s">
        <v>186</v>
      </c>
      <c r="B47" s="26" t="s">
        <v>67</v>
      </c>
      <c r="C47" s="627" t="s">
        <v>69</v>
      </c>
      <c r="D47" s="628"/>
      <c r="E47" s="26">
        <v>27.17</v>
      </c>
      <c r="F47" s="174">
        <v>2800</v>
      </c>
      <c r="G47" s="164">
        <f t="shared" si="62"/>
        <v>76076</v>
      </c>
      <c r="H47" s="21">
        <v>2</v>
      </c>
      <c r="I47" s="171">
        <v>10</v>
      </c>
      <c r="J47" s="23">
        <v>3000</v>
      </c>
      <c r="K47" s="9">
        <f t="shared" si="57"/>
        <v>300</v>
      </c>
      <c r="L47" s="171">
        <v>10</v>
      </c>
      <c r="M47" s="10">
        <f t="shared" si="63"/>
        <v>2896.5517241379312</v>
      </c>
      <c r="N47" s="10">
        <f t="shared" si="64"/>
        <v>289.65517241379314</v>
      </c>
      <c r="O47" s="11">
        <f t="shared" si="65"/>
        <v>0</v>
      </c>
      <c r="P47" s="12">
        <f t="shared" si="54"/>
        <v>-10.344827586206861</v>
      </c>
      <c r="Q47" s="163">
        <f t="shared" si="55"/>
        <v>0.9655172413793105</v>
      </c>
      <c r="R47" s="583"/>
      <c r="S47" s="24">
        <v>0.14722222222222223</v>
      </c>
      <c r="T47" s="24">
        <v>0.1875</v>
      </c>
      <c r="U47" s="164">
        <f>(S47-T46)*24*60</f>
        <v>29.000000000000018</v>
      </c>
      <c r="V47" s="172">
        <f t="shared" si="66"/>
        <v>57.999999999999993</v>
      </c>
      <c r="W47" s="13"/>
      <c r="X47" s="13"/>
      <c r="Y47" s="621"/>
      <c r="Z47" s="622"/>
      <c r="AA47" s="11">
        <f t="shared" si="2"/>
        <v>-103.44827586206884</v>
      </c>
      <c r="AB47" s="163">
        <f t="shared" si="60"/>
        <v>0.96551724137931039</v>
      </c>
      <c r="AC47" s="583"/>
    </row>
    <row r="48" spans="1:29" ht="15.75" customHeight="1">
      <c r="A48" s="631" t="s">
        <v>660</v>
      </c>
      <c r="B48" s="26" t="s">
        <v>67</v>
      </c>
      <c r="C48" s="627" t="s">
        <v>70</v>
      </c>
      <c r="D48" s="628"/>
      <c r="E48" s="26">
        <v>35.119999999999997</v>
      </c>
      <c r="F48" s="174">
        <v>4997</v>
      </c>
      <c r="G48" s="164">
        <f t="shared" si="62"/>
        <v>175494.63999999998</v>
      </c>
      <c r="H48" s="21" t="s">
        <v>35</v>
      </c>
      <c r="I48" s="171">
        <v>10</v>
      </c>
      <c r="J48" s="23">
        <v>3000</v>
      </c>
      <c r="K48" s="9">
        <f t="shared" si="57"/>
        <v>300</v>
      </c>
      <c r="L48" s="171">
        <v>10</v>
      </c>
      <c r="M48" s="10">
        <f>F48/V48*60</f>
        <v>2855.4285714285716</v>
      </c>
      <c r="N48" s="10">
        <f t="shared" si="64"/>
        <v>285.54285714285714</v>
      </c>
      <c r="O48" s="11">
        <f t="shared" si="65"/>
        <v>0</v>
      </c>
      <c r="P48" s="12">
        <f t="shared" si="54"/>
        <v>-14.457142857142856</v>
      </c>
      <c r="Q48" s="163">
        <f t="shared" si="55"/>
        <v>0.95180952380952377</v>
      </c>
      <c r="R48" s="583"/>
      <c r="S48" s="24">
        <v>0.19236111111111112</v>
      </c>
      <c r="T48" s="24">
        <v>0.26527777777777778</v>
      </c>
      <c r="U48" s="164">
        <f t="shared" ref="U48:U56" si="67">(S48-T47)*24*60</f>
        <v>7.0000000000000151</v>
      </c>
      <c r="V48" s="172">
        <f t="shared" si="66"/>
        <v>104.99999999999999</v>
      </c>
      <c r="W48" s="13"/>
      <c r="X48" s="13"/>
      <c r="Y48" s="621"/>
      <c r="Z48" s="622"/>
      <c r="AA48" s="11">
        <f t="shared" si="2"/>
        <v>-144.57142857142844</v>
      </c>
      <c r="AB48" s="163">
        <f t="shared" si="60"/>
        <v>0.95180952380952388</v>
      </c>
      <c r="AC48" s="583"/>
    </row>
    <row r="49" spans="1:29" ht="15.75" customHeight="1">
      <c r="A49" s="631" t="s">
        <v>661</v>
      </c>
      <c r="B49" s="26" t="s">
        <v>67</v>
      </c>
      <c r="C49" s="627" t="s">
        <v>71</v>
      </c>
      <c r="D49" s="628"/>
      <c r="E49" s="26">
        <v>35.869999999999997</v>
      </c>
      <c r="F49" s="174">
        <v>3089</v>
      </c>
      <c r="G49" s="164">
        <f t="shared" si="62"/>
        <v>110802.43</v>
      </c>
      <c r="H49" s="21" t="s">
        <v>35</v>
      </c>
      <c r="I49" s="171">
        <v>10</v>
      </c>
      <c r="J49" s="23">
        <v>3000</v>
      </c>
      <c r="K49" s="9">
        <f t="shared" si="57"/>
        <v>300</v>
      </c>
      <c r="L49" s="171">
        <v>10</v>
      </c>
      <c r="M49" s="10">
        <f t="shared" ref="M49:M56" si="68">F49/V49*60</f>
        <v>2895.9374999999991</v>
      </c>
      <c r="N49" s="10">
        <f t="shared" si="64"/>
        <v>289.59374999999989</v>
      </c>
      <c r="O49" s="11">
        <f t="shared" si="65"/>
        <v>0</v>
      </c>
      <c r="P49" s="12">
        <f t="shared" si="54"/>
        <v>-10.406250000000114</v>
      </c>
      <c r="Q49" s="163">
        <f t="shared" si="55"/>
        <v>0.96531249999999957</v>
      </c>
      <c r="R49" s="583"/>
      <c r="S49" s="24">
        <v>0.27013888888888887</v>
      </c>
      <c r="T49" s="24">
        <v>0.31458333333333333</v>
      </c>
      <c r="U49" s="164">
        <f t="shared" si="67"/>
        <v>6.9999999999999751</v>
      </c>
      <c r="V49" s="172">
        <f t="shared" si="66"/>
        <v>64.000000000000014</v>
      </c>
      <c r="W49" s="13"/>
      <c r="X49" s="13"/>
      <c r="Y49" s="621"/>
      <c r="Z49" s="622"/>
      <c r="AA49" s="11">
        <f t="shared" si="2"/>
        <v>-104.06250000000091</v>
      </c>
      <c r="AB49" s="163">
        <f t="shared" si="60"/>
        <v>0.96531249999999968</v>
      </c>
      <c r="AC49" s="583"/>
    </row>
    <row r="50" spans="1:29" ht="15.75" customHeight="1">
      <c r="A50" s="631" t="s">
        <v>662</v>
      </c>
      <c r="B50" s="26" t="s">
        <v>67</v>
      </c>
      <c r="C50" s="627" t="s">
        <v>72</v>
      </c>
      <c r="D50" s="628"/>
      <c r="E50" s="26">
        <v>36.14</v>
      </c>
      <c r="F50" s="174">
        <v>1903</v>
      </c>
      <c r="G50" s="164">
        <f t="shared" si="62"/>
        <v>68774.42</v>
      </c>
      <c r="H50" s="21" t="s">
        <v>35</v>
      </c>
      <c r="I50" s="171">
        <v>8</v>
      </c>
      <c r="J50" s="23">
        <v>3000</v>
      </c>
      <c r="K50" s="9">
        <f t="shared" si="57"/>
        <v>375</v>
      </c>
      <c r="L50" s="171">
        <v>8</v>
      </c>
      <c r="M50" s="10">
        <f t="shared" si="68"/>
        <v>2927.6923076923058</v>
      </c>
      <c r="N50" s="10">
        <f t="shared" si="64"/>
        <v>365.96153846153823</v>
      </c>
      <c r="O50" s="11">
        <f t="shared" si="65"/>
        <v>0</v>
      </c>
      <c r="P50" s="12">
        <f t="shared" si="54"/>
        <v>-9.0384615384617746</v>
      </c>
      <c r="Q50" s="163">
        <f>N50/K50</f>
        <v>0.97589743589743527</v>
      </c>
      <c r="R50" s="583"/>
      <c r="S50" s="24">
        <v>0.31944444444444442</v>
      </c>
      <c r="T50" s="24">
        <v>0.34652777777777777</v>
      </c>
      <c r="U50" s="164">
        <f t="shared" si="67"/>
        <v>6.9999999999999751</v>
      </c>
      <c r="V50" s="172">
        <f t="shared" si="66"/>
        <v>39.000000000000021</v>
      </c>
      <c r="W50" s="13"/>
      <c r="X50" s="13"/>
      <c r="Y50" s="621"/>
      <c r="Z50" s="622"/>
      <c r="AA50" s="11">
        <f t="shared" si="2"/>
        <v>-72.307692307694197</v>
      </c>
      <c r="AB50" s="163">
        <f t="shared" si="60"/>
        <v>0.97589743589743527</v>
      </c>
      <c r="AC50" s="583"/>
    </row>
    <row r="51" spans="1:29" ht="15.75" customHeight="1">
      <c r="A51" s="631" t="s">
        <v>663</v>
      </c>
      <c r="B51" s="26" t="s">
        <v>67</v>
      </c>
      <c r="C51" s="627" t="s">
        <v>664</v>
      </c>
      <c r="D51" s="628"/>
      <c r="E51" s="26">
        <v>32.83</v>
      </c>
      <c r="F51" s="174">
        <v>5400</v>
      </c>
      <c r="G51" s="164">
        <f t="shared" si="62"/>
        <v>177282</v>
      </c>
      <c r="H51" s="21">
        <v>2</v>
      </c>
      <c r="I51" s="171">
        <v>10</v>
      </c>
      <c r="J51" s="23">
        <v>3000</v>
      </c>
      <c r="K51" s="9">
        <f t="shared" si="57"/>
        <v>300</v>
      </c>
      <c r="L51" s="171">
        <v>10</v>
      </c>
      <c r="M51" s="10">
        <f t="shared" si="68"/>
        <v>2867.2566371681419</v>
      </c>
      <c r="N51" s="10">
        <f t="shared" si="64"/>
        <v>286.72566371681421</v>
      </c>
      <c r="O51" s="11">
        <f t="shared" si="65"/>
        <v>0</v>
      </c>
      <c r="P51" s="12">
        <f t="shared" si="54"/>
        <v>-13.274336283185789</v>
      </c>
      <c r="Q51" s="163">
        <f t="shared" ref="Q51:Q57" si="69">N51/K51</f>
        <v>0.95575221238938068</v>
      </c>
      <c r="R51" s="583"/>
      <c r="S51" s="24">
        <v>0.35</v>
      </c>
      <c r="T51" s="24">
        <v>0.4284722222222222</v>
      </c>
      <c r="U51" s="164">
        <f t="shared" si="67"/>
        <v>4.9999999999999822</v>
      </c>
      <c r="V51" s="172">
        <f t="shared" si="66"/>
        <v>113</v>
      </c>
      <c r="W51" s="13"/>
      <c r="X51" s="13"/>
      <c r="Y51" s="621"/>
      <c r="Z51" s="622"/>
      <c r="AA51" s="11">
        <f t="shared" si="2"/>
        <v>-132.74336283185812</v>
      </c>
      <c r="AB51" s="163">
        <f t="shared" si="60"/>
        <v>0.95575221238938057</v>
      </c>
      <c r="AC51" s="583"/>
    </row>
    <row r="52" spans="1:29" ht="15.75" customHeight="1">
      <c r="A52" s="631" t="s">
        <v>665</v>
      </c>
      <c r="B52" s="26" t="s">
        <v>67</v>
      </c>
      <c r="C52" s="627" t="s">
        <v>666</v>
      </c>
      <c r="D52" s="628"/>
      <c r="E52" s="26">
        <v>36.19</v>
      </c>
      <c r="F52" s="174">
        <v>5400</v>
      </c>
      <c r="G52" s="164">
        <f t="shared" si="62"/>
        <v>195426</v>
      </c>
      <c r="H52" s="21">
        <v>2</v>
      </c>
      <c r="I52" s="171">
        <v>11</v>
      </c>
      <c r="J52" s="23">
        <v>3000</v>
      </c>
      <c r="K52" s="9">
        <f t="shared" si="57"/>
        <v>272.72727272727275</v>
      </c>
      <c r="L52" s="171">
        <v>11</v>
      </c>
      <c r="M52" s="10">
        <f t="shared" si="68"/>
        <v>2867.2566371681419</v>
      </c>
      <c r="N52" s="10">
        <f t="shared" si="64"/>
        <v>260.65969428801287</v>
      </c>
      <c r="O52" s="11">
        <f t="shared" si="65"/>
        <v>0</v>
      </c>
      <c r="P52" s="12">
        <f t="shared" si="54"/>
        <v>-12.067578439259876</v>
      </c>
      <c r="Q52" s="163">
        <f t="shared" si="69"/>
        <v>0.95575221238938046</v>
      </c>
      <c r="R52" s="583"/>
      <c r="S52" s="24">
        <v>0.43333333333333329</v>
      </c>
      <c r="T52" s="24">
        <v>0.51180555555555551</v>
      </c>
      <c r="U52" s="164">
        <f t="shared" si="67"/>
        <v>6.9999999999999751</v>
      </c>
      <c r="V52" s="172">
        <f t="shared" si="66"/>
        <v>113</v>
      </c>
      <c r="W52" s="13">
        <f>T52</f>
        <v>0.51180555555555551</v>
      </c>
      <c r="X52" s="13">
        <f>S53</f>
        <v>0.55208333333333326</v>
      </c>
      <c r="Y52" s="621"/>
      <c r="Z52" s="622"/>
      <c r="AA52" s="11">
        <f t="shared" si="2"/>
        <v>-132.74336283185812</v>
      </c>
      <c r="AB52" s="163">
        <f t="shared" si="60"/>
        <v>0.95575221238938057</v>
      </c>
      <c r="AC52" s="583"/>
    </row>
    <row r="53" spans="1:29" ht="15.75" customHeight="1">
      <c r="A53" s="631" t="s">
        <v>186</v>
      </c>
      <c r="B53" s="26" t="s">
        <v>67</v>
      </c>
      <c r="C53" s="627" t="s">
        <v>69</v>
      </c>
      <c r="D53" s="628"/>
      <c r="E53" s="26">
        <v>27.17</v>
      </c>
      <c r="F53" s="174">
        <v>4036</v>
      </c>
      <c r="G53" s="164">
        <f t="shared" si="62"/>
        <v>109658.12000000001</v>
      </c>
      <c r="H53" s="21" t="s">
        <v>35</v>
      </c>
      <c r="I53" s="171">
        <v>10</v>
      </c>
      <c r="J53" s="23">
        <v>3000</v>
      </c>
      <c r="K53" s="9">
        <f t="shared" si="57"/>
        <v>300</v>
      </c>
      <c r="L53" s="171">
        <v>10</v>
      </c>
      <c r="M53" s="10">
        <f t="shared" si="68"/>
        <v>2882.8571428571418</v>
      </c>
      <c r="N53" s="10">
        <f t="shared" si="64"/>
        <v>288.28571428571416</v>
      </c>
      <c r="O53" s="11">
        <f t="shared" si="65"/>
        <v>0</v>
      </c>
      <c r="P53" s="12">
        <f t="shared" si="54"/>
        <v>-11.714285714285836</v>
      </c>
      <c r="Q53" s="163">
        <f t="shared" si="69"/>
        <v>0.96095238095238056</v>
      </c>
      <c r="R53" s="583"/>
      <c r="S53" s="24">
        <v>0.55208333333333326</v>
      </c>
      <c r="T53" s="24">
        <v>0.61041666666666661</v>
      </c>
      <c r="U53" s="164">
        <f t="shared" si="67"/>
        <v>57.999999999999957</v>
      </c>
      <c r="V53" s="172">
        <f t="shared" si="66"/>
        <v>84.000000000000028</v>
      </c>
      <c r="W53" s="13"/>
      <c r="X53" s="13"/>
      <c r="Y53" s="621"/>
      <c r="Z53" s="622"/>
      <c r="AA53" s="11">
        <f t="shared" si="2"/>
        <v>-117.14285714285825</v>
      </c>
      <c r="AB53" s="163">
        <f t="shared" si="60"/>
        <v>0.96095238095238056</v>
      </c>
      <c r="AC53" s="583"/>
    </row>
    <row r="54" spans="1:29" ht="15.75" customHeight="1">
      <c r="A54" s="631" t="s">
        <v>186</v>
      </c>
      <c r="B54" s="26" t="s">
        <v>67</v>
      </c>
      <c r="C54" s="627" t="s">
        <v>664</v>
      </c>
      <c r="D54" s="628"/>
      <c r="E54" s="26">
        <v>32.83</v>
      </c>
      <c r="F54" s="174">
        <v>3637</v>
      </c>
      <c r="G54" s="164">
        <f t="shared" si="62"/>
        <v>119402.70999999999</v>
      </c>
      <c r="H54" s="21" t="s">
        <v>35</v>
      </c>
      <c r="I54" s="171">
        <v>10</v>
      </c>
      <c r="J54" s="23">
        <v>3000</v>
      </c>
      <c r="K54" s="9">
        <f t="shared" si="57"/>
        <v>300</v>
      </c>
      <c r="L54" s="171">
        <v>10</v>
      </c>
      <c r="M54" s="10">
        <f t="shared" si="68"/>
        <v>2871.3157894736823</v>
      </c>
      <c r="N54" s="10">
        <f t="shared" si="64"/>
        <v>287.13157894736821</v>
      </c>
      <c r="O54" s="11">
        <f t="shared" si="65"/>
        <v>0</v>
      </c>
      <c r="P54" s="12">
        <f t="shared" si="54"/>
        <v>-12.868421052631788</v>
      </c>
      <c r="Q54" s="163">
        <f t="shared" si="69"/>
        <v>0.95710526315789402</v>
      </c>
      <c r="R54" s="583"/>
      <c r="S54" s="24">
        <v>0.6152777777777777</v>
      </c>
      <c r="T54" s="24">
        <v>0.66805555555555551</v>
      </c>
      <c r="U54" s="164">
        <f t="shared" si="67"/>
        <v>6.9999999999999751</v>
      </c>
      <c r="V54" s="172">
        <f t="shared" si="66"/>
        <v>76.000000000000057</v>
      </c>
      <c r="W54" s="13"/>
      <c r="X54" s="13"/>
      <c r="Y54" s="621"/>
      <c r="Z54" s="622"/>
      <c r="AA54" s="11">
        <f t="shared" si="2"/>
        <v>-128.68421052631766</v>
      </c>
      <c r="AB54" s="163">
        <f t="shared" si="60"/>
        <v>0.95710526315789413</v>
      </c>
      <c r="AC54" s="583"/>
    </row>
    <row r="55" spans="1:29" ht="15.75" customHeight="1">
      <c r="A55" s="631" t="s">
        <v>186</v>
      </c>
      <c r="B55" s="26" t="s">
        <v>67</v>
      </c>
      <c r="C55" s="627" t="s">
        <v>666</v>
      </c>
      <c r="D55" s="628"/>
      <c r="E55" s="26">
        <v>36.19</v>
      </c>
      <c r="F55" s="174">
        <v>3789</v>
      </c>
      <c r="G55" s="164">
        <f t="shared" si="62"/>
        <v>137123.91</v>
      </c>
      <c r="H55" s="21" t="s">
        <v>35</v>
      </c>
      <c r="I55" s="171">
        <v>11</v>
      </c>
      <c r="J55" s="23">
        <v>3000</v>
      </c>
      <c r="K55" s="9">
        <f t="shared" si="57"/>
        <v>272.72727272727275</v>
      </c>
      <c r="L55" s="171">
        <v>11</v>
      </c>
      <c r="M55" s="10">
        <f t="shared" si="68"/>
        <v>2877.7215189873405</v>
      </c>
      <c r="N55" s="10">
        <f t="shared" si="64"/>
        <v>261.6110471806673</v>
      </c>
      <c r="O55" s="11">
        <f t="shared" si="65"/>
        <v>0</v>
      </c>
      <c r="P55" s="12">
        <f t="shared" si="54"/>
        <v>-11.116225546605449</v>
      </c>
      <c r="Q55" s="163">
        <f t="shared" si="69"/>
        <v>0.9592405063291134</v>
      </c>
      <c r="R55" s="583"/>
      <c r="S55" s="24">
        <v>0.67152777777777772</v>
      </c>
      <c r="T55" s="24">
        <v>0.72638888888888886</v>
      </c>
      <c r="U55" s="164">
        <f t="shared" si="67"/>
        <v>4.9999999999999822</v>
      </c>
      <c r="V55" s="172">
        <f t="shared" si="66"/>
        <v>79.000000000000043</v>
      </c>
      <c r="W55" s="13"/>
      <c r="X55" s="13"/>
      <c r="Y55" s="621"/>
      <c r="Z55" s="622"/>
      <c r="AA55" s="11">
        <f t="shared" si="2"/>
        <v>-122.27848101265954</v>
      </c>
      <c r="AB55" s="163">
        <f t="shared" si="60"/>
        <v>0.95924050632911351</v>
      </c>
      <c r="AC55" s="583"/>
    </row>
    <row r="56" spans="1:29" ht="15.75" customHeight="1">
      <c r="A56" s="631" t="s">
        <v>660</v>
      </c>
      <c r="B56" s="26" t="s">
        <v>67</v>
      </c>
      <c r="C56" s="627" t="s">
        <v>68</v>
      </c>
      <c r="D56" s="628"/>
      <c r="E56" s="26">
        <v>21.13</v>
      </c>
      <c r="F56" s="174">
        <v>2166</v>
      </c>
      <c r="G56" s="164">
        <f t="shared" si="62"/>
        <v>45767.579999999994</v>
      </c>
      <c r="H56" s="21" t="s">
        <v>35</v>
      </c>
      <c r="I56" s="171">
        <v>10</v>
      </c>
      <c r="J56" s="23">
        <v>3000</v>
      </c>
      <c r="K56" s="9">
        <f t="shared" si="57"/>
        <v>300</v>
      </c>
      <c r="L56" s="171">
        <v>10</v>
      </c>
      <c r="M56" s="10">
        <f t="shared" si="68"/>
        <v>2888</v>
      </c>
      <c r="N56" s="10">
        <f t="shared" si="64"/>
        <v>288.8</v>
      </c>
      <c r="O56" s="11">
        <f t="shared" si="65"/>
        <v>0</v>
      </c>
      <c r="P56" s="12">
        <f t="shared" si="54"/>
        <v>-11.199999999999989</v>
      </c>
      <c r="Q56" s="163">
        <f t="shared" si="69"/>
        <v>0.96266666666666667</v>
      </c>
      <c r="R56" s="583"/>
      <c r="S56" s="24">
        <v>0.73055555555555551</v>
      </c>
      <c r="T56" s="24">
        <v>0.76180555555555551</v>
      </c>
      <c r="U56" s="164">
        <f t="shared" si="67"/>
        <v>5.9999999999999787</v>
      </c>
      <c r="V56" s="172">
        <f t="shared" si="66"/>
        <v>45</v>
      </c>
      <c r="W56" s="13"/>
      <c r="X56" s="13"/>
      <c r="Y56" s="621"/>
      <c r="Z56" s="622"/>
      <c r="AA56" s="11">
        <f t="shared" si="2"/>
        <v>-112</v>
      </c>
      <c r="AB56" s="163">
        <f t="shared" si="60"/>
        <v>0.96266666666666667</v>
      </c>
      <c r="AC56" s="583"/>
    </row>
    <row r="57" spans="1:29" ht="15.75" customHeight="1">
      <c r="A57" s="632" t="s">
        <v>186</v>
      </c>
      <c r="B57" s="26" t="s">
        <v>168</v>
      </c>
      <c r="C57" s="625"/>
      <c r="D57" s="626"/>
      <c r="E57" s="170"/>
      <c r="F57" s="174"/>
      <c r="G57" s="164"/>
      <c r="H57" s="174"/>
      <c r="I57" s="16">
        <v>10</v>
      </c>
      <c r="J57" s="23">
        <v>3000</v>
      </c>
      <c r="K57" s="9">
        <f>J57/I57</f>
        <v>300</v>
      </c>
      <c r="L57" s="16">
        <v>10</v>
      </c>
      <c r="M57" s="10">
        <f>AVERAGE(M46:M56)</f>
        <v>2880.6509714596468</v>
      </c>
      <c r="N57" s="9">
        <f t="shared" si="64"/>
        <v>288.06509714596467</v>
      </c>
      <c r="O57" s="11">
        <f t="shared" si="65"/>
        <v>0</v>
      </c>
      <c r="P57" s="12">
        <f t="shared" si="54"/>
        <v>-11.934902854035329</v>
      </c>
      <c r="Q57" s="163">
        <f t="shared" si="69"/>
        <v>0.96021699048654885</v>
      </c>
      <c r="R57" s="584"/>
      <c r="S57" s="24"/>
      <c r="T57" s="24"/>
      <c r="U57" s="164"/>
      <c r="V57" s="172"/>
      <c r="W57" s="13"/>
      <c r="X57" s="13"/>
      <c r="Y57" s="621"/>
      <c r="Z57" s="622"/>
      <c r="AA57" s="11">
        <f t="shared" si="2"/>
        <v>-119.34902854035317</v>
      </c>
      <c r="AB57" s="163">
        <f t="shared" si="60"/>
        <v>0.96021699048654896</v>
      </c>
      <c r="AC57" s="584"/>
    </row>
    <row r="58" spans="1:29" ht="15.75" customHeight="1">
      <c r="A58" s="633" t="s">
        <v>667</v>
      </c>
      <c r="B58" s="26" t="s">
        <v>40</v>
      </c>
      <c r="C58" s="616" t="s">
        <v>73</v>
      </c>
      <c r="D58" s="616"/>
      <c r="E58" s="26">
        <v>46</v>
      </c>
      <c r="F58" s="28">
        <v>3116</v>
      </c>
      <c r="G58" s="164">
        <f t="shared" ref="G58:G63" si="70">E58*F58</f>
        <v>143336</v>
      </c>
      <c r="H58" s="21" t="s">
        <v>35</v>
      </c>
      <c r="I58" s="171">
        <v>17</v>
      </c>
      <c r="J58" s="23">
        <v>2000</v>
      </c>
      <c r="K58" s="9">
        <f t="shared" ref="K58:K63" si="71">J58/I58</f>
        <v>117.64705882352941</v>
      </c>
      <c r="L58" s="171">
        <v>17</v>
      </c>
      <c r="M58" s="10">
        <f t="shared" ref="M58:M63" si="72">F58/V58*60</f>
        <v>1907.7551020408171</v>
      </c>
      <c r="N58" s="10">
        <f>M58/L58</f>
        <v>112.22088835534218</v>
      </c>
      <c r="O58" s="11">
        <f>L58-I58</f>
        <v>0</v>
      </c>
      <c r="P58" s="12">
        <f>N58-K58</f>
        <v>-5.4261704681872232</v>
      </c>
      <c r="Q58" s="163">
        <f>N58/K58</f>
        <v>0.95387755102040861</v>
      </c>
      <c r="R58" s="571">
        <f>Q64</f>
        <v>0.95727800745329272</v>
      </c>
      <c r="S58" s="24">
        <v>0.29166666666666669</v>
      </c>
      <c r="T58" s="24">
        <v>0.35972222222222222</v>
      </c>
      <c r="U58" s="15"/>
      <c r="V58" s="172">
        <f t="shared" ref="V58:V63" si="73">(T58-S58)*24*60</f>
        <v>97.999999999999972</v>
      </c>
      <c r="W58" s="15"/>
      <c r="X58" s="15"/>
      <c r="Y58" s="617"/>
      <c r="Z58" s="617"/>
      <c r="AA58" s="11">
        <f t="shared" si="2"/>
        <v>-92.244897959182936</v>
      </c>
      <c r="AB58" s="163">
        <f t="shared" si="60"/>
        <v>0.9538775510204085</v>
      </c>
      <c r="AC58" s="571">
        <f>AB64</f>
        <v>0.95727800745329261</v>
      </c>
    </row>
    <row r="59" spans="1:29" ht="15.75" customHeight="1">
      <c r="A59" s="633" t="s">
        <v>188</v>
      </c>
      <c r="B59" s="26" t="s">
        <v>36</v>
      </c>
      <c r="C59" s="616" t="s">
        <v>75</v>
      </c>
      <c r="D59" s="616"/>
      <c r="E59" s="26">
        <v>54.09</v>
      </c>
      <c r="F59" s="28">
        <v>1212</v>
      </c>
      <c r="G59" s="164">
        <f t="shared" si="70"/>
        <v>65557.08</v>
      </c>
      <c r="H59" s="21" t="s">
        <v>35</v>
      </c>
      <c r="I59" s="171">
        <v>16</v>
      </c>
      <c r="J59" s="23">
        <v>2000</v>
      </c>
      <c r="K59" s="9">
        <f t="shared" si="71"/>
        <v>125</v>
      </c>
      <c r="L59" s="171">
        <v>16</v>
      </c>
      <c r="M59" s="10">
        <f t="shared" si="72"/>
        <v>1913.6842105263142</v>
      </c>
      <c r="N59" s="10">
        <f t="shared" ref="N59:N63" si="74">M59/L59</f>
        <v>119.60526315789464</v>
      </c>
      <c r="O59" s="11">
        <f t="shared" ref="O59:O63" si="75">L59-I59</f>
        <v>0</v>
      </c>
      <c r="P59" s="12">
        <f t="shared" ref="P59:P63" si="76">N59-K59</f>
        <v>-5.3947368421053596</v>
      </c>
      <c r="Q59" s="163">
        <f t="shared" ref="Q59:Q63" si="77">N59/K59</f>
        <v>0.95684210526315716</v>
      </c>
      <c r="R59" s="571"/>
      <c r="S59" s="24">
        <v>0.36319444444444443</v>
      </c>
      <c r="T59" s="24">
        <v>0.38958333333333334</v>
      </c>
      <c r="U59" s="164">
        <f>IF(S59=TIME(17,0,0),"",(S59-T58)*24*60)</f>
        <v>4.9999999999999822</v>
      </c>
      <c r="V59" s="172">
        <f t="shared" si="73"/>
        <v>38.000000000000028</v>
      </c>
      <c r="W59" s="13"/>
      <c r="X59" s="13"/>
      <c r="Y59" s="617"/>
      <c r="Z59" s="617"/>
      <c r="AA59" s="11">
        <f t="shared" si="2"/>
        <v>-86.315789473685754</v>
      </c>
      <c r="AB59" s="163">
        <f t="shared" si="60"/>
        <v>0.95684210526315716</v>
      </c>
      <c r="AC59" s="571"/>
    </row>
    <row r="60" spans="1:29" ht="15.75" customHeight="1">
      <c r="A60" s="633" t="s">
        <v>188</v>
      </c>
      <c r="B60" s="26" t="s">
        <v>40</v>
      </c>
      <c r="C60" s="627" t="s">
        <v>74</v>
      </c>
      <c r="D60" s="628"/>
      <c r="E60" s="26">
        <v>46</v>
      </c>
      <c r="F60" s="28">
        <v>3227</v>
      </c>
      <c r="G60" s="164">
        <f t="shared" si="70"/>
        <v>148442</v>
      </c>
      <c r="H60" s="21" t="s">
        <v>35</v>
      </c>
      <c r="I60" s="171">
        <v>17</v>
      </c>
      <c r="J60" s="23">
        <v>2000</v>
      </c>
      <c r="K60" s="9">
        <f t="shared" si="71"/>
        <v>117.64705882352941</v>
      </c>
      <c r="L60" s="171">
        <v>17</v>
      </c>
      <c r="M60" s="10">
        <f t="shared" si="72"/>
        <v>1917.0297029702963</v>
      </c>
      <c r="N60" s="10">
        <f t="shared" si="74"/>
        <v>112.76645311589978</v>
      </c>
      <c r="O60" s="11">
        <f t="shared" si="75"/>
        <v>0</v>
      </c>
      <c r="P60" s="12">
        <f t="shared" si="76"/>
        <v>-4.880605707629627</v>
      </c>
      <c r="Q60" s="163">
        <f t="shared" si="77"/>
        <v>0.95851485148514814</v>
      </c>
      <c r="R60" s="571"/>
      <c r="S60" s="24">
        <v>0.39444444444444443</v>
      </c>
      <c r="T60" s="24">
        <v>0.46458333333333335</v>
      </c>
      <c r="U60" s="164">
        <f t="shared" ref="U60:U63" si="78">IF(S60=TIME(17,0,0),"",(S60-T59)*24*60)</f>
        <v>6.9999999999999751</v>
      </c>
      <c r="V60" s="172">
        <f t="shared" si="73"/>
        <v>101.00000000000004</v>
      </c>
      <c r="W60" s="13"/>
      <c r="X60" s="13"/>
      <c r="Y60" s="168"/>
      <c r="Z60" s="169"/>
      <c r="AA60" s="11">
        <f t="shared" si="2"/>
        <v>-82.970297029703715</v>
      </c>
      <c r="AB60" s="163">
        <f t="shared" si="60"/>
        <v>0.95851485148514814</v>
      </c>
      <c r="AC60" s="571"/>
    </row>
    <row r="61" spans="1:29" ht="15.75" customHeight="1">
      <c r="A61" s="633" t="s">
        <v>188</v>
      </c>
      <c r="B61" s="26" t="s">
        <v>36</v>
      </c>
      <c r="C61" s="166" t="s">
        <v>76</v>
      </c>
      <c r="D61" s="167"/>
      <c r="E61" s="26">
        <v>55.56</v>
      </c>
      <c r="F61" s="28">
        <v>2302</v>
      </c>
      <c r="G61" s="164">
        <f t="shared" si="70"/>
        <v>127899.12000000001</v>
      </c>
      <c r="H61" s="21" t="s">
        <v>35</v>
      </c>
      <c r="I61" s="171">
        <v>17</v>
      </c>
      <c r="J61" s="23">
        <v>2000</v>
      </c>
      <c r="K61" s="9">
        <f t="shared" si="71"/>
        <v>117.64705882352941</v>
      </c>
      <c r="L61" s="171">
        <v>17</v>
      </c>
      <c r="M61" s="10">
        <f t="shared" si="72"/>
        <v>1918.3333333333319</v>
      </c>
      <c r="N61" s="10">
        <f t="shared" si="74"/>
        <v>112.84313725490188</v>
      </c>
      <c r="O61" s="11">
        <f t="shared" si="75"/>
        <v>0</v>
      </c>
      <c r="P61" s="12">
        <f t="shared" si="76"/>
        <v>-4.8039215686275298</v>
      </c>
      <c r="Q61" s="163">
        <f t="shared" si="77"/>
        <v>0.95916666666666595</v>
      </c>
      <c r="R61" s="571"/>
      <c r="S61" s="24">
        <v>0.70833333333333337</v>
      </c>
      <c r="T61" s="24">
        <v>0.75833333333333341</v>
      </c>
      <c r="U61" s="164" t="str">
        <f t="shared" si="78"/>
        <v/>
      </c>
      <c r="V61" s="172">
        <f t="shared" si="73"/>
        <v>72.000000000000057</v>
      </c>
      <c r="W61" s="13"/>
      <c r="X61" s="13"/>
      <c r="Y61" s="168"/>
      <c r="Z61" s="169"/>
      <c r="AA61" s="11">
        <f t="shared" si="2"/>
        <v>-81.666666666668107</v>
      </c>
      <c r="AB61" s="163">
        <f t="shared" si="60"/>
        <v>0.95916666666666595</v>
      </c>
      <c r="AC61" s="571"/>
    </row>
    <row r="62" spans="1:29" ht="15.75" customHeight="1">
      <c r="A62" s="633" t="s">
        <v>188</v>
      </c>
      <c r="B62" s="26" t="s">
        <v>36</v>
      </c>
      <c r="C62" s="166" t="s">
        <v>77</v>
      </c>
      <c r="D62" s="167"/>
      <c r="E62" s="26">
        <v>55.32</v>
      </c>
      <c r="F62" s="28">
        <v>1822</v>
      </c>
      <c r="G62" s="164">
        <f t="shared" si="70"/>
        <v>100793.04</v>
      </c>
      <c r="H62" s="21" t="s">
        <v>35</v>
      </c>
      <c r="I62" s="171">
        <v>15</v>
      </c>
      <c r="J62" s="23">
        <v>2000</v>
      </c>
      <c r="K62" s="9">
        <f t="shared" si="71"/>
        <v>133.33333333333334</v>
      </c>
      <c r="L62" s="171">
        <v>15</v>
      </c>
      <c r="M62" s="10">
        <f t="shared" si="72"/>
        <v>1917.8947368421068</v>
      </c>
      <c r="N62" s="10">
        <f t="shared" si="74"/>
        <v>127.85964912280711</v>
      </c>
      <c r="O62" s="11">
        <f t="shared" si="75"/>
        <v>0</v>
      </c>
      <c r="P62" s="12">
        <f t="shared" si="76"/>
        <v>-5.4736842105262298</v>
      </c>
      <c r="Q62" s="163">
        <f t="shared" si="77"/>
        <v>0.95894736842105333</v>
      </c>
      <c r="R62" s="571"/>
      <c r="S62" s="24">
        <v>0.76180555555555562</v>
      </c>
      <c r="T62" s="24">
        <v>0.80138888888888893</v>
      </c>
      <c r="U62" s="164">
        <f t="shared" si="78"/>
        <v>4.9999999999999822</v>
      </c>
      <c r="V62" s="172">
        <f t="shared" si="73"/>
        <v>56.999999999999957</v>
      </c>
      <c r="W62" s="13"/>
      <c r="X62" s="13"/>
      <c r="Y62" s="168"/>
      <c r="Z62" s="169"/>
      <c r="AA62" s="11">
        <f t="shared" si="2"/>
        <v>-82.105263157893205</v>
      </c>
      <c r="AB62" s="163">
        <f t="shared" si="60"/>
        <v>0.95894736842105344</v>
      </c>
      <c r="AC62" s="571"/>
    </row>
    <row r="63" spans="1:29" ht="15.75" customHeight="1">
      <c r="A63" s="633" t="s">
        <v>668</v>
      </c>
      <c r="B63" s="26" t="s">
        <v>36</v>
      </c>
      <c r="C63" s="627" t="s">
        <v>78</v>
      </c>
      <c r="D63" s="628"/>
      <c r="E63" s="26">
        <v>57.73</v>
      </c>
      <c r="F63" s="28">
        <v>1195</v>
      </c>
      <c r="G63" s="164">
        <f t="shared" si="70"/>
        <v>68987.349999999991</v>
      </c>
      <c r="H63" s="21" t="s">
        <v>35</v>
      </c>
      <c r="I63" s="171">
        <v>16</v>
      </c>
      <c r="J63" s="23">
        <v>1500</v>
      </c>
      <c r="K63" s="9">
        <f t="shared" si="71"/>
        <v>93.75</v>
      </c>
      <c r="L63" s="171">
        <v>16</v>
      </c>
      <c r="M63" s="10">
        <f t="shared" si="72"/>
        <v>1434.0000000000005</v>
      </c>
      <c r="N63" s="10">
        <f t="shared" si="74"/>
        <v>89.625000000000028</v>
      </c>
      <c r="O63" s="11">
        <f t="shared" si="75"/>
        <v>0</v>
      </c>
      <c r="P63" s="12">
        <f t="shared" si="76"/>
        <v>-4.1249999999999716</v>
      </c>
      <c r="Q63" s="163">
        <f t="shared" si="77"/>
        <v>0.95600000000000029</v>
      </c>
      <c r="R63" s="571"/>
      <c r="S63" s="24">
        <v>0.80625000000000002</v>
      </c>
      <c r="T63" s="24">
        <v>0.84097222222222223</v>
      </c>
      <c r="U63" s="164">
        <f t="shared" si="78"/>
        <v>6.9999999999999751</v>
      </c>
      <c r="V63" s="172">
        <f t="shared" si="73"/>
        <v>49.999999999999986</v>
      </c>
      <c r="W63" s="13"/>
      <c r="X63" s="13"/>
      <c r="Y63" s="621"/>
      <c r="Z63" s="622"/>
      <c r="AA63" s="11">
        <f t="shared" si="2"/>
        <v>-65.999999999999545</v>
      </c>
      <c r="AB63" s="163">
        <f t="shared" si="60"/>
        <v>0.95600000000000029</v>
      </c>
      <c r="AC63" s="571"/>
    </row>
    <row r="64" spans="1:29">
      <c r="A64" s="634" t="s">
        <v>188</v>
      </c>
      <c r="B64" s="26" t="s">
        <v>669</v>
      </c>
      <c r="C64" s="629"/>
      <c r="D64" s="629"/>
      <c r="E64" s="165"/>
      <c r="F64" s="27"/>
      <c r="G64" s="9"/>
      <c r="H64" s="174"/>
      <c r="I64" s="16">
        <v>16.333333333333332</v>
      </c>
      <c r="J64" s="23">
        <v>1916.6666666666667</v>
      </c>
      <c r="K64" s="9">
        <f>J64/I64</f>
        <v>117.34693877551021</v>
      </c>
      <c r="L64" s="16">
        <v>16.333333333333332</v>
      </c>
      <c r="M64" s="10">
        <f>AVERAGE(M58:M63)</f>
        <v>1834.7828476188108</v>
      </c>
      <c r="N64" s="9">
        <f>M64/L64</f>
        <v>112.33364373176394</v>
      </c>
      <c r="O64" s="11">
        <f>L64-I64</f>
        <v>0</v>
      </c>
      <c r="P64" s="12">
        <f>N64-K64</f>
        <v>-5.0132950437462682</v>
      </c>
      <c r="Q64" s="163">
        <f>N64/K64</f>
        <v>0.95727800745329272</v>
      </c>
      <c r="R64" s="571"/>
      <c r="S64" s="25"/>
      <c r="T64" s="24"/>
      <c r="U64" s="9"/>
      <c r="V64" s="172"/>
      <c r="W64" s="9"/>
      <c r="X64" s="9"/>
      <c r="Y64" s="617"/>
      <c r="Z64" s="617"/>
      <c r="AA64" s="11">
        <f t="shared" si="2"/>
        <v>-81.883819047855923</v>
      </c>
      <c r="AB64" s="163">
        <f t="shared" si="60"/>
        <v>0.95727800745329261</v>
      </c>
      <c r="AC64" s="571"/>
    </row>
    <row r="65" spans="1:29" ht="15.75" customHeight="1">
      <c r="A65" s="623" t="s">
        <v>190</v>
      </c>
      <c r="B65" s="174" t="s">
        <v>67</v>
      </c>
      <c r="C65" s="616" t="s">
        <v>79</v>
      </c>
      <c r="D65" s="616"/>
      <c r="E65" s="26">
        <v>26.78</v>
      </c>
      <c r="F65" s="28">
        <v>2734</v>
      </c>
      <c r="G65" s="164">
        <f t="shared" ref="G65:G66" si="79">E65*F65</f>
        <v>73216.52</v>
      </c>
      <c r="H65" s="21" t="s">
        <v>35</v>
      </c>
      <c r="I65" s="171">
        <v>10</v>
      </c>
      <c r="J65" s="23">
        <v>3000</v>
      </c>
      <c r="K65" s="9">
        <f t="shared" ref="K65:K66" si="80">J65/I65</f>
        <v>300</v>
      </c>
      <c r="L65" s="16">
        <v>10</v>
      </c>
      <c r="M65" s="10">
        <f t="shared" ref="M65:M66" si="81">F65/V65*60</f>
        <v>2877.894736842105</v>
      </c>
      <c r="N65" s="9">
        <f>M65/L65</f>
        <v>287.78947368421052</v>
      </c>
      <c r="O65" s="11">
        <f t="shared" ref="O65:O66" si="82">L65-I65</f>
        <v>0</v>
      </c>
      <c r="P65" s="12">
        <f t="shared" ref="P65:P66" si="83">N65-K65</f>
        <v>-12.21052631578948</v>
      </c>
      <c r="Q65" s="163">
        <f>N65/K65</f>
        <v>0.95929824561403509</v>
      </c>
      <c r="R65" s="571">
        <f>Q67</f>
        <v>0.96023735810113464</v>
      </c>
      <c r="S65" s="24">
        <v>0.20833333333333334</v>
      </c>
      <c r="T65" s="24">
        <v>0.24791666666666667</v>
      </c>
      <c r="U65" s="164"/>
      <c r="V65" s="172">
        <f t="shared" ref="V65:V66" si="84">(T65-S65)*24*60</f>
        <v>57</v>
      </c>
      <c r="W65" s="15"/>
      <c r="X65" s="15"/>
      <c r="Y65" s="617"/>
      <c r="Z65" s="617"/>
      <c r="AA65" s="11">
        <f t="shared" si="2"/>
        <v>-122.10526315789502</v>
      </c>
      <c r="AB65" s="163">
        <f t="shared" si="60"/>
        <v>0.95929824561403498</v>
      </c>
      <c r="AC65" s="571">
        <f>AB67</f>
        <v>0.96023735810113464</v>
      </c>
    </row>
    <row r="66" spans="1:29" ht="15.75" customHeight="1">
      <c r="A66" s="623" t="s">
        <v>670</v>
      </c>
      <c r="B66" s="174" t="s">
        <v>67</v>
      </c>
      <c r="C66" s="616" t="s">
        <v>83</v>
      </c>
      <c r="D66" s="616"/>
      <c r="E66" s="26">
        <v>35.369999999999997</v>
      </c>
      <c r="F66" s="28">
        <v>1634</v>
      </c>
      <c r="G66" s="164">
        <f t="shared" si="79"/>
        <v>57794.579999999994</v>
      </c>
      <c r="H66" s="21" t="s">
        <v>35</v>
      </c>
      <c r="I66" s="171">
        <v>10</v>
      </c>
      <c r="J66" s="23">
        <v>3000</v>
      </c>
      <c r="K66" s="9">
        <f t="shared" si="80"/>
        <v>300</v>
      </c>
      <c r="L66" s="16">
        <v>10</v>
      </c>
      <c r="M66" s="10">
        <f t="shared" si="81"/>
        <v>2883.5294117647022</v>
      </c>
      <c r="N66" s="9">
        <f t="shared" ref="N66" si="85">M66/L66</f>
        <v>288.35294117647021</v>
      </c>
      <c r="O66" s="11">
        <f t="shared" si="82"/>
        <v>0</v>
      </c>
      <c r="P66" s="12">
        <f t="shared" si="83"/>
        <v>-11.64705882352979</v>
      </c>
      <c r="Q66" s="163">
        <f t="shared" ref="Q66" si="86">N66/K66</f>
        <v>0.96117647058823408</v>
      </c>
      <c r="R66" s="571"/>
      <c r="S66" s="24">
        <v>0.25138888888888888</v>
      </c>
      <c r="T66" s="24">
        <v>0.27500000000000002</v>
      </c>
      <c r="U66" s="164">
        <f>(S66-T65)*24*60</f>
        <v>4.9999999999999822</v>
      </c>
      <c r="V66" s="172">
        <f t="shared" si="84"/>
        <v>34.000000000000043</v>
      </c>
      <c r="W66" s="164"/>
      <c r="X66" s="164"/>
      <c r="Y66" s="617"/>
      <c r="Z66" s="617"/>
      <c r="AA66" s="11">
        <f t="shared" si="2"/>
        <v>-116.47058823529778</v>
      </c>
      <c r="AB66" s="163">
        <f t="shared" si="60"/>
        <v>0.96117647058823408</v>
      </c>
      <c r="AC66" s="571"/>
    </row>
    <row r="67" spans="1:29">
      <c r="A67" s="624" t="s">
        <v>190</v>
      </c>
      <c r="B67" s="26" t="s">
        <v>671</v>
      </c>
      <c r="C67" s="629"/>
      <c r="D67" s="629"/>
      <c r="E67" s="165"/>
      <c r="F67" s="27"/>
      <c r="G67" s="9"/>
      <c r="H67" s="174"/>
      <c r="I67" s="16">
        <v>10</v>
      </c>
      <c r="J67" s="23">
        <v>3000</v>
      </c>
      <c r="K67" s="9">
        <f>J67/I67</f>
        <v>300</v>
      </c>
      <c r="L67" s="16">
        <v>10</v>
      </c>
      <c r="M67" s="10">
        <f>AVERAGE(M65:M66)</f>
        <v>2880.7120743034038</v>
      </c>
      <c r="N67" s="9">
        <f>M67/L67</f>
        <v>288.07120743034039</v>
      </c>
      <c r="O67" s="11">
        <f>L67-I67</f>
        <v>0</v>
      </c>
      <c r="P67" s="12">
        <f>N67-K67</f>
        <v>-11.928792569659606</v>
      </c>
      <c r="Q67" s="163">
        <f>N67/K67</f>
        <v>0.96023735810113464</v>
      </c>
      <c r="R67" s="571"/>
      <c r="S67" s="24"/>
      <c r="T67" s="24"/>
      <c r="U67" s="9"/>
      <c r="V67" s="172"/>
      <c r="W67" s="9"/>
      <c r="X67" s="9"/>
      <c r="Y67" s="617"/>
      <c r="Z67" s="617"/>
      <c r="AA67" s="11">
        <f t="shared" si="2"/>
        <v>-119.28792569659618</v>
      </c>
      <c r="AB67" s="163">
        <f t="shared" si="60"/>
        <v>0.96023735810113464</v>
      </c>
      <c r="AC67" s="571"/>
    </row>
    <row r="68" spans="1:29" ht="15.75" customHeight="1">
      <c r="A68" s="643" t="s">
        <v>672</v>
      </c>
      <c r="B68" s="174" t="s">
        <v>46</v>
      </c>
      <c r="C68" s="616" t="s">
        <v>84</v>
      </c>
      <c r="D68" s="616"/>
      <c r="E68" s="26">
        <v>20.2</v>
      </c>
      <c r="F68" s="174">
        <v>2612</v>
      </c>
      <c r="G68" s="164">
        <f t="shared" ref="G68:G75" si="87">E68*F68</f>
        <v>52762.400000000001</v>
      </c>
      <c r="H68" s="21" t="s">
        <v>35</v>
      </c>
      <c r="I68" s="171">
        <v>19</v>
      </c>
      <c r="J68" s="23">
        <v>2400</v>
      </c>
      <c r="K68" s="9">
        <f t="shared" ref="K68:K70" si="88">J68/I68</f>
        <v>126.31578947368421</v>
      </c>
      <c r="L68" s="16">
        <v>19</v>
      </c>
      <c r="M68" s="10">
        <f>F68/V68*60</f>
        <v>2304.7058823529424</v>
      </c>
      <c r="N68" s="9">
        <f t="shared" ref="N68:N75" si="89">M68/L68</f>
        <v>121.30030959752328</v>
      </c>
      <c r="O68" s="11">
        <f t="shared" ref="O68:O75" si="90">L68-I68</f>
        <v>0</v>
      </c>
      <c r="P68" s="12">
        <f t="shared" ref="P68:P75" si="91">N68-K68</f>
        <v>-5.0154798761609243</v>
      </c>
      <c r="Q68" s="163">
        <f>N68/K68</f>
        <v>0.9602941176470593</v>
      </c>
      <c r="R68" s="571">
        <f>Q76</f>
        <v>0.95519980362790946</v>
      </c>
      <c r="S68" s="24">
        <v>8.3333333333333329E-2</v>
      </c>
      <c r="T68" s="24">
        <v>0.13055555555555554</v>
      </c>
      <c r="U68" s="15"/>
      <c r="V68" s="172">
        <f t="shared" ref="V68:V75" si="92">(T68-S68)*24*60</f>
        <v>67.999999999999972</v>
      </c>
      <c r="W68" s="13">
        <f>T68</f>
        <v>0.13055555555555554</v>
      </c>
      <c r="X68" s="13">
        <f>S69</f>
        <v>0.15138888888888888</v>
      </c>
      <c r="Y68" s="617"/>
      <c r="Z68" s="617"/>
      <c r="AA68" s="11">
        <f t="shared" si="2"/>
        <v>-95.294117647057647</v>
      </c>
      <c r="AB68" s="163">
        <f>M68/J68</f>
        <v>0.9602941176470593</v>
      </c>
      <c r="AC68" s="571">
        <f>AB76</f>
        <v>0.95519980362790946</v>
      </c>
    </row>
    <row r="69" spans="1:29" ht="15.75" customHeight="1">
      <c r="A69" s="643" t="s">
        <v>193</v>
      </c>
      <c r="B69" s="174" t="s">
        <v>46</v>
      </c>
      <c r="C69" s="616" t="s">
        <v>85</v>
      </c>
      <c r="D69" s="616"/>
      <c r="E69" s="26">
        <v>19.02</v>
      </c>
      <c r="F69" s="174">
        <v>4300</v>
      </c>
      <c r="G69" s="164">
        <f t="shared" si="87"/>
        <v>81786</v>
      </c>
      <c r="H69" s="21">
        <v>2</v>
      </c>
      <c r="I69" s="171">
        <v>15</v>
      </c>
      <c r="J69" s="23">
        <v>2400</v>
      </c>
      <c r="K69" s="9">
        <f t="shared" si="88"/>
        <v>160</v>
      </c>
      <c r="L69" s="16">
        <v>15</v>
      </c>
      <c r="M69" s="10">
        <f t="shared" ref="M69:M75" si="93">F69/V69*60</f>
        <v>2283.1858407079644</v>
      </c>
      <c r="N69" s="9">
        <f t="shared" si="89"/>
        <v>152.21238938053096</v>
      </c>
      <c r="O69" s="11">
        <f t="shared" si="90"/>
        <v>0</v>
      </c>
      <c r="P69" s="12">
        <f t="shared" si="91"/>
        <v>-7.7876106194690351</v>
      </c>
      <c r="Q69" s="163">
        <f t="shared" ref="Q69:Q76" si="94">N69/K69</f>
        <v>0.95132743362831851</v>
      </c>
      <c r="R69" s="571"/>
      <c r="S69" s="24">
        <v>0.15138888888888888</v>
      </c>
      <c r="T69" s="24">
        <v>0.2298611111111111</v>
      </c>
      <c r="U69" s="164">
        <f>(S69-T68)*24*60</f>
        <v>30.000000000000014</v>
      </c>
      <c r="V69" s="172">
        <f t="shared" si="92"/>
        <v>113</v>
      </c>
      <c r="W69" s="13"/>
      <c r="X69" s="13"/>
      <c r="Y69" s="617"/>
      <c r="Z69" s="617"/>
      <c r="AA69" s="11">
        <f t="shared" ref="AA69:AA76" si="95">M69-J69</f>
        <v>-116.81415929203558</v>
      </c>
      <c r="AB69" s="163">
        <f t="shared" ref="AB69:AB76" si="96">M69/J69</f>
        <v>0.95132743362831851</v>
      </c>
      <c r="AC69" s="571"/>
    </row>
    <row r="70" spans="1:29" ht="15.75" customHeight="1">
      <c r="A70" s="643" t="s">
        <v>193</v>
      </c>
      <c r="B70" s="174" t="s">
        <v>46</v>
      </c>
      <c r="C70" s="616" t="s">
        <v>86</v>
      </c>
      <c r="D70" s="616"/>
      <c r="E70" s="26">
        <v>24.25</v>
      </c>
      <c r="F70" s="174">
        <v>3181</v>
      </c>
      <c r="G70" s="164">
        <f t="shared" si="87"/>
        <v>77139.25</v>
      </c>
      <c r="H70" s="21" t="s">
        <v>35</v>
      </c>
      <c r="I70" s="171">
        <v>18</v>
      </c>
      <c r="J70" s="23">
        <v>2400</v>
      </c>
      <c r="K70" s="9">
        <f t="shared" si="88"/>
        <v>133.33333333333334</v>
      </c>
      <c r="L70" s="16">
        <v>18</v>
      </c>
      <c r="M70" s="10">
        <f t="shared" si="93"/>
        <v>2299.5180722891569</v>
      </c>
      <c r="N70" s="9">
        <f t="shared" si="89"/>
        <v>127.75100401606427</v>
      </c>
      <c r="O70" s="11">
        <f t="shared" si="90"/>
        <v>0</v>
      </c>
      <c r="P70" s="12">
        <f t="shared" si="91"/>
        <v>-5.5823293172690711</v>
      </c>
      <c r="Q70" s="163">
        <f t="shared" si="94"/>
        <v>0.95813253012048194</v>
      </c>
      <c r="R70" s="571"/>
      <c r="S70" s="24">
        <v>0.23333333333333331</v>
      </c>
      <c r="T70" s="24">
        <v>0.29097222222222219</v>
      </c>
      <c r="U70" s="164">
        <f t="shared" ref="U70:U75" si="97">(S70-T69)*24*60</f>
        <v>4.9999999999999822</v>
      </c>
      <c r="V70" s="172">
        <f t="shared" si="92"/>
        <v>82.999999999999986</v>
      </c>
      <c r="W70" s="13"/>
      <c r="X70" s="13"/>
      <c r="Y70" s="617"/>
      <c r="Z70" s="617"/>
      <c r="AA70" s="11">
        <f t="shared" si="95"/>
        <v>-100.48192771084314</v>
      </c>
      <c r="AB70" s="163">
        <f t="shared" si="96"/>
        <v>0.95813253012048205</v>
      </c>
      <c r="AC70" s="571"/>
    </row>
    <row r="71" spans="1:29" ht="15.75" customHeight="1">
      <c r="A71" s="643" t="s">
        <v>193</v>
      </c>
      <c r="B71" s="174" t="s">
        <v>46</v>
      </c>
      <c r="C71" s="616" t="s">
        <v>88</v>
      </c>
      <c r="D71" s="616"/>
      <c r="E71" s="26">
        <v>24.25</v>
      </c>
      <c r="F71" s="174">
        <v>2500</v>
      </c>
      <c r="G71" s="164">
        <f t="shared" si="87"/>
        <v>60625</v>
      </c>
      <c r="H71" s="21">
        <v>2</v>
      </c>
      <c r="I71" s="171">
        <v>17</v>
      </c>
      <c r="J71" s="23">
        <v>2400</v>
      </c>
      <c r="K71" s="9">
        <f>J71/I71</f>
        <v>141.1764705882353</v>
      </c>
      <c r="L71" s="16">
        <v>17</v>
      </c>
      <c r="M71" s="10">
        <f t="shared" si="93"/>
        <v>2307.6923076923072</v>
      </c>
      <c r="N71" s="9">
        <f t="shared" si="89"/>
        <v>135.7466063348416</v>
      </c>
      <c r="O71" s="11">
        <f t="shared" si="90"/>
        <v>0</v>
      </c>
      <c r="P71" s="12">
        <f t="shared" si="91"/>
        <v>-5.4298642533937027</v>
      </c>
      <c r="Q71" s="163">
        <f t="shared" si="94"/>
        <v>0.96153846153846123</v>
      </c>
      <c r="R71" s="571"/>
      <c r="S71" s="24">
        <v>0.29583333333333328</v>
      </c>
      <c r="T71" s="24">
        <v>0.34097222222222218</v>
      </c>
      <c r="U71" s="164">
        <f t="shared" si="97"/>
        <v>6.9999999999999751</v>
      </c>
      <c r="V71" s="172">
        <f t="shared" si="92"/>
        <v>65.000000000000014</v>
      </c>
      <c r="W71" s="13"/>
      <c r="X71" s="13"/>
      <c r="Y71" s="617"/>
      <c r="Z71" s="617"/>
      <c r="AA71" s="11">
        <f t="shared" si="95"/>
        <v>-92.307692307692832</v>
      </c>
      <c r="AB71" s="163">
        <f t="shared" si="96"/>
        <v>0.96153846153846134</v>
      </c>
      <c r="AC71" s="571"/>
    </row>
    <row r="72" spans="1:29" ht="15.75" customHeight="1">
      <c r="A72" s="643" t="s">
        <v>193</v>
      </c>
      <c r="B72" s="174" t="s">
        <v>46</v>
      </c>
      <c r="C72" s="616" t="s">
        <v>47</v>
      </c>
      <c r="D72" s="616"/>
      <c r="E72" s="26">
        <v>24.45</v>
      </c>
      <c r="F72" s="174">
        <v>2549</v>
      </c>
      <c r="G72" s="164">
        <f t="shared" si="87"/>
        <v>62323.049999999996</v>
      </c>
      <c r="H72" s="21" t="s">
        <v>35</v>
      </c>
      <c r="I72" s="171">
        <v>20</v>
      </c>
      <c r="J72" s="23">
        <v>2400</v>
      </c>
      <c r="K72" s="9">
        <f t="shared" ref="K72:K76" si="98">J72/I72</f>
        <v>120</v>
      </c>
      <c r="L72" s="16">
        <v>20</v>
      </c>
      <c r="M72" s="10">
        <f t="shared" si="93"/>
        <v>2282.686567164179</v>
      </c>
      <c r="N72" s="9">
        <f t="shared" si="89"/>
        <v>114.13432835820895</v>
      </c>
      <c r="O72" s="11">
        <f t="shared" si="90"/>
        <v>0</v>
      </c>
      <c r="P72" s="12">
        <f t="shared" si="91"/>
        <v>-5.865671641791053</v>
      </c>
      <c r="Q72" s="163">
        <f t="shared" si="94"/>
        <v>0.95111940298507458</v>
      </c>
      <c r="R72" s="571"/>
      <c r="S72" s="24">
        <v>0.34652777777777771</v>
      </c>
      <c r="T72" s="24">
        <v>0.39305555555555549</v>
      </c>
      <c r="U72" s="164">
        <f t="shared" si="97"/>
        <v>7.9999999999999716</v>
      </c>
      <c r="V72" s="172">
        <f t="shared" si="92"/>
        <v>67</v>
      </c>
      <c r="W72" s="13"/>
      <c r="X72" s="13"/>
      <c r="Y72" s="617"/>
      <c r="Z72" s="617"/>
      <c r="AA72" s="11">
        <f t="shared" si="95"/>
        <v>-117.313432835821</v>
      </c>
      <c r="AB72" s="163">
        <f t="shared" si="96"/>
        <v>0.95111940298507458</v>
      </c>
      <c r="AC72" s="571"/>
    </row>
    <row r="73" spans="1:29" ht="15.75" customHeight="1">
      <c r="A73" s="643" t="s">
        <v>673</v>
      </c>
      <c r="B73" s="174" t="s">
        <v>46</v>
      </c>
      <c r="C73" s="616" t="s">
        <v>66</v>
      </c>
      <c r="D73" s="616"/>
      <c r="E73" s="26">
        <v>24.25</v>
      </c>
      <c r="F73" s="174">
        <v>6488</v>
      </c>
      <c r="G73" s="164">
        <f t="shared" si="87"/>
        <v>157334</v>
      </c>
      <c r="H73" s="21" t="s">
        <v>35</v>
      </c>
      <c r="I73" s="171">
        <v>14</v>
      </c>
      <c r="J73" s="23">
        <v>2400</v>
      </c>
      <c r="K73" s="9">
        <f t="shared" si="98"/>
        <v>171.42857142857142</v>
      </c>
      <c r="L73" s="16">
        <v>14</v>
      </c>
      <c r="M73" s="10">
        <f t="shared" si="93"/>
        <v>2289.8823529411761</v>
      </c>
      <c r="N73" s="9">
        <f t="shared" si="89"/>
        <v>163.56302521008402</v>
      </c>
      <c r="O73" s="11">
        <f t="shared" si="90"/>
        <v>0</v>
      </c>
      <c r="P73" s="12">
        <f t="shared" si="91"/>
        <v>-7.8655462184873954</v>
      </c>
      <c r="Q73" s="163">
        <f t="shared" si="94"/>
        <v>0.95411764705882351</v>
      </c>
      <c r="R73" s="571"/>
      <c r="S73" s="24">
        <v>0.39861111111111103</v>
      </c>
      <c r="T73" s="24">
        <v>0.51666666666666661</v>
      </c>
      <c r="U73" s="164">
        <f t="shared" si="97"/>
        <v>7.9999999999999716</v>
      </c>
      <c r="V73" s="172">
        <f t="shared" si="92"/>
        <v>170.00000000000003</v>
      </c>
      <c r="W73" s="13">
        <f>T73</f>
        <v>0.51666666666666661</v>
      </c>
      <c r="X73" s="13">
        <f>S74</f>
        <v>0.55486111111111103</v>
      </c>
      <c r="Y73" s="617"/>
      <c r="Z73" s="617"/>
      <c r="AA73" s="11">
        <f t="shared" si="95"/>
        <v>-110.11764705882388</v>
      </c>
      <c r="AB73" s="163">
        <f t="shared" si="96"/>
        <v>0.9541176470588234</v>
      </c>
      <c r="AC73" s="571"/>
    </row>
    <row r="74" spans="1:29" ht="15.75" customHeight="1">
      <c r="A74" s="643" t="s">
        <v>193</v>
      </c>
      <c r="B74" s="174" t="s">
        <v>46</v>
      </c>
      <c r="C74" s="627" t="s">
        <v>85</v>
      </c>
      <c r="D74" s="628"/>
      <c r="E74" s="26">
        <v>19.02</v>
      </c>
      <c r="F74" s="174">
        <v>7128</v>
      </c>
      <c r="G74" s="164">
        <f t="shared" si="87"/>
        <v>135574.56</v>
      </c>
      <c r="H74" s="21" t="s">
        <v>35</v>
      </c>
      <c r="I74" s="171">
        <v>15</v>
      </c>
      <c r="J74" s="23">
        <v>2400</v>
      </c>
      <c r="K74" s="9">
        <f t="shared" si="98"/>
        <v>160</v>
      </c>
      <c r="L74" s="16">
        <v>15</v>
      </c>
      <c r="M74" s="10">
        <f t="shared" si="93"/>
        <v>2287.0588235294122</v>
      </c>
      <c r="N74" s="9">
        <f t="shared" si="89"/>
        <v>152.47058823529414</v>
      </c>
      <c r="O74" s="11">
        <f t="shared" si="90"/>
        <v>0</v>
      </c>
      <c r="P74" s="12">
        <f t="shared" si="91"/>
        <v>-7.5294117647058556</v>
      </c>
      <c r="Q74" s="163">
        <f t="shared" si="94"/>
        <v>0.9529411764705884</v>
      </c>
      <c r="R74" s="571"/>
      <c r="S74" s="24">
        <v>0.55486111111111103</v>
      </c>
      <c r="T74" s="24">
        <v>0.68472222222222212</v>
      </c>
      <c r="U74" s="164">
        <f t="shared" si="97"/>
        <v>54.999999999999964</v>
      </c>
      <c r="V74" s="172">
        <f t="shared" si="92"/>
        <v>186.99999999999997</v>
      </c>
      <c r="W74" s="13"/>
      <c r="X74" s="13"/>
      <c r="Y74" s="621"/>
      <c r="Z74" s="622"/>
      <c r="AA74" s="11">
        <f t="shared" si="95"/>
        <v>-112.94117647058783</v>
      </c>
      <c r="AB74" s="163">
        <f t="shared" si="96"/>
        <v>0.9529411764705884</v>
      </c>
      <c r="AC74" s="571"/>
    </row>
    <row r="75" spans="1:29" ht="15.75" customHeight="1">
      <c r="A75" s="643" t="s">
        <v>193</v>
      </c>
      <c r="B75" s="174" t="s">
        <v>46</v>
      </c>
      <c r="C75" s="627" t="s">
        <v>88</v>
      </c>
      <c r="D75" s="628"/>
      <c r="E75" s="26">
        <v>24.25</v>
      </c>
      <c r="F75" s="174">
        <v>1790</v>
      </c>
      <c r="G75" s="164">
        <f t="shared" si="87"/>
        <v>43407.5</v>
      </c>
      <c r="H75" s="21" t="s">
        <v>35</v>
      </c>
      <c r="I75" s="171">
        <v>17</v>
      </c>
      <c r="J75" s="23">
        <v>2400</v>
      </c>
      <c r="K75" s="9">
        <f t="shared" si="98"/>
        <v>141.1764705882353</v>
      </c>
      <c r="L75" s="16">
        <v>17</v>
      </c>
      <c r="M75" s="10">
        <f t="shared" si="93"/>
        <v>2285.1063829787236</v>
      </c>
      <c r="N75" s="9">
        <f t="shared" si="89"/>
        <v>134.41802252816021</v>
      </c>
      <c r="O75" s="11">
        <f t="shared" si="90"/>
        <v>0</v>
      </c>
      <c r="P75" s="12">
        <f t="shared" si="91"/>
        <v>-6.7584480600750965</v>
      </c>
      <c r="Q75" s="163">
        <f t="shared" si="94"/>
        <v>0.9521276595744681</v>
      </c>
      <c r="R75" s="571"/>
      <c r="S75" s="24">
        <v>0.68888888888888877</v>
      </c>
      <c r="T75" s="24">
        <v>0.72152777777777766</v>
      </c>
      <c r="U75" s="164">
        <f t="shared" si="97"/>
        <v>5.9999999999999787</v>
      </c>
      <c r="V75" s="172">
        <f t="shared" si="92"/>
        <v>46.999999999999993</v>
      </c>
      <c r="W75" s="13"/>
      <c r="X75" s="13"/>
      <c r="Y75" s="621"/>
      <c r="Z75" s="622"/>
      <c r="AA75" s="11">
        <f t="shared" si="95"/>
        <v>-114.89361702127644</v>
      </c>
      <c r="AB75" s="163">
        <f t="shared" si="96"/>
        <v>0.9521276595744681</v>
      </c>
      <c r="AC75" s="571"/>
    </row>
    <row r="76" spans="1:29" ht="16.5" customHeight="1">
      <c r="A76" s="660" t="s">
        <v>674</v>
      </c>
      <c r="B76" s="26" t="s">
        <v>168</v>
      </c>
      <c r="C76" s="629"/>
      <c r="D76" s="629"/>
      <c r="E76" s="165"/>
      <c r="F76" s="27"/>
      <c r="G76" s="9"/>
      <c r="H76" s="174"/>
      <c r="I76" s="16">
        <v>16.875</v>
      </c>
      <c r="J76" s="23">
        <v>2400</v>
      </c>
      <c r="K76" s="9">
        <f t="shared" si="98"/>
        <v>142.22222222222223</v>
      </c>
      <c r="L76" s="16">
        <v>16.875</v>
      </c>
      <c r="M76" s="10">
        <f>AVERAGE(M68:M75)</f>
        <v>2292.4795287069828</v>
      </c>
      <c r="N76" s="9">
        <f>M76/L76</f>
        <v>135.85063873819158</v>
      </c>
      <c r="O76" s="11">
        <f>L76-I76</f>
        <v>0</v>
      </c>
      <c r="P76" s="12">
        <f>N76-K76</f>
        <v>-6.3715834840306513</v>
      </c>
      <c r="Q76" s="163">
        <f t="shared" si="94"/>
        <v>0.95519980362790946</v>
      </c>
      <c r="R76" s="571"/>
      <c r="S76" s="24"/>
      <c r="T76" s="24"/>
      <c r="U76" s="9"/>
      <c r="V76" s="172"/>
      <c r="W76" s="9"/>
      <c r="X76" s="9"/>
      <c r="Y76" s="617"/>
      <c r="Z76" s="617"/>
      <c r="AA76" s="11">
        <f t="shared" si="95"/>
        <v>-107.52047129301718</v>
      </c>
      <c r="AB76" s="163">
        <f t="shared" si="96"/>
        <v>0.95519980362790946</v>
      </c>
      <c r="AC76" s="571"/>
    </row>
    <row r="77" spans="1:29">
      <c r="D77" s="17"/>
      <c r="E77" s="17"/>
    </row>
  </sheetData>
  <mergeCells count="200">
    <mergeCell ref="S1:X2"/>
    <mergeCell ref="Y1:Z2"/>
    <mergeCell ref="AA1:AC2"/>
    <mergeCell ref="A3:A4"/>
    <mergeCell ref="B3:B4"/>
    <mergeCell ref="C3:D4"/>
    <mergeCell ref="E3:E4"/>
    <mergeCell ref="F3:F4"/>
    <mergeCell ref="G3:G4"/>
    <mergeCell ref="I1:K2"/>
    <mergeCell ref="L1:N2"/>
    <mergeCell ref="O1:R2"/>
    <mergeCell ref="P3:P4"/>
    <mergeCell ref="Q3:Q4"/>
    <mergeCell ref="R3:R4"/>
    <mergeCell ref="S3:T3"/>
    <mergeCell ref="H3:H4"/>
    <mergeCell ref="I3:I4"/>
    <mergeCell ref="J3:J4"/>
    <mergeCell ref="K3:K4"/>
    <mergeCell ref="L3:L4"/>
    <mergeCell ref="M3:M4"/>
    <mergeCell ref="C8:D8"/>
    <mergeCell ref="Y8:Z8"/>
    <mergeCell ref="C9:D9"/>
    <mergeCell ref="Y9:Z9"/>
    <mergeCell ref="C10:D10"/>
    <mergeCell ref="Y10:Z10"/>
    <mergeCell ref="AC3:AC4"/>
    <mergeCell ref="A5:A10"/>
    <mergeCell ref="C5:D5"/>
    <mergeCell ref="R5:R10"/>
    <mergeCell ref="Y5:Z5"/>
    <mergeCell ref="AC5:AC10"/>
    <mergeCell ref="C6:D6"/>
    <mergeCell ref="Y6:Z6"/>
    <mergeCell ref="C7:D7"/>
    <mergeCell ref="Y7:Z7"/>
    <mergeCell ref="U3:U4"/>
    <mergeCell ref="V3:V4"/>
    <mergeCell ref="W3:X3"/>
    <mergeCell ref="Y3:Z4"/>
    <mergeCell ref="AA3:AA4"/>
    <mergeCell ref="AB3:AB4"/>
    <mergeCell ref="N3:N4"/>
    <mergeCell ref="O3:O4"/>
    <mergeCell ref="A11:A13"/>
    <mergeCell ref="C11:D11"/>
    <mergeCell ref="R11:R13"/>
    <mergeCell ref="Y11:Z11"/>
    <mergeCell ref="AC11:AC13"/>
    <mergeCell ref="C12:D12"/>
    <mergeCell ref="Y12:Z12"/>
    <mergeCell ref="C13:D13"/>
    <mergeCell ref="Y13:Z13"/>
    <mergeCell ref="C16:D16"/>
    <mergeCell ref="Y16:Z16"/>
    <mergeCell ref="C17:D17"/>
    <mergeCell ref="Y17:Z17"/>
    <mergeCell ref="C18:D18"/>
    <mergeCell ref="Y18:Z18"/>
    <mergeCell ref="C19:D19"/>
    <mergeCell ref="Y19:Z19"/>
    <mergeCell ref="AC20:AC24"/>
    <mergeCell ref="C21:D21"/>
    <mergeCell ref="Y21:Z21"/>
    <mergeCell ref="C22:D22"/>
    <mergeCell ref="Y22:Z22"/>
    <mergeCell ref="C23:D23"/>
    <mergeCell ref="Y23:Z23"/>
    <mergeCell ref="C24:D24"/>
    <mergeCell ref="Y24:Z24"/>
    <mergeCell ref="AC25:AC35"/>
    <mergeCell ref="C26:D26"/>
    <mergeCell ref="Y26:Z26"/>
    <mergeCell ref="A20:A24"/>
    <mergeCell ref="C20:D20"/>
    <mergeCell ref="R20:R24"/>
    <mergeCell ref="Y20:Z20"/>
    <mergeCell ref="A14:A19"/>
    <mergeCell ref="C14:D14"/>
    <mergeCell ref="R14:R19"/>
    <mergeCell ref="Y14:Z14"/>
    <mergeCell ref="A25:A35"/>
    <mergeCell ref="C25:D25"/>
    <mergeCell ref="Y32:Z32"/>
    <mergeCell ref="C33:D33"/>
    <mergeCell ref="Y33:Z33"/>
    <mergeCell ref="C34:D34"/>
    <mergeCell ref="Y34:Z34"/>
    <mergeCell ref="Y28:Z28"/>
    <mergeCell ref="C31:D31"/>
    <mergeCell ref="Y31:Z31"/>
    <mergeCell ref="AC14:AC19"/>
    <mergeCell ref="C15:D15"/>
    <mergeCell ref="Y15:Z15"/>
    <mergeCell ref="AC36:AC45"/>
    <mergeCell ref="C37:D37"/>
    <mergeCell ref="Y37:Z37"/>
    <mergeCell ref="C38:D38"/>
    <mergeCell ref="Y38:Z38"/>
    <mergeCell ref="C39:D39"/>
    <mergeCell ref="Y39:Z39"/>
    <mergeCell ref="C40:D40"/>
    <mergeCell ref="Y40:Z40"/>
    <mergeCell ref="C41:D41"/>
    <mergeCell ref="Y43:Z43"/>
    <mergeCell ref="C44:D44"/>
    <mergeCell ref="Y44:Z44"/>
    <mergeCell ref="C45:D45"/>
    <mergeCell ref="Y45:Z45"/>
    <mergeCell ref="C36:D36"/>
    <mergeCell ref="R36:R45"/>
    <mergeCell ref="Y36:Z36"/>
    <mergeCell ref="Y41:Z41"/>
    <mergeCell ref="C42:D42"/>
    <mergeCell ref="Y42:Z42"/>
    <mergeCell ref="C43:D43"/>
    <mergeCell ref="C27:D27"/>
    <mergeCell ref="Y27:Z27"/>
    <mergeCell ref="C28:D28"/>
    <mergeCell ref="C32:D32"/>
    <mergeCell ref="A46:A57"/>
    <mergeCell ref="C46:D46"/>
    <mergeCell ref="R46:R57"/>
    <mergeCell ref="Y46:Z46"/>
    <mergeCell ref="Y51:Z51"/>
    <mergeCell ref="C35:D35"/>
    <mergeCell ref="Y35:Z35"/>
    <mergeCell ref="C29:D29"/>
    <mergeCell ref="Y29:Z29"/>
    <mergeCell ref="C30:D30"/>
    <mergeCell ref="Y30:Z30"/>
    <mergeCell ref="A36:A45"/>
    <mergeCell ref="R25:R35"/>
    <mergeCell ref="Y25:Z25"/>
    <mergeCell ref="AC46:AC57"/>
    <mergeCell ref="C47:D47"/>
    <mergeCell ref="Y47:Z47"/>
    <mergeCell ref="C48:D48"/>
    <mergeCell ref="Y48:Z48"/>
    <mergeCell ref="C49:D49"/>
    <mergeCell ref="Y49:Z49"/>
    <mergeCell ref="C50:D50"/>
    <mergeCell ref="Y50:Z50"/>
    <mergeCell ref="C51:D51"/>
    <mergeCell ref="C55:D55"/>
    <mergeCell ref="Y55:Z55"/>
    <mergeCell ref="C56:D56"/>
    <mergeCell ref="Y56:Z56"/>
    <mergeCell ref="C57:D57"/>
    <mergeCell ref="Y57:Z57"/>
    <mergeCell ref="C52:D52"/>
    <mergeCell ref="Y52:Z52"/>
    <mergeCell ref="C53:D53"/>
    <mergeCell ref="Y53:Z53"/>
    <mergeCell ref="C54:D54"/>
    <mergeCell ref="Y54:Z54"/>
    <mergeCell ref="A65:A67"/>
    <mergeCell ref="C65:D65"/>
    <mergeCell ref="R65:R67"/>
    <mergeCell ref="Y65:Z65"/>
    <mergeCell ref="A58:A64"/>
    <mergeCell ref="C58:D58"/>
    <mergeCell ref="R58:R64"/>
    <mergeCell ref="Y58:Z58"/>
    <mergeCell ref="AC65:AC67"/>
    <mergeCell ref="C66:D66"/>
    <mergeCell ref="Y66:Z66"/>
    <mergeCell ref="C67:D67"/>
    <mergeCell ref="Y67:Z67"/>
    <mergeCell ref="AC58:AC64"/>
    <mergeCell ref="C59:D59"/>
    <mergeCell ref="Y59:Z59"/>
    <mergeCell ref="C60:D60"/>
    <mergeCell ref="C63:D63"/>
    <mergeCell ref="Y63:Z63"/>
    <mergeCell ref="C64:D64"/>
    <mergeCell ref="Y64:Z64"/>
    <mergeCell ref="C75:D75"/>
    <mergeCell ref="Y75:Z75"/>
    <mergeCell ref="A68:A76"/>
    <mergeCell ref="C68:D68"/>
    <mergeCell ref="R68:R76"/>
    <mergeCell ref="Y68:Z68"/>
    <mergeCell ref="AC68:AC76"/>
    <mergeCell ref="C76:D76"/>
    <mergeCell ref="Y76:Z76"/>
    <mergeCell ref="C72:D72"/>
    <mergeCell ref="Y72:Z72"/>
    <mergeCell ref="C73:D73"/>
    <mergeCell ref="Y73:Z73"/>
    <mergeCell ref="C74:D74"/>
    <mergeCell ref="Y74:Z74"/>
    <mergeCell ref="Y70:Z70"/>
    <mergeCell ref="C71:D71"/>
    <mergeCell ref="Y71:Z71"/>
    <mergeCell ref="C69:D69"/>
    <mergeCell ref="Y69:Z69"/>
    <mergeCell ref="C70:D70"/>
  </mergeCells>
  <phoneticPr fontId="3" type="noConversion"/>
  <conditionalFormatting sqref="O67:O73 O76 O5:O11 O13:O15 O57:O65 O19:O32 O35:O51">
    <cfRule type="cellIs" dxfId="475" priority="83" operator="greaterThan">
      <formula>0</formula>
    </cfRule>
  </conditionalFormatting>
  <conditionalFormatting sqref="P5:P9 P68:P73 P25:P32 P65 P11 P13:P15 P20:P23 P58:P63 P36:P51 AA5:AA65 AA68:AA76">
    <cfRule type="cellIs" dxfId="474" priority="87" operator="lessThan">
      <formula>0</formula>
    </cfRule>
  </conditionalFormatting>
  <conditionalFormatting sqref="Q67:Q73 Q76 Q5:Q11 Q13:Q15 Q57:Q65 Q19:Q32 Q35:Q51 AB5:AB65 AB68:AB76">
    <cfRule type="cellIs" dxfId="473" priority="84" operator="greaterThan">
      <formula>1</formula>
    </cfRule>
    <cfRule type="cellIs" dxfId="472" priority="85" operator="lessThan">
      <formula>0.8</formula>
    </cfRule>
  </conditionalFormatting>
  <conditionalFormatting sqref="AC14:AC15 R14:R15 R67:R73 AC19:AC32 R19:R32 R35:R43 AC35:AC43 R76 AC5:AC11 R5:R11 R45:R51 AC45:AC51 AC57:AC65 R57:R65">
    <cfRule type="cellIs" dxfId="471" priority="89" operator="lessThan">
      <formula>0.8</formula>
    </cfRule>
  </conditionalFormatting>
  <conditionalFormatting sqref="AC46">
    <cfRule type="cellIs" dxfId="470" priority="91" operator="lessThan">
      <formula>0.8</formula>
    </cfRule>
  </conditionalFormatting>
  <conditionalFormatting sqref="AC20:AC23">
    <cfRule type="cellIs" dxfId="469" priority="88" operator="lessThan">
      <formula>0.8</formula>
    </cfRule>
  </conditionalFormatting>
  <conditionalFormatting sqref="AC25">
    <cfRule type="cellIs" dxfId="468" priority="90" operator="lessThan">
      <formula>0.8</formula>
    </cfRule>
  </conditionalFormatting>
  <conditionalFormatting sqref="AC36:AC43">
    <cfRule type="cellIs" dxfId="467" priority="86" operator="lessThan">
      <formula>0.8</formula>
    </cfRule>
  </conditionalFormatting>
  <conditionalFormatting sqref="AA67">
    <cfRule type="cellIs" dxfId="466" priority="82" operator="lessThan">
      <formula>0</formula>
    </cfRule>
  </conditionalFormatting>
  <conditionalFormatting sqref="AB67">
    <cfRule type="cellIs" dxfId="465" priority="80" operator="greaterThan">
      <formula>1</formula>
    </cfRule>
    <cfRule type="cellIs" dxfId="464" priority="81" operator="lessThan">
      <formula>0.8</formula>
    </cfRule>
  </conditionalFormatting>
  <conditionalFormatting sqref="O16:O17">
    <cfRule type="cellIs" dxfId="463" priority="75" operator="greaterThan">
      <formula>0</formula>
    </cfRule>
  </conditionalFormatting>
  <conditionalFormatting sqref="P16:P17">
    <cfRule type="cellIs" dxfId="462" priority="78" operator="lessThan">
      <formula>0</formula>
    </cfRule>
  </conditionalFormatting>
  <conditionalFormatting sqref="Q16:Q17">
    <cfRule type="cellIs" dxfId="461" priority="76" operator="greaterThan">
      <formula>1</formula>
    </cfRule>
    <cfRule type="cellIs" dxfId="460" priority="77" operator="lessThan">
      <formula>0.8</formula>
    </cfRule>
  </conditionalFormatting>
  <conditionalFormatting sqref="R16:R17 AC16:AC17">
    <cfRule type="cellIs" dxfId="459" priority="79" operator="lessThan">
      <formula>0.8</formula>
    </cfRule>
  </conditionalFormatting>
  <conditionalFormatting sqref="O12">
    <cfRule type="cellIs" dxfId="458" priority="71" operator="greaterThan">
      <formula>0</formula>
    </cfRule>
  </conditionalFormatting>
  <conditionalFormatting sqref="P12">
    <cfRule type="cellIs" dxfId="457" priority="74" operator="lessThan">
      <formula>0</formula>
    </cfRule>
  </conditionalFormatting>
  <conditionalFormatting sqref="Q12">
    <cfRule type="cellIs" dxfId="456" priority="72" operator="greaterThan">
      <formula>1</formula>
    </cfRule>
    <cfRule type="cellIs" dxfId="455" priority="73" operator="lessThan">
      <formula>0.8</formula>
    </cfRule>
  </conditionalFormatting>
  <conditionalFormatting sqref="R44 AC44">
    <cfRule type="cellIs" dxfId="454" priority="70" operator="lessThan">
      <formula>0.8</formula>
    </cfRule>
  </conditionalFormatting>
  <conditionalFormatting sqref="AC44">
    <cfRule type="cellIs" dxfId="453" priority="69" operator="lessThan">
      <formula>0.8</formula>
    </cfRule>
  </conditionalFormatting>
  <conditionalFormatting sqref="O33">
    <cfRule type="cellIs" dxfId="452" priority="64" operator="greaterThan">
      <formula>0</formula>
    </cfRule>
  </conditionalFormatting>
  <conditionalFormatting sqref="P33">
    <cfRule type="cellIs" dxfId="451" priority="67" operator="lessThan">
      <formula>0</formula>
    </cfRule>
  </conditionalFormatting>
  <conditionalFormatting sqref="Q33">
    <cfRule type="cellIs" dxfId="450" priority="65" operator="greaterThan">
      <formula>1</formula>
    </cfRule>
    <cfRule type="cellIs" dxfId="449" priority="66" operator="lessThan">
      <formula>0.8</formula>
    </cfRule>
  </conditionalFormatting>
  <conditionalFormatting sqref="R33 AC33">
    <cfRule type="cellIs" dxfId="448" priority="68" operator="lessThan">
      <formula>0.8</formula>
    </cfRule>
  </conditionalFormatting>
  <conditionalFormatting sqref="O74">
    <cfRule type="cellIs" dxfId="447" priority="59" operator="greaterThan">
      <formula>0</formula>
    </cfRule>
  </conditionalFormatting>
  <conditionalFormatting sqref="P74">
    <cfRule type="cellIs" dxfId="446" priority="62" operator="lessThan">
      <formula>0</formula>
    </cfRule>
  </conditionalFormatting>
  <conditionalFormatting sqref="Q74">
    <cfRule type="cellIs" dxfId="445" priority="60" operator="greaterThan">
      <formula>1</formula>
    </cfRule>
    <cfRule type="cellIs" dxfId="444" priority="61" operator="lessThan">
      <formula>0.8</formula>
    </cfRule>
  </conditionalFormatting>
  <conditionalFormatting sqref="R74">
    <cfRule type="cellIs" dxfId="443" priority="63" operator="lessThan">
      <formula>0.8</formula>
    </cfRule>
  </conditionalFormatting>
  <conditionalFormatting sqref="O18">
    <cfRule type="cellIs" dxfId="442" priority="54" operator="greaterThan">
      <formula>0</formula>
    </cfRule>
  </conditionalFormatting>
  <conditionalFormatting sqref="P18">
    <cfRule type="cellIs" dxfId="441" priority="57" operator="lessThan">
      <formula>0</formula>
    </cfRule>
  </conditionalFormatting>
  <conditionalFormatting sqref="Q18">
    <cfRule type="cellIs" dxfId="440" priority="55" operator="greaterThan">
      <formula>1</formula>
    </cfRule>
    <cfRule type="cellIs" dxfId="439" priority="56" operator="lessThan">
      <formula>0.8</formula>
    </cfRule>
  </conditionalFormatting>
  <conditionalFormatting sqref="R18 AC18">
    <cfRule type="cellIs" dxfId="438" priority="58" operator="lessThan">
      <formula>0.8</formula>
    </cfRule>
  </conditionalFormatting>
  <conditionalFormatting sqref="O34">
    <cfRule type="cellIs" dxfId="437" priority="49" operator="greaterThan">
      <formula>0</formula>
    </cfRule>
  </conditionalFormatting>
  <conditionalFormatting sqref="P34">
    <cfRule type="cellIs" dxfId="436" priority="52" operator="lessThan">
      <formula>0</formula>
    </cfRule>
  </conditionalFormatting>
  <conditionalFormatting sqref="Q34">
    <cfRule type="cellIs" dxfId="435" priority="50" operator="greaterThan">
      <formula>1</formula>
    </cfRule>
    <cfRule type="cellIs" dxfId="434" priority="51" operator="lessThan">
      <formula>0.8</formula>
    </cfRule>
  </conditionalFormatting>
  <conditionalFormatting sqref="R34 AC34">
    <cfRule type="cellIs" dxfId="433" priority="53" operator="lessThan">
      <formula>0.8</formula>
    </cfRule>
  </conditionalFormatting>
  <conditionalFormatting sqref="O52">
    <cfRule type="cellIs" dxfId="432" priority="43" operator="greaterThan">
      <formula>0</formula>
    </cfRule>
  </conditionalFormatting>
  <conditionalFormatting sqref="P52">
    <cfRule type="cellIs" dxfId="431" priority="47" operator="lessThan">
      <formula>0</formula>
    </cfRule>
  </conditionalFormatting>
  <conditionalFormatting sqref="Q52">
    <cfRule type="cellIs" dxfId="430" priority="44" operator="greaterThan">
      <formula>1</formula>
    </cfRule>
    <cfRule type="cellIs" dxfId="429" priority="45" operator="lessThan">
      <formula>0.8</formula>
    </cfRule>
  </conditionalFormatting>
  <conditionalFormatting sqref="R52 AC52">
    <cfRule type="cellIs" dxfId="428" priority="48" operator="lessThan">
      <formula>0.8</formula>
    </cfRule>
  </conditionalFormatting>
  <conditionalFormatting sqref="AC52">
    <cfRule type="cellIs" dxfId="427" priority="46" operator="lessThan">
      <formula>0.8</formula>
    </cfRule>
  </conditionalFormatting>
  <conditionalFormatting sqref="O53">
    <cfRule type="cellIs" dxfId="426" priority="37" operator="greaterThan">
      <formula>0</formula>
    </cfRule>
  </conditionalFormatting>
  <conditionalFormatting sqref="P53">
    <cfRule type="cellIs" dxfId="425" priority="41" operator="lessThan">
      <formula>0</formula>
    </cfRule>
  </conditionalFormatting>
  <conditionalFormatting sqref="Q53">
    <cfRule type="cellIs" dxfId="424" priority="38" operator="greaterThan">
      <formula>1</formula>
    </cfRule>
    <cfRule type="cellIs" dxfId="423" priority="39" operator="lessThan">
      <formula>0.8</formula>
    </cfRule>
  </conditionalFormatting>
  <conditionalFormatting sqref="R53 AC53">
    <cfRule type="cellIs" dxfId="422" priority="42" operator="lessThan">
      <formula>0.8</formula>
    </cfRule>
  </conditionalFormatting>
  <conditionalFormatting sqref="AC53">
    <cfRule type="cellIs" dxfId="421" priority="40" operator="lessThan">
      <formula>0.8</formula>
    </cfRule>
  </conditionalFormatting>
  <conditionalFormatting sqref="O54">
    <cfRule type="cellIs" dxfId="420" priority="31" operator="greaterThan">
      <formula>0</formula>
    </cfRule>
  </conditionalFormatting>
  <conditionalFormatting sqref="P54">
    <cfRule type="cellIs" dxfId="419" priority="35" operator="lessThan">
      <formula>0</formula>
    </cfRule>
  </conditionalFormatting>
  <conditionalFormatting sqref="Q54">
    <cfRule type="cellIs" dxfId="418" priority="32" operator="greaterThan">
      <formula>1</formula>
    </cfRule>
    <cfRule type="cellIs" dxfId="417" priority="33" operator="lessThan">
      <formula>0.8</formula>
    </cfRule>
  </conditionalFormatting>
  <conditionalFormatting sqref="R54 AC54">
    <cfRule type="cellIs" dxfId="416" priority="36" operator="lessThan">
      <formula>0.8</formula>
    </cfRule>
  </conditionalFormatting>
  <conditionalFormatting sqref="AC54">
    <cfRule type="cellIs" dxfId="415" priority="34" operator="lessThan">
      <formula>0.8</formula>
    </cfRule>
  </conditionalFormatting>
  <conditionalFormatting sqref="O55">
    <cfRule type="cellIs" dxfId="414" priority="25" operator="greaterThan">
      <formula>0</formula>
    </cfRule>
  </conditionalFormatting>
  <conditionalFormatting sqref="P55">
    <cfRule type="cellIs" dxfId="413" priority="29" operator="lessThan">
      <formula>0</formula>
    </cfRule>
  </conditionalFormatting>
  <conditionalFormatting sqref="Q55">
    <cfRule type="cellIs" dxfId="412" priority="26" operator="greaterThan">
      <formula>1</formula>
    </cfRule>
    <cfRule type="cellIs" dxfId="411" priority="27" operator="lessThan">
      <formula>0.8</formula>
    </cfRule>
  </conditionalFormatting>
  <conditionalFormatting sqref="R55 AC55">
    <cfRule type="cellIs" dxfId="410" priority="30" operator="lessThan">
      <formula>0.8</formula>
    </cfRule>
  </conditionalFormatting>
  <conditionalFormatting sqref="AC55">
    <cfRule type="cellIs" dxfId="409" priority="28" operator="lessThan">
      <formula>0.8</formula>
    </cfRule>
  </conditionalFormatting>
  <conditionalFormatting sqref="O56">
    <cfRule type="cellIs" dxfId="408" priority="19" operator="greaterThan">
      <formula>0</formula>
    </cfRule>
  </conditionalFormatting>
  <conditionalFormatting sqref="P56">
    <cfRule type="cellIs" dxfId="407" priority="23" operator="lessThan">
      <formula>0</formula>
    </cfRule>
  </conditionalFormatting>
  <conditionalFormatting sqref="Q56">
    <cfRule type="cellIs" dxfId="406" priority="20" operator="greaterThan">
      <formula>1</formula>
    </cfRule>
    <cfRule type="cellIs" dxfId="405" priority="21" operator="lessThan">
      <formula>0.8</formula>
    </cfRule>
  </conditionalFormatting>
  <conditionalFormatting sqref="R56 AC56">
    <cfRule type="cellIs" dxfId="404" priority="24" operator="lessThan">
      <formula>0.8</formula>
    </cfRule>
  </conditionalFormatting>
  <conditionalFormatting sqref="AC56">
    <cfRule type="cellIs" dxfId="403" priority="22" operator="lessThan">
      <formula>0.8</formula>
    </cfRule>
  </conditionalFormatting>
  <conditionalFormatting sqref="O66">
    <cfRule type="cellIs" dxfId="402" priority="14" operator="greaterThan">
      <formula>0</formula>
    </cfRule>
  </conditionalFormatting>
  <conditionalFormatting sqref="P66 AA66">
    <cfRule type="cellIs" dxfId="401" priority="17" operator="lessThan">
      <formula>0</formula>
    </cfRule>
  </conditionalFormatting>
  <conditionalFormatting sqref="Q66 AB66">
    <cfRule type="cellIs" dxfId="400" priority="15" operator="greaterThan">
      <formula>1</formula>
    </cfRule>
    <cfRule type="cellIs" dxfId="399" priority="16" operator="lessThan">
      <formula>0.8</formula>
    </cfRule>
  </conditionalFormatting>
  <conditionalFormatting sqref="R66 AC66">
    <cfRule type="cellIs" dxfId="398" priority="18" operator="lessThan">
      <formula>0.8</formula>
    </cfRule>
  </conditionalFormatting>
  <conditionalFormatting sqref="P10">
    <cfRule type="cellIs" dxfId="397" priority="13" operator="lessThan">
      <formula>0</formula>
    </cfRule>
  </conditionalFormatting>
  <conditionalFormatting sqref="P19">
    <cfRule type="cellIs" dxfId="396" priority="12" operator="lessThan">
      <formula>0</formula>
    </cfRule>
  </conditionalFormatting>
  <conditionalFormatting sqref="P24">
    <cfRule type="cellIs" dxfId="395" priority="11" operator="lessThan">
      <formula>0</formula>
    </cfRule>
  </conditionalFormatting>
  <conditionalFormatting sqref="P35">
    <cfRule type="cellIs" dxfId="394" priority="10" operator="lessThan">
      <formula>0</formula>
    </cfRule>
  </conditionalFormatting>
  <conditionalFormatting sqref="P57">
    <cfRule type="cellIs" dxfId="393" priority="9" operator="lessThan">
      <formula>0</formula>
    </cfRule>
  </conditionalFormatting>
  <conditionalFormatting sqref="P64">
    <cfRule type="cellIs" dxfId="392" priority="8" operator="lessThan">
      <formula>0</formula>
    </cfRule>
  </conditionalFormatting>
  <conditionalFormatting sqref="P67">
    <cfRule type="cellIs" dxfId="391" priority="7" operator="lessThan">
      <formula>0</formula>
    </cfRule>
  </conditionalFormatting>
  <conditionalFormatting sqref="P76">
    <cfRule type="cellIs" dxfId="390" priority="6" operator="lessThan">
      <formula>0</formula>
    </cfRule>
  </conditionalFormatting>
  <conditionalFormatting sqref="O75">
    <cfRule type="cellIs" dxfId="389" priority="1" operator="greaterThan">
      <formula>0</formula>
    </cfRule>
  </conditionalFormatting>
  <conditionalFormatting sqref="P75">
    <cfRule type="cellIs" dxfId="388" priority="4" operator="lessThan">
      <formula>0</formula>
    </cfRule>
  </conditionalFormatting>
  <conditionalFormatting sqref="Q75">
    <cfRule type="cellIs" dxfId="387" priority="2" operator="greaterThan">
      <formula>1</formula>
    </cfRule>
    <cfRule type="cellIs" dxfId="386" priority="3" operator="lessThan">
      <formula>0.8</formula>
    </cfRule>
  </conditionalFormatting>
  <conditionalFormatting sqref="R75">
    <cfRule type="cellIs" dxfId="385" priority="5" operator="lessThan">
      <formula>0.8</formula>
    </cfRule>
  </conditionalFormatting>
  <dataValidations count="1">
    <dataValidation type="list" allowBlank="1" showInputMessage="1" showErrorMessage="1" sqref="Z10 Y5:Z9 Y10:Y66 Z12:Z65 Y67:Z76">
      <formula1>#REF!</formula1>
    </dataValidation>
  </dataValidations>
  <pageMargins left="0" right="0" top="0" bottom="0" header="0" footer="0"/>
  <pageSetup paperSize="9" scale="11" orientation="landscape" horizontalDpi="300" verticalDpi="300" r:id="rId1"/>
</worksheet>
</file>

<file path=xl/worksheets/sheet5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工作表41"/>
  <dimension ref="B1:Q28"/>
  <sheetViews>
    <sheetView zoomScale="85" zoomScaleNormal="85" workbookViewId="0">
      <selection activeCell="C3" sqref="C3:D3"/>
    </sheetView>
  </sheetViews>
  <sheetFormatPr defaultColWidth="8.75" defaultRowHeight="15.75"/>
  <cols>
    <col min="1" max="1" width="8.75" style="30"/>
    <col min="2" max="2" width="17.875" style="30" customWidth="1"/>
    <col min="3" max="3" width="9.25" style="37" customWidth="1"/>
    <col min="4" max="13" width="12.625" style="30" customWidth="1"/>
    <col min="14" max="14" width="11" style="30" bestFit="1" customWidth="1"/>
    <col min="15" max="15" width="17.75" style="30" bestFit="1" customWidth="1"/>
    <col min="16" max="16" width="12.25" style="30" bestFit="1" customWidth="1"/>
    <col min="17" max="22" width="9.25" style="30" customWidth="1"/>
    <col min="23" max="23" width="10.75" style="30" customWidth="1"/>
    <col min="24" max="24" width="11" style="30" customWidth="1"/>
    <col min="25" max="16384" width="8.75" style="30"/>
  </cols>
  <sheetData>
    <row r="1" spans="2:17" ht="27.75" customHeight="1">
      <c r="B1" s="552" t="s">
        <v>511</v>
      </c>
      <c r="C1" s="552"/>
      <c r="D1" s="552"/>
      <c r="E1" s="552"/>
      <c r="F1" s="552"/>
      <c r="G1" s="552"/>
      <c r="H1" s="552"/>
      <c r="I1" s="552"/>
      <c r="J1" s="552"/>
      <c r="K1" s="29"/>
      <c r="L1" s="29"/>
      <c r="M1" s="29"/>
      <c r="N1" s="29"/>
      <c r="O1" s="29"/>
      <c r="P1" s="29"/>
    </row>
    <row r="2" spans="2:17" ht="27.75" customHeight="1">
      <c r="B2" s="553"/>
      <c r="C2" s="553"/>
      <c r="D2" s="553"/>
      <c r="E2" s="553"/>
      <c r="F2" s="553"/>
      <c r="G2" s="553"/>
      <c r="H2" s="553"/>
      <c r="I2" s="553"/>
      <c r="J2" s="553"/>
      <c r="K2" s="31"/>
      <c r="L2" s="31"/>
      <c r="M2" s="31"/>
      <c r="N2" s="29"/>
      <c r="O2" s="29"/>
      <c r="P2" s="29"/>
    </row>
    <row r="3" spans="2:17" ht="46.5" customHeight="1">
      <c r="B3" s="32" t="s">
        <v>113</v>
      </c>
      <c r="C3" s="554" t="str">
        <f>TEXT('1006 4度C'!A2,"yyyy.mm.ddaaaa")</f>
        <v>2025.10.06星期一</v>
      </c>
      <c r="D3" s="555"/>
      <c r="E3" s="32" t="s">
        <v>89</v>
      </c>
      <c r="F3" s="556">
        <f>'1006 4度C'!D1</f>
        <v>192024</v>
      </c>
      <c r="G3" s="557"/>
      <c r="H3" s="32" t="s">
        <v>90</v>
      </c>
      <c r="I3" s="558">
        <f>'1006 4度C'!F1</f>
        <v>6176797.6500000013</v>
      </c>
      <c r="J3" s="559"/>
      <c r="K3" s="33"/>
      <c r="L3" s="34"/>
      <c r="M3" s="35"/>
      <c r="N3" s="35"/>
    </row>
    <row r="4" spans="2:17" ht="28.5" customHeight="1">
      <c r="B4" s="560" t="s">
        <v>512</v>
      </c>
      <c r="C4" s="542" t="s">
        <v>513</v>
      </c>
      <c r="D4" s="543"/>
      <c r="E4" s="563" t="s">
        <v>514</v>
      </c>
      <c r="F4" s="564"/>
      <c r="G4" s="563" t="s">
        <v>515</v>
      </c>
      <c r="H4" s="564"/>
      <c r="I4" s="563" t="s">
        <v>516</v>
      </c>
      <c r="J4" s="564"/>
      <c r="L4" s="35"/>
      <c r="M4" s="35"/>
      <c r="N4" s="35"/>
    </row>
    <row r="5" spans="2:17" ht="28.5" customHeight="1">
      <c r="B5" s="561"/>
      <c r="C5" s="542" t="s">
        <v>517</v>
      </c>
      <c r="D5" s="543"/>
      <c r="E5" s="542" t="s">
        <v>120</v>
      </c>
      <c r="F5" s="543"/>
      <c r="G5" s="544" t="s">
        <v>121</v>
      </c>
      <c r="H5" s="545"/>
      <c r="I5" s="546" t="s">
        <v>91</v>
      </c>
      <c r="J5" s="547"/>
      <c r="K5" s="35"/>
      <c r="L5" s="35"/>
      <c r="M5" s="35"/>
      <c r="N5" s="35"/>
    </row>
    <row r="6" spans="2:17" ht="28.5" customHeight="1">
      <c r="B6" s="561"/>
      <c r="C6" s="542" t="s">
        <v>92</v>
      </c>
      <c r="D6" s="543"/>
      <c r="E6" s="548">
        <f>AVERAGE(D13:M13)</f>
        <v>154.91456836387334</v>
      </c>
      <c r="F6" s="549">
        <f>AVERAGE(D27:O27,D13:J13)</f>
        <v>162.97870549415737</v>
      </c>
      <c r="G6" s="550">
        <f>AVERAGE(D13:J13)</f>
        <v>162.97870549415737</v>
      </c>
      <c r="H6" s="551"/>
      <c r="I6" s="550">
        <f>AVERAGE(K13:M13)</f>
        <v>136.09824839321064</v>
      </c>
      <c r="J6" s="551"/>
      <c r="K6" s="35"/>
      <c r="L6" s="35"/>
      <c r="M6" s="35"/>
      <c r="N6" s="35"/>
    </row>
    <row r="7" spans="2:17" ht="28.5" customHeight="1">
      <c r="B7" s="561"/>
      <c r="C7" s="532" t="s">
        <v>93</v>
      </c>
      <c r="D7" s="533"/>
      <c r="E7" s="534">
        <f>AVERAGE(D14:M14)</f>
        <v>148.26178731201543</v>
      </c>
      <c r="F7" s="535">
        <f>AVERAGE(D28:O28,D14:J14)</f>
        <v>155.98432746531424</v>
      </c>
      <c r="G7" s="536">
        <f>AVERAGE(D14:J14)</f>
        <v>155.98432746531424</v>
      </c>
      <c r="H7" s="537"/>
      <c r="I7" s="536">
        <f>AVERAGE(K14:M14)</f>
        <v>130.24252695431827</v>
      </c>
      <c r="J7" s="537"/>
      <c r="K7" s="35"/>
      <c r="L7" s="35"/>
      <c r="M7" s="35"/>
      <c r="N7" s="35"/>
    </row>
    <row r="8" spans="2:17" ht="28.5" customHeight="1">
      <c r="B8" s="562"/>
      <c r="C8" s="532" t="s">
        <v>94</v>
      </c>
      <c r="D8" s="533"/>
      <c r="E8" s="538">
        <f>AVERAGE(D15:M15)</f>
        <v>0.95747955358918091</v>
      </c>
      <c r="F8" s="539">
        <f>AVERAGE(D15:J15,D29:O29)</f>
        <v>0.9576550508465812</v>
      </c>
      <c r="G8" s="540">
        <f>AVERAGE(D15:J15)</f>
        <v>0.9576550508465812</v>
      </c>
      <c r="H8" s="541"/>
      <c r="I8" s="540">
        <f>AVERAGE(K15:M15)</f>
        <v>0.95707005998857975</v>
      </c>
      <c r="J8" s="541"/>
      <c r="K8" s="36" t="s">
        <v>518</v>
      </c>
      <c r="L8" s="35"/>
      <c r="M8" s="35"/>
      <c r="N8" s="35"/>
    </row>
    <row r="9" spans="2:17" ht="28.5" customHeight="1" thickBot="1">
      <c r="H9" s="38"/>
      <c r="N9" s="35"/>
      <c r="O9" s="35"/>
      <c r="P9" s="35"/>
      <c r="Q9" s="35"/>
    </row>
    <row r="10" spans="2:17" ht="30" customHeight="1">
      <c r="B10" s="515" t="s">
        <v>519</v>
      </c>
      <c r="C10" s="516"/>
      <c r="D10" s="517" t="s">
        <v>520</v>
      </c>
      <c r="E10" s="518"/>
      <c r="F10" s="518"/>
      <c r="G10" s="518"/>
      <c r="H10" s="518"/>
      <c r="I10" s="518"/>
      <c r="J10" s="519"/>
      <c r="K10" s="520" t="s">
        <v>521</v>
      </c>
      <c r="L10" s="521"/>
      <c r="M10" s="522"/>
      <c r="P10" s="39"/>
      <c r="Q10" s="39"/>
    </row>
    <row r="11" spans="2:17" ht="17.25" customHeight="1">
      <c r="B11" s="523" t="s">
        <v>522</v>
      </c>
      <c r="C11" s="524"/>
      <c r="D11" s="40">
        <v>1</v>
      </c>
      <c r="E11" s="41">
        <v>2</v>
      </c>
      <c r="F11" s="41">
        <v>3</v>
      </c>
      <c r="G11" s="41">
        <v>4</v>
      </c>
      <c r="H11" s="41">
        <v>5</v>
      </c>
      <c r="I11" s="41">
        <v>6</v>
      </c>
      <c r="J11" s="42">
        <v>7</v>
      </c>
      <c r="K11" s="40">
        <v>1</v>
      </c>
      <c r="L11" s="41">
        <v>2</v>
      </c>
      <c r="M11" s="42">
        <v>3</v>
      </c>
      <c r="P11" s="39"/>
      <c r="Q11" s="39"/>
    </row>
    <row r="12" spans="2:17" ht="34.15" customHeight="1">
      <c r="B12" s="525"/>
      <c r="C12" s="526"/>
      <c r="D12" s="43" t="s">
        <v>96</v>
      </c>
      <c r="E12" s="44" t="s">
        <v>97</v>
      </c>
      <c r="F12" s="44" t="s">
        <v>98</v>
      </c>
      <c r="G12" s="44" t="s">
        <v>99</v>
      </c>
      <c r="H12" s="44" t="s">
        <v>100</v>
      </c>
      <c r="I12" s="44" t="s">
        <v>101</v>
      </c>
      <c r="J12" s="45" t="s">
        <v>102</v>
      </c>
      <c r="K12" s="43" t="s">
        <v>103</v>
      </c>
      <c r="L12" s="44" t="s">
        <v>104</v>
      </c>
      <c r="M12" s="45" t="s">
        <v>105</v>
      </c>
    </row>
    <row r="13" spans="2:17" ht="40.15" customHeight="1">
      <c r="B13" s="527" t="s">
        <v>523</v>
      </c>
      <c r="C13" s="46" t="s">
        <v>107</v>
      </c>
      <c r="D13" s="47">
        <f>SUMIFS('1006 4度C'!$K:$K,'1006 4度C'!$A:$A,"新豐6線",'1006 4度C'!$B:$B,"平均")</f>
        <v>125</v>
      </c>
      <c r="E13" s="48">
        <f>SUMIFS('1006 4度C'!$K:$K,'1006 4度C'!$A:$A,"新豐2線",'1006 4度C'!$B:$B,"平均")</f>
        <v>81.081081081081081</v>
      </c>
      <c r="F13" s="49">
        <f>SUMIFS('1006 4度C'!$K:$K,'1006 4度C'!$A:$A,"新豐5線",'1006 4度C'!$B:$B,"平均")</f>
        <v>110.28037383177572</v>
      </c>
      <c r="G13" s="49">
        <f>SUMIFS('1006 4度C'!$K:$K,'1006 4度C'!$A:$A,"新豐7線",'1006 4度C'!$B:$B,"平均")</f>
        <v>120.48192771084337</v>
      </c>
      <c r="H13" s="49">
        <f>SUMIFS('1006 4度C'!$K:$K,'1006 4度C'!$A:$A,"新豐3線",'1006 4度C'!$B:$B,"平均")</f>
        <v>310.34482758620692</v>
      </c>
      <c r="I13" s="49">
        <f>SUMIFS('1006 4度C'!$K:$K,'1006 4度C'!$A:$A,"新豐1線",'1006 4度C'!$B:$B,"平均")</f>
        <v>117.34693877551021</v>
      </c>
      <c r="J13" s="50">
        <f>SUMIFS('1006 4度C'!$K:$K,'1006 4度C'!$A:$A,"新豐10線",'1006 4度C'!$B:$B,"平均")</f>
        <v>276.31578947368422</v>
      </c>
      <c r="K13" s="51">
        <f>SUMIFS('1006 4度C'!$K:$K,'1006 4度C'!$A:$A,"新豐8線",'1006 4度C'!$B:$B,"平均")</f>
        <v>128.34224598930481</v>
      </c>
      <c r="L13" s="52">
        <f>SUMIFS('1006 4度C'!$K:$K,'1006 4度C'!$A:$A,"新豐9線",'1006 4度C'!$B:$B,"平均")</f>
        <v>142.37288135593221</v>
      </c>
      <c r="M13" s="50">
        <f>SUMIFS('1006 4度C'!$K:$K,'1006 4度C'!$A:$A,"新豐4線",'1006 4度C'!$B:$B,"平均")</f>
        <v>137.57961783439492</v>
      </c>
    </row>
    <row r="14" spans="2:17" ht="39.6" customHeight="1">
      <c r="B14" s="528"/>
      <c r="C14" s="53" t="s">
        <v>128</v>
      </c>
      <c r="D14" s="54">
        <f>SUMIFS('1006 4度C'!$N:$N,'1006 4度C'!$A:$A,"新豐6線",'1006 4度C'!$B:$B,"平均")</f>
        <v>120.07990056818177</v>
      </c>
      <c r="E14" s="55">
        <f>SUMIFS('1006 4度C'!$N:$N,'1006 4度C'!$A:$A,"新豐2線",'1006 4度C'!$B:$B,"平均")</f>
        <v>77.602493499895942</v>
      </c>
      <c r="F14" s="55">
        <f>SUMIFS('1006 4度C'!$N:$N,'1006 4度C'!$A:$A,"新豐5線",'1006 4度C'!$B:$B,"平均")</f>
        <v>105.4132222634192</v>
      </c>
      <c r="G14" s="55">
        <f>SUMIFS('1006 4度C'!$N:$N,'1006 4度C'!$A:$A,"新豐7線",'1006 4度C'!$B:$B,"平均")</f>
        <v>115.63442829067026</v>
      </c>
      <c r="H14" s="55">
        <f>SUMIFS('1006 4度C'!$N:$N,'1006 4度C'!$A:$A,"新豐3線",'1006 4度C'!$B:$B,"平均")</f>
        <v>296.54369586278909</v>
      </c>
      <c r="I14" s="55">
        <f>SUMIFS('1006 4度C'!$N:$N,'1006 4度C'!$A:$A,"新豐1線",'1006 4度C'!$B:$B,"平均")</f>
        <v>112.52888220543602</v>
      </c>
      <c r="J14" s="56">
        <f>SUMIFS('1006 4度C'!$N:$N,'1006 4度C'!$A:$A,"新豐10線",'1006 4度C'!$B:$B,"平均")</f>
        <v>264.08766956680734</v>
      </c>
      <c r="K14" s="57">
        <f>SUMIFS('1006 4度C'!$N:$N,'1006 4度C'!$A:$A,"新豐8線",'1006 4度C'!$B:$B,"平均")</f>
        <v>123.13121500508156</v>
      </c>
      <c r="L14" s="58">
        <f>SUMIFS('1006 4度C'!$N:$N,'1006 4度C'!$A:$A,"新豐9線",'1006 4度C'!$B:$B,"平均")</f>
        <v>135.73814228296035</v>
      </c>
      <c r="M14" s="56">
        <f>SUMIFS('1006 4度C'!$N:$N,'1006 4度C'!$A:$A,"新豐4線",'1006 4度C'!$B:$B,"平均")</f>
        <v>131.85822357491296</v>
      </c>
    </row>
    <row r="15" spans="2:17" ht="40.15" customHeight="1">
      <c r="B15" s="529"/>
      <c r="C15" s="59" t="s">
        <v>129</v>
      </c>
      <c r="D15" s="60">
        <f t="shared" ref="D15:M15" si="0">D14/D13</f>
        <v>0.96063920454545415</v>
      </c>
      <c r="E15" s="61">
        <f t="shared" si="0"/>
        <v>0.95709741983204999</v>
      </c>
      <c r="F15" s="61">
        <f t="shared" si="0"/>
        <v>0.95586565950727564</v>
      </c>
      <c r="G15" s="61">
        <f t="shared" si="0"/>
        <v>0.95976575481256321</v>
      </c>
      <c r="H15" s="61">
        <f t="shared" si="0"/>
        <v>0.95552968666898697</v>
      </c>
      <c r="I15" s="61">
        <f t="shared" si="0"/>
        <v>0.95894177879415032</v>
      </c>
      <c r="J15" s="62">
        <f t="shared" si="0"/>
        <v>0.95574585176558846</v>
      </c>
      <c r="K15" s="60">
        <f t="shared" si="0"/>
        <v>0.95939738358126048</v>
      </c>
      <c r="L15" s="61">
        <f t="shared" si="0"/>
        <v>0.9533988565112691</v>
      </c>
      <c r="M15" s="62">
        <f t="shared" si="0"/>
        <v>0.95841393987320977</v>
      </c>
    </row>
    <row r="16" spans="2:17" ht="17.25" customHeight="1">
      <c r="B16" s="530" t="s">
        <v>130</v>
      </c>
      <c r="C16" s="63" t="s">
        <v>221</v>
      </c>
      <c r="D16" s="64">
        <f>VLOOKUP("新豐6線",'1006 4度C'!$A:$T,19,0)</f>
        <v>0.70833333333333337</v>
      </c>
      <c r="E16" s="24">
        <f>VLOOKUP("新豐2線",'1006 4度C'!$A:$T,19,0)</f>
        <v>0.16666666666666666</v>
      </c>
      <c r="F16" s="24">
        <f>VLOOKUP("新豐5線",'1006 4度C'!$A:$T,19,0)</f>
        <v>0.16666666666666666</v>
      </c>
      <c r="G16" s="24">
        <f>VLOOKUP("新豐7線",'1006 4度C'!$A:$T,19,0)</f>
        <v>0.20833333333333334</v>
      </c>
      <c r="H16" s="24">
        <f>VLOOKUP("新豐3線",'1006 4度C'!$A:$T,19,0)</f>
        <v>0.20833333333333334</v>
      </c>
      <c r="I16" s="24">
        <f>VLOOKUP("新豐1線",'1006 4度C'!$A:$T,19,0)</f>
        <v>0.20833333333333334</v>
      </c>
      <c r="J16" s="65">
        <f>VLOOKUP("新豐10線",'1006 4度C'!$A:$T,19,0)</f>
        <v>0.20833333333333334</v>
      </c>
      <c r="K16" s="66">
        <f>VLOOKUP("新豐8線",'1006 4度C'!$A:$T,19,0)</f>
        <v>0.125</v>
      </c>
      <c r="L16" s="67">
        <f>VLOOKUP("新豐9線",'1006 4度C'!$A:$T,19,0)</f>
        <v>0.125</v>
      </c>
      <c r="M16" s="68">
        <f>VLOOKUP("新豐4線",'1006 4度C'!$A:$T,19,0)</f>
        <v>0.125</v>
      </c>
    </row>
    <row r="17" spans="2:13" ht="17.25" customHeight="1">
      <c r="B17" s="531"/>
      <c r="C17" s="63" t="s">
        <v>132</v>
      </c>
      <c r="D17" s="66">
        <f>LOOKUP(2,1/(('1006 4度C'!$A:$A="新豐6線")*('1006 4度C'!$T:$T&lt;&gt;"")),'1006 4度C'!$T:$T)</f>
        <v>0.83333333333333337</v>
      </c>
      <c r="E17" s="24">
        <f>LOOKUP(2,1/(('1006 4度C'!$A:$A="新豐2線")*('1006 4度C'!$T:$T&lt;&gt;"")),'1006 4度C'!$T:$T)</f>
        <v>0.49652777777777773</v>
      </c>
      <c r="F17" s="24">
        <f>LOOKUP(2,1/(('1006 4度C'!$A:$A="新豐5線")*('1006 4度C'!$T:$T&lt;&gt;"")),'1006 4度C'!$T:$T)</f>
        <v>0.84930555555555554</v>
      </c>
      <c r="G17" s="24">
        <f>LOOKUP(2,1/(('1006 4度C'!$A:$A="新豐7線")*('1006 4度C'!$T:$T&lt;&gt;"")),'1006 4度C'!$T:$T)</f>
        <v>0.77361111111111114</v>
      </c>
      <c r="H17" s="24">
        <f>LOOKUP(2,1/(('1006 4度C'!$A:$A="新豐3線")*('1006 4度C'!$T:$T&lt;&gt;"")),'1006 4度C'!$T:$T)</f>
        <v>0.61874999999999991</v>
      </c>
      <c r="I17" s="24">
        <f>LOOKUP(2,1/(('1006 4度C'!$A:$A="新豐1線")*('1006 4度C'!$T:$T&lt;&gt;"")),'1006 4度C'!$T:$T)</f>
        <v>0.8520833333333333</v>
      </c>
      <c r="J17" s="65">
        <f>LOOKUP(2,1/(('1006 4度C'!$A:$A="新豐10線")*('1006 4度C'!$T:$T&lt;&gt;"")),'1006 4度C'!$T:$T)</f>
        <v>0.43333333333333329</v>
      </c>
      <c r="K17" s="64">
        <f>LOOKUP(2,1/(('1006 4度C'!$A:$A="新豐8線")*('1006 4度C'!$T:$T&lt;&gt;"")),'1006 4度C'!$T:$T)</f>
        <v>0.78888888888888875</v>
      </c>
      <c r="L17" s="24">
        <f>LOOKUP(2,1/(('1006 4度C'!$A:$A="新豐9線")*('1006 4度C'!$T:$T&lt;&gt;"")),'1006 4度C'!$T:$T)</f>
        <v>0.78888888888888886</v>
      </c>
      <c r="M17" s="65">
        <f>LOOKUP(2,1/(('1006 4度C'!$A:$A="新豐4線")*('1006 4度C'!$T:$T&lt;&gt;"")),'1006 4度C'!$T:$T)</f>
        <v>0.76944444444444426</v>
      </c>
    </row>
    <row r="18" spans="2:13" ht="17.25" customHeight="1">
      <c r="B18" s="509" t="s">
        <v>223</v>
      </c>
      <c r="C18" s="510"/>
      <c r="D18" s="69">
        <f>SUMIFS('1006 4度C'!$I:$I,'1006 4度C'!$A:$A,"新豐6線",'1006 4度C'!$B:$B,"平均")</f>
        <v>16</v>
      </c>
      <c r="E18" s="70">
        <f>SUMIFS('1006 4度C'!$I:$I,'1006 4度C'!$A:$A,"新豐2線",'1006 4度C'!$B:$B,"平均")</f>
        <v>18.5</v>
      </c>
      <c r="F18" s="70">
        <f>SUMIFS('1006 4度C'!$I:$I,'1006 4度C'!$A:$A,"新豐5線",'1006 4度C'!$B:$B,"平均")</f>
        <v>17.833333333333332</v>
      </c>
      <c r="G18" s="70">
        <f>SUMIFS('1006 4度C'!$I:$I,'1006 4度C'!$A:$A,"新豐7線",'1006 4度C'!$B:$B,"平均")</f>
        <v>16.600000000000001</v>
      </c>
      <c r="H18" s="70">
        <f>SUMIFS('1006 4度C'!$I:$I,'1006 4度C'!$A:$A,"新豐3線",'1006 4度C'!$B:$B,"平均")</f>
        <v>9.6666666666666661</v>
      </c>
      <c r="I18" s="70">
        <f>SUMIFS('1006 4度C'!$I:$I,'1006 4度C'!$A:$A,"新豐1線",'1006 4度C'!$B:$B,"平均")</f>
        <v>16.333333333333332</v>
      </c>
      <c r="J18" s="71">
        <f>SUMIFS('1006 4度C'!$I:$I,'1006 4度C'!$A:$A,"新豐10線",'1006 4度C'!$B:$B,"平均")</f>
        <v>9.5</v>
      </c>
      <c r="K18" s="69">
        <f>SUMIFS('1006 4度C'!$I:$I,'1006 4度C'!$A:$A,"新豐8線",'1006 4度C'!$B:$B,"平均")</f>
        <v>18.7</v>
      </c>
      <c r="L18" s="70">
        <f>SUMIFS('1006 4度C'!$I:$I,'1006 4度C'!$A:$A,"新豐9線",'1006 4度C'!$B:$B,"平均")</f>
        <v>16.857142857142858</v>
      </c>
      <c r="M18" s="71">
        <f>SUMIFS('1006 4度C'!$I:$I,'1006 4度C'!$A:$A,"新豐4線",'1006 4度C'!$B:$B,"平均")</f>
        <v>17.444444444444443</v>
      </c>
    </row>
    <row r="19" spans="2:13" ht="17.25" customHeight="1">
      <c r="B19" s="509" t="s">
        <v>524</v>
      </c>
      <c r="C19" s="510"/>
      <c r="D19" s="72" t="s">
        <v>109</v>
      </c>
      <c r="E19" s="73" t="s">
        <v>110</v>
      </c>
      <c r="F19" s="73" t="s">
        <v>134</v>
      </c>
      <c r="G19" s="73" t="s">
        <v>525</v>
      </c>
      <c r="H19" s="73" t="s">
        <v>111</v>
      </c>
      <c r="I19" s="73" t="s">
        <v>109</v>
      </c>
      <c r="J19" s="74" t="s">
        <v>111</v>
      </c>
      <c r="K19" s="72" t="s">
        <v>137</v>
      </c>
      <c r="L19" s="73" t="s">
        <v>137</v>
      </c>
      <c r="M19" s="74" t="s">
        <v>526</v>
      </c>
    </row>
    <row r="20" spans="2:13" ht="17.25" customHeight="1">
      <c r="B20" s="509" t="s">
        <v>139</v>
      </c>
      <c r="C20" s="510"/>
      <c r="D20" s="72"/>
      <c r="E20" s="73"/>
      <c r="F20" s="73" t="s">
        <v>301</v>
      </c>
      <c r="G20" s="73" t="s">
        <v>109</v>
      </c>
      <c r="H20" s="73"/>
      <c r="I20" s="73"/>
      <c r="J20" s="74"/>
      <c r="K20" s="72"/>
      <c r="L20" s="73"/>
      <c r="M20" s="74"/>
    </row>
    <row r="21" spans="2:13" ht="17.25" customHeight="1" thickBot="1">
      <c r="B21" s="511" t="s">
        <v>229</v>
      </c>
      <c r="C21" s="512"/>
      <c r="D21" s="75"/>
      <c r="E21" s="76" t="s">
        <v>527</v>
      </c>
      <c r="F21" s="513" t="s">
        <v>303</v>
      </c>
      <c r="G21" s="514"/>
      <c r="H21" s="76" t="s">
        <v>528</v>
      </c>
      <c r="I21" s="76" t="s">
        <v>529</v>
      </c>
      <c r="J21" s="77" t="s">
        <v>144</v>
      </c>
      <c r="K21" s="78"/>
      <c r="L21" s="76"/>
      <c r="M21" s="77"/>
    </row>
    <row r="22" spans="2:13" ht="17.25" customHeight="1"/>
    <row r="23" spans="2:13" ht="17.25" customHeight="1"/>
    <row r="24" spans="2:13" ht="17.25" customHeight="1"/>
    <row r="25" spans="2:13" ht="37.5" customHeight="1"/>
    <row r="26" spans="2:13" ht="35.25" customHeight="1"/>
    <row r="27" spans="2:13" ht="35.25" customHeight="1"/>
    <row r="28" spans="2:13" ht="39.75" customHeight="1"/>
  </sheetData>
  <mergeCells count="36">
    <mergeCell ref="B20:C20"/>
    <mergeCell ref="B21:C21"/>
    <mergeCell ref="F21:G21"/>
    <mergeCell ref="K10:M10"/>
    <mergeCell ref="B11:C12"/>
    <mergeCell ref="B13:B15"/>
    <mergeCell ref="B18:C18"/>
    <mergeCell ref="B19:C19"/>
    <mergeCell ref="I6:J6"/>
    <mergeCell ref="B16:B17"/>
    <mergeCell ref="C7:D7"/>
    <mergeCell ref="E7:F7"/>
    <mergeCell ref="G7:H7"/>
    <mergeCell ref="I7:J7"/>
    <mergeCell ref="C8:D8"/>
    <mergeCell ref="E8:F8"/>
    <mergeCell ref="G8:H8"/>
    <mergeCell ref="I8:J8"/>
    <mergeCell ref="B10:C10"/>
    <mergeCell ref="D10:J10"/>
    <mergeCell ref="B1:J2"/>
    <mergeCell ref="C3:D3"/>
    <mergeCell ref="F3:G3"/>
    <mergeCell ref="I3:J3"/>
    <mergeCell ref="B4:B8"/>
    <mergeCell ref="C4:D4"/>
    <mergeCell ref="E4:F4"/>
    <mergeCell ref="G4:H4"/>
    <mergeCell ref="I4:J4"/>
    <mergeCell ref="C5:D5"/>
    <mergeCell ref="E5:F5"/>
    <mergeCell ref="G5:H5"/>
    <mergeCell ref="I5:J5"/>
    <mergeCell ref="C6:D6"/>
    <mergeCell ref="E6:F6"/>
    <mergeCell ref="G6:H6"/>
  </mergeCells>
  <phoneticPr fontId="3" type="noConversion"/>
  <conditionalFormatting sqref="D15:M15">
    <cfRule type="cellIs" dxfId="384" priority="1" operator="lessThan">
      <formula>0.8</formula>
    </cfRule>
  </conditionalFormatting>
  <pageMargins left="0.7" right="0.7" top="0.75" bottom="0.75" header="0.3" footer="0.3"/>
  <pageSetup paperSize="9" orientation="portrait" horizontalDpi="300" verticalDpi="300" r:id="rId1"/>
</worksheet>
</file>

<file path=xl/worksheets/sheet5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工作表1311">
    <pageSetUpPr fitToPage="1"/>
  </sheetPr>
  <dimension ref="A1:AC73"/>
  <sheetViews>
    <sheetView zoomScale="80" zoomScaleNormal="80" workbookViewId="0">
      <pane ySplit="4" topLeftCell="A5" activePane="bottomLeft" state="frozen"/>
      <selection activeCell="C3" sqref="C3:D3"/>
      <selection pane="bottomLeft" activeCell="C3" sqref="C3:D4"/>
    </sheetView>
  </sheetViews>
  <sheetFormatPr defaultColWidth="8" defaultRowHeight="15.75"/>
  <cols>
    <col min="1" max="1" width="15.125" style="5" customWidth="1"/>
    <col min="2" max="2" width="19.375" style="5" customWidth="1"/>
    <col min="3" max="3" width="15.25" style="5" customWidth="1"/>
    <col min="4" max="4" width="17.5" style="5" customWidth="1"/>
    <col min="5" max="5" width="7.5" style="5" bestFit="1" customWidth="1"/>
    <col min="6" max="6" width="14.375" style="5" bestFit="1" customWidth="1"/>
    <col min="7" max="7" width="14.375" style="5" customWidth="1"/>
    <col min="8" max="8" width="8" style="5" customWidth="1"/>
    <col min="9" max="9" width="5.875" style="5" customWidth="1"/>
    <col min="10" max="10" width="10.625" style="5" customWidth="1"/>
    <col min="11" max="11" width="14.625" style="5" customWidth="1"/>
    <col min="12" max="12" width="7.25" style="5" bestFit="1" customWidth="1"/>
    <col min="13" max="13" width="8" style="5" customWidth="1"/>
    <col min="14" max="14" width="12" style="5" customWidth="1"/>
    <col min="15" max="15" width="6" style="5" customWidth="1"/>
    <col min="16" max="16" width="9.25" style="5" customWidth="1"/>
    <col min="17" max="17" width="11.5" style="5" customWidth="1"/>
    <col min="18" max="18" width="8.5" style="5" customWidth="1"/>
    <col min="19" max="19" width="10.125" style="5" bestFit="1" customWidth="1"/>
    <col min="20" max="20" width="7.625" style="5" bestFit="1" customWidth="1"/>
    <col min="21" max="21" width="10.25" style="5" bestFit="1" customWidth="1"/>
    <col min="22" max="22" width="8.75" style="18" customWidth="1"/>
    <col min="23" max="23" width="7.375" style="5" customWidth="1"/>
    <col min="24" max="24" width="6.875" style="5" bestFit="1" customWidth="1"/>
    <col min="25" max="25" width="12.75" style="5" customWidth="1"/>
    <col min="26" max="26" width="18.875" style="5" customWidth="1"/>
    <col min="27" max="27" width="13.125" style="5" bestFit="1" customWidth="1"/>
    <col min="28" max="28" width="10.375" style="5" customWidth="1"/>
    <col min="29" max="29" width="9.375" style="5" customWidth="1"/>
    <col min="30" max="30" width="8" style="5"/>
    <col min="31" max="31" width="24.625" style="5" bestFit="1" customWidth="1"/>
    <col min="32" max="16384" width="8" style="5"/>
  </cols>
  <sheetData>
    <row r="1" spans="1:29" ht="26.25" customHeight="1">
      <c r="A1" s="1" t="s">
        <v>530</v>
      </c>
      <c r="B1" s="1"/>
      <c r="C1" s="2" t="s">
        <v>531</v>
      </c>
      <c r="D1" s="3">
        <f>SUM(F5:F72)</f>
        <v>192024</v>
      </c>
      <c r="E1" s="152" t="s">
        <v>532</v>
      </c>
      <c r="F1" s="1">
        <f>SUM(G5:G72)</f>
        <v>6176797.6500000013</v>
      </c>
      <c r="G1" s="1" t="s">
        <v>533</v>
      </c>
      <c r="H1" s="4">
        <f>L8+L11+L50+L57+L18+L62+L35+L43+L24+L72</f>
        <v>157.43492063492062</v>
      </c>
      <c r="I1" s="652" t="s">
        <v>534</v>
      </c>
      <c r="J1" s="652"/>
      <c r="K1" s="652"/>
      <c r="L1" s="652" t="s">
        <v>535</v>
      </c>
      <c r="M1" s="652"/>
      <c r="N1" s="652"/>
      <c r="O1" s="652" t="s">
        <v>536</v>
      </c>
      <c r="P1" s="652"/>
      <c r="Q1" s="652"/>
      <c r="R1" s="652"/>
      <c r="S1" s="652" t="s">
        <v>537</v>
      </c>
      <c r="T1" s="652"/>
      <c r="U1" s="652"/>
      <c r="V1" s="652"/>
      <c r="W1" s="652"/>
      <c r="X1" s="652"/>
      <c r="Y1" s="652" t="s">
        <v>538</v>
      </c>
      <c r="Z1" s="652"/>
      <c r="AA1" s="652" t="s">
        <v>539</v>
      </c>
      <c r="AB1" s="653"/>
      <c r="AC1" s="653"/>
    </row>
    <row r="2" spans="1:29" ht="26.25" customHeight="1">
      <c r="A2" s="19">
        <v>45936</v>
      </c>
      <c r="B2" s="20" t="s">
        <v>540</v>
      </c>
      <c r="C2" s="2" t="s">
        <v>541</v>
      </c>
      <c r="D2" s="6">
        <f>AVERAGE(N8,N11,N50,N57,N18,N62,N24,N35,N43,N72)</f>
        <v>148.26178731201543</v>
      </c>
      <c r="E2" s="7" t="s">
        <v>2</v>
      </c>
      <c r="F2" s="8">
        <f>F1/D1</f>
        <v>32.166800243719543</v>
      </c>
      <c r="G2" s="1" t="s">
        <v>542</v>
      </c>
      <c r="H2" s="161">
        <f>COUNT(H5:H72)</f>
        <v>11</v>
      </c>
      <c r="I2" s="652"/>
      <c r="J2" s="652"/>
      <c r="K2" s="652"/>
      <c r="L2" s="652"/>
      <c r="M2" s="652"/>
      <c r="N2" s="652"/>
      <c r="O2" s="652"/>
      <c r="P2" s="652"/>
      <c r="Q2" s="652"/>
      <c r="R2" s="652"/>
      <c r="S2" s="652"/>
      <c r="T2" s="652"/>
      <c r="U2" s="652"/>
      <c r="V2" s="652"/>
      <c r="W2" s="652"/>
      <c r="X2" s="652"/>
      <c r="Y2" s="652"/>
      <c r="Z2" s="652"/>
      <c r="AA2" s="653"/>
      <c r="AB2" s="653"/>
      <c r="AC2" s="653"/>
    </row>
    <row r="3" spans="1:29" ht="23.25" customHeight="1">
      <c r="A3" s="617" t="s">
        <v>543</v>
      </c>
      <c r="B3" s="617" t="s">
        <v>544</v>
      </c>
      <c r="C3" s="617" t="s">
        <v>545</v>
      </c>
      <c r="D3" s="617"/>
      <c r="E3" s="654" t="s">
        <v>546</v>
      </c>
      <c r="F3" s="617" t="s">
        <v>547</v>
      </c>
      <c r="G3" s="654" t="s">
        <v>548</v>
      </c>
      <c r="H3" s="646" t="s">
        <v>549</v>
      </c>
      <c r="I3" s="645" t="s">
        <v>550</v>
      </c>
      <c r="J3" s="649" t="s">
        <v>551</v>
      </c>
      <c r="K3" s="651" t="s">
        <v>541</v>
      </c>
      <c r="L3" s="645" t="s">
        <v>550</v>
      </c>
      <c r="M3" s="649" t="s">
        <v>551</v>
      </c>
      <c r="N3" s="651" t="s">
        <v>541</v>
      </c>
      <c r="O3" s="645" t="s">
        <v>550</v>
      </c>
      <c r="P3" s="651" t="s">
        <v>541</v>
      </c>
      <c r="Q3" s="650" t="s">
        <v>552</v>
      </c>
      <c r="R3" s="633" t="s">
        <v>553</v>
      </c>
      <c r="S3" s="617" t="s">
        <v>14</v>
      </c>
      <c r="T3" s="617"/>
      <c r="U3" s="646" t="s">
        <v>15</v>
      </c>
      <c r="V3" s="646" t="s">
        <v>554</v>
      </c>
      <c r="W3" s="617" t="s">
        <v>555</v>
      </c>
      <c r="X3" s="617"/>
      <c r="Y3" s="647" t="s">
        <v>556</v>
      </c>
      <c r="Z3" s="648"/>
      <c r="AA3" s="649" t="s">
        <v>551</v>
      </c>
      <c r="AB3" s="650" t="s">
        <v>552</v>
      </c>
      <c r="AC3" s="633" t="s">
        <v>553</v>
      </c>
    </row>
    <row r="4" spans="1:29">
      <c r="A4" s="617"/>
      <c r="B4" s="617"/>
      <c r="C4" s="617"/>
      <c r="D4" s="617"/>
      <c r="E4" s="655"/>
      <c r="F4" s="617"/>
      <c r="G4" s="655"/>
      <c r="H4" s="646"/>
      <c r="I4" s="645"/>
      <c r="J4" s="649"/>
      <c r="K4" s="651"/>
      <c r="L4" s="645"/>
      <c r="M4" s="649"/>
      <c r="N4" s="651"/>
      <c r="O4" s="645"/>
      <c r="P4" s="651"/>
      <c r="Q4" s="650"/>
      <c r="R4" s="633"/>
      <c r="S4" s="152" t="s">
        <v>18</v>
      </c>
      <c r="T4" s="152" t="s">
        <v>19</v>
      </c>
      <c r="U4" s="646"/>
      <c r="V4" s="646"/>
      <c r="W4" s="152" t="s">
        <v>557</v>
      </c>
      <c r="X4" s="152" t="s">
        <v>558</v>
      </c>
      <c r="Y4" s="648"/>
      <c r="Z4" s="648"/>
      <c r="AA4" s="649"/>
      <c r="AB4" s="650"/>
      <c r="AC4" s="633"/>
    </row>
    <row r="5" spans="1:29">
      <c r="A5" s="644" t="s">
        <v>559</v>
      </c>
      <c r="B5" s="26" t="s">
        <v>36</v>
      </c>
      <c r="C5" s="601" t="s">
        <v>37</v>
      </c>
      <c r="D5" s="601"/>
      <c r="E5" s="26">
        <v>46.93</v>
      </c>
      <c r="F5" s="162">
        <v>1071</v>
      </c>
      <c r="G5" s="152">
        <f>E5*F5</f>
        <v>50262.03</v>
      </c>
      <c r="H5" s="21" t="s">
        <v>35</v>
      </c>
      <c r="I5" s="159">
        <v>16</v>
      </c>
      <c r="J5" s="23">
        <v>2000</v>
      </c>
      <c r="K5" s="9">
        <f>J5/I5</f>
        <v>125</v>
      </c>
      <c r="L5" s="159">
        <v>16</v>
      </c>
      <c r="M5" s="10">
        <f>F5/V5*60</f>
        <v>1947.2727272727248</v>
      </c>
      <c r="N5" s="9">
        <f>M5/L5</f>
        <v>121.7045454545453</v>
      </c>
      <c r="O5" s="11">
        <f t="shared" ref="O5:O7" si="0">L5-I5</f>
        <v>0</v>
      </c>
      <c r="P5" s="12">
        <f t="shared" ref="P5:P7" si="1">N5-K5</f>
        <v>-3.2954545454547031</v>
      </c>
      <c r="Q5" s="153">
        <f>N5/K5</f>
        <v>0.97363636363636241</v>
      </c>
      <c r="R5" s="571">
        <f>Q8</f>
        <v>0.96063920454545415</v>
      </c>
      <c r="S5" s="24">
        <v>0.70833333333333337</v>
      </c>
      <c r="T5" s="24">
        <v>0.73125000000000007</v>
      </c>
      <c r="U5" s="152"/>
      <c r="V5" s="160">
        <f>(T5-S5)*24*60</f>
        <v>33.000000000000043</v>
      </c>
      <c r="W5" s="13"/>
      <c r="X5" s="14"/>
      <c r="Y5" s="617"/>
      <c r="Z5" s="617"/>
      <c r="AA5" s="11">
        <f t="shared" ref="AA5:AA68" si="2">M5-J5</f>
        <v>-52.727272727275249</v>
      </c>
      <c r="AB5" s="153">
        <f t="shared" ref="AB5:AB7" si="3">M5/J5</f>
        <v>0.97363636363636241</v>
      </c>
      <c r="AC5" s="571">
        <f>AB8</f>
        <v>0.96063920454545415</v>
      </c>
    </row>
    <row r="6" spans="1:29">
      <c r="A6" s="645" t="s">
        <v>559</v>
      </c>
      <c r="B6" s="26" t="s">
        <v>36</v>
      </c>
      <c r="C6" s="601" t="s">
        <v>38</v>
      </c>
      <c r="D6" s="601"/>
      <c r="E6" s="26">
        <v>50.49</v>
      </c>
      <c r="F6" s="162">
        <v>2286</v>
      </c>
      <c r="G6" s="152">
        <f t="shared" ref="G6:G7" si="4">E6*F6</f>
        <v>115420.14</v>
      </c>
      <c r="H6" s="21" t="s">
        <v>35</v>
      </c>
      <c r="I6" s="159">
        <v>15</v>
      </c>
      <c r="J6" s="23">
        <v>2000</v>
      </c>
      <c r="K6" s="9">
        <f t="shared" ref="K6:K7" si="5">J6/I6</f>
        <v>133.33333333333334</v>
      </c>
      <c r="L6" s="159">
        <v>15</v>
      </c>
      <c r="M6" s="10">
        <f>F6/V6*60</f>
        <v>1904.9999999999984</v>
      </c>
      <c r="N6" s="9">
        <f t="shared" ref="N6:N7" si="6">M6/L6</f>
        <v>126.9999999999999</v>
      </c>
      <c r="O6" s="11">
        <f t="shared" si="0"/>
        <v>0</v>
      </c>
      <c r="P6" s="12">
        <f t="shared" si="1"/>
        <v>-6.3333333333334423</v>
      </c>
      <c r="Q6" s="153">
        <f t="shared" ref="Q6:Q7" si="7">N6/K6</f>
        <v>0.95249999999999924</v>
      </c>
      <c r="R6" s="571"/>
      <c r="S6" s="24">
        <v>0.73472222222222228</v>
      </c>
      <c r="T6" s="24">
        <v>0.78472222222222232</v>
      </c>
      <c r="U6" s="152">
        <f>(S6-T5)*24*60</f>
        <v>4.9999999999999822</v>
      </c>
      <c r="V6" s="160">
        <f>(T6-S6)*24*60</f>
        <v>72.000000000000057</v>
      </c>
      <c r="W6" s="13"/>
      <c r="X6" s="13"/>
      <c r="Y6" s="617"/>
      <c r="Z6" s="617"/>
      <c r="AA6" s="11">
        <f t="shared" si="2"/>
        <v>-95.000000000001592</v>
      </c>
      <c r="AB6" s="153">
        <f t="shared" si="3"/>
        <v>0.95249999999999924</v>
      </c>
      <c r="AC6" s="571"/>
    </row>
    <row r="7" spans="1:29">
      <c r="A7" s="645" t="s">
        <v>559</v>
      </c>
      <c r="B7" s="26" t="s">
        <v>36</v>
      </c>
      <c r="C7" s="594" t="s">
        <v>39</v>
      </c>
      <c r="D7" s="595"/>
      <c r="E7" s="26">
        <v>50.67</v>
      </c>
      <c r="F7" s="162">
        <v>2039</v>
      </c>
      <c r="G7" s="152">
        <f t="shared" si="4"/>
        <v>103316.13</v>
      </c>
      <c r="H7" s="21" t="s">
        <v>35</v>
      </c>
      <c r="I7" s="159">
        <v>17</v>
      </c>
      <c r="J7" s="23">
        <v>2000</v>
      </c>
      <c r="K7" s="9">
        <f t="shared" si="5"/>
        <v>117.64705882352941</v>
      </c>
      <c r="L7" s="159">
        <v>17</v>
      </c>
      <c r="M7" s="10">
        <f t="shared" ref="M7" si="8">F7/V7*60</f>
        <v>1911.562500000002</v>
      </c>
      <c r="N7" s="9">
        <f t="shared" si="6"/>
        <v>112.44485294117659</v>
      </c>
      <c r="O7" s="11">
        <f t="shared" si="0"/>
        <v>0</v>
      </c>
      <c r="P7" s="12">
        <f t="shared" si="1"/>
        <v>-5.2022058823528141</v>
      </c>
      <c r="Q7" s="153">
        <f t="shared" si="7"/>
        <v>0.95578125000000103</v>
      </c>
      <c r="R7" s="571"/>
      <c r="S7" s="24">
        <v>0.78888888888888897</v>
      </c>
      <c r="T7" s="24">
        <v>0.83333333333333337</v>
      </c>
      <c r="U7" s="152">
        <f t="shared" ref="U7" si="9">(S7-T6)*24*60</f>
        <v>5.9999999999999787</v>
      </c>
      <c r="V7" s="160">
        <f t="shared" ref="V7" si="10">(T7-S7)*24*60</f>
        <v>63.999999999999929</v>
      </c>
      <c r="W7" s="13"/>
      <c r="X7" s="13"/>
      <c r="Y7" s="621"/>
      <c r="Z7" s="622"/>
      <c r="AA7" s="11">
        <f t="shared" si="2"/>
        <v>-88.437499999997954</v>
      </c>
      <c r="AB7" s="153">
        <f t="shared" si="3"/>
        <v>0.95578125000000103</v>
      </c>
      <c r="AC7" s="571"/>
    </row>
    <row r="8" spans="1:29">
      <c r="A8" s="645" t="s">
        <v>559</v>
      </c>
      <c r="B8" s="26" t="s">
        <v>560</v>
      </c>
      <c r="C8" s="629"/>
      <c r="D8" s="629"/>
      <c r="E8" s="151"/>
      <c r="F8" s="27"/>
      <c r="G8" s="9"/>
      <c r="H8" s="162"/>
      <c r="I8" s="16">
        <v>16</v>
      </c>
      <c r="J8" s="23">
        <v>2000</v>
      </c>
      <c r="K8" s="9">
        <f>J8/I8</f>
        <v>125</v>
      </c>
      <c r="L8" s="16">
        <v>16</v>
      </c>
      <c r="M8" s="10">
        <f>AVERAGE(M5:M7)</f>
        <v>1921.2784090909083</v>
      </c>
      <c r="N8" s="9">
        <f>M8/L8</f>
        <v>120.07990056818177</v>
      </c>
      <c r="O8" s="11">
        <f>L8-I8</f>
        <v>0</v>
      </c>
      <c r="P8" s="12">
        <f>N8-K8</f>
        <v>-4.9200994318182296</v>
      </c>
      <c r="Q8" s="153">
        <f>N8/K8</f>
        <v>0.96063920454545415</v>
      </c>
      <c r="R8" s="571"/>
      <c r="S8" s="24"/>
      <c r="T8" s="24"/>
      <c r="U8" s="152"/>
      <c r="V8" s="160"/>
      <c r="W8" s="9"/>
      <c r="X8" s="9"/>
      <c r="Y8" s="617"/>
      <c r="Z8" s="617"/>
      <c r="AA8" s="11">
        <f t="shared" si="2"/>
        <v>-78.721590909091674</v>
      </c>
      <c r="AB8" s="153">
        <f>M8/J8</f>
        <v>0.96063920454545415</v>
      </c>
      <c r="AC8" s="571"/>
    </row>
    <row r="9" spans="1:29" ht="15.75" customHeight="1">
      <c r="A9" s="643" t="s">
        <v>561</v>
      </c>
      <c r="B9" s="26" t="s">
        <v>40</v>
      </c>
      <c r="C9" s="594" t="s">
        <v>41</v>
      </c>
      <c r="D9" s="595"/>
      <c r="E9" s="26">
        <v>39.799999999999997</v>
      </c>
      <c r="F9" s="162">
        <v>7779</v>
      </c>
      <c r="G9" s="152">
        <f t="shared" ref="G9:G10" si="11">E9*F9</f>
        <v>309604.19999999995</v>
      </c>
      <c r="H9" s="21" t="s">
        <v>35</v>
      </c>
      <c r="I9" s="159">
        <v>17</v>
      </c>
      <c r="J9" s="23">
        <v>1500</v>
      </c>
      <c r="K9" s="9">
        <f t="shared" ref="K9:K10" si="12">J9/I9</f>
        <v>88.235294117647058</v>
      </c>
      <c r="L9" s="159">
        <v>17</v>
      </c>
      <c r="M9" s="10">
        <f t="shared" ref="M9:M10" si="13">F9/V9*60</f>
        <v>1431.717791411043</v>
      </c>
      <c r="N9" s="9">
        <f t="shared" ref="N9:N10" si="14">M9/L9</f>
        <v>84.218693612414299</v>
      </c>
      <c r="O9" s="11">
        <f t="shared" ref="O9:O10" si="15">L9-I9</f>
        <v>0</v>
      </c>
      <c r="P9" s="12">
        <f>N9-K9</f>
        <v>-4.0166005052327591</v>
      </c>
      <c r="Q9" s="153">
        <f>N9/K9</f>
        <v>0.95447852760736207</v>
      </c>
      <c r="R9" s="571">
        <f>Q11</f>
        <v>0.95709741983204999</v>
      </c>
      <c r="S9" s="24">
        <v>0.16666666666666666</v>
      </c>
      <c r="T9" s="24">
        <v>0.39305555555555555</v>
      </c>
      <c r="U9" s="152"/>
      <c r="V9" s="160">
        <f t="shared" ref="V9:V10" si="16">(T9-S9)*24*60</f>
        <v>326</v>
      </c>
      <c r="W9" s="13"/>
      <c r="X9" s="13"/>
      <c r="Y9" s="617"/>
      <c r="Z9" s="617"/>
      <c r="AA9" s="11">
        <f t="shared" si="2"/>
        <v>-68.282208588957019</v>
      </c>
      <c r="AB9" s="153">
        <f>M9/J9</f>
        <v>0.95447852760736196</v>
      </c>
      <c r="AC9" s="571">
        <f>AB11</f>
        <v>0.95709741983204988</v>
      </c>
    </row>
    <row r="10" spans="1:29" ht="15.75" customHeight="1">
      <c r="A10" s="643" t="s">
        <v>561</v>
      </c>
      <c r="B10" s="26" t="s">
        <v>40</v>
      </c>
      <c r="C10" s="594" t="s">
        <v>42</v>
      </c>
      <c r="D10" s="595"/>
      <c r="E10" s="26">
        <v>39.36</v>
      </c>
      <c r="F10" s="162">
        <v>3383</v>
      </c>
      <c r="G10" s="152">
        <f t="shared" si="11"/>
        <v>133154.88</v>
      </c>
      <c r="H10" s="21" t="s">
        <v>35</v>
      </c>
      <c r="I10" s="159">
        <v>20</v>
      </c>
      <c r="J10" s="23">
        <v>1500</v>
      </c>
      <c r="K10" s="9">
        <f t="shared" si="12"/>
        <v>75</v>
      </c>
      <c r="L10" s="159">
        <v>20</v>
      </c>
      <c r="M10" s="10">
        <f t="shared" si="13"/>
        <v>1439.5744680851067</v>
      </c>
      <c r="N10" s="9">
        <f t="shared" si="14"/>
        <v>71.978723404255334</v>
      </c>
      <c r="O10" s="11">
        <f t="shared" si="15"/>
        <v>0</v>
      </c>
      <c r="P10" s="12">
        <f t="shared" ref="P10" si="17">N10-K10</f>
        <v>-3.0212765957446663</v>
      </c>
      <c r="Q10" s="153">
        <f t="shared" ref="Q10" si="18">N10/K10</f>
        <v>0.9597163120567378</v>
      </c>
      <c r="R10" s="571"/>
      <c r="S10" s="24">
        <v>0.39861111111111108</v>
      </c>
      <c r="T10" s="24">
        <v>0.49652777777777773</v>
      </c>
      <c r="U10" s="152">
        <f>(S10-T9)*24*60</f>
        <v>7.9999999999999716</v>
      </c>
      <c r="V10" s="160">
        <f t="shared" si="16"/>
        <v>140.99999999999997</v>
      </c>
      <c r="W10" s="13"/>
      <c r="X10" s="13"/>
      <c r="Y10" s="617"/>
      <c r="Z10" s="617"/>
      <c r="AA10" s="11">
        <f t="shared" si="2"/>
        <v>-60.425531914893327</v>
      </c>
      <c r="AB10" s="153">
        <f t="shared" ref="AB10:AB24" si="19">M10/J10</f>
        <v>0.9597163120567378</v>
      </c>
      <c r="AC10" s="571"/>
    </row>
    <row r="11" spans="1:29" ht="16.5" customHeight="1">
      <c r="A11" s="643" t="s">
        <v>561</v>
      </c>
      <c r="B11" s="26" t="s">
        <v>560</v>
      </c>
      <c r="C11" s="629"/>
      <c r="D11" s="629"/>
      <c r="E11" s="151"/>
      <c r="F11" s="23"/>
      <c r="G11" s="10"/>
      <c r="H11" s="162"/>
      <c r="I11" s="16">
        <v>18.5</v>
      </c>
      <c r="J11" s="23">
        <v>1500</v>
      </c>
      <c r="K11" s="9">
        <f>J11/I11</f>
        <v>81.081081081081081</v>
      </c>
      <c r="L11" s="16">
        <v>18.5</v>
      </c>
      <c r="M11" s="10">
        <f>AVERAGE(M9:M10)</f>
        <v>1435.6461297480748</v>
      </c>
      <c r="N11" s="9">
        <f>M11/L11</f>
        <v>77.602493499895942</v>
      </c>
      <c r="O11" s="11">
        <f>L11-I11</f>
        <v>0</v>
      </c>
      <c r="P11" s="12">
        <f>N11-K11</f>
        <v>-3.4785875811851383</v>
      </c>
      <c r="Q11" s="153">
        <f>N11/K11</f>
        <v>0.95709741983204999</v>
      </c>
      <c r="R11" s="571"/>
      <c r="S11" s="24"/>
      <c r="T11" s="24"/>
      <c r="U11" s="9"/>
      <c r="V11" s="160"/>
      <c r="W11" s="9"/>
      <c r="X11" s="9"/>
      <c r="Y11" s="617"/>
      <c r="Z11" s="617"/>
      <c r="AA11" s="11">
        <f t="shared" si="2"/>
        <v>-64.353870251925173</v>
      </c>
      <c r="AB11" s="153">
        <f t="shared" si="19"/>
        <v>0.95709741983204988</v>
      </c>
      <c r="AC11" s="571"/>
    </row>
    <row r="12" spans="1:29" ht="16.5" customHeight="1">
      <c r="A12" s="641" t="s">
        <v>562</v>
      </c>
      <c r="B12" s="162" t="s">
        <v>43</v>
      </c>
      <c r="C12" s="636" t="s">
        <v>44</v>
      </c>
      <c r="D12" s="636"/>
      <c r="E12" s="26">
        <v>41</v>
      </c>
      <c r="F12" s="162">
        <v>2033</v>
      </c>
      <c r="G12" s="152">
        <f t="shared" ref="G12:G17" si="20">E12*F12</f>
        <v>83353</v>
      </c>
      <c r="H12" s="21" t="s">
        <v>35</v>
      </c>
      <c r="I12" s="159">
        <v>26</v>
      </c>
      <c r="J12" s="23">
        <v>1500</v>
      </c>
      <c r="K12" s="9">
        <f>J12/I12</f>
        <v>57.692307692307693</v>
      </c>
      <c r="L12" s="159">
        <v>26</v>
      </c>
      <c r="M12" s="10">
        <f>F12/V12*60</f>
        <v>1435.0588235294115</v>
      </c>
      <c r="N12" s="9">
        <f t="shared" ref="N12:N23" si="21">M12/L12</f>
        <v>55.194570135746595</v>
      </c>
      <c r="O12" s="11">
        <f t="shared" ref="O12" si="22">L12-I12</f>
        <v>0</v>
      </c>
      <c r="P12" s="12">
        <f t="shared" ref="P12" si="23">N12-K12</f>
        <v>-2.4977375565610984</v>
      </c>
      <c r="Q12" s="153">
        <f>N12/K12</f>
        <v>0.95670588235294096</v>
      </c>
      <c r="R12" s="571">
        <f>Q18</f>
        <v>0.95586565950727564</v>
      </c>
      <c r="S12" s="24">
        <v>0.16666666666666666</v>
      </c>
      <c r="T12" s="24">
        <v>0.22569444444444445</v>
      </c>
      <c r="U12" s="152"/>
      <c r="V12" s="160">
        <f>(T12-S12)*24*60</f>
        <v>85.000000000000014</v>
      </c>
      <c r="W12" s="15"/>
      <c r="X12" s="15"/>
      <c r="Y12" s="617"/>
      <c r="Z12" s="617"/>
      <c r="AA12" s="11">
        <f t="shared" si="2"/>
        <v>-64.941176470588516</v>
      </c>
      <c r="AB12" s="153">
        <f t="shared" si="19"/>
        <v>0.95670588235294096</v>
      </c>
      <c r="AC12" s="571">
        <f>AB18</f>
        <v>0.95586565950727576</v>
      </c>
    </row>
    <row r="13" spans="1:29" ht="16.5" customHeight="1">
      <c r="A13" s="642" t="s">
        <v>562</v>
      </c>
      <c r="B13" s="162" t="s">
        <v>40</v>
      </c>
      <c r="C13" s="636" t="s">
        <v>45</v>
      </c>
      <c r="D13" s="636"/>
      <c r="E13" s="26">
        <v>39.619999999999997</v>
      </c>
      <c r="F13" s="162">
        <v>5152</v>
      </c>
      <c r="G13" s="152">
        <f t="shared" si="20"/>
        <v>204122.23999999999</v>
      </c>
      <c r="H13" s="21" t="s">
        <v>35</v>
      </c>
      <c r="I13" s="159">
        <v>19</v>
      </c>
      <c r="J13" s="23">
        <v>1500</v>
      </c>
      <c r="K13" s="9">
        <f>J13/I13</f>
        <v>78.94736842105263</v>
      </c>
      <c r="L13" s="159">
        <v>19</v>
      </c>
      <c r="M13" s="10">
        <f>F13/V13*60</f>
        <v>1431.1111111111115</v>
      </c>
      <c r="N13" s="9">
        <f t="shared" si="21"/>
        <v>75.321637426900608</v>
      </c>
      <c r="O13" s="11">
        <f>L13-I13</f>
        <v>0</v>
      </c>
      <c r="P13" s="12">
        <f>N13-K13</f>
        <v>-3.6257309941520219</v>
      </c>
      <c r="Q13" s="153">
        <f>N13/K13</f>
        <v>0.95407407407407441</v>
      </c>
      <c r="R13" s="571"/>
      <c r="S13" s="24">
        <v>0.23055555555555557</v>
      </c>
      <c r="T13" s="24">
        <v>0.38055555555555554</v>
      </c>
      <c r="U13" s="152">
        <f>IF(S13=TIME(17,0,0),"",(S13-T12)*24*60)</f>
        <v>7.0000000000000151</v>
      </c>
      <c r="V13" s="160">
        <f>(T13-S13)*24*60</f>
        <v>215.99999999999994</v>
      </c>
      <c r="W13" s="13"/>
      <c r="X13" s="13"/>
      <c r="Y13" s="617"/>
      <c r="Z13" s="617"/>
      <c r="AA13" s="11">
        <f t="shared" si="2"/>
        <v>-68.888888888888459</v>
      </c>
      <c r="AB13" s="153">
        <f t="shared" si="19"/>
        <v>0.95407407407407441</v>
      </c>
      <c r="AC13" s="571"/>
    </row>
    <row r="14" spans="1:29" ht="16.5" customHeight="1">
      <c r="A14" s="642" t="s">
        <v>562</v>
      </c>
      <c r="B14" s="162" t="s">
        <v>46</v>
      </c>
      <c r="C14" s="636" t="s">
        <v>48</v>
      </c>
      <c r="D14" s="636"/>
      <c r="E14" s="26">
        <v>22.35</v>
      </c>
      <c r="F14" s="162">
        <v>2159</v>
      </c>
      <c r="G14" s="152">
        <f t="shared" si="20"/>
        <v>48253.65</v>
      </c>
      <c r="H14" s="21" t="s">
        <v>35</v>
      </c>
      <c r="I14" s="159">
        <v>16</v>
      </c>
      <c r="J14" s="23">
        <v>2400</v>
      </c>
      <c r="K14" s="9">
        <f t="shared" ref="K14:K17" si="24">J14/I14</f>
        <v>150</v>
      </c>
      <c r="L14" s="159">
        <v>16</v>
      </c>
      <c r="M14" s="10">
        <f t="shared" ref="M14:M16" si="25">F14/V14*60</f>
        <v>2313.2142857142876</v>
      </c>
      <c r="N14" s="9">
        <f t="shared" si="21"/>
        <v>144.57589285714297</v>
      </c>
      <c r="O14" s="11">
        <f t="shared" ref="O14:O17" si="26">L14-I14</f>
        <v>0</v>
      </c>
      <c r="P14" s="12">
        <f t="shared" ref="P14:P17" si="27">N14-K14</f>
        <v>-5.4241071428570251</v>
      </c>
      <c r="Q14" s="153">
        <f t="shared" ref="Q14:Q23" si="28">N14/K14</f>
        <v>0.96383928571428645</v>
      </c>
      <c r="R14" s="571"/>
      <c r="S14" s="24">
        <v>0.38472222222222219</v>
      </c>
      <c r="T14" s="24">
        <v>0.42361111111111105</v>
      </c>
      <c r="U14" s="152">
        <f t="shared" ref="U14:U17" si="29">IF(S14=TIME(17,0,0),"",(S14-T13)*24*60)</f>
        <v>5.9999999999999787</v>
      </c>
      <c r="V14" s="160">
        <f t="shared" ref="V14:V17" si="30">(T14-S14)*24*60</f>
        <v>55.999999999999957</v>
      </c>
      <c r="W14" s="13"/>
      <c r="X14" s="13"/>
      <c r="Y14" s="617"/>
      <c r="Z14" s="617"/>
      <c r="AA14" s="11">
        <f t="shared" si="2"/>
        <v>-86.785714285712402</v>
      </c>
      <c r="AB14" s="153">
        <f t="shared" si="19"/>
        <v>0.96383928571428645</v>
      </c>
      <c r="AC14" s="571"/>
    </row>
    <row r="15" spans="1:29" ht="16.5" customHeight="1">
      <c r="A15" s="642" t="s">
        <v>562</v>
      </c>
      <c r="B15" s="162" t="s">
        <v>46</v>
      </c>
      <c r="C15" s="636" t="s">
        <v>62</v>
      </c>
      <c r="D15" s="636"/>
      <c r="E15" s="26">
        <v>25</v>
      </c>
      <c r="F15" s="162">
        <v>5107</v>
      </c>
      <c r="G15" s="152">
        <f t="shared" si="20"/>
        <v>127675</v>
      </c>
      <c r="H15" s="21" t="s">
        <v>35</v>
      </c>
      <c r="I15" s="159">
        <v>15</v>
      </c>
      <c r="J15" s="23">
        <v>2400</v>
      </c>
      <c r="K15" s="9">
        <f t="shared" si="24"/>
        <v>160</v>
      </c>
      <c r="L15" s="159">
        <v>15</v>
      </c>
      <c r="M15" s="10">
        <f t="shared" si="25"/>
        <v>2286.7164179104479</v>
      </c>
      <c r="N15" s="9">
        <f t="shared" si="21"/>
        <v>152.44776119402985</v>
      </c>
      <c r="O15" s="11">
        <f t="shared" si="26"/>
        <v>0</v>
      </c>
      <c r="P15" s="12">
        <f t="shared" si="27"/>
        <v>-7.5522388059701484</v>
      </c>
      <c r="Q15" s="153">
        <f t="shared" si="28"/>
        <v>0.95279850746268657</v>
      </c>
      <c r="R15" s="571"/>
      <c r="S15" s="24">
        <v>0.4277777777777777</v>
      </c>
      <c r="T15" s="24">
        <v>0.52083333333333326</v>
      </c>
      <c r="U15" s="152">
        <f t="shared" si="29"/>
        <v>5.9999999999999787</v>
      </c>
      <c r="V15" s="160">
        <f t="shared" si="30"/>
        <v>134</v>
      </c>
      <c r="W15" s="13"/>
      <c r="X15" s="13"/>
      <c r="Y15" s="617"/>
      <c r="Z15" s="617"/>
      <c r="AA15" s="11">
        <f t="shared" si="2"/>
        <v>-113.28358208955206</v>
      </c>
      <c r="AB15" s="153">
        <f t="shared" si="19"/>
        <v>0.95279850746268668</v>
      </c>
      <c r="AC15" s="571"/>
    </row>
    <row r="16" spans="1:29" ht="16.5" customHeight="1">
      <c r="A16" s="642" t="s">
        <v>562</v>
      </c>
      <c r="B16" s="162" t="s">
        <v>36</v>
      </c>
      <c r="C16" s="636" t="s">
        <v>49</v>
      </c>
      <c r="D16" s="636"/>
      <c r="E16" s="26">
        <v>50.98</v>
      </c>
      <c r="F16" s="162">
        <v>2954</v>
      </c>
      <c r="G16" s="152">
        <f t="shared" si="20"/>
        <v>150594.91999999998</v>
      </c>
      <c r="H16" s="21" t="s">
        <v>35</v>
      </c>
      <c r="I16" s="159">
        <v>16</v>
      </c>
      <c r="J16" s="23">
        <v>2000</v>
      </c>
      <c r="K16" s="9">
        <f t="shared" si="24"/>
        <v>125</v>
      </c>
      <c r="L16" s="159">
        <v>16</v>
      </c>
      <c r="M16" s="10">
        <f t="shared" si="25"/>
        <v>1905.8064516129036</v>
      </c>
      <c r="N16" s="9">
        <f t="shared" si="21"/>
        <v>119.11290322580648</v>
      </c>
      <c r="O16" s="11">
        <f t="shared" si="26"/>
        <v>0</v>
      </c>
      <c r="P16" s="12">
        <f t="shared" si="27"/>
        <v>-5.8870967741935232</v>
      </c>
      <c r="Q16" s="153">
        <f t="shared" si="28"/>
        <v>0.95290322580645181</v>
      </c>
      <c r="R16" s="571"/>
      <c r="S16" s="24">
        <v>0.70833333333333337</v>
      </c>
      <c r="T16" s="24">
        <v>0.7729166666666667</v>
      </c>
      <c r="U16" s="152" t="str">
        <f t="shared" si="29"/>
        <v/>
      </c>
      <c r="V16" s="160">
        <f t="shared" si="30"/>
        <v>92.999999999999986</v>
      </c>
      <c r="W16" s="13"/>
      <c r="X16" s="13"/>
      <c r="Y16" s="617"/>
      <c r="Z16" s="617"/>
      <c r="AA16" s="11">
        <f t="shared" si="2"/>
        <v>-94.193548387096371</v>
      </c>
      <c r="AB16" s="153">
        <f t="shared" si="19"/>
        <v>0.95290322580645181</v>
      </c>
      <c r="AC16" s="571"/>
    </row>
    <row r="17" spans="1:29" ht="16.5" customHeight="1">
      <c r="A17" s="642" t="s">
        <v>562</v>
      </c>
      <c r="B17" s="162" t="s">
        <v>36</v>
      </c>
      <c r="C17" s="658" t="s">
        <v>50</v>
      </c>
      <c r="D17" s="659"/>
      <c r="E17" s="26">
        <v>50.92</v>
      </c>
      <c r="F17" s="162">
        <v>3306</v>
      </c>
      <c r="G17" s="152">
        <f t="shared" si="20"/>
        <v>168341.52000000002</v>
      </c>
      <c r="H17" s="21" t="s">
        <v>35</v>
      </c>
      <c r="I17" s="159">
        <v>15</v>
      </c>
      <c r="J17" s="23">
        <v>2000</v>
      </c>
      <c r="K17" s="9">
        <f t="shared" si="24"/>
        <v>133.33333333333334</v>
      </c>
      <c r="L17" s="159">
        <v>15</v>
      </c>
      <c r="M17" s="10">
        <f>F17/V17*60</f>
        <v>1907.3076923076933</v>
      </c>
      <c r="N17" s="9">
        <f t="shared" si="21"/>
        <v>127.15384615384622</v>
      </c>
      <c r="O17" s="11">
        <f t="shared" si="26"/>
        <v>0</v>
      </c>
      <c r="P17" s="12">
        <f t="shared" si="27"/>
        <v>-6.1794871794871256</v>
      </c>
      <c r="Q17" s="153">
        <f t="shared" si="28"/>
        <v>0.95365384615384652</v>
      </c>
      <c r="R17" s="571"/>
      <c r="S17" s="24">
        <v>0.77708333333333335</v>
      </c>
      <c r="T17" s="24">
        <v>0.84930555555555554</v>
      </c>
      <c r="U17" s="152">
        <f t="shared" si="29"/>
        <v>5.9999999999999787</v>
      </c>
      <c r="V17" s="160">
        <f t="shared" si="30"/>
        <v>103.99999999999994</v>
      </c>
      <c r="W17" s="13"/>
      <c r="X17" s="13"/>
      <c r="Y17" s="621"/>
      <c r="Z17" s="622"/>
      <c r="AA17" s="11">
        <f t="shared" si="2"/>
        <v>-92.692307692306713</v>
      </c>
      <c r="AB17" s="153">
        <f t="shared" si="19"/>
        <v>0.95365384615384663</v>
      </c>
      <c r="AC17" s="571"/>
    </row>
    <row r="18" spans="1:29" ht="16.5" customHeight="1">
      <c r="A18" s="642" t="s">
        <v>562</v>
      </c>
      <c r="B18" s="26" t="s">
        <v>560</v>
      </c>
      <c r="C18" s="629"/>
      <c r="D18" s="629"/>
      <c r="E18" s="151"/>
      <c r="F18" s="27"/>
      <c r="G18" s="9"/>
      <c r="H18" s="162"/>
      <c r="I18" s="16">
        <v>17.833333333333332</v>
      </c>
      <c r="J18" s="23">
        <v>1966.6666666666667</v>
      </c>
      <c r="K18" s="9">
        <f>J18/I18</f>
        <v>110.28037383177572</v>
      </c>
      <c r="L18" s="16">
        <v>17.833333333333332</v>
      </c>
      <c r="M18" s="10">
        <f>AVERAGE(M12:M17)</f>
        <v>1879.8691303643091</v>
      </c>
      <c r="N18" s="9">
        <f t="shared" si="21"/>
        <v>105.4132222634192</v>
      </c>
      <c r="O18" s="11">
        <f>L18-I18</f>
        <v>0</v>
      </c>
      <c r="P18" s="12">
        <f>N18-K18</f>
        <v>-4.867151568356519</v>
      </c>
      <c r="Q18" s="153">
        <f t="shared" si="28"/>
        <v>0.95586565950727564</v>
      </c>
      <c r="R18" s="571"/>
      <c r="S18" s="24"/>
      <c r="T18" s="24"/>
      <c r="U18" s="152"/>
      <c r="V18" s="160"/>
      <c r="W18" s="9"/>
      <c r="X18" s="9"/>
      <c r="Y18" s="617"/>
      <c r="Z18" s="617"/>
      <c r="AA18" s="11">
        <f t="shared" si="2"/>
        <v>-86.797536302357685</v>
      </c>
      <c r="AB18" s="153">
        <f t="shared" si="19"/>
        <v>0.95586565950727576</v>
      </c>
      <c r="AC18" s="571"/>
    </row>
    <row r="19" spans="1:29" ht="15.75" customHeight="1">
      <c r="A19" s="639" t="s">
        <v>563</v>
      </c>
      <c r="B19" s="26" t="s">
        <v>43</v>
      </c>
      <c r="C19" s="636" t="s">
        <v>51</v>
      </c>
      <c r="D19" s="636"/>
      <c r="E19" s="26">
        <v>43.14</v>
      </c>
      <c r="F19" s="162">
        <v>1514</v>
      </c>
      <c r="G19" s="152">
        <f t="shared" ref="G19:G23" si="31">E19*F19</f>
        <v>65313.96</v>
      </c>
      <c r="H19" s="21" t="s">
        <v>35</v>
      </c>
      <c r="I19" s="159">
        <v>17</v>
      </c>
      <c r="J19" s="23">
        <v>2000</v>
      </c>
      <c r="K19" s="9">
        <f t="shared" ref="K19:K24" si="32">J19/I19</f>
        <v>117.64705882352941</v>
      </c>
      <c r="L19" s="159">
        <v>17</v>
      </c>
      <c r="M19" s="10">
        <f t="shared" ref="M19:M23" si="33">F19/V19*60</f>
        <v>1932.7659574468087</v>
      </c>
      <c r="N19" s="9">
        <f t="shared" si="21"/>
        <v>113.69211514392993</v>
      </c>
      <c r="O19" s="11">
        <f t="shared" ref="O19:O23" si="34">L19-I19</f>
        <v>0</v>
      </c>
      <c r="P19" s="12">
        <f t="shared" ref="P19:P23" si="35">N19-K19</f>
        <v>-3.9549436795994808</v>
      </c>
      <c r="Q19" s="153">
        <f t="shared" si="28"/>
        <v>0.9663829787234044</v>
      </c>
      <c r="R19" s="571">
        <f>Q24</f>
        <v>0.95976575481256321</v>
      </c>
      <c r="S19" s="24">
        <v>0.20833333333333334</v>
      </c>
      <c r="T19" s="24">
        <v>0.24097222222222223</v>
      </c>
      <c r="U19" s="152"/>
      <c r="V19" s="160">
        <f>(T19-S19)*24*60</f>
        <v>46.999999999999993</v>
      </c>
      <c r="W19" s="15"/>
      <c r="X19" s="15"/>
      <c r="Y19" s="617"/>
      <c r="Z19" s="617"/>
      <c r="AA19" s="11">
        <f t="shared" si="2"/>
        <v>-67.23404255319133</v>
      </c>
      <c r="AB19" s="153">
        <f t="shared" si="19"/>
        <v>0.96638297872340428</v>
      </c>
      <c r="AC19" s="571">
        <f>AB24</f>
        <v>0.95976575481256332</v>
      </c>
    </row>
    <row r="20" spans="1:29" ht="15.75" customHeight="1">
      <c r="A20" s="640" t="s">
        <v>563</v>
      </c>
      <c r="B20" s="26" t="s">
        <v>36</v>
      </c>
      <c r="C20" s="636" t="s">
        <v>52</v>
      </c>
      <c r="D20" s="636"/>
      <c r="E20" s="26">
        <v>57.73</v>
      </c>
      <c r="F20" s="162">
        <v>2944</v>
      </c>
      <c r="G20" s="152">
        <f t="shared" si="31"/>
        <v>169957.12</v>
      </c>
      <c r="H20" s="21" t="s">
        <v>35</v>
      </c>
      <c r="I20" s="159">
        <v>15</v>
      </c>
      <c r="J20" s="23">
        <v>2000</v>
      </c>
      <c r="K20" s="9">
        <f t="shared" si="32"/>
        <v>133.33333333333334</v>
      </c>
      <c r="L20" s="159">
        <v>15</v>
      </c>
      <c r="M20" s="10">
        <f t="shared" si="33"/>
        <v>1920</v>
      </c>
      <c r="N20" s="9">
        <f t="shared" si="21"/>
        <v>128</v>
      </c>
      <c r="O20" s="11">
        <f t="shared" si="34"/>
        <v>0</v>
      </c>
      <c r="P20" s="12">
        <f t="shared" si="35"/>
        <v>-5.3333333333333428</v>
      </c>
      <c r="Q20" s="153">
        <f t="shared" si="28"/>
        <v>0.96</v>
      </c>
      <c r="R20" s="571"/>
      <c r="S20" s="24">
        <v>0.24583333333333335</v>
      </c>
      <c r="T20" s="24">
        <v>0.30972222222222223</v>
      </c>
      <c r="U20" s="152">
        <f>IF(S20=TIME(17,0,0),"",(S20-T19)*24*60)</f>
        <v>7.0000000000000151</v>
      </c>
      <c r="V20" s="160">
        <f t="shared" ref="V20:V23" si="36">(T20-S20)*24*60</f>
        <v>92</v>
      </c>
      <c r="W20" s="13"/>
      <c r="X20" s="152"/>
      <c r="Y20" s="617"/>
      <c r="Z20" s="617"/>
      <c r="AA20" s="11">
        <f t="shared" si="2"/>
        <v>-80</v>
      </c>
      <c r="AB20" s="153">
        <f t="shared" si="19"/>
        <v>0.96</v>
      </c>
      <c r="AC20" s="571"/>
    </row>
    <row r="21" spans="1:29" ht="15.75" customHeight="1">
      <c r="A21" s="640" t="s">
        <v>563</v>
      </c>
      <c r="B21" s="26" t="s">
        <v>36</v>
      </c>
      <c r="C21" s="636" t="s">
        <v>53</v>
      </c>
      <c r="D21" s="636"/>
      <c r="E21" s="26">
        <v>53.68</v>
      </c>
      <c r="F21" s="162">
        <v>2008</v>
      </c>
      <c r="G21" s="152">
        <f t="shared" si="31"/>
        <v>107789.44</v>
      </c>
      <c r="H21" s="21" t="s">
        <v>35</v>
      </c>
      <c r="I21" s="159">
        <v>16</v>
      </c>
      <c r="J21" s="23">
        <v>2000</v>
      </c>
      <c r="K21" s="9">
        <f t="shared" si="32"/>
        <v>125</v>
      </c>
      <c r="L21" s="159">
        <v>16</v>
      </c>
      <c r="M21" s="10">
        <f t="shared" si="33"/>
        <v>1912.3809523809521</v>
      </c>
      <c r="N21" s="9">
        <f t="shared" si="21"/>
        <v>119.5238095238095</v>
      </c>
      <c r="O21" s="11">
        <f t="shared" si="34"/>
        <v>0</v>
      </c>
      <c r="P21" s="12">
        <f t="shared" si="35"/>
        <v>-5.4761904761904958</v>
      </c>
      <c r="Q21" s="153">
        <f t="shared" si="28"/>
        <v>0.95619047619047604</v>
      </c>
      <c r="R21" s="571"/>
      <c r="S21" s="24">
        <v>0.31527777777777777</v>
      </c>
      <c r="T21" s="24">
        <v>0.35902777777777778</v>
      </c>
      <c r="U21" s="152">
        <f t="shared" ref="U21:U23" si="37">IF(S21=TIME(17,0,0),"",(S21-T20)*24*60)</f>
        <v>7.9999999999999716</v>
      </c>
      <c r="V21" s="160">
        <f t="shared" si="36"/>
        <v>63.000000000000014</v>
      </c>
      <c r="W21" s="13"/>
      <c r="X21" s="152"/>
      <c r="Y21" s="617"/>
      <c r="Z21" s="617"/>
      <c r="AA21" s="11">
        <f t="shared" si="2"/>
        <v>-87.619047619047933</v>
      </c>
      <c r="AB21" s="153">
        <f t="shared" si="19"/>
        <v>0.95619047619047604</v>
      </c>
      <c r="AC21" s="571"/>
    </row>
    <row r="22" spans="1:29" ht="15.75" customHeight="1">
      <c r="A22" s="640" t="s">
        <v>563</v>
      </c>
      <c r="B22" s="26" t="s">
        <v>36</v>
      </c>
      <c r="C22" s="636" t="s">
        <v>54</v>
      </c>
      <c r="D22" s="636"/>
      <c r="E22" s="26">
        <v>53.27</v>
      </c>
      <c r="F22" s="162">
        <v>1924</v>
      </c>
      <c r="G22" s="152">
        <f t="shared" si="31"/>
        <v>102491.48000000001</v>
      </c>
      <c r="H22" s="21" t="s">
        <v>35</v>
      </c>
      <c r="I22" s="159">
        <v>16</v>
      </c>
      <c r="J22" s="23">
        <v>2000</v>
      </c>
      <c r="K22" s="9">
        <f t="shared" si="32"/>
        <v>125</v>
      </c>
      <c r="L22" s="159">
        <v>16</v>
      </c>
      <c r="M22" s="10">
        <f t="shared" si="33"/>
        <v>1923.9999999999989</v>
      </c>
      <c r="N22" s="9">
        <f t="shared" si="21"/>
        <v>120.24999999999993</v>
      </c>
      <c r="O22" s="11">
        <f t="shared" si="34"/>
        <v>0</v>
      </c>
      <c r="P22" s="12">
        <f t="shared" si="35"/>
        <v>-4.7500000000000711</v>
      </c>
      <c r="Q22" s="153">
        <f t="shared" si="28"/>
        <v>0.96199999999999941</v>
      </c>
      <c r="R22" s="571"/>
      <c r="S22" s="24">
        <v>0.36249999999999999</v>
      </c>
      <c r="T22" s="24">
        <v>0.40416666666666667</v>
      </c>
      <c r="U22" s="152">
        <f t="shared" si="37"/>
        <v>4.9999999999999822</v>
      </c>
      <c r="V22" s="160">
        <f t="shared" si="36"/>
        <v>60.000000000000028</v>
      </c>
      <c r="W22" s="13"/>
      <c r="X22" s="152"/>
      <c r="Y22" s="617"/>
      <c r="Z22" s="617"/>
      <c r="AA22" s="11">
        <f t="shared" si="2"/>
        <v>-76.000000000001137</v>
      </c>
      <c r="AB22" s="153">
        <f t="shared" si="19"/>
        <v>0.96199999999999941</v>
      </c>
      <c r="AC22" s="571"/>
    </row>
    <row r="23" spans="1:29" ht="15.75" customHeight="1">
      <c r="A23" s="640" t="s">
        <v>563</v>
      </c>
      <c r="B23" s="26" t="s">
        <v>36</v>
      </c>
      <c r="C23" s="636" t="s">
        <v>55</v>
      </c>
      <c r="D23" s="636"/>
      <c r="E23" s="26">
        <v>54.09</v>
      </c>
      <c r="F23" s="162">
        <v>2990</v>
      </c>
      <c r="G23" s="152">
        <f t="shared" si="31"/>
        <v>161729.1</v>
      </c>
      <c r="H23" s="21" t="s">
        <v>35</v>
      </c>
      <c r="I23" s="159">
        <v>19</v>
      </c>
      <c r="J23" s="23">
        <v>2000</v>
      </c>
      <c r="K23" s="9">
        <f t="shared" si="32"/>
        <v>105.26315789473684</v>
      </c>
      <c r="L23" s="159">
        <v>19</v>
      </c>
      <c r="M23" s="10">
        <f t="shared" si="33"/>
        <v>1908.5106382978727</v>
      </c>
      <c r="N23" s="9">
        <f t="shared" si="21"/>
        <v>100.44792833146698</v>
      </c>
      <c r="O23" s="11">
        <f t="shared" si="34"/>
        <v>0</v>
      </c>
      <c r="P23" s="12">
        <f t="shared" si="35"/>
        <v>-4.8152295632698525</v>
      </c>
      <c r="Q23" s="153">
        <f t="shared" si="28"/>
        <v>0.95425531914893635</v>
      </c>
      <c r="R23" s="571"/>
      <c r="S23" s="24">
        <v>0.70833333333333337</v>
      </c>
      <c r="T23" s="24">
        <v>0.77361111111111114</v>
      </c>
      <c r="U23" s="152" t="str">
        <f t="shared" si="37"/>
        <v/>
      </c>
      <c r="V23" s="160">
        <f t="shared" si="36"/>
        <v>93.999999999999986</v>
      </c>
      <c r="W23" s="13"/>
      <c r="X23" s="152"/>
      <c r="Y23" s="617"/>
      <c r="Z23" s="617"/>
      <c r="AA23" s="11">
        <f t="shared" si="2"/>
        <v>-91.489361702127326</v>
      </c>
      <c r="AB23" s="153">
        <f t="shared" si="19"/>
        <v>0.95425531914893635</v>
      </c>
      <c r="AC23" s="571"/>
    </row>
    <row r="24" spans="1:29" ht="15.75" customHeight="1">
      <c r="A24" s="640" t="s">
        <v>563</v>
      </c>
      <c r="B24" s="26" t="s">
        <v>560</v>
      </c>
      <c r="C24" s="629"/>
      <c r="D24" s="629"/>
      <c r="E24" s="151"/>
      <c r="F24" s="162"/>
      <c r="G24" s="152"/>
      <c r="H24" s="162"/>
      <c r="I24" s="16">
        <v>16.600000000000001</v>
      </c>
      <c r="J24" s="23">
        <v>2000</v>
      </c>
      <c r="K24" s="9">
        <f t="shared" si="32"/>
        <v>120.48192771084337</v>
      </c>
      <c r="L24" s="16">
        <v>16.600000000000001</v>
      </c>
      <c r="M24" s="10">
        <f>AVERAGE(M19:M23)</f>
        <v>1919.5315096251265</v>
      </c>
      <c r="N24" s="9">
        <f>M24/L24</f>
        <v>115.63442829067026</v>
      </c>
      <c r="O24" s="11">
        <f>L24-I24</f>
        <v>0</v>
      </c>
      <c r="P24" s="12">
        <f>N24-K24</f>
        <v>-4.8474994201731079</v>
      </c>
      <c r="Q24" s="153">
        <f>N24/K24</f>
        <v>0.95976575481256321</v>
      </c>
      <c r="R24" s="571"/>
      <c r="S24" s="24"/>
      <c r="T24" s="24"/>
      <c r="U24" s="9"/>
      <c r="V24" s="160"/>
      <c r="W24" s="9"/>
      <c r="X24" s="9"/>
      <c r="Y24" s="617"/>
      <c r="Z24" s="617"/>
      <c r="AA24" s="11">
        <f t="shared" si="2"/>
        <v>-80.468490374873454</v>
      </c>
      <c r="AB24" s="153">
        <f t="shared" si="19"/>
        <v>0.95976575481256332</v>
      </c>
      <c r="AC24" s="571"/>
    </row>
    <row r="25" spans="1:29" ht="15.75" customHeight="1">
      <c r="A25" s="635" t="s">
        <v>564</v>
      </c>
      <c r="B25" s="26" t="s">
        <v>46</v>
      </c>
      <c r="C25" s="636" t="s">
        <v>56</v>
      </c>
      <c r="D25" s="636"/>
      <c r="E25" s="26">
        <v>26.2</v>
      </c>
      <c r="F25" s="162">
        <v>3200</v>
      </c>
      <c r="G25" s="152">
        <f t="shared" ref="G25:G34" si="38">E25*F25</f>
        <v>83840</v>
      </c>
      <c r="H25" s="21">
        <v>2</v>
      </c>
      <c r="I25" s="159">
        <v>20</v>
      </c>
      <c r="J25" s="23">
        <v>2400</v>
      </c>
      <c r="K25" s="9">
        <f>J25/I25</f>
        <v>120</v>
      </c>
      <c r="L25" s="159">
        <v>20</v>
      </c>
      <c r="M25" s="10">
        <f t="shared" ref="M25:M34" si="39">F25/V25*60</f>
        <v>2285.7142857142862</v>
      </c>
      <c r="N25" s="9">
        <f t="shared" ref="N25:N34" si="40">M25/L25</f>
        <v>114.28571428571431</v>
      </c>
      <c r="O25" s="11">
        <f t="shared" ref="O25:O34" si="41">L25-I25</f>
        <v>0</v>
      </c>
      <c r="P25" s="12">
        <f t="shared" ref="P25:P34" si="42">N25-K25</f>
        <v>-5.714285714285694</v>
      </c>
      <c r="Q25" s="153">
        <f t="shared" ref="Q25:Q30" si="43">N25/K25</f>
        <v>0.95238095238095255</v>
      </c>
      <c r="R25" s="571">
        <f>Q35</f>
        <v>0.95939738358126048</v>
      </c>
      <c r="S25" s="24">
        <v>0.125</v>
      </c>
      <c r="T25" s="24">
        <v>0.18333333333333332</v>
      </c>
      <c r="U25" s="152"/>
      <c r="V25" s="160">
        <f t="shared" ref="V25:V34" si="44">(T25-S25)*24*60</f>
        <v>83.999999999999986</v>
      </c>
      <c r="W25" s="13">
        <f>T25</f>
        <v>0.18333333333333332</v>
      </c>
      <c r="X25" s="13">
        <f>S26</f>
        <v>0.20347222222222222</v>
      </c>
      <c r="Y25" s="617"/>
      <c r="Z25" s="617"/>
      <c r="AA25" s="11">
        <f t="shared" si="2"/>
        <v>-114.28571428571377</v>
      </c>
      <c r="AB25" s="153">
        <f>M25/J25</f>
        <v>0.95238095238095255</v>
      </c>
      <c r="AC25" s="571">
        <f>AB35</f>
        <v>0.95939738358126037</v>
      </c>
    </row>
    <row r="26" spans="1:29" ht="15.75" customHeight="1">
      <c r="A26" s="635" t="s">
        <v>564</v>
      </c>
      <c r="B26" s="26" t="s">
        <v>46</v>
      </c>
      <c r="C26" s="636" t="s">
        <v>57</v>
      </c>
      <c r="D26" s="636"/>
      <c r="E26" s="26">
        <v>20.52</v>
      </c>
      <c r="F26" s="162">
        <v>3680</v>
      </c>
      <c r="G26" s="152">
        <f t="shared" si="38"/>
        <v>75513.599999999991</v>
      </c>
      <c r="H26" s="21" t="s">
        <v>35</v>
      </c>
      <c r="I26" s="159">
        <v>18</v>
      </c>
      <c r="J26" s="23">
        <v>2400</v>
      </c>
      <c r="K26" s="9">
        <f t="shared" ref="K26:K35" si="45">J26/I26</f>
        <v>133.33333333333334</v>
      </c>
      <c r="L26" s="159">
        <v>18</v>
      </c>
      <c r="M26" s="10">
        <f t="shared" si="39"/>
        <v>2300.0000000000005</v>
      </c>
      <c r="N26" s="9">
        <f t="shared" si="40"/>
        <v>127.7777777777778</v>
      </c>
      <c r="O26" s="11">
        <f t="shared" si="41"/>
        <v>0</v>
      </c>
      <c r="P26" s="12">
        <f t="shared" si="42"/>
        <v>-5.5555555555555429</v>
      </c>
      <c r="Q26" s="153">
        <f t="shared" si="43"/>
        <v>0.95833333333333348</v>
      </c>
      <c r="R26" s="571"/>
      <c r="S26" s="24">
        <v>0.20347222222222222</v>
      </c>
      <c r="T26" s="24">
        <v>0.27013888888888887</v>
      </c>
      <c r="U26" s="152">
        <f>(S26-T25)*24*60</f>
        <v>29.000000000000018</v>
      </c>
      <c r="V26" s="160">
        <f t="shared" si="44"/>
        <v>95.999999999999972</v>
      </c>
      <c r="W26" s="13"/>
      <c r="X26" s="13"/>
      <c r="Y26" s="617"/>
      <c r="Z26" s="617"/>
      <c r="AA26" s="11">
        <f t="shared" si="2"/>
        <v>-99.999999999999545</v>
      </c>
      <c r="AB26" s="153">
        <f t="shared" ref="AB26:AB34" si="46">M26/J26</f>
        <v>0.95833333333333348</v>
      </c>
      <c r="AC26" s="571"/>
    </row>
    <row r="27" spans="1:29" ht="15.75" customHeight="1">
      <c r="A27" s="635" t="s">
        <v>564</v>
      </c>
      <c r="B27" s="26" t="s">
        <v>46</v>
      </c>
      <c r="C27" s="636" t="s">
        <v>58</v>
      </c>
      <c r="D27" s="636"/>
      <c r="E27" s="26">
        <v>25.98</v>
      </c>
      <c r="F27" s="162">
        <v>2159</v>
      </c>
      <c r="G27" s="152">
        <f t="shared" si="38"/>
        <v>56090.82</v>
      </c>
      <c r="H27" s="21" t="s">
        <v>35</v>
      </c>
      <c r="I27" s="159">
        <v>17</v>
      </c>
      <c r="J27" s="23">
        <v>2400</v>
      </c>
      <c r="K27" s="9">
        <f t="shared" si="45"/>
        <v>141.1764705882353</v>
      </c>
      <c r="L27" s="159">
        <v>17</v>
      </c>
      <c r="M27" s="10">
        <f t="shared" si="39"/>
        <v>2313.214285714284</v>
      </c>
      <c r="N27" s="9">
        <f t="shared" si="40"/>
        <v>136.07142857142847</v>
      </c>
      <c r="O27" s="11">
        <f t="shared" si="41"/>
        <v>0</v>
      </c>
      <c r="P27" s="12">
        <f t="shared" si="42"/>
        <v>-5.1050420168068342</v>
      </c>
      <c r="Q27" s="153">
        <f t="shared" si="43"/>
        <v>0.9638392857142849</v>
      </c>
      <c r="R27" s="571"/>
      <c r="S27" s="24">
        <v>0.27430555555555552</v>
      </c>
      <c r="T27" s="24">
        <v>0.31319444444444444</v>
      </c>
      <c r="U27" s="152">
        <f t="shared" ref="U27:U34" si="47">(S27-T26)*24*60</f>
        <v>5.9999999999999787</v>
      </c>
      <c r="V27" s="160">
        <f t="shared" si="44"/>
        <v>56.000000000000043</v>
      </c>
      <c r="W27" s="13"/>
      <c r="X27" s="13"/>
      <c r="Y27" s="617"/>
      <c r="Z27" s="617"/>
      <c r="AA27" s="11">
        <f t="shared" si="2"/>
        <v>-86.78571428571604</v>
      </c>
      <c r="AB27" s="153">
        <f t="shared" si="46"/>
        <v>0.96383928571428501</v>
      </c>
      <c r="AC27" s="571"/>
    </row>
    <row r="28" spans="1:29" ht="15.75" customHeight="1">
      <c r="A28" s="635" t="s">
        <v>564</v>
      </c>
      <c r="B28" s="26" t="s">
        <v>46</v>
      </c>
      <c r="C28" s="636" t="s">
        <v>59</v>
      </c>
      <c r="D28" s="636"/>
      <c r="E28" s="26">
        <v>26.18</v>
      </c>
      <c r="F28" s="162">
        <v>2700</v>
      </c>
      <c r="G28" s="152">
        <f t="shared" si="38"/>
        <v>70686</v>
      </c>
      <c r="H28" s="21">
        <v>2</v>
      </c>
      <c r="I28" s="159">
        <v>19</v>
      </c>
      <c r="J28" s="23">
        <v>2400</v>
      </c>
      <c r="K28" s="9">
        <f t="shared" si="45"/>
        <v>126.31578947368421</v>
      </c>
      <c r="L28" s="159">
        <v>19</v>
      </c>
      <c r="M28" s="10">
        <f t="shared" si="39"/>
        <v>2314.2857142857147</v>
      </c>
      <c r="N28" s="9">
        <f t="shared" si="40"/>
        <v>121.80451127819551</v>
      </c>
      <c r="O28" s="11">
        <f t="shared" si="41"/>
        <v>0</v>
      </c>
      <c r="P28" s="12">
        <f t="shared" si="42"/>
        <v>-4.5112781954886998</v>
      </c>
      <c r="Q28" s="153">
        <f t="shared" si="43"/>
        <v>0.96428571428571441</v>
      </c>
      <c r="R28" s="571"/>
      <c r="S28" s="24">
        <v>0.31666666666666665</v>
      </c>
      <c r="T28" s="24">
        <v>0.36527777777777776</v>
      </c>
      <c r="U28" s="152">
        <f t="shared" si="47"/>
        <v>4.9999999999999822</v>
      </c>
      <c r="V28" s="160">
        <f t="shared" si="44"/>
        <v>69.999999999999986</v>
      </c>
      <c r="W28" s="13"/>
      <c r="X28" s="13"/>
      <c r="Y28" s="617"/>
      <c r="Z28" s="617"/>
      <c r="AA28" s="11">
        <f t="shared" si="2"/>
        <v>-85.714285714285325</v>
      </c>
      <c r="AB28" s="153">
        <f t="shared" si="46"/>
        <v>0.96428571428571441</v>
      </c>
      <c r="AC28" s="571"/>
    </row>
    <row r="29" spans="1:29" ht="15.75" customHeight="1">
      <c r="A29" s="635" t="s">
        <v>564</v>
      </c>
      <c r="B29" s="26" t="s">
        <v>46</v>
      </c>
      <c r="C29" s="636" t="s">
        <v>60</v>
      </c>
      <c r="D29" s="636"/>
      <c r="E29" s="26">
        <v>26.2</v>
      </c>
      <c r="F29" s="162">
        <v>3000</v>
      </c>
      <c r="G29" s="152">
        <f t="shared" si="38"/>
        <v>78600</v>
      </c>
      <c r="H29" s="21">
        <v>2</v>
      </c>
      <c r="I29" s="159">
        <v>19</v>
      </c>
      <c r="J29" s="23">
        <v>2400</v>
      </c>
      <c r="K29" s="9">
        <f t="shared" si="45"/>
        <v>126.31578947368421</v>
      </c>
      <c r="L29" s="159">
        <v>19</v>
      </c>
      <c r="M29" s="10">
        <f t="shared" si="39"/>
        <v>2307.692307692309</v>
      </c>
      <c r="N29" s="9">
        <f t="shared" si="40"/>
        <v>121.45748987854257</v>
      </c>
      <c r="O29" s="11">
        <f t="shared" si="41"/>
        <v>0</v>
      </c>
      <c r="P29" s="12">
        <f t="shared" si="42"/>
        <v>-4.8582995951416308</v>
      </c>
      <c r="Q29" s="153">
        <f t="shared" si="43"/>
        <v>0.96153846153846212</v>
      </c>
      <c r="R29" s="571"/>
      <c r="S29" s="24">
        <v>0.36874999999999997</v>
      </c>
      <c r="T29" s="24">
        <v>0.42291666666666661</v>
      </c>
      <c r="U29" s="152">
        <f t="shared" si="47"/>
        <v>4.9999999999999822</v>
      </c>
      <c r="V29" s="160">
        <f t="shared" si="44"/>
        <v>77.999999999999957</v>
      </c>
      <c r="W29" s="13"/>
      <c r="X29" s="13"/>
      <c r="Y29" s="617"/>
      <c r="Z29" s="617"/>
      <c r="AA29" s="11">
        <f t="shared" si="2"/>
        <v>-92.307692307691013</v>
      </c>
      <c r="AB29" s="153">
        <f t="shared" si="46"/>
        <v>0.96153846153846212</v>
      </c>
      <c r="AC29" s="571"/>
    </row>
    <row r="30" spans="1:29" ht="15.75" customHeight="1">
      <c r="A30" s="635" t="s">
        <v>564</v>
      </c>
      <c r="B30" s="26" t="s">
        <v>46</v>
      </c>
      <c r="C30" s="636" t="s">
        <v>61</v>
      </c>
      <c r="D30" s="636"/>
      <c r="E30" s="26">
        <v>31.29</v>
      </c>
      <c r="F30" s="162">
        <v>4400</v>
      </c>
      <c r="G30" s="152">
        <f t="shared" si="38"/>
        <v>137676</v>
      </c>
      <c r="H30" s="21">
        <v>2</v>
      </c>
      <c r="I30" s="159">
        <v>18</v>
      </c>
      <c r="J30" s="23">
        <v>2400</v>
      </c>
      <c r="K30" s="9">
        <f t="shared" si="45"/>
        <v>133.33333333333334</v>
      </c>
      <c r="L30" s="159">
        <v>18</v>
      </c>
      <c r="M30" s="10">
        <f t="shared" si="39"/>
        <v>2295.6521739130421</v>
      </c>
      <c r="N30" s="9">
        <f t="shared" si="40"/>
        <v>127.5362318840579</v>
      </c>
      <c r="O30" s="11">
        <f t="shared" si="41"/>
        <v>0</v>
      </c>
      <c r="P30" s="12">
        <f t="shared" si="42"/>
        <v>-5.7971014492754449</v>
      </c>
      <c r="Q30" s="153">
        <f t="shared" si="43"/>
        <v>0.95652173913043415</v>
      </c>
      <c r="R30" s="571"/>
      <c r="S30" s="24">
        <v>0.42638888888888882</v>
      </c>
      <c r="T30" s="24">
        <v>0.50624999999999998</v>
      </c>
      <c r="U30" s="152">
        <f t="shared" si="47"/>
        <v>4.9999999999999822</v>
      </c>
      <c r="V30" s="160">
        <f t="shared" si="44"/>
        <v>115.00000000000007</v>
      </c>
      <c r="W30" s="13">
        <f>T30</f>
        <v>0.50624999999999998</v>
      </c>
      <c r="X30" s="13">
        <f>S31</f>
        <v>0.54722222222222217</v>
      </c>
      <c r="Y30" s="617"/>
      <c r="Z30" s="617"/>
      <c r="AA30" s="11">
        <f t="shared" si="2"/>
        <v>-104.34782608695787</v>
      </c>
      <c r="AB30" s="153">
        <f t="shared" si="46"/>
        <v>0.95652173913043426</v>
      </c>
      <c r="AC30" s="571"/>
    </row>
    <row r="31" spans="1:29" ht="15.75" customHeight="1">
      <c r="A31" s="635" t="s">
        <v>564</v>
      </c>
      <c r="B31" s="26" t="s">
        <v>46</v>
      </c>
      <c r="C31" s="636" t="s">
        <v>61</v>
      </c>
      <c r="D31" s="636"/>
      <c r="E31" s="26">
        <v>31.29</v>
      </c>
      <c r="F31" s="162">
        <v>6181</v>
      </c>
      <c r="G31" s="152">
        <f t="shared" si="38"/>
        <v>193403.49</v>
      </c>
      <c r="H31" s="21" t="s">
        <v>35</v>
      </c>
      <c r="I31" s="159">
        <v>18</v>
      </c>
      <c r="J31" s="23">
        <v>2400</v>
      </c>
      <c r="K31" s="9">
        <f t="shared" si="45"/>
        <v>133.33333333333334</v>
      </c>
      <c r="L31" s="159">
        <v>18</v>
      </c>
      <c r="M31" s="10">
        <f t="shared" si="39"/>
        <v>2289.2592592592587</v>
      </c>
      <c r="N31" s="9">
        <f t="shared" si="40"/>
        <v>127.1810699588477</v>
      </c>
      <c r="O31" s="11">
        <f t="shared" si="41"/>
        <v>0</v>
      </c>
      <c r="P31" s="12">
        <f t="shared" si="42"/>
        <v>-6.1522633744856421</v>
      </c>
      <c r="Q31" s="153">
        <f>N31/K31</f>
        <v>0.95385802469135772</v>
      </c>
      <c r="R31" s="571"/>
      <c r="S31" s="24">
        <v>0.54722222222222217</v>
      </c>
      <c r="T31" s="24">
        <v>0.65972222222222221</v>
      </c>
      <c r="U31" s="152">
        <f t="shared" si="47"/>
        <v>58.99999999999995</v>
      </c>
      <c r="V31" s="160">
        <f t="shared" si="44"/>
        <v>162.00000000000006</v>
      </c>
      <c r="W31" s="13"/>
      <c r="X31" s="13"/>
      <c r="Y31" s="617"/>
      <c r="Z31" s="617"/>
      <c r="AA31" s="11">
        <f t="shared" si="2"/>
        <v>-110.74074074074133</v>
      </c>
      <c r="AB31" s="153">
        <f t="shared" si="46"/>
        <v>0.95385802469135783</v>
      </c>
      <c r="AC31" s="571"/>
    </row>
    <row r="32" spans="1:29" ht="15.75" customHeight="1">
      <c r="A32" s="635" t="s">
        <v>564</v>
      </c>
      <c r="B32" s="26" t="s">
        <v>46</v>
      </c>
      <c r="C32" s="636" t="s">
        <v>56</v>
      </c>
      <c r="D32" s="636"/>
      <c r="E32" s="26">
        <v>26.2</v>
      </c>
      <c r="F32" s="162">
        <v>2416</v>
      </c>
      <c r="G32" s="152">
        <f t="shared" si="38"/>
        <v>63299.199999999997</v>
      </c>
      <c r="H32" s="21" t="s">
        <v>35</v>
      </c>
      <c r="I32" s="159">
        <v>20</v>
      </c>
      <c r="J32" s="23">
        <v>2400</v>
      </c>
      <c r="K32" s="9">
        <f t="shared" si="45"/>
        <v>120</v>
      </c>
      <c r="L32" s="159">
        <v>20</v>
      </c>
      <c r="M32" s="10">
        <f t="shared" si="39"/>
        <v>2300.9523809523835</v>
      </c>
      <c r="N32" s="9">
        <f t="shared" si="40"/>
        <v>115.04761904761918</v>
      </c>
      <c r="O32" s="11">
        <f t="shared" si="41"/>
        <v>0</v>
      </c>
      <c r="P32" s="12">
        <f t="shared" si="42"/>
        <v>-4.9523809523808211</v>
      </c>
      <c r="Q32" s="153">
        <f>N32/K32</f>
        <v>0.95873015873015988</v>
      </c>
      <c r="R32" s="571"/>
      <c r="S32" s="24">
        <v>0.6645833333333333</v>
      </c>
      <c r="T32" s="24">
        <v>0.70833333333333326</v>
      </c>
      <c r="U32" s="152">
        <f t="shared" si="47"/>
        <v>6.9999999999999751</v>
      </c>
      <c r="V32" s="160">
        <f t="shared" si="44"/>
        <v>62.999999999999936</v>
      </c>
      <c r="W32" s="13"/>
      <c r="X32" s="13"/>
      <c r="Y32" s="617"/>
      <c r="Z32" s="617"/>
      <c r="AA32" s="11">
        <f t="shared" si="2"/>
        <v>-99.047619047616536</v>
      </c>
      <c r="AB32" s="153">
        <f t="shared" si="46"/>
        <v>0.95873015873015976</v>
      </c>
      <c r="AC32" s="571"/>
    </row>
    <row r="33" spans="1:29" ht="15.75" customHeight="1">
      <c r="A33" s="635" t="s">
        <v>564</v>
      </c>
      <c r="B33" s="26" t="s">
        <v>46</v>
      </c>
      <c r="C33" s="658" t="s">
        <v>60</v>
      </c>
      <c r="D33" s="659"/>
      <c r="E33" s="26">
        <v>26.2</v>
      </c>
      <c r="F33" s="162">
        <v>2108</v>
      </c>
      <c r="G33" s="152">
        <f t="shared" si="38"/>
        <v>55229.599999999999</v>
      </c>
      <c r="H33" s="21" t="s">
        <v>35</v>
      </c>
      <c r="I33" s="159">
        <v>19</v>
      </c>
      <c r="J33" s="23">
        <v>2400</v>
      </c>
      <c r="K33" s="9">
        <f t="shared" si="45"/>
        <v>126.31578947368421</v>
      </c>
      <c r="L33" s="159">
        <v>19</v>
      </c>
      <c r="M33" s="10">
        <f t="shared" si="39"/>
        <v>2299.6363636363649</v>
      </c>
      <c r="N33" s="9">
        <f t="shared" si="40"/>
        <v>121.03349282296658</v>
      </c>
      <c r="O33" s="11">
        <f t="shared" si="41"/>
        <v>0</v>
      </c>
      <c r="P33" s="12">
        <f t="shared" si="42"/>
        <v>-5.2822966507176261</v>
      </c>
      <c r="Q33" s="153">
        <f t="shared" ref="Q33" si="48">N33/K33</f>
        <v>0.9581818181818188</v>
      </c>
      <c r="R33" s="571"/>
      <c r="S33" s="24">
        <v>0.71319444444444435</v>
      </c>
      <c r="T33" s="24">
        <v>0.75138888888888877</v>
      </c>
      <c r="U33" s="152">
        <f t="shared" si="47"/>
        <v>6.9999999999999751</v>
      </c>
      <c r="V33" s="160">
        <f t="shared" si="44"/>
        <v>54.999999999999964</v>
      </c>
      <c r="W33" s="13"/>
      <c r="X33" s="13"/>
      <c r="Y33" s="621"/>
      <c r="Z33" s="622"/>
      <c r="AA33" s="11">
        <f t="shared" si="2"/>
        <v>-100.36363636363512</v>
      </c>
      <c r="AB33" s="153">
        <f t="shared" si="46"/>
        <v>0.95818181818181869</v>
      </c>
      <c r="AC33" s="571"/>
    </row>
    <row r="34" spans="1:29" ht="15.75" customHeight="1">
      <c r="A34" s="635" t="s">
        <v>564</v>
      </c>
      <c r="B34" s="26" t="s">
        <v>46</v>
      </c>
      <c r="C34" s="658" t="s">
        <v>59</v>
      </c>
      <c r="D34" s="659"/>
      <c r="E34" s="26">
        <v>26.18</v>
      </c>
      <c r="F34" s="162">
        <v>1778</v>
      </c>
      <c r="G34" s="152">
        <f t="shared" si="38"/>
        <v>46548.04</v>
      </c>
      <c r="H34" s="21" t="s">
        <v>35</v>
      </c>
      <c r="I34" s="159">
        <v>19</v>
      </c>
      <c r="J34" s="23">
        <v>2400</v>
      </c>
      <c r="K34" s="9">
        <f t="shared" si="45"/>
        <v>126.31578947368421</v>
      </c>
      <c r="L34" s="159">
        <v>19</v>
      </c>
      <c r="M34" s="10">
        <f t="shared" si="39"/>
        <v>2319.1304347826085</v>
      </c>
      <c r="N34" s="9">
        <f t="shared" si="40"/>
        <v>122.05949656750572</v>
      </c>
      <c r="O34" s="11">
        <f t="shared" si="41"/>
        <v>0</v>
      </c>
      <c r="P34" s="12">
        <f t="shared" si="42"/>
        <v>-4.2562929061784871</v>
      </c>
      <c r="Q34" s="153">
        <f>N34/K34</f>
        <v>0.96630434782608698</v>
      </c>
      <c r="R34" s="571"/>
      <c r="S34" s="24">
        <v>0.75694444444444431</v>
      </c>
      <c r="T34" s="24">
        <v>0.78888888888888875</v>
      </c>
      <c r="U34" s="152">
        <f t="shared" si="47"/>
        <v>7.9999999999999716</v>
      </c>
      <c r="V34" s="160">
        <f t="shared" si="44"/>
        <v>46</v>
      </c>
      <c r="W34" s="13"/>
      <c r="X34" s="13"/>
      <c r="Y34" s="621"/>
      <c r="Z34" s="622"/>
      <c r="AA34" s="11">
        <f t="shared" si="2"/>
        <v>-80.869565217391482</v>
      </c>
      <c r="AB34" s="153">
        <f t="shared" si="46"/>
        <v>0.96630434782608687</v>
      </c>
      <c r="AC34" s="571"/>
    </row>
    <row r="35" spans="1:29" ht="15.75" customHeight="1">
      <c r="A35" s="635" t="s">
        <v>564</v>
      </c>
      <c r="B35" s="26" t="s">
        <v>560</v>
      </c>
      <c r="C35" s="629"/>
      <c r="D35" s="629"/>
      <c r="E35" s="151"/>
      <c r="F35" s="162"/>
      <c r="G35" s="152"/>
      <c r="H35" s="162"/>
      <c r="I35" s="16">
        <v>18.7</v>
      </c>
      <c r="J35" s="23">
        <v>2400</v>
      </c>
      <c r="K35" s="9">
        <f t="shared" si="45"/>
        <v>128.34224598930481</v>
      </c>
      <c r="L35" s="16">
        <v>18.7</v>
      </c>
      <c r="M35" s="10">
        <f>AVERAGE(M25:M34)</f>
        <v>2302.553720595025</v>
      </c>
      <c r="N35" s="9">
        <f>M35/L35</f>
        <v>123.13121500508156</v>
      </c>
      <c r="O35" s="11">
        <f>L35-I35</f>
        <v>0</v>
      </c>
      <c r="P35" s="12">
        <f>N35-K35</f>
        <v>-5.2110309842232567</v>
      </c>
      <c r="Q35" s="153">
        <f>N35/K35</f>
        <v>0.95939738358126048</v>
      </c>
      <c r="R35" s="571"/>
      <c r="S35" s="24"/>
      <c r="T35" s="24"/>
      <c r="U35" s="152"/>
      <c r="V35" s="160"/>
      <c r="W35" s="152"/>
      <c r="X35" s="152"/>
      <c r="Y35" s="617"/>
      <c r="Z35" s="617"/>
      <c r="AA35" s="11">
        <f t="shared" si="2"/>
        <v>-97.44627940497503</v>
      </c>
      <c r="AB35" s="153">
        <f>M35/J35</f>
        <v>0.95939738358126037</v>
      </c>
      <c r="AC35" s="571"/>
    </row>
    <row r="36" spans="1:29" ht="15.75" customHeight="1">
      <c r="A36" s="637" t="s">
        <v>565</v>
      </c>
      <c r="B36" s="26" t="s">
        <v>46</v>
      </c>
      <c r="C36" s="616" t="s">
        <v>63</v>
      </c>
      <c r="D36" s="616"/>
      <c r="E36" s="26">
        <v>26.2</v>
      </c>
      <c r="F36" s="162">
        <v>4500</v>
      </c>
      <c r="G36" s="152">
        <f t="shared" ref="G36:G42" si="49">E36*F36</f>
        <v>117900</v>
      </c>
      <c r="H36" s="21">
        <v>2</v>
      </c>
      <c r="I36" s="159">
        <v>18</v>
      </c>
      <c r="J36" s="23">
        <v>2400</v>
      </c>
      <c r="K36" s="9">
        <f>J36/I36</f>
        <v>133.33333333333334</v>
      </c>
      <c r="L36" s="159">
        <v>18</v>
      </c>
      <c r="M36" s="10">
        <f>F36/V36*60</f>
        <v>2288.1355932203396</v>
      </c>
      <c r="N36" s="9">
        <f>M36/L36</f>
        <v>127.11864406779665</v>
      </c>
      <c r="O36" s="11">
        <f t="shared" ref="O36:O42" si="50">L36-I36</f>
        <v>0</v>
      </c>
      <c r="P36" s="12">
        <f t="shared" ref="P36:P50" si="51">N36-K36</f>
        <v>-6.2146892655366912</v>
      </c>
      <c r="Q36" s="153">
        <f t="shared" ref="Q36:Q47" si="52">N36/K36</f>
        <v>0.95338983050847481</v>
      </c>
      <c r="R36" s="571">
        <f>Q43</f>
        <v>0.9533988565112691</v>
      </c>
      <c r="S36" s="24">
        <v>0.125</v>
      </c>
      <c r="T36" s="24">
        <v>0.20694444444444443</v>
      </c>
      <c r="U36" s="152"/>
      <c r="V36" s="160">
        <f t="shared" ref="V36:V42" si="53">(T36-S36)*24*60</f>
        <v>117.99999999999999</v>
      </c>
      <c r="W36" s="15">
        <f>T36</f>
        <v>0.20694444444444443</v>
      </c>
      <c r="X36" s="15">
        <f>S37</f>
        <v>0.22708333333333333</v>
      </c>
      <c r="Y36" s="617"/>
      <c r="Z36" s="617"/>
      <c r="AA36" s="11">
        <f t="shared" si="2"/>
        <v>-111.86440677966038</v>
      </c>
      <c r="AB36" s="153">
        <f>M36/J36</f>
        <v>0.95338983050847481</v>
      </c>
      <c r="AC36" s="571">
        <f>AB43</f>
        <v>0.95339885651126921</v>
      </c>
    </row>
    <row r="37" spans="1:29" ht="15.75" customHeight="1">
      <c r="A37" s="637" t="s">
        <v>566</v>
      </c>
      <c r="B37" s="26" t="s">
        <v>46</v>
      </c>
      <c r="C37" s="616" t="s">
        <v>64</v>
      </c>
      <c r="D37" s="616"/>
      <c r="E37" s="26">
        <v>26.39</v>
      </c>
      <c r="F37" s="162">
        <v>4300</v>
      </c>
      <c r="G37" s="152">
        <f t="shared" si="49"/>
        <v>113477</v>
      </c>
      <c r="H37" s="21">
        <v>2</v>
      </c>
      <c r="I37" s="159">
        <v>19</v>
      </c>
      <c r="J37" s="23">
        <v>2400</v>
      </c>
      <c r="K37" s="9">
        <f t="shared" ref="K37:K49" si="54">J37/I37</f>
        <v>126.31578947368421</v>
      </c>
      <c r="L37" s="159">
        <v>19</v>
      </c>
      <c r="M37" s="10">
        <f t="shared" ref="M37:M42" si="55">F37/V37*60</f>
        <v>2283.1858407079635</v>
      </c>
      <c r="N37" s="9">
        <f t="shared" ref="N37:N42" si="56">M37/L37</f>
        <v>120.16767582673492</v>
      </c>
      <c r="O37" s="11">
        <f t="shared" si="50"/>
        <v>0</v>
      </c>
      <c r="P37" s="12">
        <f t="shared" si="51"/>
        <v>-6.1481136469492839</v>
      </c>
      <c r="Q37" s="153">
        <f t="shared" si="52"/>
        <v>0.95132743362831818</v>
      </c>
      <c r="R37" s="571"/>
      <c r="S37" s="24">
        <v>0.22708333333333333</v>
      </c>
      <c r="T37" s="24">
        <v>0.30555555555555558</v>
      </c>
      <c r="U37" s="152">
        <f>(S37-T36)*24*60</f>
        <v>29.000000000000018</v>
      </c>
      <c r="V37" s="160">
        <f t="shared" si="53"/>
        <v>113.00000000000004</v>
      </c>
      <c r="W37" s="152"/>
      <c r="X37" s="152"/>
      <c r="Y37" s="617"/>
      <c r="Z37" s="617"/>
      <c r="AA37" s="11">
        <f t="shared" si="2"/>
        <v>-116.81415929203649</v>
      </c>
      <c r="AB37" s="153">
        <f t="shared" ref="AB37:AB62" si="57">M37/J37</f>
        <v>0.95132743362831818</v>
      </c>
      <c r="AC37" s="571"/>
    </row>
    <row r="38" spans="1:29">
      <c r="A38" s="638" t="s">
        <v>567</v>
      </c>
      <c r="B38" s="26" t="s">
        <v>46</v>
      </c>
      <c r="C38" s="616" t="s">
        <v>65</v>
      </c>
      <c r="D38" s="616"/>
      <c r="E38" s="26">
        <v>24.43</v>
      </c>
      <c r="F38" s="162">
        <v>4000</v>
      </c>
      <c r="G38" s="152">
        <f t="shared" si="49"/>
        <v>97720</v>
      </c>
      <c r="H38" s="21">
        <v>2</v>
      </c>
      <c r="I38" s="159">
        <v>15</v>
      </c>
      <c r="J38" s="23">
        <v>2400</v>
      </c>
      <c r="K38" s="9">
        <f t="shared" si="54"/>
        <v>160</v>
      </c>
      <c r="L38" s="159">
        <v>15</v>
      </c>
      <c r="M38" s="10">
        <f t="shared" si="55"/>
        <v>2285.7142857142853</v>
      </c>
      <c r="N38" s="9">
        <f t="shared" si="56"/>
        <v>152.38095238095235</v>
      </c>
      <c r="O38" s="11">
        <f t="shared" si="50"/>
        <v>0</v>
      </c>
      <c r="P38" s="12">
        <f t="shared" si="51"/>
        <v>-7.6190476190476488</v>
      </c>
      <c r="Q38" s="153">
        <f t="shared" si="52"/>
        <v>0.95238095238095222</v>
      </c>
      <c r="R38" s="571"/>
      <c r="S38" s="24">
        <v>0.30972222222222223</v>
      </c>
      <c r="T38" s="24">
        <v>0.38263888888888892</v>
      </c>
      <c r="U38" s="152">
        <f t="shared" ref="U38:U42" si="58">(S38-T37)*24*60</f>
        <v>5.9999999999999787</v>
      </c>
      <c r="V38" s="160">
        <f t="shared" si="53"/>
        <v>105.00000000000003</v>
      </c>
      <c r="W38" s="152"/>
      <c r="X38" s="152"/>
      <c r="Y38" s="617"/>
      <c r="Z38" s="617"/>
      <c r="AA38" s="11">
        <f t="shared" si="2"/>
        <v>-114.28571428571468</v>
      </c>
      <c r="AB38" s="153">
        <f t="shared" si="57"/>
        <v>0.95238095238095222</v>
      </c>
      <c r="AC38" s="571"/>
    </row>
    <row r="39" spans="1:29">
      <c r="A39" s="638" t="s">
        <v>568</v>
      </c>
      <c r="B39" s="26" t="s">
        <v>46</v>
      </c>
      <c r="C39" s="616" t="s">
        <v>66</v>
      </c>
      <c r="D39" s="616"/>
      <c r="E39" s="26">
        <v>24.25</v>
      </c>
      <c r="F39" s="162">
        <v>7108</v>
      </c>
      <c r="G39" s="152">
        <f t="shared" si="49"/>
        <v>172369</v>
      </c>
      <c r="H39" s="21" t="s">
        <v>35</v>
      </c>
      <c r="I39" s="159">
        <v>14</v>
      </c>
      <c r="J39" s="23">
        <v>2400</v>
      </c>
      <c r="K39" s="9">
        <f t="shared" si="54"/>
        <v>171.42857142857142</v>
      </c>
      <c r="L39" s="159">
        <v>14</v>
      </c>
      <c r="M39" s="10">
        <f t="shared" si="55"/>
        <v>2292.9032258064508</v>
      </c>
      <c r="N39" s="9">
        <f t="shared" si="56"/>
        <v>163.77880184331792</v>
      </c>
      <c r="O39" s="11">
        <f t="shared" si="50"/>
        <v>0</v>
      </c>
      <c r="P39" s="12">
        <f t="shared" si="51"/>
        <v>-7.6497695852534946</v>
      </c>
      <c r="Q39" s="153">
        <f t="shared" si="52"/>
        <v>0.95537634408602123</v>
      </c>
      <c r="R39" s="571"/>
      <c r="S39" s="24">
        <v>0.38819444444444445</v>
      </c>
      <c r="T39" s="24">
        <v>0.51736111111111116</v>
      </c>
      <c r="U39" s="152">
        <f t="shared" si="58"/>
        <v>7.9999999999999716</v>
      </c>
      <c r="V39" s="160">
        <f t="shared" si="53"/>
        <v>186.00000000000006</v>
      </c>
      <c r="W39" s="13">
        <f>T39</f>
        <v>0.51736111111111116</v>
      </c>
      <c r="X39" s="13">
        <f>S40</f>
        <v>0.55902777777777779</v>
      </c>
      <c r="Y39" s="617"/>
      <c r="Z39" s="617"/>
      <c r="AA39" s="11">
        <f t="shared" si="2"/>
        <v>-107.09677419354921</v>
      </c>
      <c r="AB39" s="153">
        <f t="shared" si="57"/>
        <v>0.95537634408602112</v>
      </c>
      <c r="AC39" s="571"/>
    </row>
    <row r="40" spans="1:29">
      <c r="A40" s="638" t="s">
        <v>569</v>
      </c>
      <c r="B40" s="26" t="s">
        <v>46</v>
      </c>
      <c r="C40" s="616" t="s">
        <v>65</v>
      </c>
      <c r="D40" s="616"/>
      <c r="E40" s="26">
        <v>24.43</v>
      </c>
      <c r="F40" s="162">
        <v>5767</v>
      </c>
      <c r="G40" s="152">
        <f t="shared" si="49"/>
        <v>140887.81</v>
      </c>
      <c r="H40" s="21" t="s">
        <v>35</v>
      </c>
      <c r="I40" s="159">
        <v>15</v>
      </c>
      <c r="J40" s="23">
        <v>2400</v>
      </c>
      <c r="K40" s="9">
        <f t="shared" si="54"/>
        <v>160</v>
      </c>
      <c r="L40" s="159">
        <v>15</v>
      </c>
      <c r="M40" s="10">
        <f t="shared" si="55"/>
        <v>2291.5231788079482</v>
      </c>
      <c r="N40" s="9">
        <f t="shared" si="56"/>
        <v>152.76821192052986</v>
      </c>
      <c r="O40" s="11">
        <f t="shared" si="50"/>
        <v>0</v>
      </c>
      <c r="P40" s="12">
        <f t="shared" si="51"/>
        <v>-7.2317880794701352</v>
      </c>
      <c r="Q40" s="153">
        <f t="shared" si="52"/>
        <v>0.95480132450331168</v>
      </c>
      <c r="R40" s="571"/>
      <c r="S40" s="24">
        <v>0.55902777777777779</v>
      </c>
      <c r="T40" s="24">
        <v>0.66388888888888886</v>
      </c>
      <c r="U40" s="152">
        <f t="shared" si="58"/>
        <v>59.999999999999943</v>
      </c>
      <c r="V40" s="160">
        <f t="shared" si="53"/>
        <v>150.99999999999994</v>
      </c>
      <c r="W40" s="13"/>
      <c r="X40" s="13"/>
      <c r="Y40" s="617"/>
      <c r="Z40" s="617"/>
      <c r="AA40" s="11">
        <f t="shared" si="2"/>
        <v>-108.47682119205183</v>
      </c>
      <c r="AB40" s="153">
        <f t="shared" si="57"/>
        <v>0.95480132450331179</v>
      </c>
      <c r="AC40" s="571"/>
    </row>
    <row r="41" spans="1:29">
      <c r="A41" s="638" t="s">
        <v>570</v>
      </c>
      <c r="B41" s="26" t="s">
        <v>46</v>
      </c>
      <c r="C41" s="616" t="s">
        <v>63</v>
      </c>
      <c r="D41" s="616"/>
      <c r="E41" s="26">
        <v>26.2</v>
      </c>
      <c r="F41" s="162">
        <v>3348</v>
      </c>
      <c r="G41" s="152">
        <f t="shared" si="49"/>
        <v>87717.599999999991</v>
      </c>
      <c r="H41" s="21" t="s">
        <v>35</v>
      </c>
      <c r="I41" s="159">
        <v>18</v>
      </c>
      <c r="J41" s="23">
        <v>2400</v>
      </c>
      <c r="K41" s="9">
        <f t="shared" si="54"/>
        <v>133.33333333333334</v>
      </c>
      <c r="L41" s="159">
        <v>18</v>
      </c>
      <c r="M41" s="10">
        <f t="shared" si="55"/>
        <v>2282.727272727273</v>
      </c>
      <c r="N41" s="9">
        <f t="shared" si="56"/>
        <v>126.81818181818183</v>
      </c>
      <c r="O41" s="11">
        <f t="shared" si="50"/>
        <v>0</v>
      </c>
      <c r="P41" s="12">
        <f t="shared" si="51"/>
        <v>-6.5151515151515156</v>
      </c>
      <c r="Q41" s="153">
        <f t="shared" si="52"/>
        <v>0.95113636363636367</v>
      </c>
      <c r="R41" s="571"/>
      <c r="S41" s="24">
        <v>0.66805555555555551</v>
      </c>
      <c r="T41" s="24">
        <v>0.72916666666666663</v>
      </c>
      <c r="U41" s="152">
        <f t="shared" si="58"/>
        <v>5.9999999999999787</v>
      </c>
      <c r="V41" s="160">
        <f t="shared" si="53"/>
        <v>88</v>
      </c>
      <c r="W41" s="13"/>
      <c r="X41" s="13"/>
      <c r="Y41" s="617"/>
      <c r="Z41" s="617"/>
      <c r="AA41" s="11">
        <f t="shared" si="2"/>
        <v>-117.27272727272702</v>
      </c>
      <c r="AB41" s="153">
        <f t="shared" si="57"/>
        <v>0.95113636363636378</v>
      </c>
      <c r="AC41" s="571"/>
    </row>
    <row r="42" spans="1:29">
      <c r="A42" s="638" t="s">
        <v>571</v>
      </c>
      <c r="B42" s="26" t="s">
        <v>46</v>
      </c>
      <c r="C42" s="616" t="s">
        <v>64</v>
      </c>
      <c r="D42" s="616"/>
      <c r="E42" s="26">
        <v>26.39</v>
      </c>
      <c r="F42" s="162">
        <v>3019</v>
      </c>
      <c r="G42" s="152">
        <f t="shared" si="49"/>
        <v>79671.41</v>
      </c>
      <c r="H42" s="21" t="s">
        <v>35</v>
      </c>
      <c r="I42" s="159">
        <v>19</v>
      </c>
      <c r="J42" s="23">
        <v>2400</v>
      </c>
      <c r="K42" s="9">
        <f t="shared" si="54"/>
        <v>126.31578947368421</v>
      </c>
      <c r="L42" s="159">
        <v>19</v>
      </c>
      <c r="M42" s="10">
        <f t="shared" si="55"/>
        <v>2292.9113924050621</v>
      </c>
      <c r="N42" s="9">
        <f t="shared" si="56"/>
        <v>120.67954696868748</v>
      </c>
      <c r="O42" s="11">
        <f t="shared" si="50"/>
        <v>0</v>
      </c>
      <c r="P42" s="12">
        <f t="shared" si="51"/>
        <v>-5.63624250499673</v>
      </c>
      <c r="Q42" s="153">
        <f t="shared" si="52"/>
        <v>0.95537974683544258</v>
      </c>
      <c r="R42" s="571"/>
      <c r="S42" s="24">
        <v>0.73402777777777772</v>
      </c>
      <c r="T42" s="24">
        <v>0.78888888888888886</v>
      </c>
      <c r="U42" s="152">
        <f t="shared" si="58"/>
        <v>6.9999999999999751</v>
      </c>
      <c r="V42" s="160">
        <f t="shared" si="53"/>
        <v>79.000000000000043</v>
      </c>
      <c r="W42" s="13"/>
      <c r="X42" s="13"/>
      <c r="Y42" s="621"/>
      <c r="Z42" s="622"/>
      <c r="AA42" s="11">
        <f t="shared" si="2"/>
        <v>-107.08860759493791</v>
      </c>
      <c r="AB42" s="153">
        <f t="shared" si="57"/>
        <v>0.95537974683544258</v>
      </c>
      <c r="AC42" s="571"/>
    </row>
    <row r="43" spans="1:29">
      <c r="A43" s="638" t="s">
        <v>568</v>
      </c>
      <c r="B43" s="27" t="s">
        <v>572</v>
      </c>
      <c r="C43" s="629"/>
      <c r="D43" s="629"/>
      <c r="E43" s="151"/>
      <c r="F43" s="27"/>
      <c r="G43" s="9"/>
      <c r="H43" s="162"/>
      <c r="I43" s="16">
        <v>16.857142857142858</v>
      </c>
      <c r="J43" s="23">
        <v>2400</v>
      </c>
      <c r="K43" s="9">
        <f t="shared" si="54"/>
        <v>142.37288135593221</v>
      </c>
      <c r="L43" s="16">
        <v>16.857142857142858</v>
      </c>
      <c r="M43" s="10">
        <f>AVERAGE(M36:M42)</f>
        <v>2288.1572556270462</v>
      </c>
      <c r="N43" s="9">
        <f>M43/L43</f>
        <v>135.73814228296035</v>
      </c>
      <c r="O43" s="11">
        <f>L43-I43</f>
        <v>0</v>
      </c>
      <c r="P43" s="12">
        <f t="shared" si="51"/>
        <v>-6.6347390729718541</v>
      </c>
      <c r="Q43" s="153">
        <f t="shared" si="52"/>
        <v>0.9533988565112691</v>
      </c>
      <c r="R43" s="571"/>
      <c r="S43" s="24"/>
      <c r="T43" s="24"/>
      <c r="U43" s="9"/>
      <c r="V43" s="160"/>
      <c r="W43" s="9"/>
      <c r="X43" s="9"/>
      <c r="Y43" s="617"/>
      <c r="Z43" s="617"/>
      <c r="AA43" s="11">
        <f t="shared" si="2"/>
        <v>-111.8427443729538</v>
      </c>
      <c r="AB43" s="153">
        <f t="shared" si="57"/>
        <v>0.95339885651126921</v>
      </c>
      <c r="AC43" s="571"/>
    </row>
    <row r="44" spans="1:29" ht="15.75" customHeight="1">
      <c r="A44" s="630" t="s">
        <v>573</v>
      </c>
      <c r="B44" s="26" t="s">
        <v>67</v>
      </c>
      <c r="C44" s="627" t="s">
        <v>68</v>
      </c>
      <c r="D44" s="628"/>
      <c r="E44" s="26">
        <v>21.13</v>
      </c>
      <c r="F44" s="162">
        <v>5947</v>
      </c>
      <c r="G44" s="152">
        <f t="shared" ref="G44:G49" si="59">E44*F44</f>
        <v>125660.11</v>
      </c>
      <c r="H44" s="21" t="s">
        <v>35</v>
      </c>
      <c r="I44" s="159">
        <v>10</v>
      </c>
      <c r="J44" s="23">
        <v>3000</v>
      </c>
      <c r="K44" s="9">
        <f t="shared" si="54"/>
        <v>300</v>
      </c>
      <c r="L44" s="159">
        <v>10</v>
      </c>
      <c r="M44" s="10">
        <f t="shared" ref="M44:M45" si="60">F44/V44*60</f>
        <v>2854.5600000000004</v>
      </c>
      <c r="N44" s="10">
        <f t="shared" ref="N44:N50" si="61">M44/L44</f>
        <v>285.45600000000002</v>
      </c>
      <c r="O44" s="11">
        <f t="shared" ref="O44:O50" si="62">L44-I44</f>
        <v>0</v>
      </c>
      <c r="P44" s="12">
        <f t="shared" si="51"/>
        <v>-14.543999999999983</v>
      </c>
      <c r="Q44" s="153">
        <f t="shared" si="52"/>
        <v>0.95152000000000003</v>
      </c>
      <c r="R44" s="582">
        <f>Q50</f>
        <v>0.95552968666898697</v>
      </c>
      <c r="S44" s="24">
        <v>0.20833333333333334</v>
      </c>
      <c r="T44" s="24">
        <v>0.2951388888888889</v>
      </c>
      <c r="U44" s="15"/>
      <c r="V44" s="160">
        <f t="shared" ref="V44:V49" si="63">(T44-S44)*24*60</f>
        <v>124.99999999999999</v>
      </c>
      <c r="W44" s="13"/>
      <c r="X44" s="13"/>
      <c r="Y44" s="621"/>
      <c r="Z44" s="622"/>
      <c r="AA44" s="11">
        <f t="shared" si="2"/>
        <v>-145.4399999999996</v>
      </c>
      <c r="AB44" s="153">
        <f t="shared" si="57"/>
        <v>0.95152000000000014</v>
      </c>
      <c r="AC44" s="582">
        <f>AB50</f>
        <v>0.95552968666898697</v>
      </c>
    </row>
    <row r="45" spans="1:29" ht="15.75" customHeight="1">
      <c r="A45" s="631" t="s">
        <v>30</v>
      </c>
      <c r="B45" s="26" t="s">
        <v>67</v>
      </c>
      <c r="C45" s="627" t="s">
        <v>69</v>
      </c>
      <c r="D45" s="628"/>
      <c r="E45" s="26">
        <v>27.17</v>
      </c>
      <c r="F45" s="162">
        <v>3500</v>
      </c>
      <c r="G45" s="152">
        <f t="shared" si="59"/>
        <v>95095</v>
      </c>
      <c r="H45" s="21">
        <v>2</v>
      </c>
      <c r="I45" s="159">
        <v>10</v>
      </c>
      <c r="J45" s="23">
        <v>3000</v>
      </c>
      <c r="K45" s="9">
        <f t="shared" si="54"/>
        <v>300</v>
      </c>
      <c r="L45" s="159">
        <v>10</v>
      </c>
      <c r="M45" s="10">
        <f t="shared" si="60"/>
        <v>2876.7123287671238</v>
      </c>
      <c r="N45" s="10">
        <f t="shared" si="61"/>
        <v>287.67123287671239</v>
      </c>
      <c r="O45" s="11">
        <f t="shared" si="62"/>
        <v>0</v>
      </c>
      <c r="P45" s="12">
        <f t="shared" si="51"/>
        <v>-12.328767123287605</v>
      </c>
      <c r="Q45" s="153">
        <f t="shared" si="52"/>
        <v>0.95890410958904126</v>
      </c>
      <c r="R45" s="583"/>
      <c r="S45" s="24">
        <v>0.30069444444444443</v>
      </c>
      <c r="T45" s="24">
        <v>0.35138888888888886</v>
      </c>
      <c r="U45" s="152">
        <f>(S45-T44)*24*60</f>
        <v>7.9999999999999716</v>
      </c>
      <c r="V45" s="160">
        <f t="shared" si="63"/>
        <v>72.999999999999986</v>
      </c>
      <c r="W45" s="13"/>
      <c r="X45" s="13"/>
      <c r="Y45" s="621"/>
      <c r="Z45" s="622"/>
      <c r="AA45" s="11">
        <f t="shared" si="2"/>
        <v>-123.28767123287616</v>
      </c>
      <c r="AB45" s="153">
        <f t="shared" si="57"/>
        <v>0.95890410958904126</v>
      </c>
      <c r="AC45" s="583"/>
    </row>
    <row r="46" spans="1:29" ht="15.75" customHeight="1">
      <c r="A46" s="631" t="s">
        <v>574</v>
      </c>
      <c r="B46" s="26" t="s">
        <v>67</v>
      </c>
      <c r="C46" s="627" t="s">
        <v>70</v>
      </c>
      <c r="D46" s="628"/>
      <c r="E46" s="26">
        <v>35.119999999999997</v>
      </c>
      <c r="F46" s="162">
        <v>5362</v>
      </c>
      <c r="G46" s="152">
        <f t="shared" si="59"/>
        <v>188313.43999999997</v>
      </c>
      <c r="H46" s="21" t="s">
        <v>35</v>
      </c>
      <c r="I46" s="159">
        <v>10</v>
      </c>
      <c r="J46" s="23">
        <v>3000</v>
      </c>
      <c r="K46" s="9">
        <f t="shared" si="54"/>
        <v>300</v>
      </c>
      <c r="L46" s="159">
        <v>10</v>
      </c>
      <c r="M46" s="10">
        <f>F46/V46*60</f>
        <v>2872.5</v>
      </c>
      <c r="N46" s="10">
        <f t="shared" si="61"/>
        <v>287.25</v>
      </c>
      <c r="O46" s="11">
        <f t="shared" si="62"/>
        <v>0</v>
      </c>
      <c r="P46" s="12">
        <f t="shared" si="51"/>
        <v>-12.75</v>
      </c>
      <c r="Q46" s="153">
        <f t="shared" si="52"/>
        <v>0.95750000000000002</v>
      </c>
      <c r="R46" s="583"/>
      <c r="S46" s="24">
        <v>0.35555555555555551</v>
      </c>
      <c r="T46" s="24">
        <v>0.43333333333333329</v>
      </c>
      <c r="U46" s="152">
        <f t="shared" ref="U46:U49" si="64">(S46-T45)*24*60</f>
        <v>5.9999999999999787</v>
      </c>
      <c r="V46" s="160">
        <f t="shared" si="63"/>
        <v>112</v>
      </c>
      <c r="W46" s="13"/>
      <c r="X46" s="13"/>
      <c r="Y46" s="621"/>
      <c r="Z46" s="622"/>
      <c r="AA46" s="11">
        <f t="shared" si="2"/>
        <v>-127.5</v>
      </c>
      <c r="AB46" s="153">
        <f t="shared" si="57"/>
        <v>0.95750000000000002</v>
      </c>
      <c r="AC46" s="583"/>
    </row>
    <row r="47" spans="1:29" ht="15.75" customHeight="1">
      <c r="A47" s="631" t="s">
        <v>573</v>
      </c>
      <c r="B47" s="26" t="s">
        <v>67</v>
      </c>
      <c r="C47" s="627" t="s">
        <v>71</v>
      </c>
      <c r="D47" s="628"/>
      <c r="E47" s="26">
        <v>35.869999999999997</v>
      </c>
      <c r="F47" s="162">
        <v>3390</v>
      </c>
      <c r="G47" s="152">
        <f t="shared" si="59"/>
        <v>121599.29999999999</v>
      </c>
      <c r="H47" s="21" t="s">
        <v>35</v>
      </c>
      <c r="I47" s="159">
        <v>10</v>
      </c>
      <c r="J47" s="23">
        <v>3000</v>
      </c>
      <c r="K47" s="9">
        <f t="shared" si="54"/>
        <v>300</v>
      </c>
      <c r="L47" s="159">
        <v>10</v>
      </c>
      <c r="M47" s="10">
        <f t="shared" ref="M47:M49" si="65">F47/V47*60</f>
        <v>2864.7887323943669</v>
      </c>
      <c r="N47" s="10">
        <f t="shared" si="61"/>
        <v>286.47887323943667</v>
      </c>
      <c r="O47" s="11">
        <f t="shared" si="62"/>
        <v>0</v>
      </c>
      <c r="P47" s="12">
        <f t="shared" si="51"/>
        <v>-13.521126760563334</v>
      </c>
      <c r="Q47" s="153">
        <f t="shared" si="52"/>
        <v>0.9549295774647889</v>
      </c>
      <c r="R47" s="583"/>
      <c r="S47" s="24">
        <v>0.43819444444444439</v>
      </c>
      <c r="T47" s="24">
        <v>0.48749999999999993</v>
      </c>
      <c r="U47" s="152">
        <f t="shared" si="64"/>
        <v>6.9999999999999751</v>
      </c>
      <c r="V47" s="160">
        <f t="shared" si="63"/>
        <v>70.999999999999986</v>
      </c>
      <c r="W47" s="13"/>
      <c r="X47" s="13"/>
      <c r="Y47" s="621"/>
      <c r="Z47" s="622"/>
      <c r="AA47" s="11">
        <f t="shared" si="2"/>
        <v>-135.21126760563311</v>
      </c>
      <c r="AB47" s="153">
        <f t="shared" si="57"/>
        <v>0.95492957746478901</v>
      </c>
      <c r="AC47" s="583"/>
    </row>
    <row r="48" spans="1:29" ht="15.75" customHeight="1">
      <c r="A48" s="631" t="s">
        <v>575</v>
      </c>
      <c r="B48" s="26" t="s">
        <v>67</v>
      </c>
      <c r="C48" s="627" t="s">
        <v>72</v>
      </c>
      <c r="D48" s="628"/>
      <c r="E48" s="26">
        <v>36.14</v>
      </c>
      <c r="F48" s="162">
        <v>2057</v>
      </c>
      <c r="G48" s="152">
        <f t="shared" si="59"/>
        <v>74339.98</v>
      </c>
      <c r="H48" s="21" t="s">
        <v>35</v>
      </c>
      <c r="I48" s="159">
        <v>8</v>
      </c>
      <c r="J48" s="23">
        <v>3000</v>
      </c>
      <c r="K48" s="9">
        <f t="shared" si="54"/>
        <v>375</v>
      </c>
      <c r="L48" s="159">
        <v>8</v>
      </c>
      <c r="M48" s="10">
        <f t="shared" si="65"/>
        <v>2870.2325581395344</v>
      </c>
      <c r="N48" s="10">
        <f t="shared" si="61"/>
        <v>358.7790697674418</v>
      </c>
      <c r="O48" s="11">
        <f t="shared" si="62"/>
        <v>0</v>
      </c>
      <c r="P48" s="12">
        <f t="shared" si="51"/>
        <v>-16.220930232558203</v>
      </c>
      <c r="Q48" s="153">
        <f>N48/K48</f>
        <v>0.95674418604651146</v>
      </c>
      <c r="R48" s="583"/>
      <c r="S48" s="24">
        <v>0.49236111111111103</v>
      </c>
      <c r="T48" s="24">
        <v>0.52222222222222214</v>
      </c>
      <c r="U48" s="152">
        <f t="shared" si="64"/>
        <v>6.9999999999999751</v>
      </c>
      <c r="V48" s="160">
        <f t="shared" si="63"/>
        <v>43.000000000000007</v>
      </c>
      <c r="W48" s="13">
        <f>T48</f>
        <v>0.52222222222222214</v>
      </c>
      <c r="X48" s="13">
        <f>S49</f>
        <v>0.56249999999999989</v>
      </c>
      <c r="Y48" s="621"/>
      <c r="Z48" s="622"/>
      <c r="AA48" s="11">
        <f t="shared" si="2"/>
        <v>-129.76744186046562</v>
      </c>
      <c r="AB48" s="153">
        <f t="shared" si="57"/>
        <v>0.95674418604651146</v>
      </c>
      <c r="AC48" s="583"/>
    </row>
    <row r="49" spans="1:29" ht="15.75" customHeight="1">
      <c r="A49" s="631" t="s">
        <v>573</v>
      </c>
      <c r="B49" s="26" t="s">
        <v>67</v>
      </c>
      <c r="C49" s="627" t="s">
        <v>69</v>
      </c>
      <c r="D49" s="628"/>
      <c r="E49" s="26">
        <v>27.17</v>
      </c>
      <c r="F49" s="162">
        <v>3862</v>
      </c>
      <c r="G49" s="152">
        <f t="shared" si="59"/>
        <v>104930.54000000001</v>
      </c>
      <c r="H49" s="21" t="s">
        <v>35</v>
      </c>
      <c r="I49" s="159">
        <v>10</v>
      </c>
      <c r="J49" s="23">
        <v>3000</v>
      </c>
      <c r="K49" s="9">
        <f t="shared" si="54"/>
        <v>300</v>
      </c>
      <c r="L49" s="159">
        <v>10</v>
      </c>
      <c r="M49" s="10">
        <f t="shared" si="65"/>
        <v>2860.74074074074</v>
      </c>
      <c r="N49" s="10">
        <f t="shared" si="61"/>
        <v>286.07407407407402</v>
      </c>
      <c r="O49" s="11">
        <f t="shared" si="62"/>
        <v>0</v>
      </c>
      <c r="P49" s="12">
        <f t="shared" si="51"/>
        <v>-13.925925925925981</v>
      </c>
      <c r="Q49" s="153">
        <f t="shared" ref="Q49:Q50" si="66">N49/K49</f>
        <v>0.95358024691358001</v>
      </c>
      <c r="R49" s="583"/>
      <c r="S49" s="24">
        <v>0.56249999999999989</v>
      </c>
      <c r="T49" s="24">
        <v>0.61874999999999991</v>
      </c>
      <c r="U49" s="152">
        <f t="shared" si="64"/>
        <v>57.999999999999957</v>
      </c>
      <c r="V49" s="160">
        <f t="shared" si="63"/>
        <v>81.000000000000028</v>
      </c>
      <c r="W49" s="13"/>
      <c r="X49" s="13"/>
      <c r="Y49" s="621"/>
      <c r="Z49" s="622"/>
      <c r="AA49" s="11">
        <f t="shared" si="2"/>
        <v>-139.25925925926003</v>
      </c>
      <c r="AB49" s="153">
        <f t="shared" si="57"/>
        <v>0.95358024691358001</v>
      </c>
      <c r="AC49" s="583"/>
    </row>
    <row r="50" spans="1:29" ht="15.75" customHeight="1">
      <c r="A50" s="632" t="s">
        <v>576</v>
      </c>
      <c r="B50" s="26" t="s">
        <v>577</v>
      </c>
      <c r="C50" s="625"/>
      <c r="D50" s="626"/>
      <c r="E50" s="158"/>
      <c r="F50" s="162"/>
      <c r="G50" s="152"/>
      <c r="H50" s="162"/>
      <c r="I50" s="16">
        <v>9.6666666666666661</v>
      </c>
      <c r="J50" s="23">
        <v>3000</v>
      </c>
      <c r="K50" s="9">
        <f>J50/I50</f>
        <v>310.34482758620692</v>
      </c>
      <c r="L50" s="16">
        <v>9.6666666666666661</v>
      </c>
      <c r="M50" s="10">
        <f>AVERAGE(M44:M49)</f>
        <v>2866.5890600069611</v>
      </c>
      <c r="N50" s="9">
        <f t="shared" si="61"/>
        <v>296.54369586278909</v>
      </c>
      <c r="O50" s="11">
        <f t="shared" si="62"/>
        <v>0</v>
      </c>
      <c r="P50" s="12">
        <f t="shared" si="51"/>
        <v>-13.801131723417825</v>
      </c>
      <c r="Q50" s="153">
        <f t="shared" si="66"/>
        <v>0.95552968666898697</v>
      </c>
      <c r="R50" s="584"/>
      <c r="S50" s="24"/>
      <c r="T50" s="24"/>
      <c r="U50" s="152"/>
      <c r="V50" s="160"/>
      <c r="W50" s="13"/>
      <c r="X50" s="13"/>
      <c r="Y50" s="621"/>
      <c r="Z50" s="622"/>
      <c r="AA50" s="11">
        <f t="shared" si="2"/>
        <v>-133.41093999303894</v>
      </c>
      <c r="AB50" s="153">
        <f t="shared" si="57"/>
        <v>0.95552968666898697</v>
      </c>
      <c r="AC50" s="584"/>
    </row>
    <row r="51" spans="1:29" ht="15.75" customHeight="1">
      <c r="A51" s="633" t="s">
        <v>578</v>
      </c>
      <c r="B51" s="26" t="s">
        <v>40</v>
      </c>
      <c r="C51" s="616" t="s">
        <v>73</v>
      </c>
      <c r="D51" s="616"/>
      <c r="E51" s="26">
        <v>46</v>
      </c>
      <c r="F51" s="28">
        <v>3408</v>
      </c>
      <c r="G51" s="152">
        <f t="shared" ref="G51:G56" si="67">E51*F51</f>
        <v>156768</v>
      </c>
      <c r="H51" s="21" t="s">
        <v>35</v>
      </c>
      <c r="I51" s="159">
        <v>17</v>
      </c>
      <c r="J51" s="23">
        <v>2000</v>
      </c>
      <c r="K51" s="9">
        <f t="shared" ref="K51:K56" si="68">J51/I51</f>
        <v>117.64705882352941</v>
      </c>
      <c r="L51" s="159">
        <v>17</v>
      </c>
      <c r="M51" s="10">
        <f t="shared" ref="M51:M56" si="69">F51/V51*60</f>
        <v>1911.0280373831779</v>
      </c>
      <c r="N51" s="10">
        <f>M51/L51</f>
        <v>112.41341396371635</v>
      </c>
      <c r="O51" s="11">
        <f>L51-I51</f>
        <v>0</v>
      </c>
      <c r="P51" s="12">
        <f>N51-K51</f>
        <v>-5.2336448598130545</v>
      </c>
      <c r="Q51" s="153">
        <f>N51/K51</f>
        <v>0.95551401869158903</v>
      </c>
      <c r="R51" s="571">
        <f>Q57</f>
        <v>0.95894177879415032</v>
      </c>
      <c r="S51" s="24">
        <v>0.20833333333333334</v>
      </c>
      <c r="T51" s="24">
        <v>0.28263888888888888</v>
      </c>
      <c r="U51" s="15"/>
      <c r="V51" s="160">
        <f t="shared" ref="V51:V56" si="70">(T51-S51)*24*60</f>
        <v>106.99999999999999</v>
      </c>
      <c r="W51" s="15"/>
      <c r="X51" s="15"/>
      <c r="Y51" s="617"/>
      <c r="Z51" s="617"/>
      <c r="AA51" s="11">
        <f t="shared" si="2"/>
        <v>-88.971962616822111</v>
      </c>
      <c r="AB51" s="153">
        <f t="shared" si="57"/>
        <v>0.95551401869158892</v>
      </c>
      <c r="AC51" s="571">
        <f>AB57</f>
        <v>0.95894177879415032</v>
      </c>
    </row>
    <row r="52" spans="1:29" ht="15.75" customHeight="1">
      <c r="A52" s="633" t="s">
        <v>579</v>
      </c>
      <c r="B52" s="26" t="s">
        <v>40</v>
      </c>
      <c r="C52" s="616" t="s">
        <v>74</v>
      </c>
      <c r="D52" s="616"/>
      <c r="E52" s="26">
        <v>46</v>
      </c>
      <c r="F52" s="28">
        <v>3469</v>
      </c>
      <c r="G52" s="152">
        <f t="shared" si="67"/>
        <v>159574</v>
      </c>
      <c r="H52" s="21" t="s">
        <v>35</v>
      </c>
      <c r="I52" s="159">
        <v>17</v>
      </c>
      <c r="J52" s="23">
        <v>2000</v>
      </c>
      <c r="K52" s="9">
        <f t="shared" si="68"/>
        <v>117.64705882352941</v>
      </c>
      <c r="L52" s="159">
        <v>17</v>
      </c>
      <c r="M52" s="10">
        <f t="shared" si="69"/>
        <v>1909.5412844036696</v>
      </c>
      <c r="N52" s="10">
        <f t="shared" ref="N52:N56" si="71">M52/L52</f>
        <v>112.32595790609821</v>
      </c>
      <c r="O52" s="11">
        <f t="shared" ref="O52:O56" si="72">L52-I52</f>
        <v>0</v>
      </c>
      <c r="P52" s="12">
        <f t="shared" ref="P52:P56" si="73">N52-K52</f>
        <v>-5.3211009174311954</v>
      </c>
      <c r="Q52" s="153">
        <f t="shared" ref="Q52:Q56" si="74">N52/K52</f>
        <v>0.95477064220183483</v>
      </c>
      <c r="R52" s="571"/>
      <c r="S52" s="24">
        <v>0.28819444444444442</v>
      </c>
      <c r="T52" s="24">
        <v>0.36388888888888887</v>
      </c>
      <c r="U52" s="152">
        <f>IF(S52=TIME(17,0,0),"",(S52-T51)*24*60)</f>
        <v>7.9999999999999716</v>
      </c>
      <c r="V52" s="160">
        <f t="shared" si="70"/>
        <v>109.00000000000001</v>
      </c>
      <c r="W52" s="13"/>
      <c r="X52" s="13"/>
      <c r="Y52" s="617"/>
      <c r="Z52" s="617"/>
      <c r="AA52" s="11">
        <f t="shared" si="2"/>
        <v>-90.458715596330421</v>
      </c>
      <c r="AB52" s="153">
        <f t="shared" si="57"/>
        <v>0.95477064220183483</v>
      </c>
      <c r="AC52" s="571"/>
    </row>
    <row r="53" spans="1:29" ht="15.75" customHeight="1">
      <c r="A53" s="633" t="s">
        <v>578</v>
      </c>
      <c r="B53" s="26" t="s">
        <v>36</v>
      </c>
      <c r="C53" s="627" t="s">
        <v>75</v>
      </c>
      <c r="D53" s="628"/>
      <c r="E53" s="26">
        <v>54.09</v>
      </c>
      <c r="F53" s="28">
        <v>1456</v>
      </c>
      <c r="G53" s="152">
        <f t="shared" si="67"/>
        <v>78755.040000000008</v>
      </c>
      <c r="H53" s="21" t="s">
        <v>35</v>
      </c>
      <c r="I53" s="159">
        <v>16</v>
      </c>
      <c r="J53" s="23">
        <v>2000</v>
      </c>
      <c r="K53" s="9">
        <f t="shared" si="68"/>
        <v>125</v>
      </c>
      <c r="L53" s="159">
        <v>16</v>
      </c>
      <c r="M53" s="10">
        <f t="shared" si="69"/>
        <v>1941.3333333333333</v>
      </c>
      <c r="N53" s="10">
        <f t="shared" si="71"/>
        <v>121.33333333333333</v>
      </c>
      <c r="O53" s="11">
        <f t="shared" si="72"/>
        <v>0</v>
      </c>
      <c r="P53" s="12">
        <f t="shared" si="73"/>
        <v>-3.6666666666666714</v>
      </c>
      <c r="Q53" s="153">
        <f t="shared" si="74"/>
        <v>0.97066666666666668</v>
      </c>
      <c r="R53" s="571"/>
      <c r="S53" s="24">
        <v>0.36874999999999997</v>
      </c>
      <c r="T53" s="24">
        <v>0.39999999999999997</v>
      </c>
      <c r="U53" s="152">
        <f t="shared" ref="U53:U56" si="75">IF(S53=TIME(17,0,0),"",(S53-T52)*24*60)</f>
        <v>6.9999999999999751</v>
      </c>
      <c r="V53" s="160">
        <f t="shared" si="70"/>
        <v>45</v>
      </c>
      <c r="W53" s="13"/>
      <c r="X53" s="13"/>
      <c r="Y53" s="156"/>
      <c r="Z53" s="157"/>
      <c r="AA53" s="11">
        <f t="shared" si="2"/>
        <v>-58.666666666666742</v>
      </c>
      <c r="AB53" s="153">
        <f t="shared" si="57"/>
        <v>0.97066666666666668</v>
      </c>
      <c r="AC53" s="571"/>
    </row>
    <row r="54" spans="1:29" ht="15.75" customHeight="1">
      <c r="A54" s="633" t="s">
        <v>580</v>
      </c>
      <c r="B54" s="26" t="s">
        <v>36</v>
      </c>
      <c r="C54" s="154" t="s">
        <v>76</v>
      </c>
      <c r="D54" s="155"/>
      <c r="E54" s="26">
        <v>55.56</v>
      </c>
      <c r="F54" s="28">
        <v>2452</v>
      </c>
      <c r="G54" s="152">
        <f t="shared" si="67"/>
        <v>136233.12</v>
      </c>
      <c r="H54" s="21" t="s">
        <v>35</v>
      </c>
      <c r="I54" s="159">
        <v>17</v>
      </c>
      <c r="J54" s="23">
        <v>2000</v>
      </c>
      <c r="K54" s="9">
        <f t="shared" si="68"/>
        <v>117.64705882352941</v>
      </c>
      <c r="L54" s="159">
        <v>17</v>
      </c>
      <c r="M54" s="10">
        <f t="shared" si="69"/>
        <v>1910.6493506493496</v>
      </c>
      <c r="N54" s="10">
        <f t="shared" si="71"/>
        <v>112.39113827349115</v>
      </c>
      <c r="O54" s="11">
        <f t="shared" si="72"/>
        <v>0</v>
      </c>
      <c r="P54" s="12">
        <f t="shared" si="73"/>
        <v>-5.2559205500382546</v>
      </c>
      <c r="Q54" s="153">
        <f t="shared" si="74"/>
        <v>0.9553246753246748</v>
      </c>
      <c r="R54" s="571"/>
      <c r="S54" s="24">
        <v>0.70833333333333337</v>
      </c>
      <c r="T54" s="24">
        <v>0.76180555555555562</v>
      </c>
      <c r="U54" s="152" t="str">
        <f t="shared" si="75"/>
        <v/>
      </c>
      <c r="V54" s="160">
        <f t="shared" si="70"/>
        <v>77.000000000000043</v>
      </c>
      <c r="W54" s="13"/>
      <c r="X54" s="13"/>
      <c r="Y54" s="156"/>
      <c r="Z54" s="157"/>
      <c r="AA54" s="11">
        <f t="shared" si="2"/>
        <v>-89.350649350650428</v>
      </c>
      <c r="AB54" s="153">
        <f t="shared" si="57"/>
        <v>0.9553246753246748</v>
      </c>
      <c r="AC54" s="571"/>
    </row>
    <row r="55" spans="1:29" ht="15.75" customHeight="1">
      <c r="A55" s="633" t="s">
        <v>581</v>
      </c>
      <c r="B55" s="26" t="s">
        <v>36</v>
      </c>
      <c r="C55" s="154" t="s">
        <v>77</v>
      </c>
      <c r="D55" s="155"/>
      <c r="E55" s="26">
        <v>55.32</v>
      </c>
      <c r="F55" s="28">
        <v>1896</v>
      </c>
      <c r="G55" s="152">
        <f t="shared" si="67"/>
        <v>104886.72</v>
      </c>
      <c r="H55" s="21" t="s">
        <v>35</v>
      </c>
      <c r="I55" s="159">
        <v>15</v>
      </c>
      <c r="J55" s="23">
        <v>2000</v>
      </c>
      <c r="K55" s="9">
        <f t="shared" si="68"/>
        <v>133.33333333333334</v>
      </c>
      <c r="L55" s="159">
        <v>15</v>
      </c>
      <c r="M55" s="10">
        <f t="shared" si="69"/>
        <v>1928.1355932203408</v>
      </c>
      <c r="N55" s="10">
        <f t="shared" si="71"/>
        <v>128.54237288135604</v>
      </c>
      <c r="O55" s="11">
        <f t="shared" si="72"/>
        <v>0</v>
      </c>
      <c r="P55" s="12">
        <f t="shared" si="73"/>
        <v>-4.7909604519772984</v>
      </c>
      <c r="Q55" s="153">
        <f t="shared" si="74"/>
        <v>0.96406779661017028</v>
      </c>
      <c r="R55" s="571"/>
      <c r="S55" s="24">
        <v>0.76736111111111116</v>
      </c>
      <c r="T55" s="24">
        <v>0.80833333333333335</v>
      </c>
      <c r="U55" s="152">
        <f t="shared" si="75"/>
        <v>7.9999999999999716</v>
      </c>
      <c r="V55" s="160">
        <f t="shared" si="70"/>
        <v>58.99999999999995</v>
      </c>
      <c r="W55" s="13"/>
      <c r="X55" s="13"/>
      <c r="Y55" s="156"/>
      <c r="Z55" s="157"/>
      <c r="AA55" s="11">
        <f t="shared" si="2"/>
        <v>-71.864406779659248</v>
      </c>
      <c r="AB55" s="153">
        <f t="shared" si="57"/>
        <v>0.96406779661017039</v>
      </c>
      <c r="AC55" s="571"/>
    </row>
    <row r="56" spans="1:29" ht="15.75" customHeight="1">
      <c r="A56" s="633" t="s">
        <v>31</v>
      </c>
      <c r="B56" s="26" t="s">
        <v>36</v>
      </c>
      <c r="C56" s="627" t="s">
        <v>78</v>
      </c>
      <c r="D56" s="628"/>
      <c r="E56" s="26">
        <v>57.73</v>
      </c>
      <c r="F56" s="28">
        <v>1332</v>
      </c>
      <c r="G56" s="152">
        <f t="shared" si="67"/>
        <v>76896.36</v>
      </c>
      <c r="H56" s="21" t="s">
        <v>35</v>
      </c>
      <c r="I56" s="159">
        <v>16</v>
      </c>
      <c r="J56" s="23">
        <v>1500</v>
      </c>
      <c r="K56" s="9">
        <f t="shared" si="68"/>
        <v>93.75</v>
      </c>
      <c r="L56" s="159">
        <v>16</v>
      </c>
      <c r="M56" s="10">
        <f t="shared" si="69"/>
        <v>1427.1428571428582</v>
      </c>
      <c r="N56" s="10">
        <f t="shared" si="71"/>
        <v>89.19642857142864</v>
      </c>
      <c r="O56" s="11">
        <f t="shared" si="72"/>
        <v>0</v>
      </c>
      <c r="P56" s="12">
        <f t="shared" si="73"/>
        <v>-4.5535714285713595</v>
      </c>
      <c r="Q56" s="153">
        <f t="shared" si="74"/>
        <v>0.95142857142857218</v>
      </c>
      <c r="R56" s="571"/>
      <c r="S56" s="24">
        <v>0.81319444444444444</v>
      </c>
      <c r="T56" s="24">
        <v>0.8520833333333333</v>
      </c>
      <c r="U56" s="152">
        <f t="shared" si="75"/>
        <v>6.9999999999999751</v>
      </c>
      <c r="V56" s="160">
        <f t="shared" si="70"/>
        <v>55.999999999999957</v>
      </c>
      <c r="W56" s="13"/>
      <c r="X56" s="13"/>
      <c r="Y56" s="621"/>
      <c r="Z56" s="622"/>
      <c r="AA56" s="11">
        <f t="shared" si="2"/>
        <v>-72.857142857141753</v>
      </c>
      <c r="AB56" s="153">
        <f t="shared" si="57"/>
        <v>0.95142857142857218</v>
      </c>
      <c r="AC56" s="571"/>
    </row>
    <row r="57" spans="1:29">
      <c r="A57" s="634" t="s">
        <v>582</v>
      </c>
      <c r="B57" s="26" t="s">
        <v>22</v>
      </c>
      <c r="C57" s="629"/>
      <c r="D57" s="629"/>
      <c r="E57" s="151"/>
      <c r="F57" s="27"/>
      <c r="G57" s="9"/>
      <c r="H57" s="162"/>
      <c r="I57" s="16">
        <v>16.333333333333332</v>
      </c>
      <c r="J57" s="23">
        <v>1916.6666666666667</v>
      </c>
      <c r="K57" s="9">
        <f>J57/I57</f>
        <v>117.34693877551021</v>
      </c>
      <c r="L57" s="16">
        <v>16.333333333333332</v>
      </c>
      <c r="M57" s="10">
        <f>AVERAGE(M51:M56)</f>
        <v>1837.9717426887883</v>
      </c>
      <c r="N57" s="9">
        <f>M57/L57</f>
        <v>112.52888220543602</v>
      </c>
      <c r="O57" s="11">
        <f>L57-I57</f>
        <v>0</v>
      </c>
      <c r="P57" s="12">
        <f>N57-K57</f>
        <v>-4.8180565700741909</v>
      </c>
      <c r="Q57" s="153">
        <f>N57/K57</f>
        <v>0.95894177879415032</v>
      </c>
      <c r="R57" s="571"/>
      <c r="S57" s="25"/>
      <c r="T57" s="24"/>
      <c r="U57" s="9"/>
      <c r="V57" s="160"/>
      <c r="W57" s="9"/>
      <c r="X57" s="9"/>
      <c r="Y57" s="617"/>
      <c r="Z57" s="617"/>
      <c r="AA57" s="11">
        <f t="shared" si="2"/>
        <v>-78.694923977878489</v>
      </c>
      <c r="AB57" s="153">
        <f t="shared" si="57"/>
        <v>0.95894177879415032</v>
      </c>
      <c r="AC57" s="571"/>
    </row>
    <row r="58" spans="1:29" ht="15.75" customHeight="1">
      <c r="A58" s="623" t="s">
        <v>583</v>
      </c>
      <c r="B58" s="162" t="s">
        <v>40</v>
      </c>
      <c r="C58" s="616" t="s">
        <v>82</v>
      </c>
      <c r="D58" s="616"/>
      <c r="E58" s="26">
        <v>26.97</v>
      </c>
      <c r="F58" s="28">
        <v>3631</v>
      </c>
      <c r="G58" s="152">
        <f t="shared" ref="G58:G61" si="76">E58*F58</f>
        <v>97928.069999999992</v>
      </c>
      <c r="H58" s="21" t="s">
        <v>35</v>
      </c>
      <c r="I58" s="159">
        <v>8</v>
      </c>
      <c r="J58" s="23">
        <v>1500</v>
      </c>
      <c r="K58" s="9">
        <f t="shared" ref="K58:K61" si="77">J58/I58</f>
        <v>187.5</v>
      </c>
      <c r="L58" s="16">
        <v>8</v>
      </c>
      <c r="M58" s="10">
        <f t="shared" ref="M58:M61" si="78">F58/V58*60</f>
        <v>1433.2894736842106</v>
      </c>
      <c r="N58" s="9">
        <f>M58/L58</f>
        <v>179.16118421052633</v>
      </c>
      <c r="O58" s="11">
        <f t="shared" ref="O58:O61" si="79">L58-I58</f>
        <v>0</v>
      </c>
      <c r="P58" s="12">
        <f t="shared" ref="P58:P61" si="80">N58-K58</f>
        <v>-8.3388157894736707</v>
      </c>
      <c r="Q58" s="153">
        <f>N58/K58</f>
        <v>0.95552631578947378</v>
      </c>
      <c r="R58" s="571">
        <f>Q62</f>
        <v>0.95574585176558846</v>
      </c>
      <c r="S58" s="24">
        <v>0.20833333333333334</v>
      </c>
      <c r="T58" s="24">
        <v>0.31388888888888888</v>
      </c>
      <c r="U58" s="152"/>
      <c r="V58" s="160">
        <f t="shared" ref="V58:V61" si="81">(T58-S58)*24*60</f>
        <v>152</v>
      </c>
      <c r="W58" s="15"/>
      <c r="X58" s="15"/>
      <c r="Y58" s="617"/>
      <c r="Z58" s="617"/>
      <c r="AA58" s="11">
        <f t="shared" si="2"/>
        <v>-66.710526315789366</v>
      </c>
      <c r="AB58" s="153">
        <f t="shared" si="57"/>
        <v>0.95552631578947378</v>
      </c>
      <c r="AC58" s="571">
        <f>AB62</f>
        <v>0.95574585176558846</v>
      </c>
    </row>
    <row r="59" spans="1:29" ht="15.75" customHeight="1">
      <c r="A59" s="623" t="s">
        <v>584</v>
      </c>
      <c r="B59" s="162" t="s">
        <v>67</v>
      </c>
      <c r="C59" s="616" t="s">
        <v>79</v>
      </c>
      <c r="D59" s="616"/>
      <c r="E59" s="26">
        <v>26.78</v>
      </c>
      <c r="F59" s="28">
        <v>3053</v>
      </c>
      <c r="G59" s="152">
        <f t="shared" si="76"/>
        <v>81759.34</v>
      </c>
      <c r="H59" s="21" t="s">
        <v>35</v>
      </c>
      <c r="I59" s="159">
        <v>10</v>
      </c>
      <c r="J59" s="23">
        <v>3000</v>
      </c>
      <c r="K59" s="9">
        <f t="shared" si="77"/>
        <v>300</v>
      </c>
      <c r="L59" s="16">
        <v>10</v>
      </c>
      <c r="M59" s="10">
        <f t="shared" si="78"/>
        <v>2862.1874999999995</v>
      </c>
      <c r="N59" s="9">
        <f t="shared" ref="N59:N61" si="82">M59/L59</f>
        <v>286.21874999999994</v>
      </c>
      <c r="O59" s="11">
        <f t="shared" si="79"/>
        <v>0</v>
      </c>
      <c r="P59" s="12">
        <f t="shared" si="80"/>
        <v>-13.781250000000057</v>
      </c>
      <c r="Q59" s="153">
        <f t="shared" ref="Q59:Q61" si="83">N59/K59</f>
        <v>0.95406249999999981</v>
      </c>
      <c r="R59" s="571"/>
      <c r="S59" s="24">
        <v>0.31736111111111109</v>
      </c>
      <c r="T59" s="24">
        <v>0.36180555555555555</v>
      </c>
      <c r="U59" s="152">
        <f>(S59-T58)*24*60</f>
        <v>4.9999999999999822</v>
      </c>
      <c r="V59" s="160">
        <f t="shared" si="81"/>
        <v>64.000000000000014</v>
      </c>
      <c r="W59" s="152"/>
      <c r="X59" s="152"/>
      <c r="Y59" s="617"/>
      <c r="Z59" s="617"/>
      <c r="AA59" s="11">
        <f t="shared" si="2"/>
        <v>-137.81250000000045</v>
      </c>
      <c r="AB59" s="153">
        <f t="shared" si="57"/>
        <v>0.95406249999999981</v>
      </c>
      <c r="AC59" s="571"/>
    </row>
    <row r="60" spans="1:29" ht="15.75" customHeight="1">
      <c r="A60" s="623" t="s">
        <v>585</v>
      </c>
      <c r="B60" s="162" t="s">
        <v>67</v>
      </c>
      <c r="C60" s="616" t="s">
        <v>81</v>
      </c>
      <c r="D60" s="616"/>
      <c r="E60" s="26">
        <v>35.869999999999997</v>
      </c>
      <c r="F60" s="28">
        <v>2494</v>
      </c>
      <c r="G60" s="152">
        <f t="shared" si="76"/>
        <v>89459.78</v>
      </c>
      <c r="H60" s="21" t="s">
        <v>35</v>
      </c>
      <c r="I60" s="159">
        <v>10</v>
      </c>
      <c r="J60" s="23">
        <v>3000</v>
      </c>
      <c r="K60" s="9">
        <f t="shared" si="77"/>
        <v>300</v>
      </c>
      <c r="L60" s="16">
        <v>10</v>
      </c>
      <c r="M60" s="10">
        <f t="shared" si="78"/>
        <v>2877.6923076923094</v>
      </c>
      <c r="N60" s="9">
        <f t="shared" si="82"/>
        <v>287.76923076923094</v>
      </c>
      <c r="O60" s="11">
        <f t="shared" si="79"/>
        <v>0</v>
      </c>
      <c r="P60" s="12">
        <f t="shared" si="80"/>
        <v>-12.230769230769056</v>
      </c>
      <c r="Q60" s="153">
        <f t="shared" si="83"/>
        <v>0.95923076923076978</v>
      </c>
      <c r="R60" s="571"/>
      <c r="S60" s="24">
        <v>0.36736111111111108</v>
      </c>
      <c r="T60" s="24">
        <v>0.40347222222222218</v>
      </c>
      <c r="U60" s="152">
        <f t="shared" ref="U60:U61" si="84">(S60-T59)*24*60</f>
        <v>7.9999999999999716</v>
      </c>
      <c r="V60" s="160">
        <f t="shared" si="81"/>
        <v>51.999999999999972</v>
      </c>
      <c r="W60" s="152"/>
      <c r="X60" s="152"/>
      <c r="Y60" s="617"/>
      <c r="Z60" s="617"/>
      <c r="AA60" s="11">
        <f t="shared" si="2"/>
        <v>-122.30769230769056</v>
      </c>
      <c r="AB60" s="153">
        <f t="shared" si="57"/>
        <v>0.95923076923076978</v>
      </c>
      <c r="AC60" s="571"/>
    </row>
    <row r="61" spans="1:29" ht="15.75" customHeight="1">
      <c r="A61" s="623" t="s">
        <v>586</v>
      </c>
      <c r="B61" s="162" t="s">
        <v>67</v>
      </c>
      <c r="C61" s="616" t="s">
        <v>83</v>
      </c>
      <c r="D61" s="616"/>
      <c r="E61" s="26">
        <v>35.369999999999997</v>
      </c>
      <c r="F61" s="28">
        <v>1765</v>
      </c>
      <c r="G61" s="152">
        <f t="shared" si="76"/>
        <v>62428.049999999996</v>
      </c>
      <c r="H61" s="21" t="s">
        <v>35</v>
      </c>
      <c r="I61" s="159">
        <v>10</v>
      </c>
      <c r="J61" s="23">
        <v>3000</v>
      </c>
      <c r="K61" s="9">
        <f t="shared" si="77"/>
        <v>300</v>
      </c>
      <c r="L61" s="16">
        <v>10</v>
      </c>
      <c r="M61" s="10">
        <f t="shared" si="78"/>
        <v>2862.1621621621598</v>
      </c>
      <c r="N61" s="9">
        <f t="shared" si="82"/>
        <v>286.21621621621597</v>
      </c>
      <c r="O61" s="11">
        <f t="shared" si="79"/>
        <v>0</v>
      </c>
      <c r="P61" s="12">
        <f t="shared" si="80"/>
        <v>-13.783783783784031</v>
      </c>
      <c r="Q61" s="153">
        <f t="shared" si="83"/>
        <v>0.95405405405405319</v>
      </c>
      <c r="R61" s="571"/>
      <c r="S61" s="24">
        <v>0.40763888888888883</v>
      </c>
      <c r="T61" s="24">
        <v>0.43333333333333329</v>
      </c>
      <c r="U61" s="152">
        <f t="shared" si="84"/>
        <v>5.9999999999999787</v>
      </c>
      <c r="V61" s="160">
        <f t="shared" si="81"/>
        <v>37.000000000000028</v>
      </c>
      <c r="W61" s="152"/>
      <c r="X61" s="152"/>
      <c r="Y61" s="617"/>
      <c r="Z61" s="617"/>
      <c r="AA61" s="11">
        <f t="shared" si="2"/>
        <v>-137.8378378378402</v>
      </c>
      <c r="AB61" s="153">
        <f t="shared" si="57"/>
        <v>0.9540540540540533</v>
      </c>
      <c r="AC61" s="571"/>
    </row>
    <row r="62" spans="1:29">
      <c r="A62" s="624" t="s">
        <v>32</v>
      </c>
      <c r="B62" s="26" t="s">
        <v>572</v>
      </c>
      <c r="C62" s="629"/>
      <c r="D62" s="629"/>
      <c r="E62" s="151"/>
      <c r="F62" s="27"/>
      <c r="G62" s="9"/>
      <c r="H62" s="162"/>
      <c r="I62" s="16">
        <v>9.5</v>
      </c>
      <c r="J62" s="23">
        <v>2625</v>
      </c>
      <c r="K62" s="9">
        <f>J62/I62</f>
        <v>276.31578947368422</v>
      </c>
      <c r="L62" s="16">
        <v>9.5</v>
      </c>
      <c r="M62" s="10">
        <f>AVERAGE(M58:M61)</f>
        <v>2508.8328608846696</v>
      </c>
      <c r="N62" s="9">
        <f>M62/L62</f>
        <v>264.08766956680734</v>
      </c>
      <c r="O62" s="11">
        <f>L62-I62</f>
        <v>0</v>
      </c>
      <c r="P62" s="12">
        <f>N62-K62</f>
        <v>-12.228119906876884</v>
      </c>
      <c r="Q62" s="153">
        <f>N62/K62</f>
        <v>0.95574585176558846</v>
      </c>
      <c r="R62" s="571"/>
      <c r="S62" s="24"/>
      <c r="T62" s="24"/>
      <c r="U62" s="9"/>
      <c r="V62" s="160"/>
      <c r="W62" s="9"/>
      <c r="X62" s="9"/>
      <c r="Y62" s="617"/>
      <c r="Z62" s="617"/>
      <c r="AA62" s="11">
        <f t="shared" si="2"/>
        <v>-116.16713911533043</v>
      </c>
      <c r="AB62" s="153">
        <f t="shared" si="57"/>
        <v>0.95574585176558846</v>
      </c>
      <c r="AC62" s="571"/>
    </row>
    <row r="63" spans="1:29" ht="15.75" customHeight="1">
      <c r="A63" s="643" t="s">
        <v>587</v>
      </c>
      <c r="B63" s="162" t="s">
        <v>46</v>
      </c>
      <c r="C63" s="616" t="s">
        <v>84</v>
      </c>
      <c r="D63" s="616"/>
      <c r="E63" s="26">
        <v>20.2</v>
      </c>
      <c r="F63" s="162">
        <v>2824</v>
      </c>
      <c r="G63" s="152">
        <f t="shared" ref="G63:G71" si="85">E63*F63</f>
        <v>57044.799999999996</v>
      </c>
      <c r="H63" s="21" t="s">
        <v>35</v>
      </c>
      <c r="I63" s="159">
        <v>19</v>
      </c>
      <c r="J63" s="23">
        <v>2400</v>
      </c>
      <c r="K63" s="9">
        <f t="shared" ref="K63:K65" si="86">J63/I63</f>
        <v>126.31578947368421</v>
      </c>
      <c r="L63" s="16">
        <v>19</v>
      </c>
      <c r="M63" s="10">
        <f>F63/V63*60</f>
        <v>2289.7297297297291</v>
      </c>
      <c r="N63" s="9">
        <f t="shared" ref="N63:N71" si="87">M63/L63</f>
        <v>120.51209103840679</v>
      </c>
      <c r="O63" s="11">
        <f t="shared" ref="O63:O71" si="88">L63-I63</f>
        <v>0</v>
      </c>
      <c r="P63" s="12">
        <f t="shared" ref="P63:P71" si="89">N63-K63</f>
        <v>-5.8036984352774112</v>
      </c>
      <c r="Q63" s="153">
        <f>N63/K63</f>
        <v>0.95405405405405386</v>
      </c>
      <c r="R63" s="571">
        <f>Q72</f>
        <v>0.95841393987320977</v>
      </c>
      <c r="S63" s="24">
        <v>0.125</v>
      </c>
      <c r="T63" s="24">
        <v>0.1763888888888889</v>
      </c>
      <c r="U63" s="15"/>
      <c r="V63" s="160">
        <f t="shared" ref="V63:V71" si="90">(T63-S63)*24*60</f>
        <v>74.000000000000014</v>
      </c>
      <c r="W63" s="13">
        <f>T63</f>
        <v>0.1763888888888889</v>
      </c>
      <c r="X63" s="13">
        <f>S64</f>
        <v>0.1965277777777778</v>
      </c>
      <c r="Y63" s="617"/>
      <c r="Z63" s="617"/>
      <c r="AA63" s="11">
        <f t="shared" si="2"/>
        <v>-110.27027027027088</v>
      </c>
      <c r="AB63" s="153">
        <f>M63/J63</f>
        <v>0.95405405405405375</v>
      </c>
      <c r="AC63" s="571">
        <f>AB72</f>
        <v>0.95841393987320977</v>
      </c>
    </row>
    <row r="64" spans="1:29" ht="15.75" customHeight="1">
      <c r="A64" s="643" t="s">
        <v>588</v>
      </c>
      <c r="B64" s="162" t="s">
        <v>46</v>
      </c>
      <c r="C64" s="616" t="s">
        <v>85</v>
      </c>
      <c r="D64" s="616"/>
      <c r="E64" s="26">
        <v>19.02</v>
      </c>
      <c r="F64" s="162">
        <v>4500</v>
      </c>
      <c r="G64" s="152">
        <f t="shared" si="85"/>
        <v>85590</v>
      </c>
      <c r="H64" s="21">
        <v>2</v>
      </c>
      <c r="I64" s="159">
        <v>15</v>
      </c>
      <c r="J64" s="23">
        <v>2400</v>
      </c>
      <c r="K64" s="9">
        <f t="shared" si="86"/>
        <v>160</v>
      </c>
      <c r="L64" s="16">
        <v>15</v>
      </c>
      <c r="M64" s="10">
        <f t="shared" ref="M64:M71" si="91">F64/V64*60</f>
        <v>2288.1355932203396</v>
      </c>
      <c r="N64" s="9">
        <f t="shared" si="87"/>
        <v>152.54237288135599</v>
      </c>
      <c r="O64" s="11">
        <f t="shared" si="88"/>
        <v>0</v>
      </c>
      <c r="P64" s="12">
        <f t="shared" si="89"/>
        <v>-7.4576271186440124</v>
      </c>
      <c r="Q64" s="153">
        <f t="shared" ref="Q64:Q72" si="92">N64/K64</f>
        <v>0.95338983050847492</v>
      </c>
      <c r="R64" s="571"/>
      <c r="S64" s="24">
        <v>0.1965277777777778</v>
      </c>
      <c r="T64" s="24">
        <v>0.27847222222222223</v>
      </c>
      <c r="U64" s="152">
        <f>(S64-T63)*24*60</f>
        <v>29.000000000000018</v>
      </c>
      <c r="V64" s="160">
        <f t="shared" si="90"/>
        <v>117.99999999999999</v>
      </c>
      <c r="W64" s="13"/>
      <c r="X64" s="13"/>
      <c r="Y64" s="617"/>
      <c r="Z64" s="617"/>
      <c r="AA64" s="11">
        <f t="shared" si="2"/>
        <v>-111.86440677966038</v>
      </c>
      <c r="AB64" s="153">
        <f t="shared" ref="AB64:AB72" si="93">M64/J64</f>
        <v>0.95338983050847481</v>
      </c>
      <c r="AC64" s="571"/>
    </row>
    <row r="65" spans="1:29" ht="15.75" customHeight="1">
      <c r="A65" s="643" t="s">
        <v>589</v>
      </c>
      <c r="B65" s="162" t="s">
        <v>46</v>
      </c>
      <c r="C65" s="616" t="s">
        <v>86</v>
      </c>
      <c r="D65" s="616"/>
      <c r="E65" s="26">
        <v>24.25</v>
      </c>
      <c r="F65" s="162">
        <v>3304</v>
      </c>
      <c r="G65" s="152">
        <f t="shared" si="85"/>
        <v>80122</v>
      </c>
      <c r="H65" s="21" t="s">
        <v>35</v>
      </c>
      <c r="I65" s="159">
        <v>18</v>
      </c>
      <c r="J65" s="23">
        <v>2400</v>
      </c>
      <c r="K65" s="9">
        <f t="shared" si="86"/>
        <v>133.33333333333334</v>
      </c>
      <c r="L65" s="16">
        <v>18</v>
      </c>
      <c r="M65" s="10">
        <f t="shared" si="91"/>
        <v>2305.1162790697672</v>
      </c>
      <c r="N65" s="9">
        <f t="shared" si="87"/>
        <v>128.06201550387595</v>
      </c>
      <c r="O65" s="11">
        <f t="shared" si="88"/>
        <v>0</v>
      </c>
      <c r="P65" s="12">
        <f t="shared" si="89"/>
        <v>-5.2713178294573879</v>
      </c>
      <c r="Q65" s="153">
        <f t="shared" si="92"/>
        <v>0.96046511627906961</v>
      </c>
      <c r="R65" s="571"/>
      <c r="S65" s="24">
        <v>0.28402777777777777</v>
      </c>
      <c r="T65" s="24">
        <v>0.34375</v>
      </c>
      <c r="U65" s="152">
        <f t="shared" ref="U65:U71" si="94">(S65-T64)*24*60</f>
        <v>7.9999999999999716</v>
      </c>
      <c r="V65" s="160">
        <f t="shared" si="90"/>
        <v>86.000000000000014</v>
      </c>
      <c r="W65" s="13"/>
      <c r="X65" s="13"/>
      <c r="Y65" s="617"/>
      <c r="Z65" s="617"/>
      <c r="AA65" s="11">
        <f t="shared" si="2"/>
        <v>-94.883720930232812</v>
      </c>
      <c r="AB65" s="153">
        <f t="shared" si="93"/>
        <v>0.96046511627906961</v>
      </c>
      <c r="AC65" s="571"/>
    </row>
    <row r="66" spans="1:29" ht="15.75" customHeight="1">
      <c r="A66" s="643" t="s">
        <v>590</v>
      </c>
      <c r="B66" s="162" t="s">
        <v>46</v>
      </c>
      <c r="C66" s="616" t="s">
        <v>87</v>
      </c>
      <c r="D66" s="616"/>
      <c r="E66" s="26">
        <v>20.52</v>
      </c>
      <c r="F66" s="162">
        <v>3200</v>
      </c>
      <c r="G66" s="152">
        <f t="shared" si="85"/>
        <v>65664</v>
      </c>
      <c r="H66" s="21">
        <v>2</v>
      </c>
      <c r="I66" s="159">
        <v>18</v>
      </c>
      <c r="J66" s="23">
        <v>2400</v>
      </c>
      <c r="K66" s="9">
        <f>J66/I66</f>
        <v>133.33333333333334</v>
      </c>
      <c r="L66" s="16">
        <v>18</v>
      </c>
      <c r="M66" s="10">
        <f t="shared" si="91"/>
        <v>2285.7142857142849</v>
      </c>
      <c r="N66" s="9">
        <f t="shared" si="87"/>
        <v>126.98412698412693</v>
      </c>
      <c r="O66" s="11">
        <f t="shared" si="88"/>
        <v>0</v>
      </c>
      <c r="P66" s="12">
        <f t="shared" si="89"/>
        <v>-6.3492063492064119</v>
      </c>
      <c r="Q66" s="153">
        <f t="shared" si="92"/>
        <v>0.95238095238095188</v>
      </c>
      <c r="R66" s="571"/>
      <c r="S66" s="24">
        <v>0.34791666666666665</v>
      </c>
      <c r="T66" s="24">
        <v>0.40625</v>
      </c>
      <c r="U66" s="152">
        <f t="shared" si="94"/>
        <v>5.9999999999999787</v>
      </c>
      <c r="V66" s="160">
        <f t="shared" si="90"/>
        <v>84.000000000000028</v>
      </c>
      <c r="W66" s="13"/>
      <c r="X66" s="13"/>
      <c r="Y66" s="617"/>
      <c r="Z66" s="617"/>
      <c r="AA66" s="11">
        <f t="shared" si="2"/>
        <v>-114.28571428571513</v>
      </c>
      <c r="AB66" s="153">
        <f t="shared" si="93"/>
        <v>0.952380952380952</v>
      </c>
      <c r="AC66" s="571"/>
    </row>
    <row r="67" spans="1:29" ht="15.75" customHeight="1">
      <c r="A67" s="643" t="s">
        <v>33</v>
      </c>
      <c r="B67" s="162" t="s">
        <v>46</v>
      </c>
      <c r="C67" s="616" t="s">
        <v>88</v>
      </c>
      <c r="D67" s="616"/>
      <c r="E67" s="26">
        <v>24.25</v>
      </c>
      <c r="F67" s="162">
        <v>2700</v>
      </c>
      <c r="G67" s="152">
        <f t="shared" si="85"/>
        <v>65475</v>
      </c>
      <c r="H67" s="21">
        <v>2</v>
      </c>
      <c r="I67" s="159">
        <v>17</v>
      </c>
      <c r="J67" s="23">
        <v>2400</v>
      </c>
      <c r="K67" s="9">
        <f t="shared" ref="K67:K72" si="95">J67/I67</f>
        <v>141.1764705882353</v>
      </c>
      <c r="L67" s="16">
        <v>17</v>
      </c>
      <c r="M67" s="10">
        <f t="shared" si="91"/>
        <v>2314.2857142857147</v>
      </c>
      <c r="N67" s="9">
        <f t="shared" si="87"/>
        <v>136.13445378151263</v>
      </c>
      <c r="O67" s="11">
        <f t="shared" si="88"/>
        <v>0</v>
      </c>
      <c r="P67" s="12">
        <f t="shared" si="89"/>
        <v>-5.0420168067226712</v>
      </c>
      <c r="Q67" s="153">
        <f t="shared" si="92"/>
        <v>0.96428571428571441</v>
      </c>
      <c r="R67" s="571"/>
      <c r="S67" s="24">
        <v>0.40972222222222221</v>
      </c>
      <c r="T67" s="24">
        <v>0.45833333333333331</v>
      </c>
      <c r="U67" s="152">
        <f t="shared" si="94"/>
        <v>4.9999999999999822</v>
      </c>
      <c r="V67" s="160">
        <f t="shared" si="90"/>
        <v>69.999999999999986</v>
      </c>
      <c r="W67" s="13"/>
      <c r="X67" s="13"/>
      <c r="Y67" s="617"/>
      <c r="Z67" s="617"/>
      <c r="AA67" s="11">
        <f t="shared" si="2"/>
        <v>-85.714285714285325</v>
      </c>
      <c r="AB67" s="153">
        <f t="shared" si="93"/>
        <v>0.96428571428571441</v>
      </c>
      <c r="AC67" s="571"/>
    </row>
    <row r="68" spans="1:29" ht="15.75" customHeight="1">
      <c r="A68" s="643" t="s">
        <v>591</v>
      </c>
      <c r="B68" s="162" t="s">
        <v>46</v>
      </c>
      <c r="C68" s="616" t="s">
        <v>47</v>
      </c>
      <c r="D68" s="616"/>
      <c r="E68" s="26">
        <v>24.45</v>
      </c>
      <c r="F68" s="162">
        <v>2635</v>
      </c>
      <c r="G68" s="152">
        <f t="shared" si="85"/>
        <v>64425.75</v>
      </c>
      <c r="H68" s="21" t="s">
        <v>35</v>
      </c>
      <c r="I68" s="159">
        <v>20</v>
      </c>
      <c r="J68" s="23">
        <v>2400</v>
      </c>
      <c r="K68" s="9">
        <f t="shared" si="95"/>
        <v>120</v>
      </c>
      <c r="L68" s="16">
        <v>20</v>
      </c>
      <c r="M68" s="10">
        <f t="shared" si="91"/>
        <v>2291.304347826087</v>
      </c>
      <c r="N68" s="9">
        <f t="shared" si="87"/>
        <v>114.56521739130434</v>
      </c>
      <c r="O68" s="11">
        <f t="shared" si="88"/>
        <v>0</v>
      </c>
      <c r="P68" s="12">
        <f t="shared" si="89"/>
        <v>-5.4347826086956559</v>
      </c>
      <c r="Q68" s="153">
        <f t="shared" si="92"/>
        <v>0.95471014492753625</v>
      </c>
      <c r="R68" s="571"/>
      <c r="S68" s="24">
        <v>0.46249999999999997</v>
      </c>
      <c r="T68" s="24">
        <v>0.51041666666666663</v>
      </c>
      <c r="U68" s="152">
        <f t="shared" si="94"/>
        <v>5.9999999999999787</v>
      </c>
      <c r="V68" s="160">
        <f t="shared" si="90"/>
        <v>69</v>
      </c>
      <c r="W68" s="13">
        <f>T68</f>
        <v>0.51041666666666663</v>
      </c>
      <c r="X68" s="13">
        <f>S69</f>
        <v>0.5527777777777777</v>
      </c>
      <c r="Y68" s="617"/>
      <c r="Z68" s="617"/>
      <c r="AA68" s="11">
        <f t="shared" si="2"/>
        <v>-108.695652173913</v>
      </c>
      <c r="AB68" s="153">
        <f t="shared" si="93"/>
        <v>0.95471014492753625</v>
      </c>
      <c r="AC68" s="571"/>
    </row>
    <row r="69" spans="1:29" ht="15.75" customHeight="1">
      <c r="A69" s="643" t="s">
        <v>591</v>
      </c>
      <c r="B69" s="162" t="s">
        <v>46</v>
      </c>
      <c r="C69" s="627" t="s">
        <v>85</v>
      </c>
      <c r="D69" s="628"/>
      <c r="E69" s="26">
        <v>19.02</v>
      </c>
      <c r="F69" s="162">
        <v>7111</v>
      </c>
      <c r="G69" s="152">
        <f t="shared" si="85"/>
        <v>135251.22</v>
      </c>
      <c r="H69" s="21" t="s">
        <v>35</v>
      </c>
      <c r="I69" s="159">
        <v>15</v>
      </c>
      <c r="J69" s="23">
        <v>2400</v>
      </c>
      <c r="K69" s="9">
        <f t="shared" si="95"/>
        <v>160</v>
      </c>
      <c r="L69" s="16">
        <v>15</v>
      </c>
      <c r="M69" s="10">
        <f t="shared" si="91"/>
        <v>2293.8709677419356</v>
      </c>
      <c r="N69" s="9">
        <f t="shared" si="87"/>
        <v>152.92473118279571</v>
      </c>
      <c r="O69" s="11">
        <f t="shared" si="88"/>
        <v>0</v>
      </c>
      <c r="P69" s="12">
        <f t="shared" si="89"/>
        <v>-7.0752688172042895</v>
      </c>
      <c r="Q69" s="153">
        <f t="shared" si="92"/>
        <v>0.95577956989247315</v>
      </c>
      <c r="R69" s="571"/>
      <c r="S69" s="24">
        <v>0.5527777777777777</v>
      </c>
      <c r="T69" s="24">
        <v>0.68194444444444435</v>
      </c>
      <c r="U69" s="152">
        <f t="shared" si="94"/>
        <v>60.999999999999943</v>
      </c>
      <c r="V69" s="160">
        <f t="shared" si="90"/>
        <v>185.99999999999997</v>
      </c>
      <c r="W69" s="13"/>
      <c r="X69" s="13"/>
      <c r="Y69" s="621"/>
      <c r="Z69" s="622"/>
      <c r="AA69" s="11">
        <f t="shared" ref="AA69:AA72" si="96">M69-J69</f>
        <v>-106.1290322580644</v>
      </c>
      <c r="AB69" s="153">
        <f t="shared" si="93"/>
        <v>0.95577956989247315</v>
      </c>
      <c r="AC69" s="571"/>
    </row>
    <row r="70" spans="1:29" ht="15.75" customHeight="1">
      <c r="A70" s="643" t="s">
        <v>588</v>
      </c>
      <c r="B70" s="162" t="s">
        <v>46</v>
      </c>
      <c r="C70" s="627" t="s">
        <v>87</v>
      </c>
      <c r="D70" s="628"/>
      <c r="E70" s="26">
        <v>20.52</v>
      </c>
      <c r="F70" s="162">
        <v>2470</v>
      </c>
      <c r="G70" s="152">
        <f t="shared" si="85"/>
        <v>50684.4</v>
      </c>
      <c r="H70" s="21" t="s">
        <v>35</v>
      </c>
      <c r="I70" s="159">
        <v>18</v>
      </c>
      <c r="J70" s="23">
        <v>2400</v>
      </c>
      <c r="K70" s="9">
        <f t="shared" si="95"/>
        <v>133.33333333333334</v>
      </c>
      <c r="L70" s="16">
        <v>18</v>
      </c>
      <c r="M70" s="10">
        <f t="shared" si="91"/>
        <v>2315.6250000000027</v>
      </c>
      <c r="N70" s="9">
        <f t="shared" si="87"/>
        <v>128.64583333333348</v>
      </c>
      <c r="O70" s="11">
        <f t="shared" si="88"/>
        <v>0</v>
      </c>
      <c r="P70" s="12">
        <f t="shared" si="89"/>
        <v>-4.6874999999998579</v>
      </c>
      <c r="Q70" s="153">
        <f t="shared" si="92"/>
        <v>0.96484375000000111</v>
      </c>
      <c r="R70" s="571"/>
      <c r="S70" s="24">
        <v>0.68749999999999989</v>
      </c>
      <c r="T70" s="24">
        <v>0.73194444444444429</v>
      </c>
      <c r="U70" s="152">
        <f t="shared" si="94"/>
        <v>7.9999999999999716</v>
      </c>
      <c r="V70" s="160">
        <f t="shared" si="90"/>
        <v>63.999999999999929</v>
      </c>
      <c r="W70" s="13"/>
      <c r="X70" s="13"/>
      <c r="Y70" s="621"/>
      <c r="Z70" s="622"/>
      <c r="AA70" s="11">
        <f t="shared" si="96"/>
        <v>-84.374999999997272</v>
      </c>
      <c r="AB70" s="153">
        <f t="shared" si="93"/>
        <v>0.96484375000000111</v>
      </c>
      <c r="AC70" s="571"/>
    </row>
    <row r="71" spans="1:29" ht="15.75" customHeight="1">
      <c r="A71" s="643" t="s">
        <v>592</v>
      </c>
      <c r="B71" s="162" t="s">
        <v>46</v>
      </c>
      <c r="C71" s="627" t="s">
        <v>88</v>
      </c>
      <c r="D71" s="628"/>
      <c r="E71" s="26">
        <v>24.25</v>
      </c>
      <c r="F71" s="162">
        <v>1893</v>
      </c>
      <c r="G71" s="152">
        <f t="shared" si="85"/>
        <v>45905.25</v>
      </c>
      <c r="H71" s="21" t="s">
        <v>35</v>
      </c>
      <c r="I71" s="159">
        <v>17</v>
      </c>
      <c r="J71" s="23">
        <v>2400</v>
      </c>
      <c r="K71" s="9">
        <f t="shared" si="95"/>
        <v>141.1764705882353</v>
      </c>
      <c r="L71" s="16">
        <v>17</v>
      </c>
      <c r="M71" s="10">
        <f t="shared" si="91"/>
        <v>2317.9591836734703</v>
      </c>
      <c r="N71" s="9">
        <f t="shared" si="87"/>
        <v>136.3505402160865</v>
      </c>
      <c r="O71" s="11">
        <f t="shared" si="88"/>
        <v>0</v>
      </c>
      <c r="P71" s="12">
        <f t="shared" si="89"/>
        <v>-4.8259303721488038</v>
      </c>
      <c r="Q71" s="153">
        <f t="shared" si="92"/>
        <v>0.96581632653061267</v>
      </c>
      <c r="R71" s="571"/>
      <c r="S71" s="24">
        <v>0.7354166666666665</v>
      </c>
      <c r="T71" s="24">
        <v>0.76944444444444426</v>
      </c>
      <c r="U71" s="152">
        <f t="shared" si="94"/>
        <v>4.9999999999999822</v>
      </c>
      <c r="V71" s="160">
        <f t="shared" si="90"/>
        <v>48.999999999999986</v>
      </c>
      <c r="W71" s="13"/>
      <c r="X71" s="13"/>
      <c r="Y71" s="621"/>
      <c r="Z71" s="622"/>
      <c r="AA71" s="11">
        <f t="shared" si="96"/>
        <v>-82.040816326529693</v>
      </c>
      <c r="AB71" s="153">
        <f t="shared" si="93"/>
        <v>0.96581632653061267</v>
      </c>
      <c r="AC71" s="571"/>
    </row>
    <row r="72" spans="1:29" ht="16.5" customHeight="1">
      <c r="A72" s="660" t="s">
        <v>593</v>
      </c>
      <c r="B72" s="26" t="s">
        <v>560</v>
      </c>
      <c r="C72" s="629"/>
      <c r="D72" s="629"/>
      <c r="E72" s="151"/>
      <c r="F72" s="27"/>
      <c r="G72" s="9"/>
      <c r="H72" s="162"/>
      <c r="I72" s="16">
        <v>17.444444444444443</v>
      </c>
      <c r="J72" s="23">
        <v>2400</v>
      </c>
      <c r="K72" s="9">
        <f t="shared" si="95"/>
        <v>137.57961783439492</v>
      </c>
      <c r="L72" s="16">
        <v>17.444444444444443</v>
      </c>
      <c r="M72" s="10">
        <f>AVERAGE(M63:M71)</f>
        <v>2300.1934556957035</v>
      </c>
      <c r="N72" s="9">
        <f>M72/L72</f>
        <v>131.85822357491296</v>
      </c>
      <c r="O72" s="11">
        <f>L72-I72</f>
        <v>0</v>
      </c>
      <c r="P72" s="12">
        <f>N72-K72</f>
        <v>-5.7213942594819684</v>
      </c>
      <c r="Q72" s="153">
        <f t="shared" si="92"/>
        <v>0.95841393987320977</v>
      </c>
      <c r="R72" s="571"/>
      <c r="S72" s="24"/>
      <c r="T72" s="24"/>
      <c r="U72" s="9"/>
      <c r="V72" s="160"/>
      <c r="W72" s="9"/>
      <c r="X72" s="9"/>
      <c r="Y72" s="617"/>
      <c r="Z72" s="617"/>
      <c r="AA72" s="11">
        <f t="shared" si="96"/>
        <v>-99.806544304296494</v>
      </c>
      <c r="AB72" s="153">
        <f t="shared" si="93"/>
        <v>0.95841393987320977</v>
      </c>
      <c r="AC72" s="571"/>
    </row>
    <row r="73" spans="1:29">
      <c r="D73" s="17"/>
      <c r="E73" s="17"/>
    </row>
  </sheetData>
  <mergeCells count="192">
    <mergeCell ref="A63:A72"/>
    <mergeCell ref="C63:D63"/>
    <mergeCell ref="R63:R72"/>
    <mergeCell ref="Y63:Z63"/>
    <mergeCell ref="AC63:AC72"/>
    <mergeCell ref="C64:D64"/>
    <mergeCell ref="Y64:Z64"/>
    <mergeCell ref="C65:D65"/>
    <mergeCell ref="Y65:Z65"/>
    <mergeCell ref="C66:D66"/>
    <mergeCell ref="C70:D70"/>
    <mergeCell ref="Y70:Z70"/>
    <mergeCell ref="C71:D71"/>
    <mergeCell ref="Y71:Z71"/>
    <mergeCell ref="C72:D72"/>
    <mergeCell ref="Y72:Z72"/>
    <mergeCell ref="Y66:Z66"/>
    <mergeCell ref="C67:D67"/>
    <mergeCell ref="Y67:Z67"/>
    <mergeCell ref="C68:D68"/>
    <mergeCell ref="Y68:Z68"/>
    <mergeCell ref="C69:D69"/>
    <mergeCell ref="Y69:Z69"/>
    <mergeCell ref="AC58:AC62"/>
    <mergeCell ref="C59:D59"/>
    <mergeCell ref="Y59:Z59"/>
    <mergeCell ref="C60:D60"/>
    <mergeCell ref="Y60:Z60"/>
    <mergeCell ref="C61:D61"/>
    <mergeCell ref="Y61:Z61"/>
    <mergeCell ref="C62:D62"/>
    <mergeCell ref="Y62:Z62"/>
    <mergeCell ref="Y57:Z57"/>
    <mergeCell ref="A58:A62"/>
    <mergeCell ref="C58:D58"/>
    <mergeCell ref="R58:R62"/>
    <mergeCell ref="Y58:Z58"/>
    <mergeCell ref="A51:A57"/>
    <mergeCell ref="C51:D51"/>
    <mergeCell ref="R51:R57"/>
    <mergeCell ref="Y51:Z51"/>
    <mergeCell ref="A44:A50"/>
    <mergeCell ref="C44:D44"/>
    <mergeCell ref="R44:R50"/>
    <mergeCell ref="Y44:Z44"/>
    <mergeCell ref="Y49:Z49"/>
    <mergeCell ref="C50:D50"/>
    <mergeCell ref="Y50:Z50"/>
    <mergeCell ref="AC51:AC57"/>
    <mergeCell ref="C52:D52"/>
    <mergeCell ref="Y52:Z52"/>
    <mergeCell ref="C53:D53"/>
    <mergeCell ref="C56:D56"/>
    <mergeCell ref="Y56:Z56"/>
    <mergeCell ref="AC44:AC50"/>
    <mergeCell ref="C45:D45"/>
    <mergeCell ref="Y45:Z45"/>
    <mergeCell ref="C46:D46"/>
    <mergeCell ref="Y46:Z46"/>
    <mergeCell ref="C47:D47"/>
    <mergeCell ref="Y47:Z47"/>
    <mergeCell ref="C48:D48"/>
    <mergeCell ref="Y48:Z48"/>
    <mergeCell ref="C49:D49"/>
    <mergeCell ref="C57:D57"/>
    <mergeCell ref="A36:A43"/>
    <mergeCell ref="C36:D36"/>
    <mergeCell ref="R36:R43"/>
    <mergeCell ref="Y36:Z36"/>
    <mergeCell ref="Y41:Z41"/>
    <mergeCell ref="C42:D42"/>
    <mergeCell ref="AC36:AC43"/>
    <mergeCell ref="C37:D37"/>
    <mergeCell ref="Y37:Z37"/>
    <mergeCell ref="C38:D38"/>
    <mergeCell ref="Y38:Z38"/>
    <mergeCell ref="C39:D39"/>
    <mergeCell ref="Y39:Z39"/>
    <mergeCell ref="C40:D40"/>
    <mergeCell ref="Y40:Z40"/>
    <mergeCell ref="C41:D41"/>
    <mergeCell ref="Y42:Z42"/>
    <mergeCell ref="C43:D43"/>
    <mergeCell ref="Y43:Z43"/>
    <mergeCell ref="AC25:AC35"/>
    <mergeCell ref="C26:D26"/>
    <mergeCell ref="Y26:Z26"/>
    <mergeCell ref="C27:D27"/>
    <mergeCell ref="Y27:Z27"/>
    <mergeCell ref="C28:D28"/>
    <mergeCell ref="Y28:Z28"/>
    <mergeCell ref="C29:D29"/>
    <mergeCell ref="Y29:Z29"/>
    <mergeCell ref="C30:D30"/>
    <mergeCell ref="C34:D34"/>
    <mergeCell ref="Y34:Z34"/>
    <mergeCell ref="C35:D35"/>
    <mergeCell ref="Y35:Z35"/>
    <mergeCell ref="A25:A35"/>
    <mergeCell ref="C25:D25"/>
    <mergeCell ref="R25:R35"/>
    <mergeCell ref="Y25:Z25"/>
    <mergeCell ref="Y30:Z30"/>
    <mergeCell ref="A19:A24"/>
    <mergeCell ref="C19:D19"/>
    <mergeCell ref="R19:R24"/>
    <mergeCell ref="Y19:Z19"/>
    <mergeCell ref="C31:D31"/>
    <mergeCell ref="Y31:Z31"/>
    <mergeCell ref="C32:D32"/>
    <mergeCell ref="Y32:Z32"/>
    <mergeCell ref="C33:D33"/>
    <mergeCell ref="Y33:Z33"/>
    <mergeCell ref="AC19:AC24"/>
    <mergeCell ref="C20:D20"/>
    <mergeCell ref="Y20:Z20"/>
    <mergeCell ref="C21:D21"/>
    <mergeCell ref="Y21:Z21"/>
    <mergeCell ref="C22:D22"/>
    <mergeCell ref="C16:D16"/>
    <mergeCell ref="Y16:Z16"/>
    <mergeCell ref="C17:D17"/>
    <mergeCell ref="Y17:Z17"/>
    <mergeCell ref="C18:D18"/>
    <mergeCell ref="Y18:Z18"/>
    <mergeCell ref="Y22:Z22"/>
    <mergeCell ref="C23:D23"/>
    <mergeCell ref="Y23:Z23"/>
    <mergeCell ref="C24:D24"/>
    <mergeCell ref="Y24:Z24"/>
    <mergeCell ref="H3:H4"/>
    <mergeCell ref="I3:I4"/>
    <mergeCell ref="A12:A18"/>
    <mergeCell ref="C12:D12"/>
    <mergeCell ref="R12:R18"/>
    <mergeCell ref="Y12:Z12"/>
    <mergeCell ref="AC12:AC18"/>
    <mergeCell ref="C8:D8"/>
    <mergeCell ref="Y8:Z8"/>
    <mergeCell ref="A9:A11"/>
    <mergeCell ref="C9:D9"/>
    <mergeCell ref="R9:R11"/>
    <mergeCell ref="Y9:Z9"/>
    <mergeCell ref="C13:D13"/>
    <mergeCell ref="Y13:Z13"/>
    <mergeCell ref="C14:D14"/>
    <mergeCell ref="Y14:Z14"/>
    <mergeCell ref="C15:D15"/>
    <mergeCell ref="Y15:Z15"/>
    <mergeCell ref="AC9:AC11"/>
    <mergeCell ref="C10:D10"/>
    <mergeCell ref="Y10:Z10"/>
    <mergeCell ref="C11:D11"/>
    <mergeCell ref="Y11:Z11"/>
    <mergeCell ref="A3:A4"/>
    <mergeCell ref="B3:B4"/>
    <mergeCell ref="C3:D4"/>
    <mergeCell ref="E3:E4"/>
    <mergeCell ref="F3:F4"/>
    <mergeCell ref="G3:G4"/>
    <mergeCell ref="AC3:AC4"/>
    <mergeCell ref="A5:A8"/>
    <mergeCell ref="C5:D5"/>
    <mergeCell ref="R5:R8"/>
    <mergeCell ref="Y5:Z5"/>
    <mergeCell ref="AC5:AC8"/>
    <mergeCell ref="C6:D6"/>
    <mergeCell ref="Y6:Z6"/>
    <mergeCell ref="C7:D7"/>
    <mergeCell ref="Y7:Z7"/>
    <mergeCell ref="U3:U4"/>
    <mergeCell ref="V3:V4"/>
    <mergeCell ref="W3:X3"/>
    <mergeCell ref="Y3:Z4"/>
    <mergeCell ref="AA3:AA4"/>
    <mergeCell ref="AB3:AB4"/>
    <mergeCell ref="N3:N4"/>
    <mergeCell ref="O3:O4"/>
    <mergeCell ref="I1:K2"/>
    <mergeCell ref="L1:N2"/>
    <mergeCell ref="O1:R2"/>
    <mergeCell ref="S1:X2"/>
    <mergeCell ref="Y1:Z2"/>
    <mergeCell ref="AA1:AC2"/>
    <mergeCell ref="J3:J4"/>
    <mergeCell ref="K3:K4"/>
    <mergeCell ref="L3:L4"/>
    <mergeCell ref="M3:M4"/>
    <mergeCell ref="P3:P4"/>
    <mergeCell ref="Q3:Q4"/>
    <mergeCell ref="R3:R4"/>
    <mergeCell ref="S3:T3"/>
  </mergeCells>
  <phoneticPr fontId="3" type="noConversion"/>
  <conditionalFormatting sqref="O61:O68 O72 O5:O9 O11:O13 O18:O32 O35:O58">
    <cfRule type="cellIs" dxfId="383" priority="61" operator="greaterThan">
      <formula>0</formula>
    </cfRule>
  </conditionalFormatting>
  <conditionalFormatting sqref="P5:P7 P61 AA61 P63:P68 P25:P32 P58 P9 P11:P13 P19:P23 P51:P56 P36:P49 AA5:AA58 AA63:AA72">
    <cfRule type="cellIs" dxfId="382" priority="65" operator="lessThan">
      <formula>0</formula>
    </cfRule>
  </conditionalFormatting>
  <conditionalFormatting sqref="AB61 Q61:Q68 Q72 Q5:Q9 Q11:Q13 Q18:Q32 Q35:Q58 AB5:AB58 AB63:AB72">
    <cfRule type="cellIs" dxfId="381" priority="62" operator="greaterThan">
      <formula>1</formula>
    </cfRule>
    <cfRule type="cellIs" dxfId="380" priority="63" operator="lessThan">
      <formula>0.8</formula>
    </cfRule>
  </conditionalFormatting>
  <conditionalFormatting sqref="AC12:AC13 R12:R13 AC61 R61:R68 AC18:AC32 R18:R32 R72 AC5:AC9 R5:R9 AC35:AC58 R35:R58">
    <cfRule type="cellIs" dxfId="379" priority="67" operator="lessThan">
      <formula>0.8</formula>
    </cfRule>
  </conditionalFormatting>
  <conditionalFormatting sqref="AC44">
    <cfRule type="cellIs" dxfId="378" priority="69" operator="lessThan">
      <formula>0.8</formula>
    </cfRule>
  </conditionalFormatting>
  <conditionalFormatting sqref="AC19:AC23">
    <cfRule type="cellIs" dxfId="377" priority="66" operator="lessThan">
      <formula>0.8</formula>
    </cfRule>
  </conditionalFormatting>
  <conditionalFormatting sqref="AC25">
    <cfRule type="cellIs" dxfId="376" priority="68" operator="lessThan">
      <formula>0.8</formula>
    </cfRule>
  </conditionalFormatting>
  <conditionalFormatting sqref="AC36:AC42">
    <cfRule type="cellIs" dxfId="375" priority="64" operator="lessThan">
      <formula>0.8</formula>
    </cfRule>
  </conditionalFormatting>
  <conditionalFormatting sqref="AA62">
    <cfRule type="cellIs" dxfId="374" priority="60" operator="lessThan">
      <formula>0</formula>
    </cfRule>
  </conditionalFormatting>
  <conditionalFormatting sqref="AB62">
    <cfRule type="cellIs" dxfId="373" priority="58" operator="greaterThan">
      <formula>1</formula>
    </cfRule>
    <cfRule type="cellIs" dxfId="372" priority="59" operator="lessThan">
      <formula>0.8</formula>
    </cfRule>
  </conditionalFormatting>
  <conditionalFormatting sqref="O14:O15">
    <cfRule type="cellIs" dxfId="371" priority="53" operator="greaterThan">
      <formula>0</formula>
    </cfRule>
  </conditionalFormatting>
  <conditionalFormatting sqref="P14:P15">
    <cfRule type="cellIs" dxfId="370" priority="56" operator="lessThan">
      <formula>0</formula>
    </cfRule>
  </conditionalFormatting>
  <conditionalFormatting sqref="Q14:Q15">
    <cfRule type="cellIs" dxfId="369" priority="54" operator="greaterThan">
      <formula>1</formula>
    </cfRule>
    <cfRule type="cellIs" dxfId="368" priority="55" operator="lessThan">
      <formula>0.8</formula>
    </cfRule>
  </conditionalFormatting>
  <conditionalFormatting sqref="R14:R15 AC14:AC15">
    <cfRule type="cellIs" dxfId="367" priority="57" operator="lessThan">
      <formula>0.8</formula>
    </cfRule>
  </conditionalFormatting>
  <conditionalFormatting sqref="O10">
    <cfRule type="cellIs" dxfId="366" priority="49" operator="greaterThan">
      <formula>0</formula>
    </cfRule>
  </conditionalFormatting>
  <conditionalFormatting sqref="P10">
    <cfRule type="cellIs" dxfId="365" priority="52" operator="lessThan">
      <formula>0</formula>
    </cfRule>
  </conditionalFormatting>
  <conditionalFormatting sqref="Q10">
    <cfRule type="cellIs" dxfId="364" priority="50" operator="greaterThan">
      <formula>1</formula>
    </cfRule>
    <cfRule type="cellIs" dxfId="363" priority="51" operator="lessThan">
      <formula>0.8</formula>
    </cfRule>
  </conditionalFormatting>
  <conditionalFormatting sqref="O60">
    <cfRule type="cellIs" dxfId="362" priority="44" operator="greaterThan">
      <formula>0</formula>
    </cfRule>
  </conditionalFormatting>
  <conditionalFormatting sqref="P60 AA60">
    <cfRule type="cellIs" dxfId="361" priority="47" operator="lessThan">
      <formula>0</formula>
    </cfRule>
  </conditionalFormatting>
  <conditionalFormatting sqref="Q60 AB60">
    <cfRule type="cellIs" dxfId="360" priority="45" operator="greaterThan">
      <formula>1</formula>
    </cfRule>
    <cfRule type="cellIs" dxfId="359" priority="46" operator="lessThan">
      <formula>0.8</formula>
    </cfRule>
  </conditionalFormatting>
  <conditionalFormatting sqref="R60 AC60">
    <cfRule type="cellIs" dxfId="358" priority="48" operator="lessThan">
      <formula>0.8</formula>
    </cfRule>
  </conditionalFormatting>
  <conditionalFormatting sqref="O33">
    <cfRule type="cellIs" dxfId="357" priority="39" operator="greaterThan">
      <formula>0</formula>
    </cfRule>
  </conditionalFormatting>
  <conditionalFormatting sqref="P33">
    <cfRule type="cellIs" dxfId="356" priority="42" operator="lessThan">
      <formula>0</formula>
    </cfRule>
  </conditionalFormatting>
  <conditionalFormatting sqref="Q33">
    <cfRule type="cellIs" dxfId="355" priority="40" operator="greaterThan">
      <formula>1</formula>
    </cfRule>
    <cfRule type="cellIs" dxfId="354" priority="41" operator="lessThan">
      <formula>0.8</formula>
    </cfRule>
  </conditionalFormatting>
  <conditionalFormatting sqref="R33 AC33">
    <cfRule type="cellIs" dxfId="353" priority="43" operator="lessThan">
      <formula>0.8</formula>
    </cfRule>
  </conditionalFormatting>
  <conditionalFormatting sqref="O69">
    <cfRule type="cellIs" dxfId="352" priority="34" operator="greaterThan">
      <formula>0</formula>
    </cfRule>
  </conditionalFormatting>
  <conditionalFormatting sqref="P69">
    <cfRule type="cellIs" dxfId="351" priority="37" operator="lessThan">
      <formula>0</formula>
    </cfRule>
  </conditionalFormatting>
  <conditionalFormatting sqref="Q69">
    <cfRule type="cellIs" dxfId="350" priority="35" operator="greaterThan">
      <formula>1</formula>
    </cfRule>
    <cfRule type="cellIs" dxfId="349" priority="36" operator="lessThan">
      <formula>0.8</formula>
    </cfRule>
  </conditionalFormatting>
  <conditionalFormatting sqref="R69">
    <cfRule type="cellIs" dxfId="348" priority="38" operator="lessThan">
      <formula>0.8</formula>
    </cfRule>
  </conditionalFormatting>
  <conditionalFormatting sqref="O16:O17">
    <cfRule type="cellIs" dxfId="347" priority="29" operator="greaterThan">
      <formula>0</formula>
    </cfRule>
  </conditionalFormatting>
  <conditionalFormatting sqref="P16:P17">
    <cfRule type="cellIs" dxfId="346" priority="32" operator="lessThan">
      <formula>0</formula>
    </cfRule>
  </conditionalFormatting>
  <conditionalFormatting sqref="Q16:Q17">
    <cfRule type="cellIs" dxfId="345" priority="30" operator="greaterThan">
      <formula>1</formula>
    </cfRule>
    <cfRule type="cellIs" dxfId="344" priority="31" operator="lessThan">
      <formula>0.8</formula>
    </cfRule>
  </conditionalFormatting>
  <conditionalFormatting sqref="R16:R17 AC16:AC17">
    <cfRule type="cellIs" dxfId="343" priority="33" operator="lessThan">
      <formula>0.8</formula>
    </cfRule>
  </conditionalFormatting>
  <conditionalFormatting sqref="O34">
    <cfRule type="cellIs" dxfId="342" priority="24" operator="greaterThan">
      <formula>0</formula>
    </cfRule>
  </conditionalFormatting>
  <conditionalFormatting sqref="P34">
    <cfRule type="cellIs" dxfId="341" priority="27" operator="lessThan">
      <formula>0</formula>
    </cfRule>
  </conditionalFormatting>
  <conditionalFormatting sqref="Q34">
    <cfRule type="cellIs" dxfId="340" priority="25" operator="greaterThan">
      <formula>1</formula>
    </cfRule>
    <cfRule type="cellIs" dxfId="339" priority="26" operator="lessThan">
      <formula>0.8</formula>
    </cfRule>
  </conditionalFormatting>
  <conditionalFormatting sqref="R34 AC34">
    <cfRule type="cellIs" dxfId="338" priority="28" operator="lessThan">
      <formula>0.8</formula>
    </cfRule>
  </conditionalFormatting>
  <conditionalFormatting sqref="O59">
    <cfRule type="cellIs" dxfId="337" priority="19" operator="greaterThan">
      <formula>0</formula>
    </cfRule>
  </conditionalFormatting>
  <conditionalFormatting sqref="P59 AA59">
    <cfRule type="cellIs" dxfId="336" priority="22" operator="lessThan">
      <formula>0</formula>
    </cfRule>
  </conditionalFormatting>
  <conditionalFormatting sqref="Q59 AB59">
    <cfRule type="cellIs" dxfId="335" priority="20" operator="greaterThan">
      <formula>1</formula>
    </cfRule>
    <cfRule type="cellIs" dxfId="334" priority="21" operator="lessThan">
      <formula>0.8</formula>
    </cfRule>
  </conditionalFormatting>
  <conditionalFormatting sqref="R59 AC59">
    <cfRule type="cellIs" dxfId="333" priority="23" operator="lessThan">
      <formula>0.8</formula>
    </cfRule>
  </conditionalFormatting>
  <conditionalFormatting sqref="P8">
    <cfRule type="cellIs" dxfId="332" priority="18" operator="lessThan">
      <formula>0</formula>
    </cfRule>
  </conditionalFormatting>
  <conditionalFormatting sqref="P18">
    <cfRule type="cellIs" dxfId="331" priority="17" operator="lessThan">
      <formula>0</formula>
    </cfRule>
  </conditionalFormatting>
  <conditionalFormatting sqref="P24">
    <cfRule type="cellIs" dxfId="330" priority="16" operator="lessThan">
      <formula>0</formula>
    </cfRule>
  </conditionalFormatting>
  <conditionalFormatting sqref="P35">
    <cfRule type="cellIs" dxfId="329" priority="15" operator="lessThan">
      <formula>0</formula>
    </cfRule>
  </conditionalFormatting>
  <conditionalFormatting sqref="P50">
    <cfRule type="cellIs" dxfId="328" priority="14" operator="lessThan">
      <formula>0</formula>
    </cfRule>
  </conditionalFormatting>
  <conditionalFormatting sqref="P57">
    <cfRule type="cellIs" dxfId="327" priority="13" operator="lessThan">
      <formula>0</formula>
    </cfRule>
  </conditionalFormatting>
  <conditionalFormatting sqref="P62">
    <cfRule type="cellIs" dxfId="326" priority="12" operator="lessThan">
      <formula>0</formula>
    </cfRule>
  </conditionalFormatting>
  <conditionalFormatting sqref="P72">
    <cfRule type="cellIs" dxfId="325" priority="11" operator="lessThan">
      <formula>0</formula>
    </cfRule>
  </conditionalFormatting>
  <conditionalFormatting sqref="O70">
    <cfRule type="cellIs" dxfId="324" priority="6" operator="greaterThan">
      <formula>0</formula>
    </cfRule>
  </conditionalFormatting>
  <conditionalFormatting sqref="P70">
    <cfRule type="cellIs" dxfId="323" priority="9" operator="lessThan">
      <formula>0</formula>
    </cfRule>
  </conditionalFormatting>
  <conditionalFormatting sqref="Q70">
    <cfRule type="cellIs" dxfId="322" priority="7" operator="greaterThan">
      <formula>1</formula>
    </cfRule>
    <cfRule type="cellIs" dxfId="321" priority="8" operator="lessThan">
      <formula>0.8</formula>
    </cfRule>
  </conditionalFormatting>
  <conditionalFormatting sqref="R70">
    <cfRule type="cellIs" dxfId="320" priority="10" operator="lessThan">
      <formula>0.8</formula>
    </cfRule>
  </conditionalFormatting>
  <conditionalFormatting sqref="O71">
    <cfRule type="cellIs" dxfId="319" priority="1" operator="greaterThan">
      <formula>0</formula>
    </cfRule>
  </conditionalFormatting>
  <conditionalFormatting sqref="P71">
    <cfRule type="cellIs" dxfId="318" priority="4" operator="lessThan">
      <formula>0</formula>
    </cfRule>
  </conditionalFormatting>
  <conditionalFormatting sqref="Q71">
    <cfRule type="cellIs" dxfId="317" priority="2" operator="greaterThan">
      <formula>1</formula>
    </cfRule>
    <cfRule type="cellIs" dxfId="316" priority="3" operator="lessThan">
      <formula>0.8</formula>
    </cfRule>
  </conditionalFormatting>
  <conditionalFormatting sqref="R71">
    <cfRule type="cellIs" dxfId="315" priority="5" operator="lessThan">
      <formula>0.8</formula>
    </cfRule>
  </conditionalFormatting>
  <dataValidations count="1">
    <dataValidation type="list" allowBlank="1" showInputMessage="1" showErrorMessage="1" sqref="Z8 Y5:Z7 Y8:Y61 Z10:Z58 Y62:Z72">
      <formula1>#REF!</formula1>
    </dataValidation>
  </dataValidations>
  <pageMargins left="0" right="0" top="0" bottom="0" header="0" footer="0"/>
  <pageSetup paperSize="9" scale="11" orientation="landscape" horizontalDpi="300" verticalDpi="300" r:id="rId1"/>
</worksheet>
</file>

<file path=xl/worksheets/sheet5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工作表42"/>
  <dimension ref="B1:Q28"/>
  <sheetViews>
    <sheetView zoomScale="85" zoomScaleNormal="85" workbookViewId="0">
      <selection activeCell="E32" sqref="E32"/>
    </sheetView>
  </sheetViews>
  <sheetFormatPr defaultColWidth="8.75" defaultRowHeight="15.75"/>
  <cols>
    <col min="1" max="1" width="8.75" style="30"/>
    <col min="2" max="2" width="17.875" style="30" customWidth="1"/>
    <col min="3" max="3" width="9.25" style="37" customWidth="1"/>
    <col min="4" max="13" width="12.625" style="30" customWidth="1"/>
    <col min="14" max="14" width="11" style="30" bestFit="1" customWidth="1"/>
    <col min="15" max="15" width="17.75" style="30" bestFit="1" customWidth="1"/>
    <col min="16" max="16" width="12.25" style="30" bestFit="1" customWidth="1"/>
    <col min="17" max="22" width="9.25" style="30" customWidth="1"/>
    <col min="23" max="23" width="10.75" style="30" customWidth="1"/>
    <col min="24" max="24" width="11" style="30" customWidth="1"/>
    <col min="25" max="16384" width="8.75" style="30"/>
  </cols>
  <sheetData>
    <row r="1" spans="2:17" ht="27.75" customHeight="1">
      <c r="B1" s="552" t="s">
        <v>441</v>
      </c>
      <c r="C1" s="552"/>
      <c r="D1" s="552"/>
      <c r="E1" s="552"/>
      <c r="F1" s="552"/>
      <c r="G1" s="552"/>
      <c r="H1" s="552"/>
      <c r="I1" s="552"/>
      <c r="J1" s="552"/>
      <c r="K1" s="29"/>
      <c r="L1" s="29"/>
      <c r="M1" s="29"/>
      <c r="N1" s="29"/>
      <c r="O1" s="29"/>
      <c r="P1" s="29"/>
    </row>
    <row r="2" spans="2:17" ht="27.75" customHeight="1">
      <c r="B2" s="553"/>
      <c r="C2" s="553"/>
      <c r="D2" s="553"/>
      <c r="E2" s="553"/>
      <c r="F2" s="553"/>
      <c r="G2" s="553"/>
      <c r="H2" s="553"/>
      <c r="I2" s="553"/>
      <c r="J2" s="553"/>
      <c r="K2" s="31"/>
      <c r="L2" s="31"/>
      <c r="M2" s="31"/>
      <c r="N2" s="29"/>
      <c r="O2" s="29"/>
      <c r="P2" s="29"/>
    </row>
    <row r="3" spans="2:17" ht="46.5" customHeight="1">
      <c r="B3" s="32" t="s">
        <v>442</v>
      </c>
      <c r="C3" s="554" t="str">
        <f>TEXT('1005 4度C'!A2,"yyyy.mm.ddaaaa")</f>
        <v>2025.10.05星期日</v>
      </c>
      <c r="D3" s="555"/>
      <c r="E3" s="32" t="s">
        <v>201</v>
      </c>
      <c r="F3" s="556">
        <f>'1005 4度C'!D1</f>
        <v>143171</v>
      </c>
      <c r="G3" s="557"/>
      <c r="H3" s="32" t="s">
        <v>443</v>
      </c>
      <c r="I3" s="558">
        <f>'1005 4度C'!F1</f>
        <v>4683513.1999999993</v>
      </c>
      <c r="J3" s="559"/>
      <c r="K3" s="33"/>
      <c r="L3" s="34"/>
      <c r="M3" s="35"/>
      <c r="N3" s="35"/>
    </row>
    <row r="4" spans="2:17" ht="28.5" customHeight="1">
      <c r="B4" s="560" t="s">
        <v>444</v>
      </c>
      <c r="C4" s="542" t="s">
        <v>445</v>
      </c>
      <c r="D4" s="543"/>
      <c r="E4" s="563" t="s">
        <v>446</v>
      </c>
      <c r="F4" s="564"/>
      <c r="G4" s="563" t="s">
        <v>447</v>
      </c>
      <c r="H4" s="564"/>
      <c r="I4" s="563" t="s">
        <v>448</v>
      </c>
      <c r="J4" s="564"/>
      <c r="L4" s="35"/>
      <c r="M4" s="35"/>
      <c r="N4" s="35"/>
    </row>
    <row r="5" spans="2:17" ht="28.5" customHeight="1">
      <c r="B5" s="561"/>
      <c r="C5" s="542" t="s">
        <v>449</v>
      </c>
      <c r="D5" s="543"/>
      <c r="E5" s="542" t="s">
        <v>450</v>
      </c>
      <c r="F5" s="543"/>
      <c r="G5" s="544" t="s">
        <v>451</v>
      </c>
      <c r="H5" s="545"/>
      <c r="I5" s="546" t="s">
        <v>452</v>
      </c>
      <c r="J5" s="547"/>
      <c r="K5" s="35"/>
      <c r="L5" s="35"/>
      <c r="M5" s="35"/>
      <c r="N5" s="35"/>
    </row>
    <row r="6" spans="2:17" ht="28.5" customHeight="1">
      <c r="B6" s="561"/>
      <c r="C6" s="542" t="s">
        <v>92</v>
      </c>
      <c r="D6" s="543"/>
      <c r="E6" s="548">
        <f>AVERAGE(D13:M13)</f>
        <v>152.963075117561</v>
      </c>
      <c r="F6" s="549">
        <f>AVERAGE(D27:O27,D13:J13)</f>
        <v>159.04557291502402</v>
      </c>
      <c r="G6" s="550">
        <f>AVERAGE(D13:J13)</f>
        <v>159.04557291502402</v>
      </c>
      <c r="H6" s="551"/>
      <c r="I6" s="550">
        <f>AVERAGE(K13:M13)</f>
        <v>138.7705802568139</v>
      </c>
      <c r="J6" s="551"/>
      <c r="K6" s="35"/>
      <c r="L6" s="35"/>
      <c r="M6" s="35"/>
      <c r="N6" s="35"/>
    </row>
    <row r="7" spans="2:17" ht="28.5" customHeight="1">
      <c r="B7" s="561"/>
      <c r="C7" s="532" t="s">
        <v>93</v>
      </c>
      <c r="D7" s="533"/>
      <c r="E7" s="534">
        <f>AVERAGE(D14:M14)</f>
        <v>146.62530200815445</v>
      </c>
      <c r="F7" s="535">
        <f>AVERAGE(D28:O28,D14:J14)</f>
        <v>152.59392011024698</v>
      </c>
      <c r="G7" s="536">
        <f>AVERAGE(D14:J14)</f>
        <v>152.59392011024698</v>
      </c>
      <c r="H7" s="537"/>
      <c r="I7" s="536">
        <f>AVERAGE(K14:M14)</f>
        <v>132.69852643660522</v>
      </c>
      <c r="J7" s="537"/>
      <c r="K7" s="35"/>
      <c r="L7" s="35"/>
      <c r="M7" s="35"/>
      <c r="N7" s="35"/>
    </row>
    <row r="8" spans="2:17" ht="28.5" customHeight="1">
      <c r="B8" s="562"/>
      <c r="C8" s="532" t="s">
        <v>94</v>
      </c>
      <c r="D8" s="533"/>
      <c r="E8" s="538">
        <f>AVERAGE(D15:M15)</f>
        <v>0.95879540684165132</v>
      </c>
      <c r="F8" s="539">
        <f>AVERAGE(D15:J15,D29:O29)</f>
        <v>0.95985202556918836</v>
      </c>
      <c r="G8" s="540">
        <f>AVERAGE(D15:J15)</f>
        <v>0.95985202556918836</v>
      </c>
      <c r="H8" s="541"/>
      <c r="I8" s="540">
        <f>AVERAGE(K15:M15)</f>
        <v>0.95632996314406438</v>
      </c>
      <c r="J8" s="541"/>
      <c r="K8" s="36" t="s">
        <v>212</v>
      </c>
      <c r="L8" s="35"/>
      <c r="M8" s="35"/>
      <c r="N8" s="35"/>
    </row>
    <row r="9" spans="2:17" ht="28.5" customHeight="1" thickBot="1">
      <c r="H9" s="38"/>
      <c r="N9" s="35"/>
      <c r="O9" s="35"/>
      <c r="P9" s="35"/>
      <c r="Q9" s="35"/>
    </row>
    <row r="10" spans="2:17" ht="30" customHeight="1">
      <c r="B10" s="515" t="s">
        <v>453</v>
      </c>
      <c r="C10" s="516"/>
      <c r="D10" s="517" t="s">
        <v>454</v>
      </c>
      <c r="E10" s="518"/>
      <c r="F10" s="518"/>
      <c r="G10" s="518"/>
      <c r="H10" s="518"/>
      <c r="I10" s="518"/>
      <c r="J10" s="519"/>
      <c r="K10" s="520" t="s">
        <v>455</v>
      </c>
      <c r="L10" s="521"/>
      <c r="M10" s="522"/>
      <c r="P10" s="39"/>
      <c r="Q10" s="39"/>
    </row>
    <row r="11" spans="2:17" ht="17.25" customHeight="1">
      <c r="B11" s="523" t="s">
        <v>456</v>
      </c>
      <c r="C11" s="524"/>
      <c r="D11" s="40">
        <v>1</v>
      </c>
      <c r="E11" s="41">
        <v>2</v>
      </c>
      <c r="F11" s="41">
        <v>3</v>
      </c>
      <c r="G11" s="41">
        <v>4</v>
      </c>
      <c r="H11" s="41">
        <v>5</v>
      </c>
      <c r="I11" s="41">
        <v>6</v>
      </c>
      <c r="J11" s="42">
        <v>7</v>
      </c>
      <c r="K11" s="40">
        <v>1</v>
      </c>
      <c r="L11" s="41">
        <v>2</v>
      </c>
      <c r="M11" s="42">
        <v>3</v>
      </c>
      <c r="P11" s="39"/>
      <c r="Q11" s="39"/>
    </row>
    <row r="12" spans="2:17" ht="34.15" customHeight="1">
      <c r="B12" s="525"/>
      <c r="C12" s="526"/>
      <c r="D12" s="43" t="s">
        <v>96</v>
      </c>
      <c r="E12" s="44" t="s">
        <v>97</v>
      </c>
      <c r="F12" s="44" t="s">
        <v>98</v>
      </c>
      <c r="G12" s="44" t="s">
        <v>99</v>
      </c>
      <c r="H12" s="44" t="s">
        <v>100</v>
      </c>
      <c r="I12" s="44" t="s">
        <v>101</v>
      </c>
      <c r="J12" s="45" t="s">
        <v>102</v>
      </c>
      <c r="K12" s="43" t="s">
        <v>103</v>
      </c>
      <c r="L12" s="44" t="s">
        <v>104</v>
      </c>
      <c r="M12" s="45" t="s">
        <v>105</v>
      </c>
    </row>
    <row r="13" spans="2:17" ht="40.15" customHeight="1">
      <c r="B13" s="527" t="s">
        <v>457</v>
      </c>
      <c r="C13" s="46" t="s">
        <v>458</v>
      </c>
      <c r="D13" s="47">
        <f>SUMIFS('1005 4度C'!$K:$K,'1005 4度C'!$A:$A,"新豐6線",'1005 4度C'!$B:$B,"平均")</f>
        <v>125</v>
      </c>
      <c r="E13" s="48">
        <f>SUMIFS('1005 4度C'!$K:$K,'1005 4度C'!$A:$A,"新豐2線",'1005 4度C'!$B:$B,"平均")</f>
        <v>81.081081081081081</v>
      </c>
      <c r="F13" s="49">
        <f>SUMIFS('1005 4度C'!$K:$K,'1005 4度C'!$A:$A,"新豐5線",'1005 4度C'!$B:$B,"平均")</f>
        <v>111.81102362204726</v>
      </c>
      <c r="G13" s="49">
        <f>SUMIFS('1005 4度C'!$K:$K,'1005 4度C'!$A:$A,"新豐7線",'1005 4度C'!$B:$B,"平均")</f>
        <v>120.48192771084337</v>
      </c>
      <c r="H13" s="49">
        <f>SUMIFS('1005 4度C'!$K:$K,'1005 4度C'!$A:$A,"新豐3線",'1005 4度C'!$B:$B,"平均")</f>
        <v>312.5</v>
      </c>
      <c r="I13" s="49">
        <f>SUMIFS('1005 4度C'!$K:$K,'1005 4度C'!$A:$A,"新豐1線",'1005 4度C'!$B:$B,"平均")</f>
        <v>117.34693877551021</v>
      </c>
      <c r="J13" s="50">
        <f>SUMIFS('1005 4度C'!$K:$K,'1005 4度C'!$A:$A,"新豐10線",'1005 4度C'!$B:$B,"平均")</f>
        <v>245.0980392156863</v>
      </c>
      <c r="K13" s="51">
        <f>SUMIFS('1005 4度C'!$K:$K,'1005 4度C'!$A:$A,"新豐8線",'1005 4度C'!$B:$B,"平均")</f>
        <v>130.23255813953489</v>
      </c>
      <c r="L13" s="52">
        <f>SUMIFS('1005 4度C'!$K:$K,'1005 4度C'!$A:$A,"新豐9線",'1005 4度C'!$B:$B,"平均")</f>
        <v>148.14814814814815</v>
      </c>
      <c r="M13" s="50">
        <f>SUMIFS('1005 4度C'!$K:$K,'1005 4度C'!$A:$A,"新豐4線",'1005 4度C'!$B:$B,"平均")</f>
        <v>137.93103448275863</v>
      </c>
    </row>
    <row r="14" spans="2:17" ht="39.6" customHeight="1">
      <c r="B14" s="528"/>
      <c r="C14" s="53" t="s">
        <v>459</v>
      </c>
      <c r="D14" s="54">
        <f>SUMIFS('1005 4度C'!$N:$N,'1005 4度C'!$A:$A,"新豐6線",'1005 4度C'!$B:$B,"平均")</f>
        <v>120.50684523809518</v>
      </c>
      <c r="E14" s="55">
        <f>SUMIFS('1005 4度C'!$N:$N,'1005 4度C'!$A:$A,"新豐2線",'1005 4度C'!$B:$B,"平均")</f>
        <v>77.517296680476605</v>
      </c>
      <c r="F14" s="55">
        <f>SUMIFS('1005 4度C'!$N:$N,'1005 4度C'!$A:$A,"新豐5線",'1005 4度C'!$B:$B,"平均")</f>
        <v>107.05034758203789</v>
      </c>
      <c r="G14" s="55">
        <f>SUMIFS('1005 4度C'!$N:$N,'1005 4度C'!$A:$A,"新豐7線",'1005 4度C'!$B:$B,"平均")</f>
        <v>115.47292826304572</v>
      </c>
      <c r="H14" s="55">
        <f>SUMIFS('1005 4度C'!$N:$N,'1005 4度C'!$A:$A,"新豐3線",'1005 4度C'!$B:$B,"平均")</f>
        <v>298.16209328685852</v>
      </c>
      <c r="I14" s="55">
        <f>SUMIFS('1005 4度C'!$N:$N,'1005 4度C'!$A:$A,"新豐1線",'1005 4度C'!$B:$B,"平均")</f>
        <v>113.27749427430896</v>
      </c>
      <c r="J14" s="56">
        <f>SUMIFS('1005 4度C'!$N:$N,'1005 4度C'!$A:$A,"新豐10線",'1005 4度C'!$B:$B,"平均")</f>
        <v>236.17043544690608</v>
      </c>
      <c r="K14" s="57">
        <f>SUMIFS('1005 4度C'!$N:$N,'1005 4度C'!$A:$A,"新豐8線",'1005 4度C'!$B:$B,"平均")</f>
        <v>124.73738880660503</v>
      </c>
      <c r="L14" s="58">
        <f>SUMIFS('1005 4度C'!$N:$N,'1005 4度C'!$A:$A,"新豐9線",'1005 4度C'!$B:$B,"平均")</f>
        <v>141.32388296217329</v>
      </c>
      <c r="M14" s="56">
        <f>SUMIFS('1005 4度C'!$N:$N,'1005 4度C'!$A:$A,"新豐4線",'1005 4度C'!$B:$B,"平均")</f>
        <v>132.03430754103735</v>
      </c>
    </row>
    <row r="15" spans="2:17" ht="40.15" customHeight="1">
      <c r="B15" s="529"/>
      <c r="C15" s="59" t="s">
        <v>129</v>
      </c>
      <c r="D15" s="60">
        <f t="shared" ref="D15:M15" si="0">D14/D13</f>
        <v>0.96405476190476147</v>
      </c>
      <c r="E15" s="61">
        <f t="shared" si="0"/>
        <v>0.95604665905921149</v>
      </c>
      <c r="F15" s="61">
        <f t="shared" si="0"/>
        <v>0.95742212274076122</v>
      </c>
      <c r="G15" s="61">
        <f t="shared" si="0"/>
        <v>0.95842530458327946</v>
      </c>
      <c r="H15" s="61">
        <f t="shared" si="0"/>
        <v>0.95411869851794728</v>
      </c>
      <c r="I15" s="61">
        <f t="shared" si="0"/>
        <v>0.96532125555498072</v>
      </c>
      <c r="J15" s="62">
        <f t="shared" si="0"/>
        <v>0.96357537662337678</v>
      </c>
      <c r="K15" s="60">
        <f t="shared" si="0"/>
        <v>0.95780494976500286</v>
      </c>
      <c r="L15" s="61">
        <f t="shared" si="0"/>
        <v>0.95393620999466966</v>
      </c>
      <c r="M15" s="62">
        <f t="shared" si="0"/>
        <v>0.95724872967252073</v>
      </c>
    </row>
    <row r="16" spans="2:17" ht="17.25" customHeight="1">
      <c r="B16" s="530" t="s">
        <v>460</v>
      </c>
      <c r="C16" s="63" t="s">
        <v>461</v>
      </c>
      <c r="D16" s="64">
        <f>VLOOKUP("新豐6線",'1005 4度C'!$A:$T,19,0)</f>
        <v>0.70833333333333337</v>
      </c>
      <c r="E16" s="24">
        <f>VLOOKUP("新豐2線",'1005 4度C'!$A:$T,19,0)</f>
        <v>0.25</v>
      </c>
      <c r="F16" s="24">
        <f>VLOOKUP("新豐5線",'1005 4度C'!$A:$T,19,0)</f>
        <v>0.20833333333333334</v>
      </c>
      <c r="G16" s="24">
        <f>VLOOKUP("新豐7線",'1005 4度C'!$A:$T,19,0)</f>
        <v>0.20833333333333334</v>
      </c>
      <c r="H16" s="24">
        <f>VLOOKUP("新豐3線",'1005 4度C'!$A:$T,19,0)</f>
        <v>0.20833333333333334</v>
      </c>
      <c r="I16" s="24">
        <f>VLOOKUP("新豐1線",'1005 4度C'!$A:$T,19,0)</f>
        <v>0.20833333333333334</v>
      </c>
      <c r="J16" s="65">
        <f>VLOOKUP("新豐10線",'1005 4度C'!$A:$T,19,0)</f>
        <v>0.20833333333333334</v>
      </c>
      <c r="K16" s="66">
        <f>VLOOKUP("新豐8線",'1005 4度C'!$A:$T,19,0)</f>
        <v>0.125</v>
      </c>
      <c r="L16" s="67">
        <f>VLOOKUP("新豐9線",'1005 4度C'!$A:$T,19,0)</f>
        <v>0.125</v>
      </c>
      <c r="M16" s="68">
        <f>VLOOKUP("新豐4線",'1005 4度C'!$A:$T,19,0)</f>
        <v>0.125</v>
      </c>
    </row>
    <row r="17" spans="2:13" ht="17.25" customHeight="1">
      <c r="B17" s="531"/>
      <c r="C17" s="63" t="s">
        <v>462</v>
      </c>
      <c r="D17" s="66">
        <f>LOOKUP(2,1/(('1005 4度C'!$A:$A="新豐6線")*('1005 4度C'!$T:$T&lt;&gt;"")),'1005 4度C'!$T:$T)</f>
        <v>0.81805555555555554</v>
      </c>
      <c r="E17" s="24">
        <f>LOOKUP(2,1/(('1005 4度C'!$A:$A="新豐2線")*('1005 4度C'!$T:$T&lt;&gt;"")),'1005 4度C'!$T:$T)</f>
        <v>0.48958333333333326</v>
      </c>
      <c r="F17" s="24">
        <f>LOOKUP(2,1/(('1005 4度C'!$A:$A="新豐5線")*('1005 4度C'!$T:$T&lt;&gt;"")),'1005 4度C'!$T:$T)</f>
        <v>0.8354166666666667</v>
      </c>
      <c r="G17" s="24">
        <f>LOOKUP(2,1/(('1005 4度C'!$A:$A="新豐7線")*('1005 4度C'!$T:$T&lt;&gt;"")),'1005 4度C'!$T:$T)</f>
        <v>0.76597222222222228</v>
      </c>
      <c r="H17" s="24">
        <f>LOOKUP(2,1/(('1005 4度C'!$A:$A="新豐3線")*('1005 4度C'!$T:$T&lt;&gt;"")),'1005 4度C'!$T:$T)</f>
        <v>0.49097222222222225</v>
      </c>
      <c r="I17" s="24">
        <f>LOOKUP(2,1/(('1005 4度C'!$A:$A="新豐1線")*('1005 4度C'!$T:$T&lt;&gt;"")),'1005 4度C'!$T:$T)</f>
        <v>0.83472222222222214</v>
      </c>
      <c r="J17" s="65">
        <f>LOOKUP(2,1/(('1005 4度C'!$A:$A="新豐10線")*('1005 4度C'!$T:$T&lt;&gt;"")),'1005 4度C'!$T:$T)</f>
        <v>0.41111111111111109</v>
      </c>
      <c r="K17" s="64">
        <f>LOOKUP(2,1/(('1005 4度C'!$A:$A="新豐8線")*('1005 4度C'!$T:$T&lt;&gt;"")),'1005 4度C'!$T:$T)</f>
        <v>0.60902777777777783</v>
      </c>
      <c r="L17" s="24">
        <f>LOOKUP(2,1/(('1005 4度C'!$A:$A="新豐9線")*('1005 4度C'!$T:$T&lt;&gt;"")),'1005 4度C'!$T:$T)</f>
        <v>0.61250000000000004</v>
      </c>
      <c r="M17" s="65">
        <f>LOOKUP(2,1/(('1005 4度C'!$A:$A="新豐4線")*('1005 4度C'!$T:$T&lt;&gt;"")),'1005 4度C'!$T:$T)</f>
        <v>0.50972222222222219</v>
      </c>
    </row>
    <row r="18" spans="2:13" ht="17.25" customHeight="1">
      <c r="B18" s="509" t="s">
        <v>463</v>
      </c>
      <c r="C18" s="510"/>
      <c r="D18" s="69">
        <f>SUMIFS('1005 4度C'!$I:$I,'1005 4度C'!$A:$A,"新豐6線",'1005 4度C'!$B:$B,"平均")</f>
        <v>16</v>
      </c>
      <c r="E18" s="70">
        <f>SUMIFS('1005 4度C'!$I:$I,'1005 4度C'!$A:$A,"新豐2線",'1005 4度C'!$B:$B,"平均")</f>
        <v>18.5</v>
      </c>
      <c r="F18" s="70">
        <f>SUMIFS('1005 4度C'!$I:$I,'1005 4度C'!$A:$A,"新豐5線",'1005 4度C'!$B:$B,"平均")</f>
        <v>18.142857142857142</v>
      </c>
      <c r="G18" s="70">
        <f>SUMIFS('1005 4度C'!$I:$I,'1005 4度C'!$A:$A,"新豐7線",'1005 4度C'!$B:$B,"平均")</f>
        <v>16.600000000000001</v>
      </c>
      <c r="H18" s="70">
        <f>SUMIFS('1005 4度C'!$I:$I,'1005 4度C'!$A:$A,"新豐3線",'1005 4度C'!$B:$B,"平均")</f>
        <v>9.6</v>
      </c>
      <c r="I18" s="70">
        <f>SUMIFS('1005 4度C'!$I:$I,'1005 4度C'!$A:$A,"新豐1線",'1005 4度C'!$B:$B,"平均")</f>
        <v>16.333333333333332</v>
      </c>
      <c r="J18" s="71">
        <f>SUMIFS('1005 4度C'!$I:$I,'1005 4度C'!$A:$A,"新豐10線",'1005 4度C'!$B:$B,"平均")</f>
        <v>10.199999999999999</v>
      </c>
      <c r="K18" s="69">
        <f>SUMIFS('1005 4度C'!$I:$I,'1005 4度C'!$A:$A,"新豐8線",'1005 4度C'!$B:$B,"平均")</f>
        <v>18.428571428571427</v>
      </c>
      <c r="L18" s="70">
        <f>SUMIFS('1005 4度C'!$I:$I,'1005 4度C'!$A:$A,"新豐9線",'1005 4度C'!$B:$B,"平均")</f>
        <v>16.2</v>
      </c>
      <c r="M18" s="71">
        <f>SUMIFS('1005 4度C'!$I:$I,'1005 4度C'!$A:$A,"新豐4線",'1005 4度C'!$B:$B,"平均")</f>
        <v>17.399999999999999</v>
      </c>
    </row>
    <row r="19" spans="2:13" ht="17.25" customHeight="1">
      <c r="B19" s="509" t="s">
        <v>464</v>
      </c>
      <c r="C19" s="510"/>
      <c r="D19" s="72" t="s">
        <v>109</v>
      </c>
      <c r="E19" s="73" t="s">
        <v>110</v>
      </c>
      <c r="F19" s="73" t="s">
        <v>465</v>
      </c>
      <c r="G19" s="73" t="s">
        <v>466</v>
      </c>
      <c r="H19" s="73" t="s">
        <v>111</v>
      </c>
      <c r="I19" s="73" t="s">
        <v>109</v>
      </c>
      <c r="J19" s="74" t="s">
        <v>111</v>
      </c>
      <c r="K19" s="72" t="s">
        <v>467</v>
      </c>
      <c r="L19" s="73" t="s">
        <v>467</v>
      </c>
      <c r="M19" s="74" t="s">
        <v>468</v>
      </c>
    </row>
    <row r="20" spans="2:13" ht="17.25" customHeight="1">
      <c r="B20" s="509" t="s">
        <v>469</v>
      </c>
      <c r="C20" s="510"/>
      <c r="D20" s="72"/>
      <c r="E20" s="73"/>
      <c r="F20" s="73" t="s">
        <v>470</v>
      </c>
      <c r="G20" s="73" t="s">
        <v>109</v>
      </c>
      <c r="H20" s="73"/>
      <c r="I20" s="73"/>
      <c r="J20" s="74"/>
      <c r="K20" s="72"/>
      <c r="L20" s="73"/>
      <c r="M20" s="74"/>
    </row>
    <row r="21" spans="2:13" ht="17.25" customHeight="1" thickBot="1">
      <c r="B21" s="511" t="s">
        <v>141</v>
      </c>
      <c r="C21" s="512"/>
      <c r="D21" s="75"/>
      <c r="E21" s="76" t="s">
        <v>471</v>
      </c>
      <c r="F21" s="513" t="s">
        <v>472</v>
      </c>
      <c r="G21" s="514"/>
      <c r="H21" s="76" t="s">
        <v>473</v>
      </c>
      <c r="I21" s="76" t="s">
        <v>474</v>
      </c>
      <c r="J21" s="77" t="s">
        <v>475</v>
      </c>
      <c r="K21" s="78"/>
      <c r="L21" s="76"/>
      <c r="M21" s="77"/>
    </row>
    <row r="22" spans="2:13" ht="17.25" customHeight="1"/>
    <row r="23" spans="2:13" ht="17.25" customHeight="1"/>
    <row r="24" spans="2:13" ht="17.25" customHeight="1"/>
    <row r="25" spans="2:13" ht="37.5" customHeight="1"/>
    <row r="26" spans="2:13" ht="35.25" customHeight="1"/>
    <row r="27" spans="2:13" ht="35.25" customHeight="1"/>
    <row r="28" spans="2:13" ht="39.75" customHeight="1"/>
  </sheetData>
  <mergeCells count="36">
    <mergeCell ref="B1:J2"/>
    <mergeCell ref="C3:D3"/>
    <mergeCell ref="F3:G3"/>
    <mergeCell ref="I3:J3"/>
    <mergeCell ref="B4:B8"/>
    <mergeCell ref="C4:D4"/>
    <mergeCell ref="E4:F4"/>
    <mergeCell ref="G4:H4"/>
    <mergeCell ref="I4:J4"/>
    <mergeCell ref="C5:D5"/>
    <mergeCell ref="E5:F5"/>
    <mergeCell ref="G5:H5"/>
    <mergeCell ref="I5:J5"/>
    <mergeCell ref="C6:D6"/>
    <mergeCell ref="E6:F6"/>
    <mergeCell ref="G6:H6"/>
    <mergeCell ref="I6:J6"/>
    <mergeCell ref="B16:B17"/>
    <mergeCell ref="C7:D7"/>
    <mergeCell ref="E7:F7"/>
    <mergeCell ref="G7:H7"/>
    <mergeCell ref="I7:J7"/>
    <mergeCell ref="C8:D8"/>
    <mergeCell ref="E8:F8"/>
    <mergeCell ref="G8:H8"/>
    <mergeCell ref="I8:J8"/>
    <mergeCell ref="B10:C10"/>
    <mergeCell ref="D10:J10"/>
    <mergeCell ref="B20:C20"/>
    <mergeCell ref="B21:C21"/>
    <mergeCell ref="F21:G21"/>
    <mergeCell ref="K10:M10"/>
    <mergeCell ref="B11:C12"/>
    <mergeCell ref="B13:B15"/>
    <mergeCell ref="B18:C18"/>
    <mergeCell ref="B19:C19"/>
  </mergeCells>
  <phoneticPr fontId="3" type="noConversion"/>
  <conditionalFormatting sqref="D15:M15">
    <cfRule type="cellIs" dxfId="314" priority="1" operator="lessThan">
      <formula>0.8</formula>
    </cfRule>
  </conditionalFormatting>
  <pageMargins left="0.7" right="0.7" top="0.75" bottom="0.75" header="0.3" footer="0.3"/>
  <pageSetup paperSize="9" orientation="portrait" horizontalDpi="300" verticalDpi="300" r:id="rId1"/>
</worksheet>
</file>

<file path=xl/worksheets/sheet5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工作表43">
    <pageSetUpPr fitToPage="1"/>
  </sheetPr>
  <dimension ref="A1:AC65"/>
  <sheetViews>
    <sheetView zoomScale="80" zoomScaleNormal="80" workbookViewId="0">
      <pane ySplit="4" topLeftCell="A5" activePane="bottomLeft" state="frozen"/>
      <selection activeCell="E32" sqref="E32"/>
      <selection pane="bottomLeft" activeCell="E32" sqref="E32"/>
    </sheetView>
  </sheetViews>
  <sheetFormatPr defaultColWidth="8" defaultRowHeight="15.75"/>
  <cols>
    <col min="1" max="1" width="15.125" style="5" customWidth="1"/>
    <col min="2" max="2" width="19.375" style="5" customWidth="1"/>
    <col min="3" max="3" width="15.25" style="5" customWidth="1"/>
    <col min="4" max="4" width="17.5" style="5" customWidth="1"/>
    <col min="5" max="5" width="7.5" style="5" bestFit="1" customWidth="1"/>
    <col min="6" max="6" width="14.375" style="5" bestFit="1" customWidth="1"/>
    <col min="7" max="7" width="14.375" style="5" customWidth="1"/>
    <col min="8" max="8" width="8" style="5" customWidth="1"/>
    <col min="9" max="9" width="5.875" style="5" customWidth="1"/>
    <col min="10" max="10" width="10.625" style="5" customWidth="1"/>
    <col min="11" max="11" width="14.625" style="5" customWidth="1"/>
    <col min="12" max="12" width="7.25" style="5" bestFit="1" customWidth="1"/>
    <col min="13" max="13" width="8" style="5" customWidth="1"/>
    <col min="14" max="14" width="12" style="5" customWidth="1"/>
    <col min="15" max="15" width="6" style="5" customWidth="1"/>
    <col min="16" max="16" width="9.25" style="5" customWidth="1"/>
    <col min="17" max="17" width="11.5" style="5" customWidth="1"/>
    <col min="18" max="18" width="8.5" style="5" customWidth="1"/>
    <col min="19" max="19" width="10.125" style="5" bestFit="1" customWidth="1"/>
    <col min="20" max="20" width="7.625" style="5" bestFit="1" customWidth="1"/>
    <col min="21" max="21" width="10.25" style="5" bestFit="1" customWidth="1"/>
    <col min="22" max="22" width="8.75" style="18" customWidth="1"/>
    <col min="23" max="23" width="7.375" style="5" customWidth="1"/>
    <col min="24" max="24" width="6.875" style="5" bestFit="1" customWidth="1"/>
    <col min="25" max="25" width="12.75" style="5" customWidth="1"/>
    <col min="26" max="26" width="18.875" style="5" customWidth="1"/>
    <col min="27" max="27" width="13.125" style="5" bestFit="1" customWidth="1"/>
    <col min="28" max="28" width="10.375" style="5" customWidth="1"/>
    <col min="29" max="29" width="9.375" style="5" customWidth="1"/>
    <col min="30" max="30" width="8" style="5"/>
    <col min="31" max="31" width="24.625" style="5" bestFit="1" customWidth="1"/>
    <col min="32" max="16384" width="8" style="5"/>
  </cols>
  <sheetData>
    <row r="1" spans="1:29" ht="26.25" customHeight="1">
      <c r="A1" s="1" t="s">
        <v>476</v>
      </c>
      <c r="B1" s="1"/>
      <c r="C1" s="2" t="s">
        <v>477</v>
      </c>
      <c r="D1" s="3">
        <f>SUM(F5:F64)</f>
        <v>143171</v>
      </c>
      <c r="E1" s="138" t="s">
        <v>478</v>
      </c>
      <c r="F1" s="1">
        <f>SUM(G5:G64)</f>
        <v>4683513.1999999993</v>
      </c>
      <c r="G1" s="1" t="s">
        <v>479</v>
      </c>
      <c r="H1" s="4">
        <f>L8+L11+L45+L52+L19+L58+L33+L39+L25+L64</f>
        <v>157.40476190476193</v>
      </c>
      <c r="I1" s="652" t="s">
        <v>480</v>
      </c>
      <c r="J1" s="652"/>
      <c r="K1" s="652"/>
      <c r="L1" s="652" t="s">
        <v>481</v>
      </c>
      <c r="M1" s="652"/>
      <c r="N1" s="652"/>
      <c r="O1" s="652" t="s">
        <v>482</v>
      </c>
      <c r="P1" s="652"/>
      <c r="Q1" s="652"/>
      <c r="R1" s="652"/>
      <c r="S1" s="652" t="s">
        <v>483</v>
      </c>
      <c r="T1" s="652"/>
      <c r="U1" s="652"/>
      <c r="V1" s="652"/>
      <c r="W1" s="652"/>
      <c r="X1" s="652"/>
      <c r="Y1" s="652" t="s">
        <v>484</v>
      </c>
      <c r="Z1" s="652"/>
      <c r="AA1" s="652" t="s">
        <v>485</v>
      </c>
      <c r="AB1" s="653"/>
      <c r="AC1" s="653"/>
    </row>
    <row r="2" spans="1:29" ht="26.25" customHeight="1">
      <c r="A2" s="19">
        <v>45935</v>
      </c>
      <c r="B2" s="20" t="s">
        <v>486</v>
      </c>
      <c r="C2" s="2" t="s">
        <v>487</v>
      </c>
      <c r="D2" s="6">
        <f>AVERAGE(N8,N11,N45,N52,N19,N58,N25,N33,N39,N64)</f>
        <v>146.62530200815448</v>
      </c>
      <c r="E2" s="7" t="s">
        <v>2</v>
      </c>
      <c r="F2" s="8">
        <f>F1/D1</f>
        <v>32.712722548560805</v>
      </c>
      <c r="G2" s="1" t="s">
        <v>488</v>
      </c>
      <c r="H2" s="150">
        <f>COUNT(H5:H64)</f>
        <v>2</v>
      </c>
      <c r="I2" s="652"/>
      <c r="J2" s="652"/>
      <c r="K2" s="652"/>
      <c r="L2" s="652"/>
      <c r="M2" s="652"/>
      <c r="N2" s="652"/>
      <c r="O2" s="652"/>
      <c r="P2" s="652"/>
      <c r="Q2" s="652"/>
      <c r="R2" s="652"/>
      <c r="S2" s="652"/>
      <c r="T2" s="652"/>
      <c r="U2" s="652"/>
      <c r="V2" s="652"/>
      <c r="W2" s="652"/>
      <c r="X2" s="652"/>
      <c r="Y2" s="652"/>
      <c r="Z2" s="652"/>
      <c r="AA2" s="653"/>
      <c r="AB2" s="653"/>
      <c r="AC2" s="653"/>
    </row>
    <row r="3" spans="1:29" ht="23.25" customHeight="1">
      <c r="A3" s="617" t="s">
        <v>489</v>
      </c>
      <c r="B3" s="617" t="s">
        <v>490</v>
      </c>
      <c r="C3" s="617" t="s">
        <v>491</v>
      </c>
      <c r="D3" s="617"/>
      <c r="E3" s="654" t="s">
        <v>492</v>
      </c>
      <c r="F3" s="617" t="s">
        <v>493</v>
      </c>
      <c r="G3" s="654" t="s">
        <v>494</v>
      </c>
      <c r="H3" s="646" t="s">
        <v>495</v>
      </c>
      <c r="I3" s="645" t="s">
        <v>496</v>
      </c>
      <c r="J3" s="649" t="s">
        <v>497</v>
      </c>
      <c r="K3" s="651" t="s">
        <v>487</v>
      </c>
      <c r="L3" s="645" t="s">
        <v>498</v>
      </c>
      <c r="M3" s="649" t="s">
        <v>11</v>
      </c>
      <c r="N3" s="651" t="s">
        <v>487</v>
      </c>
      <c r="O3" s="645" t="s">
        <v>498</v>
      </c>
      <c r="P3" s="651" t="s">
        <v>487</v>
      </c>
      <c r="Q3" s="650" t="s">
        <v>12</v>
      </c>
      <c r="R3" s="633" t="s">
        <v>499</v>
      </c>
      <c r="S3" s="617" t="s">
        <v>14</v>
      </c>
      <c r="T3" s="617"/>
      <c r="U3" s="646" t="s">
        <v>15</v>
      </c>
      <c r="V3" s="646" t="s">
        <v>500</v>
      </c>
      <c r="W3" s="617" t="s">
        <v>501</v>
      </c>
      <c r="X3" s="617"/>
      <c r="Y3" s="647" t="s">
        <v>502</v>
      </c>
      <c r="Z3" s="648"/>
      <c r="AA3" s="649" t="s">
        <v>503</v>
      </c>
      <c r="AB3" s="650" t="s">
        <v>504</v>
      </c>
      <c r="AC3" s="633" t="s">
        <v>505</v>
      </c>
    </row>
    <row r="4" spans="1:29">
      <c r="A4" s="617"/>
      <c r="B4" s="617"/>
      <c r="C4" s="617"/>
      <c r="D4" s="617"/>
      <c r="E4" s="655"/>
      <c r="F4" s="617"/>
      <c r="G4" s="655"/>
      <c r="H4" s="646"/>
      <c r="I4" s="645"/>
      <c r="J4" s="649"/>
      <c r="K4" s="651"/>
      <c r="L4" s="645"/>
      <c r="M4" s="649"/>
      <c r="N4" s="651"/>
      <c r="O4" s="645"/>
      <c r="P4" s="651"/>
      <c r="Q4" s="650"/>
      <c r="R4" s="633"/>
      <c r="S4" s="138" t="s">
        <v>18</v>
      </c>
      <c r="T4" s="138" t="s">
        <v>19</v>
      </c>
      <c r="U4" s="646"/>
      <c r="V4" s="646"/>
      <c r="W4" s="138" t="s">
        <v>506</v>
      </c>
      <c r="X4" s="138" t="s">
        <v>507</v>
      </c>
      <c r="Y4" s="648"/>
      <c r="Z4" s="648"/>
      <c r="AA4" s="649"/>
      <c r="AB4" s="650"/>
      <c r="AC4" s="633"/>
    </row>
    <row r="5" spans="1:29">
      <c r="A5" s="644" t="s">
        <v>508</v>
      </c>
      <c r="B5" s="26" t="s">
        <v>36</v>
      </c>
      <c r="C5" s="601" t="s">
        <v>37</v>
      </c>
      <c r="D5" s="601"/>
      <c r="E5" s="26">
        <v>46.93</v>
      </c>
      <c r="F5" s="149">
        <v>821</v>
      </c>
      <c r="G5" s="138">
        <f>E5*F5</f>
        <v>38529.53</v>
      </c>
      <c r="H5" s="21" t="s">
        <v>35</v>
      </c>
      <c r="I5" s="147">
        <v>16</v>
      </c>
      <c r="J5" s="23">
        <v>2000</v>
      </c>
      <c r="K5" s="9">
        <f>J5/I5</f>
        <v>125</v>
      </c>
      <c r="L5" s="147">
        <v>16</v>
      </c>
      <c r="M5" s="10">
        <f>F5/V5*60</f>
        <v>1970.3999999999942</v>
      </c>
      <c r="N5" s="9">
        <f>M5/L5</f>
        <v>123.14999999999964</v>
      </c>
      <c r="O5" s="11">
        <f t="shared" ref="O5:O7" si="0">L5-I5</f>
        <v>0</v>
      </c>
      <c r="P5" s="12">
        <f t="shared" ref="P5:P7" si="1">N5-K5</f>
        <v>-1.8500000000003638</v>
      </c>
      <c r="Q5" s="139">
        <f>N5/K5</f>
        <v>0.98519999999999708</v>
      </c>
      <c r="R5" s="571">
        <f>Q8</f>
        <v>0.96405476190476147</v>
      </c>
      <c r="S5" s="24">
        <v>0.70833333333333337</v>
      </c>
      <c r="T5" s="24">
        <v>0.72569444444444453</v>
      </c>
      <c r="U5" s="138"/>
      <c r="V5" s="148">
        <f>(T5-S5)*24*60</f>
        <v>25.000000000000071</v>
      </c>
      <c r="W5" s="13"/>
      <c r="X5" s="14"/>
      <c r="Y5" s="617"/>
      <c r="Z5" s="617"/>
      <c r="AA5" s="11">
        <f t="shared" ref="AA5:AA64" si="2">M5-J5</f>
        <v>-29.600000000005821</v>
      </c>
      <c r="AB5" s="139">
        <f t="shared" ref="AB5:AB7" si="3">M5/J5</f>
        <v>0.98519999999999708</v>
      </c>
      <c r="AC5" s="571">
        <f>AB8</f>
        <v>0.96405476190476147</v>
      </c>
    </row>
    <row r="6" spans="1:29">
      <c r="A6" s="645" t="s">
        <v>509</v>
      </c>
      <c r="B6" s="26" t="s">
        <v>36</v>
      </c>
      <c r="C6" s="601" t="s">
        <v>38</v>
      </c>
      <c r="D6" s="601"/>
      <c r="E6" s="26">
        <v>50.49</v>
      </c>
      <c r="F6" s="149">
        <v>2001</v>
      </c>
      <c r="G6" s="138">
        <f t="shared" ref="G6:G7" si="4">E6*F6</f>
        <v>101030.49</v>
      </c>
      <c r="H6" s="21" t="s">
        <v>35</v>
      </c>
      <c r="I6" s="147">
        <v>15</v>
      </c>
      <c r="J6" s="23">
        <v>2000</v>
      </c>
      <c r="K6" s="9">
        <f t="shared" ref="K6:K7" si="5">J6/I6</f>
        <v>133.33333333333334</v>
      </c>
      <c r="L6" s="147">
        <v>15</v>
      </c>
      <c r="M6" s="10">
        <f>F6/V6*60</f>
        <v>1905.7142857142876</v>
      </c>
      <c r="N6" s="9">
        <f t="shared" ref="N6:N7" si="6">M6/L6</f>
        <v>127.04761904761918</v>
      </c>
      <c r="O6" s="11">
        <f t="shared" si="0"/>
        <v>0</v>
      </c>
      <c r="P6" s="12">
        <f t="shared" si="1"/>
        <v>-6.2857142857141639</v>
      </c>
      <c r="Q6" s="139">
        <f t="shared" ref="Q6:Q7" si="7">N6/K6</f>
        <v>0.95285714285714374</v>
      </c>
      <c r="R6" s="571"/>
      <c r="S6" s="24">
        <v>0.72986111111111118</v>
      </c>
      <c r="T6" s="24">
        <v>0.77361111111111114</v>
      </c>
      <c r="U6" s="138">
        <f>(S6-T5)*24*60</f>
        <v>5.9999999999999787</v>
      </c>
      <c r="V6" s="148">
        <f>(T6-S6)*24*60</f>
        <v>62.999999999999936</v>
      </c>
      <c r="W6" s="13"/>
      <c r="X6" s="13"/>
      <c r="Y6" s="617"/>
      <c r="Z6" s="617"/>
      <c r="AA6" s="11">
        <f t="shared" si="2"/>
        <v>-94.285714285712402</v>
      </c>
      <c r="AB6" s="139">
        <f t="shared" si="3"/>
        <v>0.95285714285714385</v>
      </c>
      <c r="AC6" s="571"/>
    </row>
    <row r="7" spans="1:29">
      <c r="A7" s="645" t="s">
        <v>509</v>
      </c>
      <c r="B7" s="26" t="s">
        <v>36</v>
      </c>
      <c r="C7" s="594" t="s">
        <v>39</v>
      </c>
      <c r="D7" s="595"/>
      <c r="E7" s="26">
        <v>50.67</v>
      </c>
      <c r="F7" s="149">
        <v>1781</v>
      </c>
      <c r="G7" s="138">
        <f t="shared" si="4"/>
        <v>90243.27</v>
      </c>
      <c r="H7" s="21" t="s">
        <v>35</v>
      </c>
      <c r="I7" s="147">
        <v>17</v>
      </c>
      <c r="J7" s="23">
        <v>2000</v>
      </c>
      <c r="K7" s="9">
        <f t="shared" si="5"/>
        <v>117.64705882352941</v>
      </c>
      <c r="L7" s="147">
        <v>17</v>
      </c>
      <c r="M7" s="10">
        <f t="shared" ref="M7" si="8">F7/V7*60</f>
        <v>1908.2142857142871</v>
      </c>
      <c r="N7" s="9">
        <f t="shared" si="6"/>
        <v>112.24789915966394</v>
      </c>
      <c r="O7" s="11">
        <f t="shared" si="0"/>
        <v>0</v>
      </c>
      <c r="P7" s="12">
        <f t="shared" si="1"/>
        <v>-5.3991596638654613</v>
      </c>
      <c r="Q7" s="139">
        <f t="shared" si="7"/>
        <v>0.9541071428571436</v>
      </c>
      <c r="R7" s="571"/>
      <c r="S7" s="24">
        <v>0.77916666666666667</v>
      </c>
      <c r="T7" s="24">
        <v>0.81805555555555554</v>
      </c>
      <c r="U7" s="138">
        <f t="shared" ref="U7" si="9">(S7-T6)*24*60</f>
        <v>7.9999999999999716</v>
      </c>
      <c r="V7" s="148">
        <f t="shared" ref="V7" si="10">(T7-S7)*24*60</f>
        <v>55.999999999999957</v>
      </c>
      <c r="W7" s="13"/>
      <c r="X7" s="13"/>
      <c r="Y7" s="621"/>
      <c r="Z7" s="622"/>
      <c r="AA7" s="11">
        <f t="shared" si="2"/>
        <v>-91.785714285712857</v>
      </c>
      <c r="AB7" s="139">
        <f t="shared" si="3"/>
        <v>0.9541071428571436</v>
      </c>
      <c r="AC7" s="571"/>
    </row>
    <row r="8" spans="1:29">
      <c r="A8" s="645" t="s">
        <v>509</v>
      </c>
      <c r="B8" s="26" t="s">
        <v>510</v>
      </c>
      <c r="C8" s="629"/>
      <c r="D8" s="629"/>
      <c r="E8" s="137"/>
      <c r="F8" s="27"/>
      <c r="G8" s="9"/>
      <c r="H8" s="149"/>
      <c r="I8" s="16">
        <v>16</v>
      </c>
      <c r="J8" s="23">
        <v>2000</v>
      </c>
      <c r="K8" s="9">
        <f>J8/I8</f>
        <v>125</v>
      </c>
      <c r="L8" s="16">
        <v>16</v>
      </c>
      <c r="M8" s="10">
        <f>AVERAGE(M5:M7)</f>
        <v>1928.1095238095229</v>
      </c>
      <c r="N8" s="9">
        <f>M8/L8</f>
        <v>120.50684523809518</v>
      </c>
      <c r="O8" s="11">
        <f>L8-I8</f>
        <v>0</v>
      </c>
      <c r="P8" s="12">
        <f>N8-K8</f>
        <v>-4.4931547619048189</v>
      </c>
      <c r="Q8" s="139">
        <f>N8/K8</f>
        <v>0.96405476190476147</v>
      </c>
      <c r="R8" s="571"/>
      <c r="S8" s="24"/>
      <c r="T8" s="24"/>
      <c r="U8" s="138"/>
      <c r="V8" s="148"/>
      <c r="W8" s="9"/>
      <c r="X8" s="9"/>
      <c r="Y8" s="617"/>
      <c r="Z8" s="617"/>
      <c r="AA8" s="11">
        <f t="shared" si="2"/>
        <v>-71.890476190477102</v>
      </c>
      <c r="AB8" s="139">
        <f>M8/J8</f>
        <v>0.96405476190476147</v>
      </c>
      <c r="AC8" s="571"/>
    </row>
    <row r="9" spans="1:29" ht="15.75" customHeight="1">
      <c r="A9" s="643" t="s">
        <v>23</v>
      </c>
      <c r="B9" s="26" t="s">
        <v>40</v>
      </c>
      <c r="C9" s="594" t="s">
        <v>41</v>
      </c>
      <c r="D9" s="595"/>
      <c r="E9" s="26">
        <v>39.799999999999997</v>
      </c>
      <c r="F9" s="149">
        <v>5696</v>
      </c>
      <c r="G9" s="138">
        <f t="shared" ref="G9:G10" si="11">E9*F9</f>
        <v>226700.79999999999</v>
      </c>
      <c r="H9" s="21" t="s">
        <v>35</v>
      </c>
      <c r="I9" s="147">
        <v>17</v>
      </c>
      <c r="J9" s="23">
        <v>1500</v>
      </c>
      <c r="K9" s="9">
        <f t="shared" ref="K9:K10" si="12">J9/I9</f>
        <v>88.235294117647058</v>
      </c>
      <c r="L9" s="147">
        <v>17</v>
      </c>
      <c r="M9" s="10">
        <f t="shared" ref="M9:M10" si="13">F9/V9*60</f>
        <v>1429.9581589958161</v>
      </c>
      <c r="N9" s="9">
        <f t="shared" ref="N9:N10" si="14">M9/L9</f>
        <v>84.115185823283298</v>
      </c>
      <c r="O9" s="11">
        <f t="shared" ref="O9:O10" si="15">L9-I9</f>
        <v>0</v>
      </c>
      <c r="P9" s="12">
        <f>N9-K9</f>
        <v>-4.1201082943637601</v>
      </c>
      <c r="Q9" s="139">
        <f>N9/K9</f>
        <v>0.95330543933054401</v>
      </c>
      <c r="R9" s="571">
        <f>Q11</f>
        <v>0.95604665905921149</v>
      </c>
      <c r="S9" s="24">
        <v>0.25</v>
      </c>
      <c r="T9" s="24">
        <v>0.41597222222222219</v>
      </c>
      <c r="U9" s="138"/>
      <c r="V9" s="148">
        <f t="shared" ref="V9:V10" si="16">(T9-S9)*24*60</f>
        <v>238.99999999999994</v>
      </c>
      <c r="W9" s="13"/>
      <c r="X9" s="13"/>
      <c r="Y9" s="617"/>
      <c r="Z9" s="617"/>
      <c r="AA9" s="11">
        <f t="shared" si="2"/>
        <v>-70.04184100418388</v>
      </c>
      <c r="AB9" s="139">
        <f>M9/J9</f>
        <v>0.95330543933054412</v>
      </c>
      <c r="AC9" s="571">
        <f>AB11</f>
        <v>0.95604665905921149</v>
      </c>
    </row>
    <row r="10" spans="1:29" ht="15.75" customHeight="1">
      <c r="A10" s="643" t="s">
        <v>23</v>
      </c>
      <c r="B10" s="26" t="s">
        <v>40</v>
      </c>
      <c r="C10" s="594" t="s">
        <v>42</v>
      </c>
      <c r="D10" s="595"/>
      <c r="E10" s="26">
        <v>39.36</v>
      </c>
      <c r="F10" s="149">
        <v>2373</v>
      </c>
      <c r="G10" s="138">
        <f t="shared" si="11"/>
        <v>93401.279999999999</v>
      </c>
      <c r="H10" s="21" t="s">
        <v>35</v>
      </c>
      <c r="I10" s="147">
        <v>20</v>
      </c>
      <c r="J10" s="23">
        <v>1500</v>
      </c>
      <c r="K10" s="9">
        <f t="shared" si="12"/>
        <v>75</v>
      </c>
      <c r="L10" s="147">
        <v>20</v>
      </c>
      <c r="M10" s="10">
        <f t="shared" si="13"/>
        <v>1438.1818181818185</v>
      </c>
      <c r="N10" s="9">
        <f t="shared" si="14"/>
        <v>71.909090909090921</v>
      </c>
      <c r="O10" s="11">
        <f t="shared" si="15"/>
        <v>0</v>
      </c>
      <c r="P10" s="12">
        <f t="shared" ref="P10" si="17">N10-K10</f>
        <v>-3.0909090909090793</v>
      </c>
      <c r="Q10" s="139">
        <f t="shared" ref="Q10" si="18">N10/K10</f>
        <v>0.95878787878787897</v>
      </c>
      <c r="R10" s="571"/>
      <c r="S10" s="24">
        <v>0.42083333333333328</v>
      </c>
      <c r="T10" s="24">
        <v>0.48958333333333326</v>
      </c>
      <c r="U10" s="138">
        <f>(S10-T9)*24*60</f>
        <v>6.9999999999999751</v>
      </c>
      <c r="V10" s="148">
        <f t="shared" si="16"/>
        <v>98.999999999999972</v>
      </c>
      <c r="W10" s="13"/>
      <c r="X10" s="13"/>
      <c r="Y10" s="617"/>
      <c r="Z10" s="617"/>
      <c r="AA10" s="11">
        <f t="shared" si="2"/>
        <v>-61.818181818181529</v>
      </c>
      <c r="AB10" s="139">
        <f t="shared" ref="AB10:AB25" si="19">M10/J10</f>
        <v>0.95878787878787897</v>
      </c>
      <c r="AC10" s="571"/>
    </row>
    <row r="11" spans="1:29" ht="16.5" customHeight="1">
      <c r="A11" s="643" t="s">
        <v>23</v>
      </c>
      <c r="B11" s="26" t="s">
        <v>22</v>
      </c>
      <c r="C11" s="629"/>
      <c r="D11" s="629"/>
      <c r="E11" s="137"/>
      <c r="F11" s="23"/>
      <c r="G11" s="10"/>
      <c r="H11" s="149"/>
      <c r="I11" s="16">
        <v>18.5</v>
      </c>
      <c r="J11" s="23">
        <v>1500</v>
      </c>
      <c r="K11" s="9">
        <f>J11/I11</f>
        <v>81.081081081081081</v>
      </c>
      <c r="L11" s="16">
        <v>18.5</v>
      </c>
      <c r="M11" s="10">
        <f>AVERAGE(M9:M10)</f>
        <v>1434.0699885888173</v>
      </c>
      <c r="N11" s="9">
        <f>M11/L11</f>
        <v>77.517296680476605</v>
      </c>
      <c r="O11" s="11">
        <f>L11-I11</f>
        <v>0</v>
      </c>
      <c r="P11" s="12">
        <f>N11-K11</f>
        <v>-3.5637844006044759</v>
      </c>
      <c r="Q11" s="139">
        <f>N11/K11</f>
        <v>0.95604665905921149</v>
      </c>
      <c r="R11" s="571"/>
      <c r="S11" s="24"/>
      <c r="T11" s="24"/>
      <c r="U11" s="9"/>
      <c r="V11" s="148"/>
      <c r="W11" s="9"/>
      <c r="X11" s="9"/>
      <c r="Y11" s="617"/>
      <c r="Z11" s="617"/>
      <c r="AA11" s="11">
        <f t="shared" si="2"/>
        <v>-65.930011411182704</v>
      </c>
      <c r="AB11" s="139">
        <f t="shared" si="19"/>
        <v>0.95604665905921149</v>
      </c>
      <c r="AC11" s="571"/>
    </row>
    <row r="12" spans="1:29" ht="16.5" customHeight="1">
      <c r="A12" s="641" t="s">
        <v>24</v>
      </c>
      <c r="B12" s="149" t="s">
        <v>43</v>
      </c>
      <c r="C12" s="636" t="s">
        <v>44</v>
      </c>
      <c r="D12" s="636"/>
      <c r="E12" s="26">
        <v>41</v>
      </c>
      <c r="F12" s="149">
        <v>1764</v>
      </c>
      <c r="G12" s="138">
        <f t="shared" ref="G12:G18" si="20">E12*F12</f>
        <v>72324</v>
      </c>
      <c r="H12" s="21" t="s">
        <v>35</v>
      </c>
      <c r="I12" s="147">
        <v>26</v>
      </c>
      <c r="J12" s="23">
        <v>1500</v>
      </c>
      <c r="K12" s="9">
        <f>J12/I12</f>
        <v>57.692307692307693</v>
      </c>
      <c r="L12" s="147">
        <v>26</v>
      </c>
      <c r="M12" s="10">
        <f>F12/V12*60</f>
        <v>1430.27027027027</v>
      </c>
      <c r="N12" s="9">
        <f t="shared" ref="N12:N24" si="21">M12/L12</f>
        <v>55.010395010395001</v>
      </c>
      <c r="O12" s="11">
        <f t="shared" ref="O12" si="22">L12-I12</f>
        <v>0</v>
      </c>
      <c r="P12" s="12">
        <f t="shared" ref="P12" si="23">N12-K12</f>
        <v>-2.6819126819126922</v>
      </c>
      <c r="Q12" s="139">
        <f>N12/K12</f>
        <v>0.95351351351351332</v>
      </c>
      <c r="R12" s="571">
        <f>Q19</f>
        <v>0.95742212274076122</v>
      </c>
      <c r="S12" s="24">
        <v>0.20833333333333334</v>
      </c>
      <c r="T12" s="24">
        <v>0.25972222222222224</v>
      </c>
      <c r="U12" s="138"/>
      <c r="V12" s="148">
        <f>(T12-S12)*24*60</f>
        <v>74.000000000000014</v>
      </c>
      <c r="W12" s="15"/>
      <c r="X12" s="15"/>
      <c r="Y12" s="617"/>
      <c r="Z12" s="617"/>
      <c r="AA12" s="11">
        <f t="shared" si="2"/>
        <v>-69.729729729730025</v>
      </c>
      <c r="AB12" s="139">
        <f t="shared" si="19"/>
        <v>0.95351351351351332</v>
      </c>
      <c r="AC12" s="571">
        <f>AB19</f>
        <v>0.95742212274076133</v>
      </c>
    </row>
    <row r="13" spans="1:29" ht="16.5" customHeight="1">
      <c r="A13" s="642" t="s">
        <v>24</v>
      </c>
      <c r="B13" s="149" t="s">
        <v>40</v>
      </c>
      <c r="C13" s="636" t="s">
        <v>45</v>
      </c>
      <c r="D13" s="636"/>
      <c r="E13" s="26">
        <v>39.619999999999997</v>
      </c>
      <c r="F13" s="149">
        <v>3712</v>
      </c>
      <c r="G13" s="138">
        <f t="shared" si="20"/>
        <v>147069.44</v>
      </c>
      <c r="H13" s="21" t="s">
        <v>35</v>
      </c>
      <c r="I13" s="147">
        <v>19</v>
      </c>
      <c r="J13" s="23">
        <v>1500</v>
      </c>
      <c r="K13" s="9">
        <f>J13/I13</f>
        <v>78.94736842105263</v>
      </c>
      <c r="L13" s="147">
        <v>19</v>
      </c>
      <c r="M13" s="10">
        <f>F13/V13*60</f>
        <v>1427.6923076923076</v>
      </c>
      <c r="N13" s="9">
        <f t="shared" si="21"/>
        <v>75.141700404858298</v>
      </c>
      <c r="O13" s="11">
        <f>L13-I13</f>
        <v>0</v>
      </c>
      <c r="P13" s="12">
        <f>N13-K13</f>
        <v>-3.8056680161943319</v>
      </c>
      <c r="Q13" s="139">
        <f>N13/K13</f>
        <v>0.95179487179487177</v>
      </c>
      <c r="R13" s="571"/>
      <c r="S13" s="24">
        <v>0.2638888888888889</v>
      </c>
      <c r="T13" s="24">
        <v>0.37222222222222223</v>
      </c>
      <c r="U13" s="138">
        <f>IF(S13=TIME(17,0,0),"",(S13-T12)*24*60)</f>
        <v>5.9999999999999787</v>
      </c>
      <c r="V13" s="148">
        <f>(T13-S13)*24*60</f>
        <v>156</v>
      </c>
      <c r="W13" s="13"/>
      <c r="X13" s="13"/>
      <c r="Y13" s="617"/>
      <c r="Z13" s="617"/>
      <c r="AA13" s="11">
        <f t="shared" si="2"/>
        <v>-72.307692307692378</v>
      </c>
      <c r="AB13" s="139">
        <f t="shared" si="19"/>
        <v>0.95179487179487177</v>
      </c>
      <c r="AC13" s="571"/>
    </row>
    <row r="14" spans="1:29" ht="16.5" customHeight="1">
      <c r="A14" s="642" t="s">
        <v>24</v>
      </c>
      <c r="B14" s="149" t="s">
        <v>46</v>
      </c>
      <c r="C14" s="636" t="s">
        <v>47</v>
      </c>
      <c r="D14" s="636"/>
      <c r="E14" s="26">
        <v>24.45</v>
      </c>
      <c r="F14" s="149">
        <v>1675</v>
      </c>
      <c r="G14" s="138">
        <f t="shared" si="20"/>
        <v>40953.75</v>
      </c>
      <c r="H14" s="21" t="s">
        <v>35</v>
      </c>
      <c r="I14" s="147">
        <v>20</v>
      </c>
      <c r="J14" s="23">
        <v>2400</v>
      </c>
      <c r="K14" s="9">
        <f t="shared" ref="K14:K18" si="24">J14/I14</f>
        <v>120</v>
      </c>
      <c r="L14" s="147">
        <v>20</v>
      </c>
      <c r="M14" s="10">
        <f t="shared" ref="M14:M16" si="25">F14/V14*60</f>
        <v>2284.090909090909</v>
      </c>
      <c r="N14" s="9">
        <f t="shared" si="21"/>
        <v>114.20454545454545</v>
      </c>
      <c r="O14" s="11">
        <f t="shared" ref="O14:O18" si="26">L14-I14</f>
        <v>0</v>
      </c>
      <c r="P14" s="12">
        <f t="shared" ref="P14:P18" si="27">N14-K14</f>
        <v>-5.7954545454545467</v>
      </c>
      <c r="Q14" s="139">
        <f t="shared" ref="Q14:Q24" si="28">N14/K14</f>
        <v>0.95170454545454541</v>
      </c>
      <c r="R14" s="571"/>
      <c r="S14" s="24">
        <v>0.37638888888888888</v>
      </c>
      <c r="T14" s="24">
        <v>0.40694444444444444</v>
      </c>
      <c r="U14" s="138">
        <f t="shared" ref="U14:U18" si="29">IF(S14=TIME(17,0,0),"",(S14-T13)*24*60)</f>
        <v>5.9999999999999787</v>
      </c>
      <c r="V14" s="148">
        <f t="shared" ref="V14:V18" si="30">(T14-S14)*24*60</f>
        <v>44</v>
      </c>
      <c r="W14" s="13"/>
      <c r="X14" s="13"/>
      <c r="Y14" s="617"/>
      <c r="Z14" s="617"/>
      <c r="AA14" s="11">
        <f t="shared" si="2"/>
        <v>-115.90909090909099</v>
      </c>
      <c r="AB14" s="139">
        <f t="shared" si="19"/>
        <v>0.95170454545454541</v>
      </c>
      <c r="AC14" s="571"/>
    </row>
    <row r="15" spans="1:29" ht="16.5" customHeight="1">
      <c r="A15" s="642" t="s">
        <v>24</v>
      </c>
      <c r="B15" s="149" t="s">
        <v>46</v>
      </c>
      <c r="C15" s="636" t="s">
        <v>62</v>
      </c>
      <c r="D15" s="636"/>
      <c r="E15" s="26">
        <v>25</v>
      </c>
      <c r="F15" s="149">
        <v>3983</v>
      </c>
      <c r="G15" s="138">
        <f t="shared" si="20"/>
        <v>99575</v>
      </c>
      <c r="H15" s="21" t="s">
        <v>35</v>
      </c>
      <c r="I15" s="147">
        <v>15</v>
      </c>
      <c r="J15" s="23">
        <v>2400</v>
      </c>
      <c r="K15" s="9">
        <f t="shared" si="24"/>
        <v>160</v>
      </c>
      <c r="L15" s="147">
        <v>15</v>
      </c>
      <c r="M15" s="10">
        <f t="shared" si="25"/>
        <v>2297.8846153846148</v>
      </c>
      <c r="N15" s="9">
        <f t="shared" si="21"/>
        <v>153.19230769230765</v>
      </c>
      <c r="O15" s="11">
        <f t="shared" si="26"/>
        <v>0</v>
      </c>
      <c r="P15" s="12">
        <f t="shared" si="27"/>
        <v>-6.8076923076923492</v>
      </c>
      <c r="Q15" s="139">
        <f t="shared" si="28"/>
        <v>0.95745192307692284</v>
      </c>
      <c r="R15" s="571"/>
      <c r="S15" s="24">
        <v>0.41249999999999998</v>
      </c>
      <c r="T15" s="24">
        <v>0.48472222222222222</v>
      </c>
      <c r="U15" s="138">
        <f t="shared" si="29"/>
        <v>7.9999999999999716</v>
      </c>
      <c r="V15" s="148">
        <f t="shared" si="30"/>
        <v>104.00000000000003</v>
      </c>
      <c r="W15" s="13"/>
      <c r="X15" s="13"/>
      <c r="Y15" s="617"/>
      <c r="Z15" s="617"/>
      <c r="AA15" s="11">
        <f t="shared" si="2"/>
        <v>-102.11538461538521</v>
      </c>
      <c r="AB15" s="139">
        <f t="shared" si="19"/>
        <v>0.95745192307692284</v>
      </c>
      <c r="AC15" s="571"/>
    </row>
    <row r="16" spans="1:29" ht="16.5" customHeight="1">
      <c r="A16" s="642" t="s">
        <v>24</v>
      </c>
      <c r="B16" s="149" t="s">
        <v>46</v>
      </c>
      <c r="C16" s="636" t="s">
        <v>48</v>
      </c>
      <c r="D16" s="636"/>
      <c r="E16" s="26">
        <v>22.35</v>
      </c>
      <c r="F16" s="149">
        <v>1396</v>
      </c>
      <c r="G16" s="138">
        <f t="shared" si="20"/>
        <v>31200.600000000002</v>
      </c>
      <c r="H16" s="21" t="s">
        <v>35</v>
      </c>
      <c r="I16" s="147">
        <v>16</v>
      </c>
      <c r="J16" s="23">
        <v>2400</v>
      </c>
      <c r="K16" s="9">
        <f t="shared" si="24"/>
        <v>150</v>
      </c>
      <c r="L16" s="147">
        <v>16</v>
      </c>
      <c r="M16" s="10">
        <f t="shared" si="25"/>
        <v>2326.6666666666697</v>
      </c>
      <c r="N16" s="9">
        <f t="shared" si="21"/>
        <v>145.41666666666686</v>
      </c>
      <c r="O16" s="11">
        <f t="shared" si="26"/>
        <v>0</v>
      </c>
      <c r="P16" s="12">
        <f t="shared" si="27"/>
        <v>-4.5833333333331439</v>
      </c>
      <c r="Q16" s="139">
        <f t="shared" si="28"/>
        <v>0.96944444444444566</v>
      </c>
      <c r="R16" s="571"/>
      <c r="S16" s="24">
        <v>0.48958333333333331</v>
      </c>
      <c r="T16" s="24">
        <v>0.51458333333333328</v>
      </c>
      <c r="U16" s="138">
        <f t="shared" si="29"/>
        <v>6.9999999999999751</v>
      </c>
      <c r="V16" s="148">
        <f t="shared" si="30"/>
        <v>35.99999999999995</v>
      </c>
      <c r="W16" s="13"/>
      <c r="X16" s="13"/>
      <c r="Y16" s="617"/>
      <c r="Z16" s="617"/>
      <c r="AA16" s="11">
        <f t="shared" si="2"/>
        <v>-73.333333333330302</v>
      </c>
      <c r="AB16" s="139">
        <f t="shared" si="19"/>
        <v>0.96944444444444566</v>
      </c>
      <c r="AC16" s="571"/>
    </row>
    <row r="17" spans="1:29" ht="16.5" customHeight="1">
      <c r="A17" s="642" t="s">
        <v>24</v>
      </c>
      <c r="B17" s="149" t="s">
        <v>36</v>
      </c>
      <c r="C17" s="658" t="s">
        <v>49</v>
      </c>
      <c r="D17" s="659"/>
      <c r="E17" s="26">
        <v>50.98</v>
      </c>
      <c r="F17" s="149">
        <v>2716</v>
      </c>
      <c r="G17" s="138">
        <f t="shared" si="20"/>
        <v>138461.68</v>
      </c>
      <c r="H17" s="21" t="s">
        <v>35</v>
      </c>
      <c r="I17" s="147">
        <v>16</v>
      </c>
      <c r="J17" s="23">
        <v>2000</v>
      </c>
      <c r="K17" s="9">
        <f t="shared" si="24"/>
        <v>125</v>
      </c>
      <c r="L17" s="147">
        <v>16</v>
      </c>
      <c r="M17" s="10">
        <f>F17/V17*60</f>
        <v>1917.1764705882349</v>
      </c>
      <c r="N17" s="9">
        <f t="shared" si="21"/>
        <v>119.82352941176468</v>
      </c>
      <c r="O17" s="11">
        <f t="shared" si="26"/>
        <v>0</v>
      </c>
      <c r="P17" s="12">
        <f t="shared" si="27"/>
        <v>-5.1764705882353184</v>
      </c>
      <c r="Q17" s="139">
        <f t="shared" si="28"/>
        <v>0.95858823529411741</v>
      </c>
      <c r="R17" s="571"/>
      <c r="S17" s="24">
        <v>0.70833333333333337</v>
      </c>
      <c r="T17" s="24">
        <v>0.76736111111111116</v>
      </c>
      <c r="U17" s="138" t="str">
        <f t="shared" si="29"/>
        <v/>
      </c>
      <c r="V17" s="148">
        <f t="shared" si="30"/>
        <v>85.000000000000014</v>
      </c>
      <c r="W17" s="13"/>
      <c r="X17" s="13"/>
      <c r="Y17" s="621"/>
      <c r="Z17" s="622"/>
      <c r="AA17" s="11">
        <f t="shared" si="2"/>
        <v>-82.823529411765094</v>
      </c>
      <c r="AB17" s="139">
        <f t="shared" si="19"/>
        <v>0.95858823529411741</v>
      </c>
      <c r="AC17" s="571"/>
    </row>
    <row r="18" spans="1:29" ht="16.5" customHeight="1">
      <c r="A18" s="642" t="s">
        <v>24</v>
      </c>
      <c r="B18" s="149" t="s">
        <v>36</v>
      </c>
      <c r="C18" s="145" t="s">
        <v>50</v>
      </c>
      <c r="D18" s="146"/>
      <c r="E18" s="26">
        <v>50.92</v>
      </c>
      <c r="F18" s="149">
        <v>2963</v>
      </c>
      <c r="G18" s="138">
        <f t="shared" si="20"/>
        <v>150875.96</v>
      </c>
      <c r="H18" s="21" t="s">
        <v>35</v>
      </c>
      <c r="I18" s="147">
        <v>15</v>
      </c>
      <c r="J18" s="23">
        <v>2000</v>
      </c>
      <c r="K18" s="9">
        <f t="shared" si="24"/>
        <v>133.33333333333334</v>
      </c>
      <c r="L18" s="147">
        <v>15</v>
      </c>
      <c r="M18" s="10">
        <f t="shared" ref="M18" si="31">F18/V18*60</f>
        <v>1911.6129032258068</v>
      </c>
      <c r="N18" s="9">
        <f t="shared" si="21"/>
        <v>127.44086021505379</v>
      </c>
      <c r="O18" s="11">
        <f t="shared" si="26"/>
        <v>0</v>
      </c>
      <c r="P18" s="12">
        <f t="shared" si="27"/>
        <v>-5.892473118279554</v>
      </c>
      <c r="Q18" s="139">
        <f t="shared" si="28"/>
        <v>0.95580645161290334</v>
      </c>
      <c r="R18" s="571"/>
      <c r="S18" s="24">
        <v>0.77083333333333337</v>
      </c>
      <c r="T18" s="24">
        <v>0.8354166666666667</v>
      </c>
      <c r="U18" s="138">
        <f t="shared" si="29"/>
        <v>4.9999999999999822</v>
      </c>
      <c r="V18" s="148">
        <f t="shared" si="30"/>
        <v>92.999999999999986</v>
      </c>
      <c r="W18" s="13"/>
      <c r="X18" s="13"/>
      <c r="Y18" s="621"/>
      <c r="Z18" s="622"/>
      <c r="AA18" s="11">
        <f t="shared" si="2"/>
        <v>-88.387096774193196</v>
      </c>
      <c r="AB18" s="139">
        <f t="shared" si="19"/>
        <v>0.95580645161290345</v>
      </c>
      <c r="AC18" s="571"/>
    </row>
    <row r="19" spans="1:29" ht="16.5" customHeight="1">
      <c r="A19" s="642" t="s">
        <v>24</v>
      </c>
      <c r="B19" s="26" t="s">
        <v>22</v>
      </c>
      <c r="C19" s="629"/>
      <c r="D19" s="629"/>
      <c r="E19" s="137"/>
      <c r="F19" s="27"/>
      <c r="G19" s="9"/>
      <c r="H19" s="149"/>
      <c r="I19" s="16">
        <v>18.142857142857142</v>
      </c>
      <c r="J19" s="23">
        <v>2028.5714285714287</v>
      </c>
      <c r="K19" s="9">
        <f>J19/I19</f>
        <v>111.81102362204726</v>
      </c>
      <c r="L19" s="16">
        <v>18.142857142857142</v>
      </c>
      <c r="M19" s="10">
        <f>AVERAGE(M12:M18)</f>
        <v>1942.199163274116</v>
      </c>
      <c r="N19" s="9">
        <f t="shared" si="21"/>
        <v>107.05034758203789</v>
      </c>
      <c r="O19" s="11">
        <f>L19-I19</f>
        <v>0</v>
      </c>
      <c r="P19" s="12">
        <f>N19-K19</f>
        <v>-4.7606760400093719</v>
      </c>
      <c r="Q19" s="139">
        <f t="shared" si="28"/>
        <v>0.95742212274076122</v>
      </c>
      <c r="R19" s="571"/>
      <c r="S19" s="24"/>
      <c r="T19" s="24"/>
      <c r="U19" s="138"/>
      <c r="V19" s="148"/>
      <c r="W19" s="9"/>
      <c r="X19" s="9"/>
      <c r="Y19" s="617"/>
      <c r="Z19" s="617"/>
      <c r="AA19" s="11">
        <f t="shared" si="2"/>
        <v>-86.372265297312651</v>
      </c>
      <c r="AB19" s="139">
        <f t="shared" si="19"/>
        <v>0.95742212274076133</v>
      </c>
      <c r="AC19" s="571"/>
    </row>
    <row r="20" spans="1:29" ht="15.75" customHeight="1">
      <c r="A20" s="639" t="s">
        <v>26</v>
      </c>
      <c r="B20" s="26" t="s">
        <v>43</v>
      </c>
      <c r="C20" s="636" t="s">
        <v>51</v>
      </c>
      <c r="D20" s="636"/>
      <c r="E20" s="26">
        <v>43.14</v>
      </c>
      <c r="F20" s="149">
        <v>1091</v>
      </c>
      <c r="G20" s="138">
        <f t="shared" ref="G20:G24" si="32">E20*F20</f>
        <v>47065.74</v>
      </c>
      <c r="H20" s="21" t="s">
        <v>35</v>
      </c>
      <c r="I20" s="147">
        <v>17</v>
      </c>
      <c r="J20" s="23">
        <v>2000</v>
      </c>
      <c r="K20" s="9">
        <f t="shared" ref="K20:K25" si="33">J20/I20</f>
        <v>117.64705882352941</v>
      </c>
      <c r="L20" s="147">
        <v>17</v>
      </c>
      <c r="M20" s="10">
        <f t="shared" ref="M20:M24" si="34">F20/V20*60</f>
        <v>1925.2941176470588</v>
      </c>
      <c r="N20" s="9">
        <f t="shared" si="21"/>
        <v>113.25259515570934</v>
      </c>
      <c r="O20" s="11">
        <f t="shared" ref="O20:O24" si="35">L20-I20</f>
        <v>0</v>
      </c>
      <c r="P20" s="12">
        <f t="shared" ref="P20:P24" si="36">N20-K20</f>
        <v>-4.3944636678200624</v>
      </c>
      <c r="Q20" s="139">
        <f t="shared" si="28"/>
        <v>0.96264705882352952</v>
      </c>
      <c r="R20" s="571">
        <f>Q25</f>
        <v>0.95842530458327946</v>
      </c>
      <c r="S20" s="24">
        <v>0.20833333333333334</v>
      </c>
      <c r="T20" s="24">
        <v>0.23194444444444445</v>
      </c>
      <c r="U20" s="138"/>
      <c r="V20" s="148">
        <f>(T20-S20)*24*60</f>
        <v>34</v>
      </c>
      <c r="W20" s="15"/>
      <c r="X20" s="15"/>
      <c r="Y20" s="617"/>
      <c r="Z20" s="617"/>
      <c r="AA20" s="11">
        <f t="shared" si="2"/>
        <v>-74.705882352941217</v>
      </c>
      <c r="AB20" s="139">
        <f t="shared" si="19"/>
        <v>0.96264705882352941</v>
      </c>
      <c r="AC20" s="571">
        <f>AB25</f>
        <v>0.95842530458327946</v>
      </c>
    </row>
    <row r="21" spans="1:29" ht="15.75" customHeight="1">
      <c r="A21" s="640" t="s">
        <v>26</v>
      </c>
      <c r="B21" s="26" t="s">
        <v>36</v>
      </c>
      <c r="C21" s="636" t="s">
        <v>52</v>
      </c>
      <c r="D21" s="636"/>
      <c r="E21" s="26">
        <v>57.73</v>
      </c>
      <c r="F21" s="149">
        <v>2313</v>
      </c>
      <c r="G21" s="138">
        <f t="shared" si="32"/>
        <v>133529.49</v>
      </c>
      <c r="H21" s="21" t="s">
        <v>35</v>
      </c>
      <c r="I21" s="147">
        <v>15</v>
      </c>
      <c r="J21" s="23">
        <v>2000</v>
      </c>
      <c r="K21" s="9">
        <f t="shared" si="33"/>
        <v>133.33333333333334</v>
      </c>
      <c r="L21" s="147">
        <v>15</v>
      </c>
      <c r="M21" s="10">
        <f t="shared" si="34"/>
        <v>1901.0958904109586</v>
      </c>
      <c r="N21" s="9">
        <f t="shared" si="21"/>
        <v>126.73972602739724</v>
      </c>
      <c r="O21" s="11">
        <f t="shared" si="35"/>
        <v>0</v>
      </c>
      <c r="P21" s="12">
        <f t="shared" si="36"/>
        <v>-6.5936073059361036</v>
      </c>
      <c r="Q21" s="139">
        <f t="shared" si="28"/>
        <v>0.95054794520547925</v>
      </c>
      <c r="R21" s="571"/>
      <c r="S21" s="24">
        <v>0.23680555555555557</v>
      </c>
      <c r="T21" s="24">
        <v>0.28750000000000003</v>
      </c>
      <c r="U21" s="138">
        <f>IF(S21=TIME(17,0,0),"",(S21-T20)*24*60)</f>
        <v>7.0000000000000151</v>
      </c>
      <c r="V21" s="148">
        <f t="shared" ref="V21:V24" si="37">(T21-S21)*24*60</f>
        <v>73.000000000000014</v>
      </c>
      <c r="W21" s="13"/>
      <c r="X21" s="138"/>
      <c r="Y21" s="617"/>
      <c r="Z21" s="617"/>
      <c r="AA21" s="11">
        <f t="shared" si="2"/>
        <v>-98.904109589041354</v>
      </c>
      <c r="AB21" s="139">
        <f t="shared" si="19"/>
        <v>0.95054794520547936</v>
      </c>
      <c r="AC21" s="571"/>
    </row>
    <row r="22" spans="1:29" ht="15.75" customHeight="1">
      <c r="A22" s="640" t="s">
        <v>26</v>
      </c>
      <c r="B22" s="26" t="s">
        <v>36</v>
      </c>
      <c r="C22" s="636" t="s">
        <v>53</v>
      </c>
      <c r="D22" s="636"/>
      <c r="E22" s="26">
        <v>53.68</v>
      </c>
      <c r="F22" s="149">
        <v>1407</v>
      </c>
      <c r="G22" s="138">
        <f t="shared" si="32"/>
        <v>75527.759999999995</v>
      </c>
      <c r="H22" s="21" t="s">
        <v>35</v>
      </c>
      <c r="I22" s="147">
        <v>16</v>
      </c>
      <c r="J22" s="23">
        <v>2000</v>
      </c>
      <c r="K22" s="9">
        <f t="shared" si="33"/>
        <v>125</v>
      </c>
      <c r="L22" s="147">
        <v>16</v>
      </c>
      <c r="M22" s="10">
        <f t="shared" si="34"/>
        <v>1918.6363636363635</v>
      </c>
      <c r="N22" s="9">
        <f t="shared" si="21"/>
        <v>119.91477272727272</v>
      </c>
      <c r="O22" s="11">
        <f t="shared" si="35"/>
        <v>0</v>
      </c>
      <c r="P22" s="12">
        <f t="shared" si="36"/>
        <v>-5.0852272727272805</v>
      </c>
      <c r="Q22" s="139">
        <f t="shared" si="28"/>
        <v>0.95931818181818174</v>
      </c>
      <c r="R22" s="571"/>
      <c r="S22" s="24">
        <v>0.29236111111111113</v>
      </c>
      <c r="T22" s="24">
        <v>0.32291666666666669</v>
      </c>
      <c r="U22" s="138">
        <f t="shared" ref="U22:U24" si="38">IF(S22=TIME(17,0,0),"",(S22-T21)*24*60)</f>
        <v>6.9999999999999751</v>
      </c>
      <c r="V22" s="148">
        <f t="shared" si="37"/>
        <v>44</v>
      </c>
      <c r="W22" s="13"/>
      <c r="X22" s="138"/>
      <c r="Y22" s="617"/>
      <c r="Z22" s="617"/>
      <c r="AA22" s="11">
        <f t="shared" si="2"/>
        <v>-81.363636363636488</v>
      </c>
      <c r="AB22" s="139">
        <f t="shared" si="19"/>
        <v>0.95931818181818174</v>
      </c>
      <c r="AC22" s="571"/>
    </row>
    <row r="23" spans="1:29" ht="15.75" customHeight="1">
      <c r="A23" s="640" t="s">
        <v>26</v>
      </c>
      <c r="B23" s="26" t="s">
        <v>36</v>
      </c>
      <c r="C23" s="636" t="s">
        <v>54</v>
      </c>
      <c r="D23" s="636"/>
      <c r="E23" s="26">
        <v>53.27</v>
      </c>
      <c r="F23" s="149">
        <v>1377</v>
      </c>
      <c r="G23" s="138">
        <f t="shared" si="32"/>
        <v>73352.790000000008</v>
      </c>
      <c r="H23" s="21" t="s">
        <v>35</v>
      </c>
      <c r="I23" s="147">
        <v>16</v>
      </c>
      <c r="J23" s="23">
        <v>2000</v>
      </c>
      <c r="K23" s="9">
        <f t="shared" si="33"/>
        <v>125</v>
      </c>
      <c r="L23" s="147">
        <v>16</v>
      </c>
      <c r="M23" s="10">
        <f t="shared" si="34"/>
        <v>1921.395348837209</v>
      </c>
      <c r="N23" s="9">
        <f t="shared" si="21"/>
        <v>120.08720930232556</v>
      </c>
      <c r="O23" s="11">
        <f t="shared" si="35"/>
        <v>0</v>
      </c>
      <c r="P23" s="12">
        <f t="shared" si="36"/>
        <v>-4.9127906976744384</v>
      </c>
      <c r="Q23" s="139">
        <f t="shared" si="28"/>
        <v>0.96069767441860454</v>
      </c>
      <c r="R23" s="571"/>
      <c r="S23" s="24">
        <v>0.32777777777777778</v>
      </c>
      <c r="T23" s="24">
        <v>0.3576388888888889</v>
      </c>
      <c r="U23" s="138">
        <f t="shared" si="38"/>
        <v>6.9999999999999751</v>
      </c>
      <c r="V23" s="148">
        <f t="shared" si="37"/>
        <v>43.000000000000007</v>
      </c>
      <c r="W23" s="13"/>
      <c r="X23" s="138"/>
      <c r="Y23" s="617"/>
      <c r="Z23" s="617"/>
      <c r="AA23" s="11">
        <f t="shared" si="2"/>
        <v>-78.604651162791015</v>
      </c>
      <c r="AB23" s="139">
        <f t="shared" si="19"/>
        <v>0.96069767441860454</v>
      </c>
      <c r="AC23" s="571"/>
    </row>
    <row r="24" spans="1:29" ht="15.75" customHeight="1">
      <c r="A24" s="640" t="s">
        <v>26</v>
      </c>
      <c r="B24" s="26" t="s">
        <v>36</v>
      </c>
      <c r="C24" s="636" t="s">
        <v>55</v>
      </c>
      <c r="D24" s="636"/>
      <c r="E24" s="26">
        <v>54.09</v>
      </c>
      <c r="F24" s="149">
        <v>2653</v>
      </c>
      <c r="G24" s="138">
        <f t="shared" si="32"/>
        <v>143500.77000000002</v>
      </c>
      <c r="H24" s="21" t="s">
        <v>35</v>
      </c>
      <c r="I24" s="147">
        <v>19</v>
      </c>
      <c r="J24" s="23">
        <v>2000</v>
      </c>
      <c r="K24" s="9">
        <f t="shared" si="33"/>
        <v>105.26315789473684</v>
      </c>
      <c r="L24" s="147">
        <v>19</v>
      </c>
      <c r="M24" s="10">
        <f t="shared" si="34"/>
        <v>1917.8313253012043</v>
      </c>
      <c r="N24" s="9">
        <f t="shared" si="21"/>
        <v>100.93849080532654</v>
      </c>
      <c r="O24" s="11">
        <f t="shared" si="35"/>
        <v>0</v>
      </c>
      <c r="P24" s="12">
        <f t="shared" si="36"/>
        <v>-4.3246670894102976</v>
      </c>
      <c r="Q24" s="139">
        <f t="shared" si="28"/>
        <v>0.95891566265060213</v>
      </c>
      <c r="R24" s="571"/>
      <c r="S24" s="24">
        <v>0.70833333333333337</v>
      </c>
      <c r="T24" s="24">
        <v>0.76597222222222228</v>
      </c>
      <c r="U24" s="138" t="str">
        <f t="shared" si="38"/>
        <v/>
      </c>
      <c r="V24" s="148">
        <f t="shared" si="37"/>
        <v>83.000000000000028</v>
      </c>
      <c r="W24" s="13"/>
      <c r="X24" s="138"/>
      <c r="Y24" s="617"/>
      <c r="Z24" s="617"/>
      <c r="AA24" s="11">
        <f t="shared" si="2"/>
        <v>-82.168674698795712</v>
      </c>
      <c r="AB24" s="139">
        <f t="shared" si="19"/>
        <v>0.95891566265060213</v>
      </c>
      <c r="AC24" s="571"/>
    </row>
    <row r="25" spans="1:29" ht="15.75" customHeight="1">
      <c r="A25" s="640" t="s">
        <v>26</v>
      </c>
      <c r="B25" s="26" t="s">
        <v>22</v>
      </c>
      <c r="C25" s="629"/>
      <c r="D25" s="629"/>
      <c r="E25" s="137"/>
      <c r="F25" s="149"/>
      <c r="G25" s="138"/>
      <c r="H25" s="149"/>
      <c r="I25" s="16">
        <v>16.600000000000001</v>
      </c>
      <c r="J25" s="23">
        <v>2000</v>
      </c>
      <c r="K25" s="9">
        <f t="shared" si="33"/>
        <v>120.48192771084337</v>
      </c>
      <c r="L25" s="16">
        <v>16.600000000000001</v>
      </c>
      <c r="M25" s="10">
        <f>AVERAGE(M20:M24)</f>
        <v>1916.850609166559</v>
      </c>
      <c r="N25" s="9">
        <f>M25/L25</f>
        <v>115.47292826304572</v>
      </c>
      <c r="O25" s="11">
        <f>L25-I25</f>
        <v>0</v>
      </c>
      <c r="P25" s="12">
        <f>N25-K25</f>
        <v>-5.0089994477976489</v>
      </c>
      <c r="Q25" s="139">
        <f>N25/K25</f>
        <v>0.95842530458327946</v>
      </c>
      <c r="R25" s="571"/>
      <c r="S25" s="24"/>
      <c r="T25" s="24"/>
      <c r="U25" s="9"/>
      <c r="V25" s="148"/>
      <c r="W25" s="9"/>
      <c r="X25" s="9"/>
      <c r="Y25" s="617"/>
      <c r="Z25" s="617"/>
      <c r="AA25" s="11">
        <f t="shared" si="2"/>
        <v>-83.149390833440975</v>
      </c>
      <c r="AB25" s="139">
        <f t="shared" si="19"/>
        <v>0.95842530458327946</v>
      </c>
      <c r="AC25" s="571"/>
    </row>
    <row r="26" spans="1:29" ht="15.75" customHeight="1">
      <c r="A26" s="635" t="s">
        <v>28</v>
      </c>
      <c r="B26" s="26" t="s">
        <v>46</v>
      </c>
      <c r="C26" s="636" t="s">
        <v>56</v>
      </c>
      <c r="D26" s="636"/>
      <c r="E26" s="26">
        <v>26.2</v>
      </c>
      <c r="F26" s="149">
        <v>4325</v>
      </c>
      <c r="G26" s="138">
        <f t="shared" ref="G26:G32" si="39">E26*F26</f>
        <v>113315</v>
      </c>
      <c r="H26" s="21" t="s">
        <v>35</v>
      </c>
      <c r="I26" s="147">
        <v>20</v>
      </c>
      <c r="J26" s="23">
        <v>2400</v>
      </c>
      <c r="K26" s="9">
        <f>J26/I26</f>
        <v>120</v>
      </c>
      <c r="L26" s="147">
        <v>20</v>
      </c>
      <c r="M26" s="10">
        <f t="shared" ref="M26:M32" si="40">F26/V26*60</f>
        <v>2296.4601769911505</v>
      </c>
      <c r="N26" s="9">
        <f t="shared" ref="N26:N32" si="41">M26/L26</f>
        <v>114.82300884955752</v>
      </c>
      <c r="O26" s="11">
        <f t="shared" ref="O26:O32" si="42">L26-I26</f>
        <v>0</v>
      </c>
      <c r="P26" s="12">
        <f t="shared" ref="P26:P32" si="43">N26-K26</f>
        <v>-5.1769911504424755</v>
      </c>
      <c r="Q26" s="139">
        <f t="shared" ref="Q26:Q31" si="44">N26/K26</f>
        <v>0.95685840707964609</v>
      </c>
      <c r="R26" s="571">
        <f>Q33</f>
        <v>0.95780494976500286</v>
      </c>
      <c r="S26" s="24">
        <v>0.125</v>
      </c>
      <c r="T26" s="24">
        <v>0.20347222222222222</v>
      </c>
      <c r="U26" s="138"/>
      <c r="V26" s="148">
        <f t="shared" ref="V26:V32" si="45">(T26-S26)*24*60</f>
        <v>113</v>
      </c>
      <c r="W26" s="13">
        <f>T26</f>
        <v>0.20347222222222222</v>
      </c>
      <c r="X26" s="13">
        <f>S27</f>
        <v>0.22361111111111112</v>
      </c>
      <c r="Y26" s="617"/>
      <c r="Z26" s="617"/>
      <c r="AA26" s="11">
        <f t="shared" si="2"/>
        <v>-103.53982300884945</v>
      </c>
      <c r="AB26" s="139">
        <f>M26/J26</f>
        <v>0.95685840707964609</v>
      </c>
      <c r="AC26" s="571">
        <f>AB33</f>
        <v>0.95780494976500274</v>
      </c>
    </row>
    <row r="27" spans="1:29" ht="15.75" customHeight="1">
      <c r="A27" s="635" t="s">
        <v>28</v>
      </c>
      <c r="B27" s="26" t="s">
        <v>46</v>
      </c>
      <c r="C27" s="636" t="s">
        <v>57</v>
      </c>
      <c r="D27" s="636"/>
      <c r="E27" s="26">
        <v>20.52</v>
      </c>
      <c r="F27" s="149">
        <v>2519</v>
      </c>
      <c r="G27" s="138">
        <f t="shared" si="39"/>
        <v>51689.88</v>
      </c>
      <c r="H27" s="21" t="s">
        <v>35</v>
      </c>
      <c r="I27" s="147">
        <v>18</v>
      </c>
      <c r="J27" s="23">
        <v>2400</v>
      </c>
      <c r="K27" s="9">
        <f t="shared" ref="K27:K33" si="46">J27/I27</f>
        <v>133.33333333333334</v>
      </c>
      <c r="L27" s="147">
        <v>18</v>
      </c>
      <c r="M27" s="10">
        <f t="shared" si="40"/>
        <v>2289.9999999999986</v>
      </c>
      <c r="N27" s="9">
        <f t="shared" si="41"/>
        <v>127.22222222222214</v>
      </c>
      <c r="O27" s="11">
        <f t="shared" si="42"/>
        <v>0</v>
      </c>
      <c r="P27" s="12">
        <f t="shared" si="43"/>
        <v>-6.1111111111111995</v>
      </c>
      <c r="Q27" s="139">
        <f t="shared" si="44"/>
        <v>0.95416666666666605</v>
      </c>
      <c r="R27" s="571"/>
      <c r="S27" s="24">
        <v>0.22361111111111112</v>
      </c>
      <c r="T27" s="24">
        <v>0.26944444444444449</v>
      </c>
      <c r="U27" s="138">
        <f>(S27-T26)*24*60</f>
        <v>29.000000000000018</v>
      </c>
      <c r="V27" s="148">
        <f t="shared" si="45"/>
        <v>66.000000000000043</v>
      </c>
      <c r="W27" s="13"/>
      <c r="X27" s="13"/>
      <c r="Y27" s="617"/>
      <c r="Z27" s="617"/>
      <c r="AA27" s="11">
        <f t="shared" si="2"/>
        <v>-110.00000000000136</v>
      </c>
      <c r="AB27" s="139">
        <f t="shared" ref="AB27:AB32" si="47">M27/J27</f>
        <v>0.95416666666666605</v>
      </c>
      <c r="AC27" s="571"/>
    </row>
    <row r="28" spans="1:29" ht="15.75" customHeight="1">
      <c r="A28" s="635" t="s">
        <v>28</v>
      </c>
      <c r="B28" s="26" t="s">
        <v>46</v>
      </c>
      <c r="C28" s="636" t="s">
        <v>58</v>
      </c>
      <c r="D28" s="636"/>
      <c r="E28" s="26">
        <v>25.98</v>
      </c>
      <c r="F28" s="149">
        <v>1273</v>
      </c>
      <c r="G28" s="138">
        <f t="shared" si="39"/>
        <v>33072.54</v>
      </c>
      <c r="H28" s="21" t="s">
        <v>35</v>
      </c>
      <c r="I28" s="147">
        <v>17</v>
      </c>
      <c r="J28" s="23">
        <v>2400</v>
      </c>
      <c r="K28" s="9">
        <f t="shared" si="46"/>
        <v>141.1764705882353</v>
      </c>
      <c r="L28" s="147">
        <v>17</v>
      </c>
      <c r="M28" s="10">
        <f t="shared" si="40"/>
        <v>2314.5454545454518</v>
      </c>
      <c r="N28" s="9">
        <f t="shared" si="41"/>
        <v>136.14973262032069</v>
      </c>
      <c r="O28" s="11">
        <f t="shared" si="42"/>
        <v>0</v>
      </c>
      <c r="P28" s="12">
        <f t="shared" si="43"/>
        <v>-5.0267379679146131</v>
      </c>
      <c r="Q28" s="139">
        <f t="shared" si="44"/>
        <v>0.96439393939393814</v>
      </c>
      <c r="R28" s="571"/>
      <c r="S28" s="24">
        <v>0.27361111111111114</v>
      </c>
      <c r="T28" s="24">
        <v>0.29652777777777783</v>
      </c>
      <c r="U28" s="138">
        <f t="shared" ref="U28:U32" si="48">(S28-T27)*24*60</f>
        <v>5.9999999999999787</v>
      </c>
      <c r="V28" s="148">
        <f t="shared" si="45"/>
        <v>33.000000000000043</v>
      </c>
      <c r="W28" s="13"/>
      <c r="X28" s="13"/>
      <c r="Y28" s="617"/>
      <c r="Z28" s="617"/>
      <c r="AA28" s="11">
        <f t="shared" si="2"/>
        <v>-85.454545454548224</v>
      </c>
      <c r="AB28" s="139">
        <f t="shared" si="47"/>
        <v>0.96439393939393825</v>
      </c>
      <c r="AC28" s="571"/>
    </row>
    <row r="29" spans="1:29" ht="15.75" customHeight="1">
      <c r="A29" s="635" t="s">
        <v>28</v>
      </c>
      <c r="B29" s="26" t="s">
        <v>46</v>
      </c>
      <c r="C29" s="636" t="s">
        <v>59</v>
      </c>
      <c r="D29" s="636"/>
      <c r="E29" s="26">
        <v>26.18</v>
      </c>
      <c r="F29" s="149">
        <v>3057</v>
      </c>
      <c r="G29" s="138">
        <f t="shared" si="39"/>
        <v>80032.259999999995</v>
      </c>
      <c r="H29" s="21" t="s">
        <v>35</v>
      </c>
      <c r="I29" s="147">
        <v>19</v>
      </c>
      <c r="J29" s="23">
        <v>2400</v>
      </c>
      <c r="K29" s="9">
        <f t="shared" si="46"/>
        <v>126.31578947368421</v>
      </c>
      <c r="L29" s="147">
        <v>19</v>
      </c>
      <c r="M29" s="10">
        <f t="shared" si="40"/>
        <v>2292.7499999999991</v>
      </c>
      <c r="N29" s="9">
        <f t="shared" si="41"/>
        <v>120.6710526315789</v>
      </c>
      <c r="O29" s="11">
        <f t="shared" si="42"/>
        <v>0</v>
      </c>
      <c r="P29" s="12">
        <f t="shared" si="43"/>
        <v>-5.6447368421053028</v>
      </c>
      <c r="Q29" s="139">
        <f t="shared" si="44"/>
        <v>0.95531249999999968</v>
      </c>
      <c r="R29" s="571"/>
      <c r="S29" s="24">
        <v>0.30000000000000004</v>
      </c>
      <c r="T29" s="24">
        <v>0.35555555555555562</v>
      </c>
      <c r="U29" s="138">
        <f t="shared" si="48"/>
        <v>4.9999999999999822</v>
      </c>
      <c r="V29" s="148">
        <f t="shared" si="45"/>
        <v>80.000000000000028</v>
      </c>
      <c r="W29" s="13"/>
      <c r="X29" s="13"/>
      <c r="Y29" s="617"/>
      <c r="Z29" s="617"/>
      <c r="AA29" s="11">
        <f t="shared" si="2"/>
        <v>-107.25000000000091</v>
      </c>
      <c r="AB29" s="139">
        <f t="shared" si="47"/>
        <v>0.95531249999999968</v>
      </c>
      <c r="AC29" s="571"/>
    </row>
    <row r="30" spans="1:29" ht="15.75" customHeight="1">
      <c r="A30" s="635" t="s">
        <v>28</v>
      </c>
      <c r="B30" s="26" t="s">
        <v>46</v>
      </c>
      <c r="C30" s="636" t="s">
        <v>60</v>
      </c>
      <c r="D30" s="636"/>
      <c r="E30" s="26">
        <v>26.2</v>
      </c>
      <c r="F30" s="149">
        <v>4104</v>
      </c>
      <c r="G30" s="138">
        <f t="shared" si="39"/>
        <v>107524.8</v>
      </c>
      <c r="H30" s="21" t="s">
        <v>35</v>
      </c>
      <c r="I30" s="147">
        <v>19</v>
      </c>
      <c r="J30" s="23">
        <v>2400</v>
      </c>
      <c r="K30" s="9">
        <f t="shared" si="46"/>
        <v>126.31578947368421</v>
      </c>
      <c r="L30" s="147">
        <v>19</v>
      </c>
      <c r="M30" s="10">
        <f t="shared" si="40"/>
        <v>2301.3084112149531</v>
      </c>
      <c r="N30" s="9">
        <f t="shared" si="41"/>
        <v>121.12149532710279</v>
      </c>
      <c r="O30" s="11">
        <f t="shared" si="42"/>
        <v>0</v>
      </c>
      <c r="P30" s="12">
        <f t="shared" si="43"/>
        <v>-5.194294146581413</v>
      </c>
      <c r="Q30" s="139">
        <f t="shared" si="44"/>
        <v>0.95887850467289715</v>
      </c>
      <c r="R30" s="571"/>
      <c r="S30" s="24">
        <v>0.35902777777777783</v>
      </c>
      <c r="T30" s="24">
        <v>0.4333333333333334</v>
      </c>
      <c r="U30" s="138">
        <f t="shared" si="48"/>
        <v>4.9999999999999822</v>
      </c>
      <c r="V30" s="148">
        <f t="shared" si="45"/>
        <v>107.00000000000001</v>
      </c>
      <c r="W30" s="13"/>
      <c r="X30" s="13"/>
      <c r="Y30" s="617"/>
      <c r="Z30" s="617"/>
      <c r="AA30" s="11">
        <f t="shared" si="2"/>
        <v>-98.691588785046861</v>
      </c>
      <c r="AB30" s="139">
        <f t="shared" si="47"/>
        <v>0.95887850467289715</v>
      </c>
      <c r="AC30" s="571"/>
    </row>
    <row r="31" spans="1:29" ht="15.75" customHeight="1">
      <c r="A31" s="635" t="s">
        <v>28</v>
      </c>
      <c r="B31" s="26" t="s">
        <v>46</v>
      </c>
      <c r="C31" s="636" t="s">
        <v>61</v>
      </c>
      <c r="D31" s="636"/>
      <c r="E31" s="26">
        <v>31.29</v>
      </c>
      <c r="F31" s="149">
        <v>4000</v>
      </c>
      <c r="G31" s="138">
        <f t="shared" si="39"/>
        <v>125160</v>
      </c>
      <c r="H31" s="21">
        <v>2</v>
      </c>
      <c r="I31" s="147">
        <v>18</v>
      </c>
      <c r="J31" s="23">
        <v>2400</v>
      </c>
      <c r="K31" s="9">
        <f t="shared" si="46"/>
        <v>133.33333333333334</v>
      </c>
      <c r="L31" s="147">
        <v>18</v>
      </c>
      <c r="M31" s="10">
        <f t="shared" si="40"/>
        <v>2285.7142857142853</v>
      </c>
      <c r="N31" s="9">
        <f t="shared" si="41"/>
        <v>126.98412698412696</v>
      </c>
      <c r="O31" s="11">
        <f t="shared" si="42"/>
        <v>0</v>
      </c>
      <c r="P31" s="12">
        <f t="shared" si="43"/>
        <v>-6.3492063492063835</v>
      </c>
      <c r="Q31" s="139">
        <f t="shared" si="44"/>
        <v>0.95238095238095211</v>
      </c>
      <c r="R31" s="571"/>
      <c r="S31" s="24">
        <v>0.43680555555555561</v>
      </c>
      <c r="T31" s="24">
        <v>0.5097222222222223</v>
      </c>
      <c r="U31" s="138">
        <f t="shared" si="48"/>
        <v>4.9999999999999822</v>
      </c>
      <c r="V31" s="148">
        <f t="shared" si="45"/>
        <v>105.00000000000003</v>
      </c>
      <c r="W31" s="13">
        <f>T31</f>
        <v>0.5097222222222223</v>
      </c>
      <c r="X31" s="13">
        <f>S32</f>
        <v>0.54861111111111116</v>
      </c>
      <c r="Y31" s="617"/>
      <c r="Z31" s="617"/>
      <c r="AA31" s="11">
        <f t="shared" si="2"/>
        <v>-114.28571428571468</v>
      </c>
      <c r="AB31" s="139">
        <f t="shared" si="47"/>
        <v>0.95238095238095222</v>
      </c>
      <c r="AC31" s="571"/>
    </row>
    <row r="32" spans="1:29" ht="15.75" customHeight="1">
      <c r="A32" s="635" t="s">
        <v>28</v>
      </c>
      <c r="B32" s="26" t="s">
        <v>46</v>
      </c>
      <c r="C32" s="636" t="s">
        <v>61</v>
      </c>
      <c r="D32" s="636"/>
      <c r="E32" s="26">
        <v>31.29</v>
      </c>
      <c r="F32" s="149">
        <v>3350</v>
      </c>
      <c r="G32" s="138">
        <f t="shared" si="39"/>
        <v>104821.5</v>
      </c>
      <c r="H32" s="21" t="s">
        <v>35</v>
      </c>
      <c r="I32" s="147">
        <v>18</v>
      </c>
      <c r="J32" s="23">
        <v>2400</v>
      </c>
      <c r="K32" s="9">
        <f t="shared" si="46"/>
        <v>133.33333333333334</v>
      </c>
      <c r="L32" s="147">
        <v>18</v>
      </c>
      <c r="M32" s="10">
        <f t="shared" si="40"/>
        <v>2310.3448275862065</v>
      </c>
      <c r="N32" s="9">
        <f t="shared" si="41"/>
        <v>128.35249042145591</v>
      </c>
      <c r="O32" s="11">
        <f t="shared" si="42"/>
        <v>0</v>
      </c>
      <c r="P32" s="12">
        <f t="shared" si="43"/>
        <v>-4.9808429118774313</v>
      </c>
      <c r="Q32" s="139">
        <f>N32/K32</f>
        <v>0.96264367816091923</v>
      </c>
      <c r="R32" s="571"/>
      <c r="S32" s="24">
        <v>0.54861111111111116</v>
      </c>
      <c r="T32" s="24">
        <v>0.60902777777777783</v>
      </c>
      <c r="U32" s="138">
        <f t="shared" si="48"/>
        <v>55.999999999999957</v>
      </c>
      <c r="V32" s="148">
        <f t="shared" si="45"/>
        <v>87.000000000000014</v>
      </c>
      <c r="W32" s="13"/>
      <c r="X32" s="13"/>
      <c r="Y32" s="617"/>
      <c r="Z32" s="617"/>
      <c r="AA32" s="11">
        <f t="shared" si="2"/>
        <v>-89.65517241379348</v>
      </c>
      <c r="AB32" s="139">
        <f t="shared" si="47"/>
        <v>0.96264367816091934</v>
      </c>
      <c r="AC32" s="571"/>
    </row>
    <row r="33" spans="1:29" ht="15.75" customHeight="1">
      <c r="A33" s="635" t="s">
        <v>28</v>
      </c>
      <c r="B33" s="26" t="s">
        <v>22</v>
      </c>
      <c r="C33" s="629"/>
      <c r="D33" s="629"/>
      <c r="E33" s="137"/>
      <c r="F33" s="149"/>
      <c r="G33" s="138"/>
      <c r="H33" s="149"/>
      <c r="I33" s="16">
        <v>18.428571428571427</v>
      </c>
      <c r="J33" s="23">
        <v>2400</v>
      </c>
      <c r="K33" s="9">
        <f t="shared" si="46"/>
        <v>130.23255813953489</v>
      </c>
      <c r="L33" s="16">
        <v>18.428571428571427</v>
      </c>
      <c r="M33" s="10">
        <f>AVERAGE(M26:M32)</f>
        <v>2298.7318794360067</v>
      </c>
      <c r="N33" s="9">
        <f>M33/L33</f>
        <v>124.73738880660503</v>
      </c>
      <c r="O33" s="11">
        <f>L33-I33</f>
        <v>0</v>
      </c>
      <c r="P33" s="12">
        <f>N33-K33</f>
        <v>-5.4951693329298621</v>
      </c>
      <c r="Q33" s="139">
        <f>N33/K33</f>
        <v>0.95780494976500286</v>
      </c>
      <c r="R33" s="571"/>
      <c r="S33" s="24"/>
      <c r="T33" s="24"/>
      <c r="U33" s="138"/>
      <c r="V33" s="148"/>
      <c r="W33" s="138"/>
      <c r="X33" s="138"/>
      <c r="Y33" s="617"/>
      <c r="Z33" s="617"/>
      <c r="AA33" s="11">
        <f t="shared" si="2"/>
        <v>-101.26812056399331</v>
      </c>
      <c r="AB33" s="139">
        <f>M33/J33</f>
        <v>0.95780494976500274</v>
      </c>
      <c r="AC33" s="571"/>
    </row>
    <row r="34" spans="1:29" ht="15.75" customHeight="1">
      <c r="A34" s="637" t="s">
        <v>29</v>
      </c>
      <c r="B34" s="26" t="s">
        <v>46</v>
      </c>
      <c r="C34" s="616" t="s">
        <v>63</v>
      </c>
      <c r="D34" s="616"/>
      <c r="E34" s="26">
        <v>26.2</v>
      </c>
      <c r="F34" s="149">
        <v>5684</v>
      </c>
      <c r="G34" s="138">
        <f t="shared" ref="G34:G38" si="49">E34*F34</f>
        <v>148920.79999999999</v>
      </c>
      <c r="H34" s="21" t="s">
        <v>35</v>
      </c>
      <c r="I34" s="147">
        <v>18</v>
      </c>
      <c r="J34" s="23">
        <v>2400</v>
      </c>
      <c r="K34" s="9">
        <f>J34/I34</f>
        <v>133.33333333333334</v>
      </c>
      <c r="L34" s="147">
        <v>18</v>
      </c>
      <c r="M34" s="10">
        <f>F34/V34*60</f>
        <v>2288.859060402684</v>
      </c>
      <c r="N34" s="9">
        <f>M34/L34</f>
        <v>127.158836689038</v>
      </c>
      <c r="O34" s="11">
        <f t="shared" ref="O34:O38" si="50">L34-I34</f>
        <v>0</v>
      </c>
      <c r="P34" s="12">
        <f t="shared" ref="P34:P45" si="51">N34-K34</f>
        <v>-6.1744966442953455</v>
      </c>
      <c r="Q34" s="139">
        <f t="shared" ref="Q34:Q43" si="52">N34/K34</f>
        <v>0.95369127516778496</v>
      </c>
      <c r="R34" s="571">
        <f>Q39</f>
        <v>0.95393620999466966</v>
      </c>
      <c r="S34" s="24">
        <v>0.125</v>
      </c>
      <c r="T34" s="24">
        <v>0.22847222222222224</v>
      </c>
      <c r="U34" s="138"/>
      <c r="V34" s="148">
        <f t="shared" ref="V34:V38" si="53">(T34-S34)*24*60</f>
        <v>149.00000000000003</v>
      </c>
      <c r="W34" s="15">
        <f>T34</f>
        <v>0.22847222222222224</v>
      </c>
      <c r="X34" s="15">
        <f>S35</f>
        <v>0.24722222222222226</v>
      </c>
      <c r="Y34" s="617"/>
      <c r="Z34" s="617"/>
      <c r="AA34" s="11">
        <f t="shared" si="2"/>
        <v>-111.14093959731599</v>
      </c>
      <c r="AB34" s="139">
        <f>M34/J34</f>
        <v>0.95369127516778496</v>
      </c>
      <c r="AC34" s="571">
        <f>AB39</f>
        <v>0.95393620999466955</v>
      </c>
    </row>
    <row r="35" spans="1:29" ht="15.75" customHeight="1">
      <c r="A35" s="637" t="s">
        <v>29</v>
      </c>
      <c r="B35" s="26" t="s">
        <v>46</v>
      </c>
      <c r="C35" s="616" t="s">
        <v>64</v>
      </c>
      <c r="D35" s="616"/>
      <c r="E35" s="26">
        <v>26.39</v>
      </c>
      <c r="F35" s="149">
        <v>5358</v>
      </c>
      <c r="G35" s="138">
        <f t="shared" si="49"/>
        <v>141397.62</v>
      </c>
      <c r="H35" s="21" t="s">
        <v>35</v>
      </c>
      <c r="I35" s="147">
        <v>19</v>
      </c>
      <c r="J35" s="23">
        <v>2400</v>
      </c>
      <c r="K35" s="9">
        <f t="shared" ref="K35:K44" si="54">J35/I35</f>
        <v>126.31578947368421</v>
      </c>
      <c r="L35" s="147">
        <v>19</v>
      </c>
      <c r="M35" s="10">
        <f t="shared" ref="M35:M38" si="55">F35/V35*60</f>
        <v>2296.2857142857138</v>
      </c>
      <c r="N35" s="9">
        <f t="shared" ref="N35:N38" si="56">M35/L35</f>
        <v>120.85714285714283</v>
      </c>
      <c r="O35" s="11">
        <f t="shared" si="50"/>
        <v>0</v>
      </c>
      <c r="P35" s="12">
        <f t="shared" si="51"/>
        <v>-5.4586466165413725</v>
      </c>
      <c r="Q35" s="139">
        <f t="shared" si="52"/>
        <v>0.95678571428571413</v>
      </c>
      <c r="R35" s="571"/>
      <c r="S35" s="24">
        <v>0.24722222222222226</v>
      </c>
      <c r="T35" s="24">
        <v>0.3444444444444445</v>
      </c>
      <c r="U35" s="138">
        <f>(S35-T34)*24*60</f>
        <v>27.000000000000025</v>
      </c>
      <c r="V35" s="148">
        <f t="shared" si="53"/>
        <v>140.00000000000003</v>
      </c>
      <c r="W35" s="138"/>
      <c r="X35" s="138"/>
      <c r="Y35" s="617"/>
      <c r="Z35" s="617"/>
      <c r="AA35" s="11">
        <f t="shared" si="2"/>
        <v>-103.71428571428623</v>
      </c>
      <c r="AB35" s="139">
        <f t="shared" ref="AB35:AB58" si="57">M35/J35</f>
        <v>0.95678571428571402</v>
      </c>
      <c r="AC35" s="571"/>
    </row>
    <row r="36" spans="1:29">
      <c r="A36" s="638" t="s">
        <v>29</v>
      </c>
      <c r="B36" s="26" t="s">
        <v>46</v>
      </c>
      <c r="C36" s="616" t="s">
        <v>65</v>
      </c>
      <c r="D36" s="616"/>
      <c r="E36" s="26">
        <v>24.43</v>
      </c>
      <c r="F36" s="149">
        <v>4200</v>
      </c>
      <c r="G36" s="138">
        <f t="shared" si="49"/>
        <v>102606</v>
      </c>
      <c r="H36" s="21">
        <v>2</v>
      </c>
      <c r="I36" s="147">
        <v>15</v>
      </c>
      <c r="J36" s="23">
        <v>2400</v>
      </c>
      <c r="K36" s="9">
        <f t="shared" si="54"/>
        <v>160</v>
      </c>
      <c r="L36" s="147">
        <v>15</v>
      </c>
      <c r="M36" s="10">
        <f t="shared" si="55"/>
        <v>2290.909090909091</v>
      </c>
      <c r="N36" s="9">
        <f t="shared" si="56"/>
        <v>152.72727272727272</v>
      </c>
      <c r="O36" s="11">
        <f t="shared" si="50"/>
        <v>0</v>
      </c>
      <c r="P36" s="12">
        <f t="shared" si="51"/>
        <v>-7.2727272727272805</v>
      </c>
      <c r="Q36" s="139">
        <f t="shared" si="52"/>
        <v>0.95454545454545447</v>
      </c>
      <c r="R36" s="571"/>
      <c r="S36" s="24">
        <v>0.34930555555555559</v>
      </c>
      <c r="T36" s="24">
        <v>0.42569444444444449</v>
      </c>
      <c r="U36" s="138">
        <f t="shared" ref="U36:U38" si="58">(S36-T35)*24*60</f>
        <v>6.9999999999999751</v>
      </c>
      <c r="V36" s="148">
        <f t="shared" si="53"/>
        <v>110.00000000000001</v>
      </c>
      <c r="W36" s="138"/>
      <c r="X36" s="138"/>
      <c r="Y36" s="617"/>
      <c r="Z36" s="617"/>
      <c r="AA36" s="11">
        <f t="shared" si="2"/>
        <v>-109.09090909090901</v>
      </c>
      <c r="AB36" s="139">
        <f t="shared" si="57"/>
        <v>0.95454545454545459</v>
      </c>
      <c r="AC36" s="571"/>
    </row>
    <row r="37" spans="1:29">
      <c r="A37" s="638" t="s">
        <v>29</v>
      </c>
      <c r="B37" s="26" t="s">
        <v>46</v>
      </c>
      <c r="C37" s="616" t="s">
        <v>66</v>
      </c>
      <c r="D37" s="616"/>
      <c r="E37" s="26">
        <v>24.25</v>
      </c>
      <c r="F37" s="149">
        <v>5068</v>
      </c>
      <c r="G37" s="138">
        <f t="shared" si="49"/>
        <v>122899</v>
      </c>
      <c r="H37" s="21" t="s">
        <v>35</v>
      </c>
      <c r="I37" s="147">
        <v>14</v>
      </c>
      <c r="J37" s="23">
        <v>2400</v>
      </c>
      <c r="K37" s="9">
        <f t="shared" si="54"/>
        <v>171.42857142857142</v>
      </c>
      <c r="L37" s="147">
        <v>14</v>
      </c>
      <c r="M37" s="10">
        <f t="shared" si="55"/>
        <v>2286.3157894736842</v>
      </c>
      <c r="N37" s="9">
        <f t="shared" si="56"/>
        <v>163.30827067669173</v>
      </c>
      <c r="O37" s="11">
        <f t="shared" si="50"/>
        <v>0</v>
      </c>
      <c r="P37" s="12">
        <f t="shared" si="51"/>
        <v>-8.1203007518796824</v>
      </c>
      <c r="Q37" s="139">
        <f t="shared" si="52"/>
        <v>0.9526315789473685</v>
      </c>
      <c r="R37" s="571"/>
      <c r="S37" s="24">
        <v>0.42986111111111114</v>
      </c>
      <c r="T37" s="24">
        <v>0.52222222222222225</v>
      </c>
      <c r="U37" s="138">
        <f t="shared" si="58"/>
        <v>5.9999999999999787</v>
      </c>
      <c r="V37" s="148">
        <f t="shared" si="53"/>
        <v>133</v>
      </c>
      <c r="W37" s="15">
        <f>T37</f>
        <v>0.52222222222222225</v>
      </c>
      <c r="X37" s="15">
        <f>S38</f>
        <v>0.56111111111111112</v>
      </c>
      <c r="Y37" s="617"/>
      <c r="Z37" s="617"/>
      <c r="AA37" s="11">
        <f t="shared" si="2"/>
        <v>-113.68421052631584</v>
      </c>
      <c r="AB37" s="139">
        <f t="shared" si="57"/>
        <v>0.95263157894736838</v>
      </c>
      <c r="AC37" s="571"/>
    </row>
    <row r="38" spans="1:29">
      <c r="A38" s="638" t="s">
        <v>29</v>
      </c>
      <c r="B38" s="26" t="s">
        <v>46</v>
      </c>
      <c r="C38" s="616" t="s">
        <v>65</v>
      </c>
      <c r="D38" s="616"/>
      <c r="E38" s="26">
        <v>24.43</v>
      </c>
      <c r="F38" s="149">
        <v>2818</v>
      </c>
      <c r="G38" s="138">
        <f t="shared" si="49"/>
        <v>68843.740000000005</v>
      </c>
      <c r="H38" s="21" t="s">
        <v>35</v>
      </c>
      <c r="I38" s="147">
        <v>15</v>
      </c>
      <c r="J38" s="23">
        <v>2400</v>
      </c>
      <c r="K38" s="9">
        <f t="shared" si="54"/>
        <v>160</v>
      </c>
      <c r="L38" s="147">
        <v>15</v>
      </c>
      <c r="M38" s="10">
        <f t="shared" si="55"/>
        <v>2284.8648648648632</v>
      </c>
      <c r="N38" s="9">
        <f t="shared" si="56"/>
        <v>152.32432432432421</v>
      </c>
      <c r="O38" s="11">
        <f t="shared" si="50"/>
        <v>0</v>
      </c>
      <c r="P38" s="12">
        <f t="shared" si="51"/>
        <v>-7.6756756756757909</v>
      </c>
      <c r="Q38" s="139">
        <f t="shared" si="52"/>
        <v>0.95202702702702635</v>
      </c>
      <c r="R38" s="571"/>
      <c r="S38" s="24">
        <v>0.56111111111111112</v>
      </c>
      <c r="T38" s="24">
        <v>0.61250000000000004</v>
      </c>
      <c r="U38" s="138">
        <f t="shared" si="58"/>
        <v>55.999999999999957</v>
      </c>
      <c r="V38" s="148">
        <f t="shared" si="53"/>
        <v>74.000000000000057</v>
      </c>
      <c r="W38" s="13"/>
      <c r="X38" s="13"/>
      <c r="Y38" s="617"/>
      <c r="Z38" s="617"/>
      <c r="AA38" s="11">
        <f t="shared" si="2"/>
        <v>-115.13513513513681</v>
      </c>
      <c r="AB38" s="139">
        <f t="shared" si="57"/>
        <v>0.95202702702702635</v>
      </c>
      <c r="AC38" s="571"/>
    </row>
    <row r="39" spans="1:29">
      <c r="A39" s="638" t="s">
        <v>29</v>
      </c>
      <c r="B39" s="27" t="s">
        <v>22</v>
      </c>
      <c r="C39" s="629"/>
      <c r="D39" s="629"/>
      <c r="E39" s="137"/>
      <c r="F39" s="27"/>
      <c r="G39" s="9"/>
      <c r="H39" s="149"/>
      <c r="I39" s="16">
        <v>16.2</v>
      </c>
      <c r="J39" s="23">
        <v>2400</v>
      </c>
      <c r="K39" s="9">
        <f t="shared" si="54"/>
        <v>148.14814814814815</v>
      </c>
      <c r="L39" s="16">
        <v>16.2</v>
      </c>
      <c r="M39" s="10">
        <f>AVERAGE(M34:M38)</f>
        <v>2289.446903987207</v>
      </c>
      <c r="N39" s="9">
        <f>M39/L39</f>
        <v>141.32388296217329</v>
      </c>
      <c r="O39" s="11">
        <f>L39-I39</f>
        <v>0</v>
      </c>
      <c r="P39" s="12">
        <f t="shared" si="51"/>
        <v>-6.8242651859748662</v>
      </c>
      <c r="Q39" s="139">
        <f t="shared" si="52"/>
        <v>0.95393620999466966</v>
      </c>
      <c r="R39" s="571"/>
      <c r="S39" s="24"/>
      <c r="T39" s="24"/>
      <c r="U39" s="9"/>
      <c r="V39" s="148"/>
      <c r="W39" s="9"/>
      <c r="X39" s="9"/>
      <c r="Y39" s="617"/>
      <c r="Z39" s="617"/>
      <c r="AA39" s="11">
        <f t="shared" si="2"/>
        <v>-110.55309601279305</v>
      </c>
      <c r="AB39" s="139">
        <f t="shared" si="57"/>
        <v>0.95393620999466955</v>
      </c>
      <c r="AC39" s="571"/>
    </row>
    <row r="40" spans="1:29" ht="15.75" customHeight="1">
      <c r="A40" s="630" t="s">
        <v>30</v>
      </c>
      <c r="B40" s="26" t="s">
        <v>67</v>
      </c>
      <c r="C40" s="627" t="s">
        <v>68</v>
      </c>
      <c r="D40" s="628"/>
      <c r="E40" s="26">
        <v>21.13</v>
      </c>
      <c r="F40" s="149">
        <v>4331</v>
      </c>
      <c r="G40" s="138">
        <f t="shared" ref="G40:G44" si="59">E40*F40</f>
        <v>91514.03</v>
      </c>
      <c r="H40" s="21" t="s">
        <v>35</v>
      </c>
      <c r="I40" s="147">
        <v>10</v>
      </c>
      <c r="J40" s="23">
        <v>3000</v>
      </c>
      <c r="K40" s="9">
        <f t="shared" si="54"/>
        <v>300</v>
      </c>
      <c r="L40" s="147">
        <v>10</v>
      </c>
      <c r="M40" s="10">
        <f t="shared" ref="M40:M41" si="60">F40/V40*60</f>
        <v>2855.6043956043941</v>
      </c>
      <c r="N40" s="10">
        <f t="shared" ref="N40:N45" si="61">M40/L40</f>
        <v>285.56043956043942</v>
      </c>
      <c r="O40" s="11">
        <f t="shared" ref="O40:O45" si="62">L40-I40</f>
        <v>0</v>
      </c>
      <c r="P40" s="12">
        <f t="shared" si="51"/>
        <v>-14.43956043956058</v>
      </c>
      <c r="Q40" s="139">
        <f t="shared" si="52"/>
        <v>0.95186813186813135</v>
      </c>
      <c r="R40" s="582">
        <f>Q45</f>
        <v>0.95411869851794728</v>
      </c>
      <c r="S40" s="24">
        <v>0.20833333333333334</v>
      </c>
      <c r="T40" s="24">
        <v>0.27152777777777781</v>
      </c>
      <c r="U40" s="15"/>
      <c r="V40" s="148">
        <f t="shared" ref="V40:V44" si="63">(T40-S40)*24*60</f>
        <v>91.000000000000043</v>
      </c>
      <c r="W40" s="13"/>
      <c r="X40" s="13"/>
      <c r="Y40" s="621"/>
      <c r="Z40" s="622"/>
      <c r="AA40" s="11">
        <f t="shared" si="2"/>
        <v>-144.39560439560591</v>
      </c>
      <c r="AB40" s="139">
        <f t="shared" si="57"/>
        <v>0.95186813186813135</v>
      </c>
      <c r="AC40" s="582">
        <f>AB45</f>
        <v>0.95411869851794728</v>
      </c>
    </row>
    <row r="41" spans="1:29" ht="15.75" customHeight="1">
      <c r="A41" s="631" t="s">
        <v>30</v>
      </c>
      <c r="B41" s="26" t="s">
        <v>67</v>
      </c>
      <c r="C41" s="627" t="s">
        <v>69</v>
      </c>
      <c r="D41" s="628"/>
      <c r="E41" s="26">
        <v>27.17</v>
      </c>
      <c r="F41" s="149">
        <v>5510</v>
      </c>
      <c r="G41" s="138">
        <f t="shared" si="59"/>
        <v>149706.70000000001</v>
      </c>
      <c r="H41" s="21" t="s">
        <v>35</v>
      </c>
      <c r="I41" s="147">
        <v>10</v>
      </c>
      <c r="J41" s="23">
        <v>3000</v>
      </c>
      <c r="K41" s="9">
        <f t="shared" si="54"/>
        <v>300</v>
      </c>
      <c r="L41" s="147">
        <v>10</v>
      </c>
      <c r="M41" s="10">
        <f t="shared" si="60"/>
        <v>2874.7826086956525</v>
      </c>
      <c r="N41" s="10">
        <f t="shared" si="61"/>
        <v>287.47826086956525</v>
      </c>
      <c r="O41" s="11">
        <f t="shared" si="62"/>
        <v>0</v>
      </c>
      <c r="P41" s="12">
        <f t="shared" si="51"/>
        <v>-12.521739130434753</v>
      </c>
      <c r="Q41" s="139">
        <f t="shared" si="52"/>
        <v>0.9582608695652175</v>
      </c>
      <c r="R41" s="583"/>
      <c r="S41" s="24">
        <v>0.27569444444444446</v>
      </c>
      <c r="T41" s="24">
        <v>0.35555555555555557</v>
      </c>
      <c r="U41" s="138">
        <f>(S41-T40)*24*60</f>
        <v>5.9999999999999787</v>
      </c>
      <c r="V41" s="148">
        <f t="shared" si="63"/>
        <v>114.99999999999999</v>
      </c>
      <c r="W41" s="13"/>
      <c r="X41" s="13"/>
      <c r="Y41" s="621"/>
      <c r="Z41" s="622"/>
      <c r="AA41" s="11">
        <f t="shared" si="2"/>
        <v>-125.21739130434753</v>
      </c>
      <c r="AB41" s="139">
        <f t="shared" si="57"/>
        <v>0.9582608695652175</v>
      </c>
      <c r="AC41" s="583"/>
    </row>
    <row r="42" spans="1:29" ht="15.75" customHeight="1">
      <c r="A42" s="631" t="s">
        <v>30</v>
      </c>
      <c r="B42" s="26" t="s">
        <v>67</v>
      </c>
      <c r="C42" s="627" t="s">
        <v>70</v>
      </c>
      <c r="D42" s="628"/>
      <c r="E42" s="26">
        <v>35.119999999999997</v>
      </c>
      <c r="F42" s="149">
        <v>4240</v>
      </c>
      <c r="G42" s="138">
        <f t="shared" si="59"/>
        <v>148908.79999999999</v>
      </c>
      <c r="H42" s="21" t="s">
        <v>35</v>
      </c>
      <c r="I42" s="147">
        <v>10</v>
      </c>
      <c r="J42" s="23">
        <v>3000</v>
      </c>
      <c r="K42" s="9">
        <f t="shared" si="54"/>
        <v>300</v>
      </c>
      <c r="L42" s="147">
        <v>10</v>
      </c>
      <c r="M42" s="10">
        <f>F42/V42*60</f>
        <v>2858.4269662921347</v>
      </c>
      <c r="N42" s="10">
        <f t="shared" si="61"/>
        <v>285.84269662921349</v>
      </c>
      <c r="O42" s="11">
        <f t="shared" si="62"/>
        <v>0</v>
      </c>
      <c r="P42" s="12">
        <f t="shared" si="51"/>
        <v>-14.157303370786508</v>
      </c>
      <c r="Q42" s="139">
        <f t="shared" si="52"/>
        <v>0.95280898876404496</v>
      </c>
      <c r="R42" s="583"/>
      <c r="S42" s="24">
        <v>0.35902777777777778</v>
      </c>
      <c r="T42" s="24">
        <v>0.42083333333333334</v>
      </c>
      <c r="U42" s="138">
        <f t="shared" ref="U42:U44" si="64">(S42-T41)*24*60</f>
        <v>4.9999999999999822</v>
      </c>
      <c r="V42" s="148">
        <f t="shared" si="63"/>
        <v>89</v>
      </c>
      <c r="W42" s="13"/>
      <c r="X42" s="13"/>
      <c r="Y42" s="621"/>
      <c r="Z42" s="622"/>
      <c r="AA42" s="11">
        <f t="shared" si="2"/>
        <v>-141.57303370786531</v>
      </c>
      <c r="AB42" s="139">
        <f t="shared" si="57"/>
        <v>0.95280898876404485</v>
      </c>
      <c r="AC42" s="583"/>
    </row>
    <row r="43" spans="1:29" ht="15.75" customHeight="1">
      <c r="A43" s="631" t="s">
        <v>30</v>
      </c>
      <c r="B43" s="26" t="s">
        <v>67</v>
      </c>
      <c r="C43" s="627" t="s">
        <v>71</v>
      </c>
      <c r="D43" s="628"/>
      <c r="E43" s="26">
        <v>35.869999999999997</v>
      </c>
      <c r="F43" s="149">
        <v>2725</v>
      </c>
      <c r="G43" s="138">
        <f t="shared" si="59"/>
        <v>97745.75</v>
      </c>
      <c r="H43" s="21" t="s">
        <v>35</v>
      </c>
      <c r="I43" s="147">
        <v>10</v>
      </c>
      <c r="J43" s="23">
        <v>3000</v>
      </c>
      <c r="K43" s="9">
        <f t="shared" si="54"/>
        <v>300</v>
      </c>
      <c r="L43" s="147">
        <v>10</v>
      </c>
      <c r="M43" s="10">
        <f t="shared" ref="M43:M44" si="65">F43/V43*60</f>
        <v>2868.4210526315774</v>
      </c>
      <c r="N43" s="10">
        <f t="shared" si="61"/>
        <v>286.84210526315775</v>
      </c>
      <c r="O43" s="11">
        <f t="shared" si="62"/>
        <v>0</v>
      </c>
      <c r="P43" s="12">
        <f t="shared" si="51"/>
        <v>-13.157894736842252</v>
      </c>
      <c r="Q43" s="139">
        <f t="shared" si="52"/>
        <v>0.95614035087719251</v>
      </c>
      <c r="R43" s="583"/>
      <c r="S43" s="24">
        <v>0.42430555555555555</v>
      </c>
      <c r="T43" s="24">
        <v>0.46388888888888891</v>
      </c>
      <c r="U43" s="138">
        <f t="shared" si="64"/>
        <v>4.9999999999999822</v>
      </c>
      <c r="V43" s="148">
        <f t="shared" si="63"/>
        <v>57.000000000000036</v>
      </c>
      <c r="W43" s="13"/>
      <c r="X43" s="13"/>
      <c r="Y43" s="621"/>
      <c r="Z43" s="622"/>
      <c r="AA43" s="11">
        <f t="shared" si="2"/>
        <v>-131.57894736842263</v>
      </c>
      <c r="AB43" s="139">
        <f t="shared" si="57"/>
        <v>0.9561403508771924</v>
      </c>
      <c r="AC43" s="583"/>
    </row>
    <row r="44" spans="1:29" ht="15.75" customHeight="1">
      <c r="A44" s="631" t="s">
        <v>30</v>
      </c>
      <c r="B44" s="26" t="s">
        <v>67</v>
      </c>
      <c r="C44" s="627" t="s">
        <v>72</v>
      </c>
      <c r="D44" s="628"/>
      <c r="E44" s="26">
        <v>36.14</v>
      </c>
      <c r="F44" s="149">
        <v>1570</v>
      </c>
      <c r="G44" s="138">
        <f t="shared" si="59"/>
        <v>56739.8</v>
      </c>
      <c r="H44" s="21" t="s">
        <v>35</v>
      </c>
      <c r="I44" s="147">
        <v>8</v>
      </c>
      <c r="J44" s="23">
        <v>3000</v>
      </c>
      <c r="K44" s="9">
        <f t="shared" si="54"/>
        <v>375</v>
      </c>
      <c r="L44" s="147">
        <v>8</v>
      </c>
      <c r="M44" s="10">
        <f t="shared" si="65"/>
        <v>2854.5454545454509</v>
      </c>
      <c r="N44" s="10">
        <f t="shared" si="61"/>
        <v>356.81818181818136</v>
      </c>
      <c r="O44" s="11">
        <f t="shared" si="62"/>
        <v>0</v>
      </c>
      <c r="P44" s="12">
        <f t="shared" si="51"/>
        <v>-18.181818181818642</v>
      </c>
      <c r="Q44" s="139">
        <f>N44/K44</f>
        <v>0.95151515151515031</v>
      </c>
      <c r="R44" s="583"/>
      <c r="S44" s="24">
        <v>0.46805555555555556</v>
      </c>
      <c r="T44" s="24">
        <v>0.49097222222222225</v>
      </c>
      <c r="U44" s="138">
        <f t="shared" si="64"/>
        <v>5.9999999999999787</v>
      </c>
      <c r="V44" s="148">
        <f t="shared" si="63"/>
        <v>33.000000000000043</v>
      </c>
      <c r="W44" s="13"/>
      <c r="X44" s="13"/>
      <c r="Y44" s="621"/>
      <c r="Z44" s="622"/>
      <c r="AA44" s="11">
        <f t="shared" si="2"/>
        <v>-145.45454545454913</v>
      </c>
      <c r="AB44" s="139">
        <f t="shared" si="57"/>
        <v>0.95151515151515031</v>
      </c>
      <c r="AC44" s="583"/>
    </row>
    <row r="45" spans="1:29" ht="15.75" customHeight="1">
      <c r="A45" s="632" t="s">
        <v>30</v>
      </c>
      <c r="B45" s="26" t="s">
        <v>22</v>
      </c>
      <c r="C45" s="625"/>
      <c r="D45" s="626"/>
      <c r="E45" s="144"/>
      <c r="F45" s="149"/>
      <c r="G45" s="138"/>
      <c r="H45" s="149"/>
      <c r="I45" s="16">
        <v>9.6</v>
      </c>
      <c r="J45" s="23">
        <v>3000</v>
      </c>
      <c r="K45" s="9">
        <f>J45/I45</f>
        <v>312.5</v>
      </c>
      <c r="L45" s="16">
        <v>9.6</v>
      </c>
      <c r="M45" s="10">
        <f>AVERAGE(M40:M44)</f>
        <v>2862.3560955538419</v>
      </c>
      <c r="N45" s="9">
        <f t="shared" si="61"/>
        <v>298.16209328685852</v>
      </c>
      <c r="O45" s="11">
        <f t="shared" si="62"/>
        <v>0</v>
      </c>
      <c r="P45" s="12">
        <f t="shared" si="51"/>
        <v>-14.337906713141479</v>
      </c>
      <c r="Q45" s="139">
        <f t="shared" ref="Q45" si="66">N45/K45</f>
        <v>0.95411869851794728</v>
      </c>
      <c r="R45" s="584"/>
      <c r="S45" s="24"/>
      <c r="T45" s="24"/>
      <c r="U45" s="138"/>
      <c r="V45" s="148"/>
      <c r="W45" s="13"/>
      <c r="X45" s="13"/>
      <c r="Y45" s="621"/>
      <c r="Z45" s="622"/>
      <c r="AA45" s="11">
        <f t="shared" si="2"/>
        <v>-137.6439044461581</v>
      </c>
      <c r="AB45" s="139">
        <f t="shared" si="57"/>
        <v>0.95411869851794728</v>
      </c>
      <c r="AC45" s="584"/>
    </row>
    <row r="46" spans="1:29" ht="15.75" customHeight="1">
      <c r="A46" s="633" t="s">
        <v>31</v>
      </c>
      <c r="B46" s="26" t="s">
        <v>40</v>
      </c>
      <c r="C46" s="616" t="s">
        <v>73</v>
      </c>
      <c r="D46" s="616"/>
      <c r="E46" s="26">
        <v>46</v>
      </c>
      <c r="F46" s="28">
        <v>2202</v>
      </c>
      <c r="G46" s="138">
        <f t="shared" ref="G46:G51" si="67">E46*F46</f>
        <v>101292</v>
      </c>
      <c r="H46" s="21" t="s">
        <v>35</v>
      </c>
      <c r="I46" s="147">
        <v>17</v>
      </c>
      <c r="J46" s="23">
        <v>2000</v>
      </c>
      <c r="K46" s="9">
        <f t="shared" ref="K46:K51" si="68">J46/I46</f>
        <v>117.64705882352941</v>
      </c>
      <c r="L46" s="147">
        <v>17</v>
      </c>
      <c r="M46" s="10">
        <f t="shared" ref="M46:M51" si="69">F46/V46*60</f>
        <v>1914.7826086956534</v>
      </c>
      <c r="N46" s="10">
        <f>M46/L46</f>
        <v>112.63427109974431</v>
      </c>
      <c r="O46" s="11">
        <f>L46-I46</f>
        <v>0</v>
      </c>
      <c r="P46" s="12">
        <f>N46-K46</f>
        <v>-5.0127877237850953</v>
      </c>
      <c r="Q46" s="139">
        <f>N46/K46</f>
        <v>0.95739130434782671</v>
      </c>
      <c r="R46" s="571">
        <f>Q52</f>
        <v>0.96532125555498072</v>
      </c>
      <c r="S46" s="24">
        <v>0.20833333333333334</v>
      </c>
      <c r="T46" s="24">
        <v>0.25624999999999998</v>
      </c>
      <c r="U46" s="15"/>
      <c r="V46" s="148">
        <f t="shared" ref="V46:V51" si="70">(T46-S46)*24*60</f>
        <v>68.999999999999957</v>
      </c>
      <c r="W46" s="15"/>
      <c r="X46" s="15"/>
      <c r="Y46" s="617"/>
      <c r="Z46" s="617"/>
      <c r="AA46" s="11">
        <f t="shared" si="2"/>
        <v>-85.21739130434662</v>
      </c>
      <c r="AB46" s="139">
        <f t="shared" si="57"/>
        <v>0.95739130434782671</v>
      </c>
      <c r="AC46" s="571">
        <f>AB52</f>
        <v>0.96532125555498061</v>
      </c>
    </row>
    <row r="47" spans="1:29" ht="15.75" customHeight="1">
      <c r="A47" s="633" t="s">
        <v>31</v>
      </c>
      <c r="B47" s="26" t="s">
        <v>40</v>
      </c>
      <c r="C47" s="616" t="s">
        <v>74</v>
      </c>
      <c r="D47" s="616"/>
      <c r="E47" s="26">
        <v>46</v>
      </c>
      <c r="F47" s="28">
        <v>2458</v>
      </c>
      <c r="G47" s="138">
        <f t="shared" si="67"/>
        <v>113068</v>
      </c>
      <c r="H47" s="21" t="s">
        <v>35</v>
      </c>
      <c r="I47" s="147">
        <v>17</v>
      </c>
      <c r="J47" s="23">
        <v>2000</v>
      </c>
      <c r="K47" s="9">
        <f t="shared" si="68"/>
        <v>117.64705882352941</v>
      </c>
      <c r="L47" s="147">
        <v>17</v>
      </c>
      <c r="M47" s="10">
        <f t="shared" si="69"/>
        <v>1915.3246753246742</v>
      </c>
      <c r="N47" s="10">
        <f t="shared" ref="N47:N51" si="71">M47/L47</f>
        <v>112.66615737203966</v>
      </c>
      <c r="O47" s="11">
        <f t="shared" ref="O47:O51" si="72">L47-I47</f>
        <v>0</v>
      </c>
      <c r="P47" s="12">
        <f t="shared" ref="P47:P51" si="73">N47-K47</f>
        <v>-4.9809014514897427</v>
      </c>
      <c r="Q47" s="139">
        <f t="shared" ref="Q47:Q51" si="74">N47/K47</f>
        <v>0.95766233766233722</v>
      </c>
      <c r="R47" s="571"/>
      <c r="S47" s="24">
        <v>0.25972222222222219</v>
      </c>
      <c r="T47" s="24">
        <v>0.31319444444444444</v>
      </c>
      <c r="U47" s="138">
        <f>IF(S47=TIME(17,0,0),"",(S47-T46)*24*60)</f>
        <v>4.9999999999999822</v>
      </c>
      <c r="V47" s="148">
        <f t="shared" si="70"/>
        <v>77.000000000000043</v>
      </c>
      <c r="W47" s="13"/>
      <c r="X47" s="13"/>
      <c r="Y47" s="617"/>
      <c r="Z47" s="617"/>
      <c r="AA47" s="11">
        <f t="shared" si="2"/>
        <v>-84.675324675325783</v>
      </c>
      <c r="AB47" s="139">
        <f t="shared" si="57"/>
        <v>0.9576623376623371</v>
      </c>
      <c r="AC47" s="571"/>
    </row>
    <row r="48" spans="1:29" ht="15.75" customHeight="1">
      <c r="A48" s="633" t="s">
        <v>31</v>
      </c>
      <c r="B48" s="26" t="s">
        <v>36</v>
      </c>
      <c r="C48" s="627" t="s">
        <v>75</v>
      </c>
      <c r="D48" s="628"/>
      <c r="E48" s="26">
        <v>54.09</v>
      </c>
      <c r="F48" s="28">
        <v>788</v>
      </c>
      <c r="G48" s="138">
        <f t="shared" si="67"/>
        <v>42622.920000000006</v>
      </c>
      <c r="H48" s="21" t="s">
        <v>35</v>
      </c>
      <c r="I48" s="147">
        <v>16</v>
      </c>
      <c r="J48" s="23">
        <v>2000</v>
      </c>
      <c r="K48" s="9">
        <f t="shared" si="68"/>
        <v>125</v>
      </c>
      <c r="L48" s="147">
        <v>16</v>
      </c>
      <c r="M48" s="10">
        <f t="shared" si="69"/>
        <v>1970.0000000000005</v>
      </c>
      <c r="N48" s="10">
        <f t="shared" si="71"/>
        <v>123.12500000000003</v>
      </c>
      <c r="O48" s="11">
        <f t="shared" si="72"/>
        <v>0</v>
      </c>
      <c r="P48" s="12">
        <f t="shared" si="73"/>
        <v>-1.8749999999999716</v>
      </c>
      <c r="Q48" s="139">
        <f t="shared" si="74"/>
        <v>0.98500000000000021</v>
      </c>
      <c r="R48" s="571"/>
      <c r="S48" s="24">
        <v>0.31666666666666665</v>
      </c>
      <c r="T48" s="24">
        <v>0.33333333333333331</v>
      </c>
      <c r="U48" s="138">
        <f t="shared" ref="U48:U51" si="75">IF(S48=TIME(17,0,0),"",(S48-T47)*24*60)</f>
        <v>4.9999999999999822</v>
      </c>
      <c r="V48" s="148">
        <f t="shared" si="70"/>
        <v>23.999999999999993</v>
      </c>
      <c r="W48" s="13"/>
      <c r="X48" s="13"/>
      <c r="Y48" s="142"/>
      <c r="Z48" s="143"/>
      <c r="AA48" s="11">
        <f t="shared" si="2"/>
        <v>-29.999999999999545</v>
      </c>
      <c r="AB48" s="139">
        <f t="shared" si="57"/>
        <v>0.98500000000000021</v>
      </c>
      <c r="AC48" s="571"/>
    </row>
    <row r="49" spans="1:29" ht="15.75" customHeight="1">
      <c r="A49" s="633" t="s">
        <v>31</v>
      </c>
      <c r="B49" s="26" t="s">
        <v>36</v>
      </c>
      <c r="C49" s="140" t="s">
        <v>76</v>
      </c>
      <c r="D49" s="141"/>
      <c r="E49" s="26">
        <v>55.56</v>
      </c>
      <c r="F49" s="28">
        <v>2178</v>
      </c>
      <c r="G49" s="138">
        <f t="shared" si="67"/>
        <v>121009.68000000001</v>
      </c>
      <c r="H49" s="21" t="s">
        <v>35</v>
      </c>
      <c r="I49" s="147">
        <v>17</v>
      </c>
      <c r="J49" s="23">
        <v>2000</v>
      </c>
      <c r="K49" s="9">
        <f t="shared" si="68"/>
        <v>117.64705882352941</v>
      </c>
      <c r="L49" s="147">
        <v>17</v>
      </c>
      <c r="M49" s="10">
        <f t="shared" si="69"/>
        <v>1921.7647058823552</v>
      </c>
      <c r="N49" s="10">
        <f t="shared" si="71"/>
        <v>113.04498269896207</v>
      </c>
      <c r="O49" s="11">
        <f t="shared" si="72"/>
        <v>0</v>
      </c>
      <c r="P49" s="12">
        <f t="shared" si="73"/>
        <v>-4.6020761245673327</v>
      </c>
      <c r="Q49" s="139">
        <f t="shared" si="74"/>
        <v>0.96088235294117763</v>
      </c>
      <c r="R49" s="571"/>
      <c r="S49" s="24">
        <v>0.70833333333333337</v>
      </c>
      <c r="T49" s="24">
        <v>0.75555555555555554</v>
      </c>
      <c r="U49" s="138" t="str">
        <f t="shared" si="75"/>
        <v/>
      </c>
      <c r="V49" s="148">
        <f t="shared" si="70"/>
        <v>67.999999999999915</v>
      </c>
      <c r="W49" s="13"/>
      <c r="X49" s="13"/>
      <c r="Y49" s="142"/>
      <c r="Z49" s="143"/>
      <c r="AA49" s="11">
        <f t="shared" si="2"/>
        <v>-78.235294117644798</v>
      </c>
      <c r="AB49" s="139">
        <f t="shared" si="57"/>
        <v>0.96088235294117763</v>
      </c>
      <c r="AC49" s="571"/>
    </row>
    <row r="50" spans="1:29" ht="15.75" customHeight="1">
      <c r="A50" s="633" t="s">
        <v>31</v>
      </c>
      <c r="B50" s="26" t="s">
        <v>36</v>
      </c>
      <c r="C50" s="140" t="s">
        <v>77</v>
      </c>
      <c r="D50" s="141"/>
      <c r="E50" s="26">
        <v>55.32</v>
      </c>
      <c r="F50" s="28">
        <v>1573</v>
      </c>
      <c r="G50" s="138">
        <f t="shared" si="67"/>
        <v>87018.36</v>
      </c>
      <c r="H50" s="21" t="s">
        <v>35</v>
      </c>
      <c r="I50" s="147">
        <v>15</v>
      </c>
      <c r="J50" s="23">
        <v>2000</v>
      </c>
      <c r="K50" s="9">
        <f t="shared" si="68"/>
        <v>133.33333333333334</v>
      </c>
      <c r="L50" s="147">
        <v>15</v>
      </c>
      <c r="M50" s="10">
        <f t="shared" si="69"/>
        <v>1926.1224489795925</v>
      </c>
      <c r="N50" s="10">
        <f t="shared" si="71"/>
        <v>128.40816326530617</v>
      </c>
      <c r="O50" s="11">
        <f t="shared" si="72"/>
        <v>0</v>
      </c>
      <c r="P50" s="12">
        <f t="shared" si="73"/>
        <v>-4.9251700680271711</v>
      </c>
      <c r="Q50" s="139">
        <f t="shared" si="74"/>
        <v>0.96306122448979625</v>
      </c>
      <c r="R50" s="571"/>
      <c r="S50" s="24">
        <v>0.76041666666666663</v>
      </c>
      <c r="T50" s="24">
        <v>0.7944444444444444</v>
      </c>
      <c r="U50" s="138">
        <f t="shared" si="75"/>
        <v>6.9999999999999751</v>
      </c>
      <c r="V50" s="148">
        <f t="shared" si="70"/>
        <v>48.999999999999986</v>
      </c>
      <c r="W50" s="13"/>
      <c r="X50" s="13"/>
      <c r="Y50" s="142"/>
      <c r="Z50" s="143"/>
      <c r="AA50" s="11">
        <f t="shared" si="2"/>
        <v>-73.877551020407509</v>
      </c>
      <c r="AB50" s="139">
        <f t="shared" si="57"/>
        <v>0.96306122448979625</v>
      </c>
      <c r="AC50" s="571"/>
    </row>
    <row r="51" spans="1:29" ht="15.75" customHeight="1">
      <c r="A51" s="633" t="s">
        <v>31</v>
      </c>
      <c r="B51" s="26" t="s">
        <v>36</v>
      </c>
      <c r="C51" s="627" t="s">
        <v>78</v>
      </c>
      <c r="D51" s="628"/>
      <c r="E51" s="26">
        <v>57.73</v>
      </c>
      <c r="F51" s="28">
        <v>1211</v>
      </c>
      <c r="G51" s="138">
        <f t="shared" si="67"/>
        <v>69911.03</v>
      </c>
      <c r="H51" s="21" t="s">
        <v>35</v>
      </c>
      <c r="I51" s="147">
        <v>16</v>
      </c>
      <c r="J51" s="23">
        <v>1500</v>
      </c>
      <c r="K51" s="9">
        <f t="shared" si="68"/>
        <v>93.75</v>
      </c>
      <c r="L51" s="147">
        <v>16</v>
      </c>
      <c r="M51" s="10">
        <f t="shared" si="69"/>
        <v>1453.2000000000003</v>
      </c>
      <c r="N51" s="10">
        <f t="shared" si="71"/>
        <v>90.825000000000017</v>
      </c>
      <c r="O51" s="11">
        <f t="shared" si="72"/>
        <v>0</v>
      </c>
      <c r="P51" s="12">
        <f t="shared" si="73"/>
        <v>-2.9249999999999829</v>
      </c>
      <c r="Q51" s="139">
        <f t="shared" si="74"/>
        <v>0.96880000000000022</v>
      </c>
      <c r="R51" s="571"/>
      <c r="S51" s="24">
        <v>0.79999999999999993</v>
      </c>
      <c r="T51" s="24">
        <v>0.83472222222222214</v>
      </c>
      <c r="U51" s="138">
        <f t="shared" si="75"/>
        <v>7.9999999999999716</v>
      </c>
      <c r="V51" s="148">
        <f t="shared" si="70"/>
        <v>49.999999999999986</v>
      </c>
      <c r="W51" s="13"/>
      <c r="X51" s="13"/>
      <c r="Y51" s="621"/>
      <c r="Z51" s="622"/>
      <c r="AA51" s="11">
        <f t="shared" si="2"/>
        <v>-46.799999999999727</v>
      </c>
      <c r="AB51" s="139">
        <f t="shared" si="57"/>
        <v>0.96880000000000022</v>
      </c>
      <c r="AC51" s="571"/>
    </row>
    <row r="52" spans="1:29">
      <c r="A52" s="634" t="s">
        <v>31</v>
      </c>
      <c r="B52" s="26" t="s">
        <v>22</v>
      </c>
      <c r="C52" s="629"/>
      <c r="D52" s="629"/>
      <c r="E52" s="137"/>
      <c r="F52" s="27"/>
      <c r="G52" s="9"/>
      <c r="H52" s="149"/>
      <c r="I52" s="16">
        <v>16.333333333333332</v>
      </c>
      <c r="J52" s="23">
        <v>1916.6666666666667</v>
      </c>
      <c r="K52" s="9">
        <f>J52/I52</f>
        <v>117.34693877551021</v>
      </c>
      <c r="L52" s="16">
        <v>16.333333333333332</v>
      </c>
      <c r="M52" s="10">
        <f>AVERAGE(M46:M51)</f>
        <v>1850.1990731470462</v>
      </c>
      <c r="N52" s="9">
        <f>M52/L52</f>
        <v>113.27749427430896</v>
      </c>
      <c r="O52" s="11">
        <f>L52-I52</f>
        <v>0</v>
      </c>
      <c r="P52" s="12">
        <f>N52-K52</f>
        <v>-4.0694445012012466</v>
      </c>
      <c r="Q52" s="139">
        <f>N52/K52</f>
        <v>0.96532125555498072</v>
      </c>
      <c r="R52" s="571"/>
      <c r="S52" s="25"/>
      <c r="T52" s="24"/>
      <c r="U52" s="9"/>
      <c r="V52" s="148"/>
      <c r="W52" s="9"/>
      <c r="X52" s="9"/>
      <c r="Y52" s="617"/>
      <c r="Z52" s="617"/>
      <c r="AA52" s="11">
        <f t="shared" si="2"/>
        <v>-66.46759351962055</v>
      </c>
      <c r="AB52" s="139">
        <f t="shared" si="57"/>
        <v>0.96532125555498061</v>
      </c>
      <c r="AC52" s="571"/>
    </row>
    <row r="53" spans="1:29" ht="15.75" customHeight="1">
      <c r="A53" s="623" t="s">
        <v>32</v>
      </c>
      <c r="B53" s="149" t="s">
        <v>67</v>
      </c>
      <c r="C53" s="616" t="s">
        <v>79</v>
      </c>
      <c r="D53" s="616"/>
      <c r="E53" s="26">
        <v>26.78</v>
      </c>
      <c r="F53" s="28">
        <v>2412</v>
      </c>
      <c r="G53" s="138">
        <f t="shared" ref="G53:G57" si="76">E53*F53</f>
        <v>64593.36</v>
      </c>
      <c r="H53" s="21" t="s">
        <v>35</v>
      </c>
      <c r="I53" s="147">
        <v>10</v>
      </c>
      <c r="J53" s="23">
        <v>3000</v>
      </c>
      <c r="K53" s="9">
        <f t="shared" ref="K53:K57" si="77">J53/I53</f>
        <v>300</v>
      </c>
      <c r="L53" s="16">
        <v>10</v>
      </c>
      <c r="M53" s="10">
        <f t="shared" ref="M53:M57" si="78">F53/V53*60</f>
        <v>2894.3999999999987</v>
      </c>
      <c r="N53" s="9">
        <f>M53/L53</f>
        <v>289.43999999999988</v>
      </c>
      <c r="O53" s="11">
        <f t="shared" ref="O53:O57" si="79">L53-I53</f>
        <v>0</v>
      </c>
      <c r="P53" s="12">
        <f t="shared" ref="P53:P57" si="80">N53-K53</f>
        <v>-10.560000000000116</v>
      </c>
      <c r="Q53" s="139">
        <f>N53/K53</f>
        <v>0.96479999999999966</v>
      </c>
      <c r="R53" s="571">
        <f>Q58</f>
        <v>0.96357537662337678</v>
      </c>
      <c r="S53" s="24">
        <v>0.20833333333333334</v>
      </c>
      <c r="T53" s="24">
        <v>0.24305555555555558</v>
      </c>
      <c r="U53" s="138"/>
      <c r="V53" s="148">
        <f t="shared" ref="V53:V57" si="81">(T53-S53)*24*60</f>
        <v>50.000000000000021</v>
      </c>
      <c r="W53" s="15"/>
      <c r="X53" s="15"/>
      <c r="Y53" s="617"/>
      <c r="Z53" s="617"/>
      <c r="AA53" s="11">
        <f t="shared" si="2"/>
        <v>-105.60000000000127</v>
      </c>
      <c r="AB53" s="139">
        <f t="shared" si="57"/>
        <v>0.96479999999999955</v>
      </c>
      <c r="AC53" s="571">
        <f>AB58</f>
        <v>0.96357537662337678</v>
      </c>
    </row>
    <row r="54" spans="1:29" ht="15.75" customHeight="1">
      <c r="A54" s="623" t="s">
        <v>32</v>
      </c>
      <c r="B54" s="149" t="s">
        <v>67</v>
      </c>
      <c r="C54" s="616" t="s">
        <v>80</v>
      </c>
      <c r="D54" s="616"/>
      <c r="E54" s="26">
        <v>35.119999999999997</v>
      </c>
      <c r="F54" s="28">
        <v>1076</v>
      </c>
      <c r="G54" s="138">
        <f t="shared" si="76"/>
        <v>37789.119999999995</v>
      </c>
      <c r="H54" s="21" t="s">
        <v>35</v>
      </c>
      <c r="I54" s="147">
        <v>13</v>
      </c>
      <c r="J54" s="23">
        <v>2000</v>
      </c>
      <c r="K54" s="9">
        <f t="shared" si="77"/>
        <v>153.84615384615384</v>
      </c>
      <c r="L54" s="16">
        <v>13</v>
      </c>
      <c r="M54" s="10">
        <f t="shared" si="78"/>
        <v>1956.3636363636365</v>
      </c>
      <c r="N54" s="9">
        <f t="shared" ref="N54:N57" si="82">M54/L54</f>
        <v>150.48951048951051</v>
      </c>
      <c r="O54" s="11">
        <f t="shared" si="79"/>
        <v>0</v>
      </c>
      <c r="P54" s="12">
        <f t="shared" si="80"/>
        <v>-3.3566433566433318</v>
      </c>
      <c r="Q54" s="139">
        <f t="shared" ref="Q54:Q57" si="83">N54/K54</f>
        <v>0.97818181818181837</v>
      </c>
      <c r="R54" s="571"/>
      <c r="S54" s="24">
        <v>0.2479166666666667</v>
      </c>
      <c r="T54" s="24">
        <v>0.27083333333333337</v>
      </c>
      <c r="U54" s="138">
        <f>(S54-T53)*24*60</f>
        <v>7.0000000000000151</v>
      </c>
      <c r="V54" s="148">
        <f t="shared" si="81"/>
        <v>33</v>
      </c>
      <c r="W54" s="138"/>
      <c r="X54" s="138"/>
      <c r="Y54" s="617"/>
      <c r="Z54" s="617"/>
      <c r="AA54" s="11">
        <f t="shared" si="2"/>
        <v>-43.636363636363512</v>
      </c>
      <c r="AB54" s="139">
        <f t="shared" si="57"/>
        <v>0.97818181818181826</v>
      </c>
      <c r="AC54" s="571"/>
    </row>
    <row r="55" spans="1:29" ht="15.75" customHeight="1">
      <c r="A55" s="623" t="s">
        <v>32</v>
      </c>
      <c r="B55" s="149" t="s">
        <v>67</v>
      </c>
      <c r="C55" s="616" t="s">
        <v>81</v>
      </c>
      <c r="D55" s="616"/>
      <c r="E55" s="26">
        <v>35.869999999999997</v>
      </c>
      <c r="F55" s="28">
        <v>2029</v>
      </c>
      <c r="G55" s="138">
        <f t="shared" si="76"/>
        <v>72780.23</v>
      </c>
      <c r="H55" s="21" t="s">
        <v>35</v>
      </c>
      <c r="I55" s="147">
        <v>10</v>
      </c>
      <c r="J55" s="23">
        <v>3000</v>
      </c>
      <c r="K55" s="9">
        <f t="shared" si="77"/>
        <v>300</v>
      </c>
      <c r="L55" s="16">
        <v>10</v>
      </c>
      <c r="M55" s="10">
        <f t="shared" si="78"/>
        <v>2898.5714285714275</v>
      </c>
      <c r="N55" s="9">
        <f t="shared" si="82"/>
        <v>289.85714285714278</v>
      </c>
      <c r="O55" s="11">
        <f t="shared" si="79"/>
        <v>0</v>
      </c>
      <c r="P55" s="12">
        <f t="shared" si="80"/>
        <v>-10.142857142857224</v>
      </c>
      <c r="Q55" s="139">
        <f t="shared" si="83"/>
        <v>0.96619047619047593</v>
      </c>
      <c r="R55" s="571"/>
      <c r="S55" s="24">
        <v>0.27638888888888891</v>
      </c>
      <c r="T55" s="24">
        <v>0.30555555555555558</v>
      </c>
      <c r="U55" s="138">
        <f t="shared" ref="U55:U57" si="84">(S55-T54)*24*60</f>
        <v>7.9999999999999716</v>
      </c>
      <c r="V55" s="148">
        <f t="shared" si="81"/>
        <v>42.000000000000014</v>
      </c>
      <c r="W55" s="138"/>
      <c r="X55" s="138"/>
      <c r="Y55" s="617"/>
      <c r="Z55" s="617"/>
      <c r="AA55" s="11">
        <f t="shared" si="2"/>
        <v>-101.42857142857247</v>
      </c>
      <c r="AB55" s="139">
        <f t="shared" si="57"/>
        <v>0.96619047619047582</v>
      </c>
      <c r="AC55" s="571"/>
    </row>
    <row r="56" spans="1:29" ht="15.75" customHeight="1">
      <c r="A56" s="623" t="s">
        <v>32</v>
      </c>
      <c r="B56" s="149" t="s">
        <v>40</v>
      </c>
      <c r="C56" s="616" t="s">
        <v>82</v>
      </c>
      <c r="D56" s="616"/>
      <c r="E56" s="26">
        <v>26.97</v>
      </c>
      <c r="F56" s="28">
        <v>2682</v>
      </c>
      <c r="G56" s="138">
        <f t="shared" si="76"/>
        <v>72333.539999999994</v>
      </c>
      <c r="H56" s="21" t="s">
        <v>35</v>
      </c>
      <c r="I56" s="147">
        <v>8</v>
      </c>
      <c r="J56" s="23">
        <v>1500</v>
      </c>
      <c r="K56" s="9">
        <f t="shared" si="77"/>
        <v>187.5</v>
      </c>
      <c r="L56" s="16">
        <v>8</v>
      </c>
      <c r="M56" s="10">
        <f t="shared" si="78"/>
        <v>1436.7857142857144</v>
      </c>
      <c r="N56" s="9">
        <f t="shared" si="82"/>
        <v>179.59821428571431</v>
      </c>
      <c r="O56" s="11">
        <f t="shared" si="79"/>
        <v>0</v>
      </c>
      <c r="P56" s="12">
        <f t="shared" si="80"/>
        <v>-7.901785714285694</v>
      </c>
      <c r="Q56" s="139">
        <f t="shared" si="83"/>
        <v>0.95785714285714296</v>
      </c>
      <c r="R56" s="571"/>
      <c r="S56" s="24">
        <v>0.30902777777777779</v>
      </c>
      <c r="T56" s="24">
        <v>0.38680555555555557</v>
      </c>
      <c r="U56" s="138">
        <f t="shared" si="84"/>
        <v>4.9999999999999822</v>
      </c>
      <c r="V56" s="148">
        <f t="shared" si="81"/>
        <v>112</v>
      </c>
      <c r="W56" s="138"/>
      <c r="X56" s="138"/>
      <c r="Y56" s="617"/>
      <c r="Z56" s="617"/>
      <c r="AA56" s="11">
        <f t="shared" si="2"/>
        <v>-63.214285714285552</v>
      </c>
      <c r="AB56" s="139">
        <f t="shared" si="57"/>
        <v>0.95785714285714296</v>
      </c>
      <c r="AC56" s="571"/>
    </row>
    <row r="57" spans="1:29">
      <c r="A57" s="624" t="s">
        <v>32</v>
      </c>
      <c r="B57" s="149" t="s">
        <v>67</v>
      </c>
      <c r="C57" s="616" t="s">
        <v>83</v>
      </c>
      <c r="D57" s="616"/>
      <c r="E57" s="26">
        <v>35.369999999999997</v>
      </c>
      <c r="F57" s="28">
        <v>1334</v>
      </c>
      <c r="G57" s="138">
        <f t="shared" si="76"/>
        <v>47183.579999999994</v>
      </c>
      <c r="H57" s="21" t="s">
        <v>35</v>
      </c>
      <c r="I57" s="147">
        <v>10</v>
      </c>
      <c r="J57" s="23">
        <v>3000</v>
      </c>
      <c r="K57" s="9">
        <f t="shared" si="77"/>
        <v>300</v>
      </c>
      <c r="L57" s="16">
        <v>10</v>
      </c>
      <c r="M57" s="10">
        <f t="shared" si="78"/>
        <v>2858.5714285714307</v>
      </c>
      <c r="N57" s="9">
        <f t="shared" si="82"/>
        <v>285.85714285714306</v>
      </c>
      <c r="O57" s="11">
        <f t="shared" si="79"/>
        <v>0</v>
      </c>
      <c r="P57" s="12">
        <f t="shared" si="80"/>
        <v>-14.14285714285694</v>
      </c>
      <c r="Q57" s="139">
        <f t="shared" si="83"/>
        <v>0.95285714285714351</v>
      </c>
      <c r="R57" s="571"/>
      <c r="S57" s="24">
        <v>0.39166666666666666</v>
      </c>
      <c r="T57" s="24">
        <v>0.41111111111111109</v>
      </c>
      <c r="U57" s="138">
        <f t="shared" si="84"/>
        <v>6.9999999999999751</v>
      </c>
      <c r="V57" s="148">
        <f t="shared" si="81"/>
        <v>27.999999999999979</v>
      </c>
      <c r="W57" s="13"/>
      <c r="X57" s="13"/>
      <c r="Y57" s="617"/>
      <c r="Z57" s="617"/>
      <c r="AA57" s="11">
        <f t="shared" si="2"/>
        <v>-141.42857142856928</v>
      </c>
      <c r="AB57" s="139">
        <f t="shared" si="57"/>
        <v>0.95285714285714362</v>
      </c>
      <c r="AC57" s="571"/>
    </row>
    <row r="58" spans="1:29">
      <c r="A58" s="624" t="s">
        <v>32</v>
      </c>
      <c r="B58" s="26" t="s">
        <v>22</v>
      </c>
      <c r="C58" s="629"/>
      <c r="D58" s="629"/>
      <c r="E58" s="137"/>
      <c r="F58" s="27"/>
      <c r="G58" s="9"/>
      <c r="H58" s="149"/>
      <c r="I58" s="16">
        <v>10.199999999999999</v>
      </c>
      <c r="J58" s="23">
        <v>2500</v>
      </c>
      <c r="K58" s="9">
        <f>J58/I58</f>
        <v>245.0980392156863</v>
      </c>
      <c r="L58" s="16">
        <v>10.199999999999999</v>
      </c>
      <c r="M58" s="10">
        <f>AVERAGE(M53:M57)</f>
        <v>2408.9384415584418</v>
      </c>
      <c r="N58" s="9">
        <f>M58/L58</f>
        <v>236.17043544690608</v>
      </c>
      <c r="O58" s="11">
        <f>L58-I58</f>
        <v>0</v>
      </c>
      <c r="P58" s="12">
        <f>N58-K58</f>
        <v>-8.9276037687802159</v>
      </c>
      <c r="Q58" s="139">
        <f>N58/K58</f>
        <v>0.96357537662337678</v>
      </c>
      <c r="R58" s="571"/>
      <c r="S58" s="24"/>
      <c r="T58" s="24"/>
      <c r="U58" s="9"/>
      <c r="V58" s="148"/>
      <c r="W58" s="9"/>
      <c r="X58" s="9"/>
      <c r="Y58" s="617"/>
      <c r="Z58" s="617"/>
      <c r="AA58" s="11">
        <f t="shared" si="2"/>
        <v>-91.061558441558191</v>
      </c>
      <c r="AB58" s="139">
        <f t="shared" si="57"/>
        <v>0.96357537662337678</v>
      </c>
      <c r="AC58" s="571"/>
    </row>
    <row r="59" spans="1:29" ht="15.75" customHeight="1">
      <c r="A59" s="643" t="s">
        <v>33</v>
      </c>
      <c r="B59" s="149" t="s">
        <v>46</v>
      </c>
      <c r="C59" s="616" t="s">
        <v>84</v>
      </c>
      <c r="D59" s="616"/>
      <c r="E59" s="26">
        <v>20.2</v>
      </c>
      <c r="F59" s="149">
        <v>1818</v>
      </c>
      <c r="G59" s="138">
        <f t="shared" ref="G59:G63" si="85">E59*F59</f>
        <v>36723.599999999999</v>
      </c>
      <c r="H59" s="21" t="s">
        <v>35</v>
      </c>
      <c r="I59" s="147">
        <v>19</v>
      </c>
      <c r="J59" s="23">
        <v>2400</v>
      </c>
      <c r="K59" s="9">
        <f t="shared" ref="K59:K61" si="86">J59/I59</f>
        <v>126.31578947368421</v>
      </c>
      <c r="L59" s="16">
        <v>19</v>
      </c>
      <c r="M59" s="10">
        <f>F59/V59*60</f>
        <v>2320.8510638297876</v>
      </c>
      <c r="N59" s="9">
        <f t="shared" ref="N59:N63" si="87">M59/L59</f>
        <v>122.15005599104146</v>
      </c>
      <c r="O59" s="11">
        <f t="shared" ref="O59:O63" si="88">L59-I59</f>
        <v>0</v>
      </c>
      <c r="P59" s="12">
        <f t="shared" ref="P59:P63" si="89">N59-K59</f>
        <v>-4.1657334826427501</v>
      </c>
      <c r="Q59" s="139">
        <f>N59/K59</f>
        <v>0.96702127659574488</v>
      </c>
      <c r="R59" s="571">
        <f>Q64</f>
        <v>0.95724872967252073</v>
      </c>
      <c r="S59" s="24">
        <v>0.125</v>
      </c>
      <c r="T59" s="24">
        <v>0.15763888888888888</v>
      </c>
      <c r="U59" s="15"/>
      <c r="V59" s="148">
        <f t="shared" ref="V59:V63" si="90">(T59-S59)*24*60</f>
        <v>46.999999999999993</v>
      </c>
      <c r="W59" s="13">
        <f>T59</f>
        <v>0.15763888888888888</v>
      </c>
      <c r="X59" s="13">
        <f>S60</f>
        <v>0.17777777777777778</v>
      </c>
      <c r="Y59" s="617"/>
      <c r="Z59" s="617"/>
      <c r="AA59" s="11">
        <f t="shared" si="2"/>
        <v>-79.148936170212437</v>
      </c>
      <c r="AB59" s="139">
        <f>M59/J59</f>
        <v>0.96702127659574477</v>
      </c>
      <c r="AC59" s="571">
        <f>AB64</f>
        <v>0.95724872967252073</v>
      </c>
    </row>
    <row r="60" spans="1:29" ht="15.75" customHeight="1">
      <c r="A60" s="643" t="s">
        <v>33</v>
      </c>
      <c r="B60" s="149" t="s">
        <v>46</v>
      </c>
      <c r="C60" s="616" t="s">
        <v>85</v>
      </c>
      <c r="D60" s="616"/>
      <c r="E60" s="26">
        <v>19.02</v>
      </c>
      <c r="F60" s="149">
        <v>7960</v>
      </c>
      <c r="G60" s="138">
        <f t="shared" si="85"/>
        <v>151399.19999999998</v>
      </c>
      <c r="H60" s="21" t="s">
        <v>35</v>
      </c>
      <c r="I60" s="147">
        <v>15</v>
      </c>
      <c r="J60" s="23">
        <v>2400</v>
      </c>
      <c r="K60" s="9">
        <f t="shared" si="86"/>
        <v>160</v>
      </c>
      <c r="L60" s="16">
        <v>15</v>
      </c>
      <c r="M60" s="10">
        <f t="shared" ref="M60:M63" si="91">F60/V60*60</f>
        <v>2285.1674641148329</v>
      </c>
      <c r="N60" s="9">
        <f t="shared" si="87"/>
        <v>152.34449760765554</v>
      </c>
      <c r="O60" s="11">
        <f t="shared" si="88"/>
        <v>0</v>
      </c>
      <c r="P60" s="12">
        <f t="shared" si="89"/>
        <v>-7.6555023923444594</v>
      </c>
      <c r="Q60" s="139">
        <f t="shared" ref="Q60:Q64" si="92">N60/K60</f>
        <v>0.95215311004784708</v>
      </c>
      <c r="R60" s="571"/>
      <c r="S60" s="24">
        <v>0.17777777777777778</v>
      </c>
      <c r="T60" s="24">
        <v>0.32291666666666669</v>
      </c>
      <c r="U60" s="138">
        <f>(S60-T59)*24*60</f>
        <v>29.000000000000018</v>
      </c>
      <c r="V60" s="148">
        <f t="shared" si="90"/>
        <v>209</v>
      </c>
      <c r="W60" s="13"/>
      <c r="X60" s="13"/>
      <c r="Y60" s="617"/>
      <c r="Z60" s="617"/>
      <c r="AA60" s="11">
        <f t="shared" si="2"/>
        <v>-114.83253588516709</v>
      </c>
      <c r="AB60" s="139">
        <f t="shared" ref="AB60:AB64" si="93">M60/J60</f>
        <v>0.95215311004784708</v>
      </c>
      <c r="AC60" s="571"/>
    </row>
    <row r="61" spans="1:29" ht="15.75" customHeight="1">
      <c r="A61" s="643" t="s">
        <v>33</v>
      </c>
      <c r="B61" s="149" t="s">
        <v>46</v>
      </c>
      <c r="C61" s="616" t="s">
        <v>86</v>
      </c>
      <c r="D61" s="616"/>
      <c r="E61" s="26">
        <v>24.25</v>
      </c>
      <c r="F61" s="149">
        <v>2258</v>
      </c>
      <c r="G61" s="138">
        <f t="shared" si="85"/>
        <v>54756.5</v>
      </c>
      <c r="H61" s="21" t="s">
        <v>35</v>
      </c>
      <c r="I61" s="147">
        <v>18</v>
      </c>
      <c r="J61" s="23">
        <v>2400</v>
      </c>
      <c r="K61" s="9">
        <f t="shared" si="86"/>
        <v>133.33333333333334</v>
      </c>
      <c r="L61" s="16">
        <v>18</v>
      </c>
      <c r="M61" s="10">
        <f t="shared" si="91"/>
        <v>2296.271186440677</v>
      </c>
      <c r="N61" s="9">
        <f t="shared" si="87"/>
        <v>127.5706214689265</v>
      </c>
      <c r="O61" s="11">
        <f t="shared" si="88"/>
        <v>0</v>
      </c>
      <c r="P61" s="12">
        <f t="shared" si="89"/>
        <v>-5.7627118644068389</v>
      </c>
      <c r="Q61" s="139">
        <f t="shared" si="92"/>
        <v>0.95677966101694867</v>
      </c>
      <c r="R61" s="571"/>
      <c r="S61" s="24">
        <v>0.3263888888888889</v>
      </c>
      <c r="T61" s="24">
        <v>0.36736111111111114</v>
      </c>
      <c r="U61" s="138">
        <f t="shared" ref="U61:U63" si="94">(S61-T60)*24*60</f>
        <v>4.9999999999999822</v>
      </c>
      <c r="V61" s="148">
        <f t="shared" si="90"/>
        <v>59.000000000000028</v>
      </c>
      <c r="W61" s="13"/>
      <c r="X61" s="13"/>
      <c r="Y61" s="617"/>
      <c r="Z61" s="617"/>
      <c r="AA61" s="11">
        <f t="shared" si="2"/>
        <v>-103.72881355932304</v>
      </c>
      <c r="AB61" s="139">
        <f t="shared" si="93"/>
        <v>0.95677966101694878</v>
      </c>
      <c r="AC61" s="571"/>
    </row>
    <row r="62" spans="1:29" ht="15.75" customHeight="1">
      <c r="A62" s="643" t="s">
        <v>33</v>
      </c>
      <c r="B62" s="149" t="s">
        <v>46</v>
      </c>
      <c r="C62" s="616" t="s">
        <v>87</v>
      </c>
      <c r="D62" s="616"/>
      <c r="E62" s="26">
        <v>20.52</v>
      </c>
      <c r="F62" s="149">
        <v>4063</v>
      </c>
      <c r="G62" s="138">
        <f t="shared" si="85"/>
        <v>83372.759999999995</v>
      </c>
      <c r="H62" s="21" t="s">
        <v>35</v>
      </c>
      <c r="I62" s="147">
        <v>18</v>
      </c>
      <c r="J62" s="23">
        <v>2400</v>
      </c>
      <c r="K62" s="9">
        <f>J62/I62</f>
        <v>133.33333333333334</v>
      </c>
      <c r="L62" s="16">
        <v>18</v>
      </c>
      <c r="M62" s="10">
        <f t="shared" si="91"/>
        <v>2299.8113207547167</v>
      </c>
      <c r="N62" s="9">
        <f t="shared" si="87"/>
        <v>127.76729559748426</v>
      </c>
      <c r="O62" s="11">
        <f t="shared" si="88"/>
        <v>0</v>
      </c>
      <c r="P62" s="12">
        <f t="shared" si="89"/>
        <v>-5.5660377358490791</v>
      </c>
      <c r="Q62" s="139">
        <f t="shared" si="92"/>
        <v>0.95825471698113196</v>
      </c>
      <c r="R62" s="571"/>
      <c r="S62" s="24">
        <v>0.37291666666666667</v>
      </c>
      <c r="T62" s="24">
        <v>0.4465277777777778</v>
      </c>
      <c r="U62" s="138">
        <f t="shared" si="94"/>
        <v>7.9999999999999716</v>
      </c>
      <c r="V62" s="148">
        <f t="shared" si="90"/>
        <v>106.00000000000003</v>
      </c>
      <c r="W62" s="13"/>
      <c r="X62" s="13"/>
      <c r="Y62" s="617"/>
      <c r="Z62" s="617"/>
      <c r="AA62" s="11">
        <f t="shared" si="2"/>
        <v>-100.18867924528331</v>
      </c>
      <c r="AB62" s="139">
        <f t="shared" si="93"/>
        <v>0.95825471698113196</v>
      </c>
      <c r="AC62" s="571"/>
    </row>
    <row r="63" spans="1:29" ht="15.75" customHeight="1">
      <c r="A63" s="643" t="s">
        <v>33</v>
      </c>
      <c r="B63" s="149" t="s">
        <v>46</v>
      </c>
      <c r="C63" s="616" t="s">
        <v>88</v>
      </c>
      <c r="D63" s="616"/>
      <c r="E63" s="26">
        <v>24.25</v>
      </c>
      <c r="F63" s="149">
        <v>3275</v>
      </c>
      <c r="G63" s="138">
        <f t="shared" si="85"/>
        <v>79418.75</v>
      </c>
      <c r="H63" s="21" t="s">
        <v>35</v>
      </c>
      <c r="I63" s="147">
        <v>17</v>
      </c>
      <c r="J63" s="23">
        <v>2400</v>
      </c>
      <c r="K63" s="9">
        <f t="shared" ref="K63:K64" si="95">J63/I63</f>
        <v>141.1764705882353</v>
      </c>
      <c r="L63" s="16">
        <v>17</v>
      </c>
      <c r="M63" s="10">
        <f t="shared" si="91"/>
        <v>2284.8837209302346</v>
      </c>
      <c r="N63" s="9">
        <f t="shared" si="87"/>
        <v>134.40492476060203</v>
      </c>
      <c r="O63" s="11">
        <f t="shared" si="88"/>
        <v>0</v>
      </c>
      <c r="P63" s="12">
        <f t="shared" si="89"/>
        <v>-6.7715458276332754</v>
      </c>
      <c r="Q63" s="139">
        <f t="shared" si="92"/>
        <v>0.95203488372093092</v>
      </c>
      <c r="R63" s="571"/>
      <c r="S63" s="24">
        <v>0.45</v>
      </c>
      <c r="T63" s="24">
        <v>0.50972222222222219</v>
      </c>
      <c r="U63" s="138">
        <f t="shared" si="94"/>
        <v>4.9999999999999822</v>
      </c>
      <c r="V63" s="148">
        <f t="shared" si="90"/>
        <v>85.999999999999929</v>
      </c>
      <c r="W63" s="13"/>
      <c r="X63" s="13"/>
      <c r="Y63" s="617"/>
      <c r="Z63" s="617"/>
      <c r="AA63" s="11">
        <f t="shared" si="2"/>
        <v>-115.11627906976537</v>
      </c>
      <c r="AB63" s="139">
        <f t="shared" si="93"/>
        <v>0.95203488372093115</v>
      </c>
      <c r="AC63" s="571"/>
    </row>
    <row r="64" spans="1:29" ht="16.5" customHeight="1">
      <c r="A64" s="660" t="s">
        <v>33</v>
      </c>
      <c r="B64" s="26" t="s">
        <v>22</v>
      </c>
      <c r="C64" s="629"/>
      <c r="D64" s="629"/>
      <c r="E64" s="137"/>
      <c r="F64" s="27"/>
      <c r="G64" s="9"/>
      <c r="H64" s="149"/>
      <c r="I64" s="16">
        <v>17.399999999999999</v>
      </c>
      <c r="J64" s="23">
        <v>2400</v>
      </c>
      <c r="K64" s="9">
        <f t="shared" si="95"/>
        <v>137.93103448275863</v>
      </c>
      <c r="L64" s="16">
        <v>17.399999999999999</v>
      </c>
      <c r="M64" s="10">
        <f>AVERAGE(M59:M63)</f>
        <v>2297.3969512140497</v>
      </c>
      <c r="N64" s="9">
        <f>M64/L64</f>
        <v>132.03430754103735</v>
      </c>
      <c r="O64" s="11">
        <f>L64-I64</f>
        <v>0</v>
      </c>
      <c r="P64" s="12">
        <f>N64-K64</f>
        <v>-5.8967269417212833</v>
      </c>
      <c r="Q64" s="139">
        <f t="shared" si="92"/>
        <v>0.95724872967252073</v>
      </c>
      <c r="R64" s="571"/>
      <c r="S64" s="24"/>
      <c r="T64" s="24"/>
      <c r="U64" s="9"/>
      <c r="V64" s="148"/>
      <c r="W64" s="9"/>
      <c r="X64" s="9"/>
      <c r="Y64" s="617"/>
      <c r="Z64" s="617"/>
      <c r="AA64" s="11">
        <f t="shared" si="2"/>
        <v>-102.60304878595025</v>
      </c>
      <c r="AB64" s="139">
        <f t="shared" si="93"/>
        <v>0.95724872967252073</v>
      </c>
      <c r="AC64" s="571"/>
    </row>
    <row r="65" spans="4:5">
      <c r="D65" s="17"/>
      <c r="E65" s="17"/>
    </row>
  </sheetData>
  <mergeCells count="175">
    <mergeCell ref="I1:K2"/>
    <mergeCell ref="L1:N2"/>
    <mergeCell ref="O1:R2"/>
    <mergeCell ref="S1:X2"/>
    <mergeCell ref="Y1:Z2"/>
    <mergeCell ref="AA1:AC2"/>
    <mergeCell ref="J3:J4"/>
    <mergeCell ref="K3:K4"/>
    <mergeCell ref="L3:L4"/>
    <mergeCell ref="M3:M4"/>
    <mergeCell ref="P3:P4"/>
    <mergeCell ref="Q3:Q4"/>
    <mergeCell ref="R3:R4"/>
    <mergeCell ref="S3:T3"/>
    <mergeCell ref="A3:A4"/>
    <mergeCell ref="B3:B4"/>
    <mergeCell ref="C3:D4"/>
    <mergeCell ref="E3:E4"/>
    <mergeCell ref="F3:F4"/>
    <mergeCell ref="G3:G4"/>
    <mergeCell ref="AC3:AC4"/>
    <mergeCell ref="A5:A8"/>
    <mergeCell ref="C5:D5"/>
    <mergeCell ref="R5:R8"/>
    <mergeCell ref="Y5:Z5"/>
    <mergeCell ref="AC5:AC8"/>
    <mergeCell ref="C6:D6"/>
    <mergeCell ref="Y6:Z6"/>
    <mergeCell ref="C7:D7"/>
    <mergeCell ref="Y7:Z7"/>
    <mergeCell ref="U3:U4"/>
    <mergeCell ref="V3:V4"/>
    <mergeCell ref="W3:X3"/>
    <mergeCell ref="Y3:Z4"/>
    <mergeCell ref="AA3:AA4"/>
    <mergeCell ref="AB3:AB4"/>
    <mergeCell ref="N3:N4"/>
    <mergeCell ref="O3:O4"/>
    <mergeCell ref="H3:H4"/>
    <mergeCell ref="I3:I4"/>
    <mergeCell ref="A12:A19"/>
    <mergeCell ref="C12:D12"/>
    <mergeCell ref="R12:R19"/>
    <mergeCell ref="Y12:Z12"/>
    <mergeCell ref="AC12:AC19"/>
    <mergeCell ref="C8:D8"/>
    <mergeCell ref="Y8:Z8"/>
    <mergeCell ref="A9:A11"/>
    <mergeCell ref="C9:D9"/>
    <mergeCell ref="R9:R11"/>
    <mergeCell ref="Y9:Z9"/>
    <mergeCell ref="C13:D13"/>
    <mergeCell ref="Y13:Z13"/>
    <mergeCell ref="C14:D14"/>
    <mergeCell ref="Y14:Z14"/>
    <mergeCell ref="C15:D15"/>
    <mergeCell ref="Y15:Z15"/>
    <mergeCell ref="AC9:AC11"/>
    <mergeCell ref="C10:D10"/>
    <mergeCell ref="Y10:Z10"/>
    <mergeCell ref="C11:D11"/>
    <mergeCell ref="Y11:Z11"/>
    <mergeCell ref="AC20:AC25"/>
    <mergeCell ref="C21:D21"/>
    <mergeCell ref="Y21:Z21"/>
    <mergeCell ref="C22:D22"/>
    <mergeCell ref="Y22:Z22"/>
    <mergeCell ref="C23:D23"/>
    <mergeCell ref="C16:D16"/>
    <mergeCell ref="Y16:Z16"/>
    <mergeCell ref="C17:D17"/>
    <mergeCell ref="Y17:Z17"/>
    <mergeCell ref="Y18:Z18"/>
    <mergeCell ref="C19:D19"/>
    <mergeCell ref="Y19:Z19"/>
    <mergeCell ref="Y23:Z23"/>
    <mergeCell ref="C24:D24"/>
    <mergeCell ref="Y24:Z24"/>
    <mergeCell ref="C25:D25"/>
    <mergeCell ref="Y25:Z25"/>
    <mergeCell ref="A26:A33"/>
    <mergeCell ref="C26:D26"/>
    <mergeCell ref="R26:R33"/>
    <mergeCell ref="Y26:Z26"/>
    <mergeCell ref="Y31:Z31"/>
    <mergeCell ref="A20:A25"/>
    <mergeCell ref="C20:D20"/>
    <mergeCell ref="R20:R25"/>
    <mergeCell ref="Y20:Z20"/>
    <mergeCell ref="AC26:AC33"/>
    <mergeCell ref="C27:D27"/>
    <mergeCell ref="Y27:Z27"/>
    <mergeCell ref="C28:D28"/>
    <mergeCell ref="Y28:Z28"/>
    <mergeCell ref="C29:D29"/>
    <mergeCell ref="Y29:Z29"/>
    <mergeCell ref="C30:D30"/>
    <mergeCell ref="Y30:Z30"/>
    <mergeCell ref="C31:D31"/>
    <mergeCell ref="C32:D32"/>
    <mergeCell ref="Y32:Z32"/>
    <mergeCell ref="C33:D33"/>
    <mergeCell ref="Y33:Z33"/>
    <mergeCell ref="A34:A39"/>
    <mergeCell ref="C34:D34"/>
    <mergeCell ref="R34:R39"/>
    <mergeCell ref="Y34:Z34"/>
    <mergeCell ref="Y39:Z39"/>
    <mergeCell ref="AC40:AC45"/>
    <mergeCell ref="C41:D41"/>
    <mergeCell ref="Y41:Z41"/>
    <mergeCell ref="C42:D42"/>
    <mergeCell ref="Y42:Z42"/>
    <mergeCell ref="C43:D43"/>
    <mergeCell ref="AC34:AC39"/>
    <mergeCell ref="C35:D35"/>
    <mergeCell ref="Y35:Z35"/>
    <mergeCell ref="C36:D36"/>
    <mergeCell ref="Y36:Z36"/>
    <mergeCell ref="C37:D37"/>
    <mergeCell ref="Y37:Z37"/>
    <mergeCell ref="C38:D38"/>
    <mergeCell ref="Y38:Z38"/>
    <mergeCell ref="C39:D39"/>
    <mergeCell ref="Y43:Z43"/>
    <mergeCell ref="C44:D44"/>
    <mergeCell ref="Y44:Z44"/>
    <mergeCell ref="C45:D45"/>
    <mergeCell ref="Y45:Z45"/>
    <mergeCell ref="A46:A52"/>
    <mergeCell ref="C46:D46"/>
    <mergeCell ref="R46:R52"/>
    <mergeCell ref="Y46:Z46"/>
    <mergeCell ref="A40:A45"/>
    <mergeCell ref="C40:D40"/>
    <mergeCell ref="R40:R45"/>
    <mergeCell ref="Y40:Z40"/>
    <mergeCell ref="AC53:AC58"/>
    <mergeCell ref="C54:D54"/>
    <mergeCell ref="Y54:Z54"/>
    <mergeCell ref="C55:D55"/>
    <mergeCell ref="Y55:Z55"/>
    <mergeCell ref="C56:D56"/>
    <mergeCell ref="AC46:AC52"/>
    <mergeCell ref="C47:D47"/>
    <mergeCell ref="Y47:Z47"/>
    <mergeCell ref="C48:D48"/>
    <mergeCell ref="C51:D51"/>
    <mergeCell ref="Y51:Z51"/>
    <mergeCell ref="C52:D52"/>
    <mergeCell ref="Y52:Z52"/>
    <mergeCell ref="Y56:Z56"/>
    <mergeCell ref="C57:D57"/>
    <mergeCell ref="Y57:Z57"/>
    <mergeCell ref="C58:D58"/>
    <mergeCell ref="Y58:Z58"/>
    <mergeCell ref="A59:A64"/>
    <mergeCell ref="C59:D59"/>
    <mergeCell ref="R59:R64"/>
    <mergeCell ref="Y59:Z59"/>
    <mergeCell ref="Y64:Z64"/>
    <mergeCell ref="A53:A58"/>
    <mergeCell ref="C53:D53"/>
    <mergeCell ref="R53:R58"/>
    <mergeCell ref="Y53:Z53"/>
    <mergeCell ref="AC59:AC64"/>
    <mergeCell ref="C60:D60"/>
    <mergeCell ref="Y60:Z60"/>
    <mergeCell ref="C61:D61"/>
    <mergeCell ref="Y61:Z61"/>
    <mergeCell ref="C62:D62"/>
    <mergeCell ref="Y62:Z62"/>
    <mergeCell ref="C63:D63"/>
    <mergeCell ref="Y63:Z63"/>
    <mergeCell ref="C64:D64"/>
  </mergeCells>
  <phoneticPr fontId="3" type="noConversion"/>
  <conditionalFormatting sqref="O56:O64 O5:O9 O11:O13 O19:O53">
    <cfRule type="cellIs" dxfId="313" priority="41" operator="greaterThan">
      <formula>0</formula>
    </cfRule>
  </conditionalFormatting>
  <conditionalFormatting sqref="P5:P7 P56:P57 AA56:AA57 P59:P63 P26:P32 P53 P9 P11:P13 P20:P24 P46:P51 P34:P44 AA5:AA53 AA59:AA64">
    <cfRule type="cellIs" dxfId="312" priority="45" operator="lessThan">
      <formula>0</formula>
    </cfRule>
  </conditionalFormatting>
  <conditionalFormatting sqref="AB56:AB57 Q56:Q64 Q5:Q9 Q11:Q13 Q19:Q53 AB5:AB53 AB59:AB64">
    <cfRule type="cellIs" dxfId="311" priority="42" operator="greaterThan">
      <formula>1</formula>
    </cfRule>
    <cfRule type="cellIs" dxfId="310" priority="43" operator="lessThan">
      <formula>0.8</formula>
    </cfRule>
  </conditionalFormatting>
  <conditionalFormatting sqref="AC12:AC13 R12:R13 AC56 R56:R64 AC5:AC9 R5:R9 AC19:AC53 R19:R53">
    <cfRule type="cellIs" dxfId="309" priority="47" operator="lessThan">
      <formula>0.8</formula>
    </cfRule>
  </conditionalFormatting>
  <conditionalFormatting sqref="AC40">
    <cfRule type="cellIs" dxfId="308" priority="49" operator="lessThan">
      <formula>0.8</formula>
    </cfRule>
  </conditionalFormatting>
  <conditionalFormatting sqref="AC20:AC24">
    <cfRule type="cellIs" dxfId="307" priority="46" operator="lessThan">
      <formula>0.8</formula>
    </cfRule>
  </conditionalFormatting>
  <conditionalFormatting sqref="AC26">
    <cfRule type="cellIs" dxfId="306" priority="48" operator="lessThan">
      <formula>0.8</formula>
    </cfRule>
  </conditionalFormatting>
  <conditionalFormatting sqref="AC34:AC38">
    <cfRule type="cellIs" dxfId="305" priority="44" operator="lessThan">
      <formula>0.8</formula>
    </cfRule>
  </conditionalFormatting>
  <conditionalFormatting sqref="AA58">
    <cfRule type="cellIs" dxfId="304" priority="40" operator="lessThan">
      <formula>0</formula>
    </cfRule>
  </conditionalFormatting>
  <conditionalFormatting sqref="AB58">
    <cfRule type="cellIs" dxfId="303" priority="38" operator="greaterThan">
      <formula>1</formula>
    </cfRule>
    <cfRule type="cellIs" dxfId="302" priority="39" operator="lessThan">
      <formula>0.8</formula>
    </cfRule>
  </conditionalFormatting>
  <conditionalFormatting sqref="O14:O15">
    <cfRule type="cellIs" dxfId="301" priority="33" operator="greaterThan">
      <formula>0</formula>
    </cfRule>
  </conditionalFormatting>
  <conditionalFormatting sqref="P14:P15">
    <cfRule type="cellIs" dxfId="300" priority="36" operator="lessThan">
      <formula>0</formula>
    </cfRule>
  </conditionalFormatting>
  <conditionalFormatting sqref="Q14:Q15">
    <cfRule type="cellIs" dxfId="299" priority="34" operator="greaterThan">
      <formula>1</formula>
    </cfRule>
    <cfRule type="cellIs" dxfId="298" priority="35" operator="lessThan">
      <formula>0.8</formula>
    </cfRule>
  </conditionalFormatting>
  <conditionalFormatting sqref="R14:R15 AC14:AC15">
    <cfRule type="cellIs" dxfId="297" priority="37" operator="lessThan">
      <formula>0.8</formula>
    </cfRule>
  </conditionalFormatting>
  <conditionalFormatting sqref="O10">
    <cfRule type="cellIs" dxfId="296" priority="29" operator="greaterThan">
      <formula>0</formula>
    </cfRule>
  </conditionalFormatting>
  <conditionalFormatting sqref="P10">
    <cfRule type="cellIs" dxfId="295" priority="32" operator="lessThan">
      <formula>0</formula>
    </cfRule>
  </conditionalFormatting>
  <conditionalFormatting sqref="Q10">
    <cfRule type="cellIs" dxfId="294" priority="30" operator="greaterThan">
      <formula>1</formula>
    </cfRule>
    <cfRule type="cellIs" dxfId="293" priority="31" operator="lessThan">
      <formula>0.8</formula>
    </cfRule>
  </conditionalFormatting>
  <conditionalFormatting sqref="O55">
    <cfRule type="cellIs" dxfId="292" priority="24" operator="greaterThan">
      <formula>0</formula>
    </cfRule>
  </conditionalFormatting>
  <conditionalFormatting sqref="P55 AA55">
    <cfRule type="cellIs" dxfId="291" priority="27" operator="lessThan">
      <formula>0</formula>
    </cfRule>
  </conditionalFormatting>
  <conditionalFormatting sqref="Q55 AB55">
    <cfRule type="cellIs" dxfId="290" priority="25" operator="greaterThan">
      <formula>1</formula>
    </cfRule>
    <cfRule type="cellIs" dxfId="289" priority="26" operator="lessThan">
      <formula>0.8</formula>
    </cfRule>
  </conditionalFormatting>
  <conditionalFormatting sqref="R55 AC55">
    <cfRule type="cellIs" dxfId="288" priority="28" operator="lessThan">
      <formula>0.8</formula>
    </cfRule>
  </conditionalFormatting>
  <conditionalFormatting sqref="O16:O17">
    <cfRule type="cellIs" dxfId="287" priority="19" operator="greaterThan">
      <formula>0</formula>
    </cfRule>
  </conditionalFormatting>
  <conditionalFormatting sqref="P16:P17">
    <cfRule type="cellIs" dxfId="286" priority="22" operator="lessThan">
      <formula>0</formula>
    </cfRule>
  </conditionalFormatting>
  <conditionalFormatting sqref="Q16:Q17">
    <cfRule type="cellIs" dxfId="285" priority="20" operator="greaterThan">
      <formula>1</formula>
    </cfRule>
    <cfRule type="cellIs" dxfId="284" priority="21" operator="lessThan">
      <formula>0.8</formula>
    </cfRule>
  </conditionalFormatting>
  <conditionalFormatting sqref="R16:R17 AC16:AC17">
    <cfRule type="cellIs" dxfId="283" priority="23" operator="lessThan">
      <formula>0.8</formula>
    </cfRule>
  </conditionalFormatting>
  <conditionalFormatting sqref="O54">
    <cfRule type="cellIs" dxfId="282" priority="14" operator="greaterThan">
      <formula>0</formula>
    </cfRule>
  </conditionalFormatting>
  <conditionalFormatting sqref="P54 AA54">
    <cfRule type="cellIs" dxfId="281" priority="17" operator="lessThan">
      <formula>0</formula>
    </cfRule>
  </conditionalFormatting>
  <conditionalFormatting sqref="Q54 AB54">
    <cfRule type="cellIs" dxfId="280" priority="15" operator="greaterThan">
      <formula>1</formula>
    </cfRule>
    <cfRule type="cellIs" dxfId="279" priority="16" operator="lessThan">
      <formula>0.8</formula>
    </cfRule>
  </conditionalFormatting>
  <conditionalFormatting sqref="R54 AC54">
    <cfRule type="cellIs" dxfId="278" priority="18" operator="lessThan">
      <formula>0.8</formula>
    </cfRule>
  </conditionalFormatting>
  <conditionalFormatting sqref="O18">
    <cfRule type="cellIs" dxfId="277" priority="9" operator="greaterThan">
      <formula>0</formula>
    </cfRule>
  </conditionalFormatting>
  <conditionalFormatting sqref="P18">
    <cfRule type="cellIs" dxfId="276" priority="12" operator="lessThan">
      <formula>0</formula>
    </cfRule>
  </conditionalFormatting>
  <conditionalFormatting sqref="Q18">
    <cfRule type="cellIs" dxfId="275" priority="10" operator="greaterThan">
      <formula>1</formula>
    </cfRule>
    <cfRule type="cellIs" dxfId="274" priority="11" operator="lessThan">
      <formula>0.8</formula>
    </cfRule>
  </conditionalFormatting>
  <conditionalFormatting sqref="AC18 R18">
    <cfRule type="cellIs" dxfId="273" priority="13" operator="lessThan">
      <formula>0.8</formula>
    </cfRule>
  </conditionalFormatting>
  <conditionalFormatting sqref="P8">
    <cfRule type="cellIs" dxfId="272" priority="8" operator="lessThan">
      <formula>0</formula>
    </cfRule>
  </conditionalFormatting>
  <conditionalFormatting sqref="P19">
    <cfRule type="cellIs" dxfId="271" priority="7" operator="lessThan">
      <formula>0</formula>
    </cfRule>
  </conditionalFormatting>
  <conditionalFormatting sqref="P25">
    <cfRule type="cellIs" dxfId="270" priority="6" operator="lessThan">
      <formula>0</formula>
    </cfRule>
  </conditionalFormatting>
  <conditionalFormatting sqref="P33">
    <cfRule type="cellIs" dxfId="269" priority="5" operator="lessThan">
      <formula>0</formula>
    </cfRule>
  </conditionalFormatting>
  <conditionalFormatting sqref="P45">
    <cfRule type="cellIs" dxfId="268" priority="4" operator="lessThan">
      <formula>0</formula>
    </cfRule>
  </conditionalFormatting>
  <conditionalFormatting sqref="P52">
    <cfRule type="cellIs" dxfId="267" priority="3" operator="lessThan">
      <formula>0</formula>
    </cfRule>
  </conditionalFormatting>
  <conditionalFormatting sqref="P58">
    <cfRule type="cellIs" dxfId="266" priority="2" operator="lessThan">
      <formula>0</formula>
    </cfRule>
  </conditionalFormatting>
  <conditionalFormatting sqref="P64">
    <cfRule type="cellIs" dxfId="265" priority="1" operator="lessThan">
      <formula>0</formula>
    </cfRule>
  </conditionalFormatting>
  <dataValidations count="1">
    <dataValidation type="list" allowBlank="1" showInputMessage="1" showErrorMessage="1" sqref="Z8 Z57 Y5:Z7 Y8:Y57 Z10:Z53 Y58:Z64">
      <formula1>#REF!</formula1>
    </dataValidation>
  </dataValidations>
  <pageMargins left="0" right="0" top="0" bottom="0" header="0" footer="0"/>
  <pageSetup paperSize="9" scale="11" orientation="landscape" horizontalDpi="300" verticalDpi="300" r:id="rId1"/>
</worksheet>
</file>

<file path=xl/worksheets/sheet5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工作表44"/>
  <dimension ref="B1:Q28"/>
  <sheetViews>
    <sheetView zoomScale="85" zoomScaleNormal="85" workbookViewId="0">
      <selection activeCell="A12" sqref="A12"/>
    </sheetView>
  </sheetViews>
  <sheetFormatPr defaultColWidth="8.75" defaultRowHeight="15.75"/>
  <cols>
    <col min="1" max="1" width="8.75" style="30"/>
    <col min="2" max="2" width="17.875" style="30" customWidth="1"/>
    <col min="3" max="3" width="9.25" style="37" customWidth="1"/>
    <col min="4" max="13" width="12.625" style="30" customWidth="1"/>
    <col min="14" max="14" width="11" style="30" bestFit="1" customWidth="1"/>
    <col min="15" max="15" width="17.75" style="30" bestFit="1" customWidth="1"/>
    <col min="16" max="16" width="12.25" style="30" bestFit="1" customWidth="1"/>
    <col min="17" max="22" width="9.25" style="30" customWidth="1"/>
    <col min="23" max="23" width="10.75" style="30" customWidth="1"/>
    <col min="24" max="24" width="11" style="30" customWidth="1"/>
    <col min="25" max="16384" width="8.75" style="30"/>
  </cols>
  <sheetData>
    <row r="1" spans="2:17" ht="27.75" customHeight="1">
      <c r="B1" s="552" t="s">
        <v>353</v>
      </c>
      <c r="C1" s="552"/>
      <c r="D1" s="552"/>
      <c r="E1" s="552"/>
      <c r="F1" s="552"/>
      <c r="G1" s="552"/>
      <c r="H1" s="552"/>
      <c r="I1" s="552"/>
      <c r="J1" s="552"/>
      <c r="K1" s="29"/>
      <c r="L1" s="29"/>
      <c r="M1" s="29"/>
      <c r="N1" s="29"/>
      <c r="O1" s="29"/>
      <c r="P1" s="29"/>
    </row>
    <row r="2" spans="2:17" ht="27.75" customHeight="1">
      <c r="B2" s="553"/>
      <c r="C2" s="553"/>
      <c r="D2" s="553"/>
      <c r="E2" s="553"/>
      <c r="F2" s="553"/>
      <c r="G2" s="553"/>
      <c r="H2" s="553"/>
      <c r="I2" s="553"/>
      <c r="J2" s="553"/>
      <c r="K2" s="31"/>
      <c r="L2" s="31"/>
      <c r="M2" s="31"/>
      <c r="N2" s="29"/>
      <c r="O2" s="29"/>
      <c r="P2" s="29"/>
    </row>
    <row r="3" spans="2:17" ht="46.5" customHeight="1">
      <c r="B3" s="32" t="s">
        <v>354</v>
      </c>
      <c r="C3" s="554" t="str">
        <f>TEXT('1004 4度C'!A2,"yyyy.mm.ddaaaa")</f>
        <v>2025.10.04星期六</v>
      </c>
      <c r="D3" s="555"/>
      <c r="E3" s="32" t="s">
        <v>355</v>
      </c>
      <c r="F3" s="556">
        <f>'1004 4度C'!D1</f>
        <v>127425</v>
      </c>
      <c r="G3" s="557"/>
      <c r="H3" s="32" t="s">
        <v>356</v>
      </c>
      <c r="I3" s="558">
        <f>'1004 4度C'!F1</f>
        <v>4208871.669999999</v>
      </c>
      <c r="J3" s="559"/>
      <c r="K3" s="33"/>
      <c r="L3" s="34"/>
      <c r="M3" s="35"/>
      <c r="N3" s="35"/>
    </row>
    <row r="4" spans="2:17" ht="28.5" customHeight="1">
      <c r="B4" s="560" t="s">
        <v>114</v>
      </c>
      <c r="C4" s="542" t="s">
        <v>357</v>
      </c>
      <c r="D4" s="543"/>
      <c r="E4" s="563" t="s">
        <v>358</v>
      </c>
      <c r="F4" s="564"/>
      <c r="G4" s="563" t="s">
        <v>359</v>
      </c>
      <c r="H4" s="564"/>
      <c r="I4" s="563" t="s">
        <v>360</v>
      </c>
      <c r="J4" s="564"/>
      <c r="L4" s="35"/>
      <c r="M4" s="35"/>
      <c r="N4" s="35"/>
    </row>
    <row r="5" spans="2:17" ht="28.5" customHeight="1">
      <c r="B5" s="561"/>
      <c r="C5" s="542" t="s">
        <v>361</v>
      </c>
      <c r="D5" s="543"/>
      <c r="E5" s="542" t="s">
        <v>362</v>
      </c>
      <c r="F5" s="543"/>
      <c r="G5" s="544" t="s">
        <v>363</v>
      </c>
      <c r="H5" s="545"/>
      <c r="I5" s="546" t="s">
        <v>364</v>
      </c>
      <c r="J5" s="547"/>
      <c r="K5" s="35"/>
      <c r="L5" s="35"/>
      <c r="M5" s="35"/>
      <c r="N5" s="35"/>
    </row>
    <row r="6" spans="2:17" ht="28.5" customHeight="1">
      <c r="B6" s="561"/>
      <c r="C6" s="542" t="s">
        <v>92</v>
      </c>
      <c r="D6" s="543"/>
      <c r="E6" s="548">
        <f>AVERAGE(D13:M13)</f>
        <v>153.27916899037174</v>
      </c>
      <c r="F6" s="549">
        <f>AVERAGE(D27:O27,D13:J13)</f>
        <v>159.3011409690173</v>
      </c>
      <c r="G6" s="550">
        <f>AVERAGE(D13:J13)</f>
        <v>159.3011409690173</v>
      </c>
      <c r="H6" s="551"/>
      <c r="I6" s="550">
        <f>AVERAGE(K13:M13)</f>
        <v>139.22790104019876</v>
      </c>
      <c r="J6" s="551"/>
      <c r="K6" s="35"/>
      <c r="L6" s="35"/>
      <c r="M6" s="35"/>
      <c r="N6" s="35"/>
    </row>
    <row r="7" spans="2:17" ht="28.5" customHeight="1">
      <c r="B7" s="561"/>
      <c r="C7" s="532" t="s">
        <v>93</v>
      </c>
      <c r="D7" s="533"/>
      <c r="E7" s="534">
        <f>AVERAGE(D14:M14)</f>
        <v>147.06164022706321</v>
      </c>
      <c r="F7" s="535">
        <f>AVERAGE(D28:O28,D14:J14)</f>
        <v>152.94413725555691</v>
      </c>
      <c r="G7" s="536">
        <f>AVERAGE(D14:J14)</f>
        <v>152.94413725555691</v>
      </c>
      <c r="H7" s="537"/>
      <c r="I7" s="536">
        <f>AVERAGE(K14:M14)</f>
        <v>133.33581382724449</v>
      </c>
      <c r="J7" s="537"/>
      <c r="K7" s="35"/>
      <c r="L7" s="35"/>
      <c r="M7" s="35"/>
      <c r="N7" s="35"/>
    </row>
    <row r="8" spans="2:17" ht="28.5" customHeight="1">
      <c r="B8" s="562"/>
      <c r="C8" s="532" t="s">
        <v>94</v>
      </c>
      <c r="D8" s="533"/>
      <c r="E8" s="538">
        <f>AVERAGE(D15:M15)</f>
        <v>0.95904560723641852</v>
      </c>
      <c r="F8" s="539">
        <f>AVERAGE(D15:J15,D29:O29)</f>
        <v>0.95956675750445342</v>
      </c>
      <c r="G8" s="540">
        <f>AVERAGE(D15:J15)</f>
        <v>0.95956675750445342</v>
      </c>
      <c r="H8" s="541"/>
      <c r="I8" s="540">
        <f>AVERAGE(K15:M15)</f>
        <v>0.95782958994433687</v>
      </c>
      <c r="J8" s="541"/>
      <c r="K8" s="36" t="s">
        <v>365</v>
      </c>
      <c r="L8" s="35"/>
      <c r="M8" s="35"/>
      <c r="N8" s="35"/>
    </row>
    <row r="9" spans="2:17" ht="28.5" customHeight="1" thickBot="1">
      <c r="H9" s="38"/>
      <c r="N9" s="35"/>
      <c r="O9" s="35"/>
      <c r="P9" s="35"/>
      <c r="Q9" s="35"/>
    </row>
    <row r="10" spans="2:17" ht="30" customHeight="1">
      <c r="B10" s="515" t="s">
        <v>366</v>
      </c>
      <c r="C10" s="516"/>
      <c r="D10" s="517" t="s">
        <v>367</v>
      </c>
      <c r="E10" s="518"/>
      <c r="F10" s="518"/>
      <c r="G10" s="518"/>
      <c r="H10" s="518"/>
      <c r="I10" s="518"/>
      <c r="J10" s="519"/>
      <c r="K10" s="520" t="s">
        <v>368</v>
      </c>
      <c r="L10" s="521"/>
      <c r="M10" s="522"/>
      <c r="P10" s="39"/>
      <c r="Q10" s="39"/>
    </row>
    <row r="11" spans="2:17" ht="17.25" customHeight="1">
      <c r="B11" s="523" t="s">
        <v>369</v>
      </c>
      <c r="C11" s="524"/>
      <c r="D11" s="40">
        <v>1</v>
      </c>
      <c r="E11" s="41">
        <v>2</v>
      </c>
      <c r="F11" s="41">
        <v>3</v>
      </c>
      <c r="G11" s="41">
        <v>4</v>
      </c>
      <c r="H11" s="41">
        <v>5</v>
      </c>
      <c r="I11" s="41">
        <v>6</v>
      </c>
      <c r="J11" s="42">
        <v>7</v>
      </c>
      <c r="K11" s="40">
        <v>1</v>
      </c>
      <c r="L11" s="41">
        <v>2</v>
      </c>
      <c r="M11" s="42">
        <v>3</v>
      </c>
      <c r="P11" s="39"/>
      <c r="Q11" s="39"/>
    </row>
    <row r="12" spans="2:17" ht="34.15" customHeight="1">
      <c r="B12" s="525"/>
      <c r="C12" s="526"/>
      <c r="D12" s="43" t="s">
        <v>96</v>
      </c>
      <c r="E12" s="44" t="s">
        <v>97</v>
      </c>
      <c r="F12" s="44" t="s">
        <v>98</v>
      </c>
      <c r="G12" s="44" t="s">
        <v>99</v>
      </c>
      <c r="H12" s="44" t="s">
        <v>100</v>
      </c>
      <c r="I12" s="44" t="s">
        <v>101</v>
      </c>
      <c r="J12" s="45" t="s">
        <v>102</v>
      </c>
      <c r="K12" s="43" t="s">
        <v>103</v>
      </c>
      <c r="L12" s="44" t="s">
        <v>104</v>
      </c>
      <c r="M12" s="45" t="s">
        <v>105</v>
      </c>
    </row>
    <row r="13" spans="2:17" ht="40.15" customHeight="1">
      <c r="B13" s="527" t="s">
        <v>370</v>
      </c>
      <c r="C13" s="46" t="s">
        <v>371</v>
      </c>
      <c r="D13" s="47">
        <f>SUMIFS('1004 4度C'!$K:$K,'1004 4度C'!$A:$A,"新豐6線",'1004 4度C'!$B:$B,"平均")</f>
        <v>125</v>
      </c>
      <c r="E13" s="48">
        <f>SUMIFS('1004 4度C'!$K:$K,'1004 4度C'!$A:$A,"新豐2線",'1004 4度C'!$B:$B,"平均")</f>
        <v>81.081081081081081</v>
      </c>
      <c r="F13" s="49">
        <f>SUMIFS('1004 4度C'!$K:$K,'1004 4度C'!$A:$A,"新豐5線",'1004 4度C'!$B:$B,"平均")</f>
        <v>113.60000000000001</v>
      </c>
      <c r="G13" s="49">
        <f>SUMIFS('1004 4度C'!$K:$K,'1004 4度C'!$A:$A,"新豐7線",'1004 4度C'!$B:$B,"平均")</f>
        <v>120.48192771084337</v>
      </c>
      <c r="H13" s="49">
        <f>SUMIFS('1004 4度C'!$K:$K,'1004 4度C'!$A:$A,"新豐3線",'1004 4度C'!$B:$B,"平均")</f>
        <v>312.5</v>
      </c>
      <c r="I13" s="49">
        <f>SUMIFS('1004 4度C'!$K:$K,'1004 4度C'!$A:$A,"新豐1線",'1004 4度C'!$B:$B,"平均")</f>
        <v>117.34693877551021</v>
      </c>
      <c r="J13" s="50">
        <f>SUMIFS('1004 4度C'!$K:$K,'1004 4度C'!$A:$A,"新豐10線",'1004 4度C'!$B:$B,"平均")</f>
        <v>245.0980392156863</v>
      </c>
      <c r="K13" s="51">
        <f>SUMIFS('1004 4度C'!$K:$K,'1004 4度C'!$A:$A,"新豐8線",'1004 4度C'!$B:$B,"平均")</f>
        <v>129.72972972972974</v>
      </c>
      <c r="L13" s="52">
        <f>SUMIFS('1004 4度C'!$K:$K,'1004 4度C'!$A:$A,"新豐9線",'1004 4度C'!$B:$B,"平均")</f>
        <v>148.14814814814815</v>
      </c>
      <c r="M13" s="50">
        <f>SUMIFS('1004 4度C'!$K:$K,'1004 4度C'!$A:$A,"新豐4線",'1004 4度C'!$B:$B,"平均")</f>
        <v>139.80582524271844</v>
      </c>
    </row>
    <row r="14" spans="2:17" ht="39.6" customHeight="1">
      <c r="B14" s="528"/>
      <c r="C14" s="53" t="s">
        <v>372</v>
      </c>
      <c r="D14" s="54">
        <f>SUMIFS('1004 4度C'!$N:$N,'1004 4度C'!$A:$A,"新豐6線",'1004 4度C'!$B:$B,"平均")</f>
        <v>119.97394988946195</v>
      </c>
      <c r="E14" s="55">
        <f>SUMIFS('1004 4度C'!$N:$N,'1004 4度C'!$A:$A,"新豐2線",'1004 4度C'!$B:$B,"平均")</f>
        <v>77.602974266132151</v>
      </c>
      <c r="F14" s="55">
        <f>SUMIFS('1004 4度C'!$N:$N,'1004 4度C'!$A:$A,"新豐5線",'1004 4度C'!$B:$B,"平均")</f>
        <v>108.98073675806842</v>
      </c>
      <c r="G14" s="55">
        <f>SUMIFS('1004 4度C'!$N:$N,'1004 4度C'!$A:$A,"新豐7線",'1004 4度C'!$B:$B,"平均")</f>
        <v>115.46378082550676</v>
      </c>
      <c r="H14" s="55">
        <f>SUMIFS('1004 4度C'!$N:$N,'1004 4度C'!$A:$A,"新豐3線",'1004 4度C'!$B:$B,"平均")</f>
        <v>299.89674152963244</v>
      </c>
      <c r="I14" s="55">
        <f>SUMIFS('1004 4度C'!$N:$N,'1004 4度C'!$A:$A,"新豐1線",'1004 4度C'!$B:$B,"平均")</f>
        <v>112.58147810086264</v>
      </c>
      <c r="J14" s="56">
        <f>SUMIFS('1004 4度C'!$N:$N,'1004 4度C'!$A:$A,"新豐10線",'1004 4度C'!$B:$B,"平均")</f>
        <v>236.10929941923402</v>
      </c>
      <c r="K14" s="57">
        <f>SUMIFS('1004 4度C'!$N:$N,'1004 4度C'!$A:$A,"新豐8線",'1004 4度C'!$B:$B,"平均")</f>
        <v>124.44874362264039</v>
      </c>
      <c r="L14" s="58">
        <f>SUMIFS('1004 4度C'!$N:$N,'1004 4度C'!$A:$A,"新豐9線",'1004 4度C'!$B:$B,"平均")</f>
        <v>141.0548510352267</v>
      </c>
      <c r="M14" s="56">
        <f>SUMIFS('1004 4度C'!$N:$N,'1004 4度C'!$A:$A,"新豐4線",'1004 4度C'!$B:$B,"平均")</f>
        <v>134.50384682386641</v>
      </c>
    </row>
    <row r="15" spans="2:17" ht="40.15" customHeight="1">
      <c r="B15" s="529"/>
      <c r="C15" s="59" t="s">
        <v>291</v>
      </c>
      <c r="D15" s="60">
        <f t="shared" ref="D15:M15" si="0">D14/D13</f>
        <v>0.95979159911569556</v>
      </c>
      <c r="E15" s="61">
        <f t="shared" si="0"/>
        <v>0.95710334928229657</v>
      </c>
      <c r="F15" s="61">
        <f t="shared" si="0"/>
        <v>0.95933747146186976</v>
      </c>
      <c r="G15" s="61">
        <f t="shared" si="0"/>
        <v>0.95834938085170618</v>
      </c>
      <c r="H15" s="61">
        <f t="shared" si="0"/>
        <v>0.9596695728948238</v>
      </c>
      <c r="I15" s="61">
        <f t="shared" si="0"/>
        <v>0.95938998729430769</v>
      </c>
      <c r="J15" s="62">
        <f t="shared" si="0"/>
        <v>0.96332594163047469</v>
      </c>
      <c r="K15" s="60">
        <f t="shared" si="0"/>
        <v>0.95929239875785299</v>
      </c>
      <c r="L15" s="61">
        <f t="shared" si="0"/>
        <v>0.95212024448778021</v>
      </c>
      <c r="M15" s="62">
        <f t="shared" si="0"/>
        <v>0.96207612658737784</v>
      </c>
    </row>
    <row r="16" spans="2:17" ht="17.25" customHeight="1">
      <c r="B16" s="530" t="s">
        <v>373</v>
      </c>
      <c r="C16" s="63" t="s">
        <v>374</v>
      </c>
      <c r="D16" s="64">
        <f>VLOOKUP("新豐6線",'1004 4度C'!$A:$T,19,0)</f>
        <v>0.70833333333333337</v>
      </c>
      <c r="E16" s="24">
        <f>VLOOKUP("新豐2線",'1004 4度C'!$A:$T,19,0)</f>
        <v>0.25</v>
      </c>
      <c r="F16" s="24">
        <f>VLOOKUP("新豐5線",'1004 4度C'!$A:$T,19,0)</f>
        <v>0.20833333333333334</v>
      </c>
      <c r="G16" s="24">
        <f>VLOOKUP("新豐7線",'1004 4度C'!$A:$T,19,0)</f>
        <v>0.20833333333333334</v>
      </c>
      <c r="H16" s="24">
        <f>VLOOKUP("新豐3線",'1004 4度C'!$A:$T,19,0)</f>
        <v>0.20833333333333334</v>
      </c>
      <c r="I16" s="24">
        <f>VLOOKUP("新豐1線",'1004 4度C'!$A:$T,19,0)</f>
        <v>0.20833333333333334</v>
      </c>
      <c r="J16" s="65">
        <f>VLOOKUP("新豐10線",'1004 4度C'!$A:$T,19,0)</f>
        <v>0.20833333333333334</v>
      </c>
      <c r="K16" s="66">
        <f>VLOOKUP("新豐8線",'1004 4度C'!$A:$T,19,0)</f>
        <v>0.125</v>
      </c>
      <c r="L16" s="67">
        <f>VLOOKUP("新豐9線",'1004 4度C'!$A:$T,19,0)</f>
        <v>0.125</v>
      </c>
      <c r="M16" s="68">
        <f>VLOOKUP("新豐4線",'1004 4度C'!$A:$T,19,0)</f>
        <v>0.125</v>
      </c>
    </row>
    <row r="17" spans="2:13" ht="17.25" customHeight="1">
      <c r="B17" s="531"/>
      <c r="C17" s="63" t="s">
        <v>375</v>
      </c>
      <c r="D17" s="66">
        <f>LOOKUP(2,1/(('1004 4度C'!$A:$A="新豐6線")*('1004 4度C'!$T:$T&lt;&gt;"")),'1004 4度C'!$T:$T)</f>
        <v>0.81041666666666667</v>
      </c>
      <c r="E17" s="24">
        <f>LOOKUP(2,1/(('1004 4度C'!$A:$A="新豐2線")*('1004 4度C'!$T:$T&lt;&gt;"")),'1004 4度C'!$T:$T)</f>
        <v>0.46875</v>
      </c>
      <c r="F17" s="24">
        <f>LOOKUP(2,1/(('1004 4度C'!$A:$A="新豐5線")*('1004 4度C'!$T:$T&lt;&gt;"")),'1004 4度C'!$T:$T)</f>
        <v>0.81875000000000009</v>
      </c>
      <c r="G17" s="24">
        <f>LOOKUP(2,1/(('1004 4度C'!$A:$A="新豐7線")*('1004 4度C'!$T:$T&lt;&gt;"")),'1004 4度C'!$T:$T)</f>
        <v>0.75694444444444453</v>
      </c>
      <c r="H17" s="24">
        <f>LOOKUP(2,1/(('1004 4度C'!$A:$A="新豐3線")*('1004 4度C'!$T:$T&lt;&gt;"")),'1004 4度C'!$T:$T)</f>
        <v>0.46944444444444444</v>
      </c>
      <c r="I17" s="24">
        <f>LOOKUP(2,1/(('1004 4度C'!$A:$A="新豐1線")*('1004 4度C'!$T:$T&lt;&gt;"")),'1004 4度C'!$T:$T)</f>
        <v>0.82361111111111107</v>
      </c>
      <c r="J17" s="65">
        <f>LOOKUP(2,1/(('1004 4度C'!$A:$A="新豐10線")*('1004 4度C'!$T:$T&lt;&gt;"")),'1004 4度C'!$T:$T)</f>
        <v>0.41041666666666665</v>
      </c>
      <c r="K17" s="64">
        <f>LOOKUP(2,1/(('1004 4度C'!$A:$A="新豐8線")*('1004 4度C'!$T:$T&lt;&gt;"")),'1004 4度C'!$T:$T)</f>
        <v>0.50624999999999998</v>
      </c>
      <c r="L17" s="24">
        <f>LOOKUP(2,1/(('1004 4度C'!$A:$A="新豐9線")*('1004 4度C'!$T:$T&lt;&gt;"")),'1004 4度C'!$T:$T)</f>
        <v>0.50902777777777775</v>
      </c>
      <c r="M17" s="65">
        <f>LOOKUP(2,1/(('1004 4度C'!$A:$A="新豐4線")*('1004 4度C'!$T:$T&lt;&gt;"")),'1004 4度C'!$T:$T)</f>
        <v>0.48541666666666672</v>
      </c>
    </row>
    <row r="18" spans="2:13" ht="17.25" customHeight="1">
      <c r="B18" s="509" t="s">
        <v>376</v>
      </c>
      <c r="C18" s="510"/>
      <c r="D18" s="69">
        <f>SUMIFS('1004 4度C'!$I:$I,'1004 4度C'!$A:$A,"新豐6線",'1004 4度C'!$B:$B,"平均")</f>
        <v>16</v>
      </c>
      <c r="E18" s="70">
        <f>SUMIFS('1004 4度C'!$I:$I,'1004 4度C'!$A:$A,"新豐2線",'1004 4度C'!$B:$B,"平均")</f>
        <v>18.5</v>
      </c>
      <c r="F18" s="70">
        <f>SUMIFS('1004 4度C'!$I:$I,'1004 4度C'!$A:$A,"新豐5線",'1004 4度C'!$B:$B,"平均")</f>
        <v>17.857142857142858</v>
      </c>
      <c r="G18" s="70">
        <f>SUMIFS('1004 4度C'!$I:$I,'1004 4度C'!$A:$A,"新豐7線",'1004 4度C'!$B:$B,"平均")</f>
        <v>16.600000000000001</v>
      </c>
      <c r="H18" s="70">
        <f>SUMIFS('1004 4度C'!$I:$I,'1004 4度C'!$A:$A,"新豐3線",'1004 4度C'!$B:$B,"平均")</f>
        <v>9.6</v>
      </c>
      <c r="I18" s="70">
        <f>SUMIFS('1004 4度C'!$I:$I,'1004 4度C'!$A:$A,"新豐1線",'1004 4度C'!$B:$B,"平均")</f>
        <v>16.333333333333332</v>
      </c>
      <c r="J18" s="71">
        <f>SUMIFS('1004 4度C'!$I:$I,'1004 4度C'!$A:$A,"新豐10線",'1004 4度C'!$B:$B,"平均")</f>
        <v>10.199999999999999</v>
      </c>
      <c r="K18" s="69">
        <f>SUMIFS('1004 4度C'!$I:$I,'1004 4度C'!$A:$A,"新豐8線",'1004 4度C'!$B:$B,"平均")</f>
        <v>18.5</v>
      </c>
      <c r="L18" s="70">
        <f>SUMIFS('1004 4度C'!$I:$I,'1004 4度C'!$A:$A,"新豐9線",'1004 4度C'!$B:$B,"平均")</f>
        <v>16.2</v>
      </c>
      <c r="M18" s="71">
        <f>SUMIFS('1004 4度C'!$I:$I,'1004 4度C'!$A:$A,"新豐4線",'1004 4度C'!$B:$B,"平均")</f>
        <v>17.166666666666668</v>
      </c>
    </row>
    <row r="19" spans="2:13" ht="17.25" customHeight="1">
      <c r="B19" s="509" t="s">
        <v>377</v>
      </c>
      <c r="C19" s="510"/>
      <c r="D19" s="72" t="s">
        <v>109</v>
      </c>
      <c r="E19" s="73" t="s">
        <v>110</v>
      </c>
      <c r="F19" s="73" t="s">
        <v>297</v>
      </c>
      <c r="G19" s="73" t="s">
        <v>378</v>
      </c>
      <c r="H19" s="73" t="s">
        <v>111</v>
      </c>
      <c r="I19" s="73" t="s">
        <v>109</v>
      </c>
      <c r="J19" s="74" t="s">
        <v>111</v>
      </c>
      <c r="K19" s="72" t="s">
        <v>379</v>
      </c>
      <c r="L19" s="73" t="s">
        <v>380</v>
      </c>
      <c r="M19" s="74" t="s">
        <v>299</v>
      </c>
    </row>
    <row r="20" spans="2:13" ht="17.25" customHeight="1">
      <c r="B20" s="509" t="s">
        <v>381</v>
      </c>
      <c r="C20" s="510"/>
      <c r="D20" s="72"/>
      <c r="E20" s="73"/>
      <c r="F20" s="73" t="s">
        <v>382</v>
      </c>
      <c r="G20" s="73" t="s">
        <v>109</v>
      </c>
      <c r="H20" s="73"/>
      <c r="I20" s="73"/>
      <c r="J20" s="74"/>
      <c r="K20" s="72"/>
      <c r="L20" s="73"/>
      <c r="M20" s="74"/>
    </row>
    <row r="21" spans="2:13" ht="17.25" customHeight="1" thickBot="1">
      <c r="B21" s="511" t="s">
        <v>383</v>
      </c>
      <c r="C21" s="512"/>
      <c r="D21" s="75"/>
      <c r="E21" s="76" t="s">
        <v>384</v>
      </c>
      <c r="F21" s="513" t="s">
        <v>385</v>
      </c>
      <c r="G21" s="514"/>
      <c r="H21" s="76" t="s">
        <v>232</v>
      </c>
      <c r="I21" s="76" t="s">
        <v>386</v>
      </c>
      <c r="J21" s="77" t="s">
        <v>232</v>
      </c>
      <c r="K21" s="78"/>
      <c r="L21" s="76"/>
      <c r="M21" s="77"/>
    </row>
    <row r="22" spans="2:13" ht="17.25" customHeight="1"/>
    <row r="23" spans="2:13" ht="17.25" customHeight="1"/>
    <row r="24" spans="2:13" ht="17.25" customHeight="1"/>
    <row r="25" spans="2:13" ht="37.5" customHeight="1"/>
    <row r="26" spans="2:13" ht="35.25" customHeight="1"/>
    <row r="27" spans="2:13" ht="35.25" customHeight="1"/>
    <row r="28" spans="2:13" ht="39.75" customHeight="1"/>
  </sheetData>
  <mergeCells count="36">
    <mergeCell ref="B20:C20"/>
    <mergeCell ref="B21:C21"/>
    <mergeCell ref="F21:G21"/>
    <mergeCell ref="K10:M10"/>
    <mergeCell ref="B11:C12"/>
    <mergeCell ref="B13:B15"/>
    <mergeCell ref="B18:C18"/>
    <mergeCell ref="B19:C19"/>
    <mergeCell ref="I6:J6"/>
    <mergeCell ref="B16:B17"/>
    <mergeCell ref="C7:D7"/>
    <mergeCell ref="E7:F7"/>
    <mergeCell ref="G7:H7"/>
    <mergeCell ref="I7:J7"/>
    <mergeCell ref="C8:D8"/>
    <mergeCell ref="E8:F8"/>
    <mergeCell ref="G8:H8"/>
    <mergeCell ref="I8:J8"/>
    <mergeCell ref="B10:C10"/>
    <mergeCell ref="D10:J10"/>
    <mergeCell ref="B1:J2"/>
    <mergeCell ref="C3:D3"/>
    <mergeCell ref="F3:G3"/>
    <mergeCell ref="I3:J3"/>
    <mergeCell ref="B4:B8"/>
    <mergeCell ref="C4:D4"/>
    <mergeCell ref="E4:F4"/>
    <mergeCell ref="G4:H4"/>
    <mergeCell ref="I4:J4"/>
    <mergeCell ref="C5:D5"/>
    <mergeCell ref="E5:F5"/>
    <mergeCell ref="G5:H5"/>
    <mergeCell ref="I5:J5"/>
    <mergeCell ref="C6:D6"/>
    <mergeCell ref="E6:F6"/>
    <mergeCell ref="G6:H6"/>
  </mergeCells>
  <phoneticPr fontId="3" type="noConversion"/>
  <conditionalFormatting sqref="D15:M15">
    <cfRule type="cellIs" dxfId="264" priority="1" operator="lessThan">
      <formula>0.8</formula>
    </cfRule>
  </conditionalFormatting>
  <pageMargins left="0.7" right="0.7" top="0.75" bottom="0.75" header="0.3" footer="0.3"/>
  <pageSetup paperSize="9" orientation="portrait" horizontalDpi="300" verticalDpi="300" r:id="rId1"/>
</worksheet>
</file>

<file path=xl/worksheets/sheet5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工作表1312">
    <pageSetUpPr fitToPage="1"/>
  </sheetPr>
  <dimension ref="A1:AC65"/>
  <sheetViews>
    <sheetView zoomScale="80" zoomScaleNormal="80" workbookViewId="0">
      <pane ySplit="4" topLeftCell="A8" activePane="bottomLeft" state="frozen"/>
      <selection activeCell="A12" sqref="A12"/>
      <selection pane="bottomLeft" activeCell="A12" sqref="A12:A19"/>
    </sheetView>
  </sheetViews>
  <sheetFormatPr defaultColWidth="8" defaultRowHeight="15.75"/>
  <cols>
    <col min="1" max="1" width="15.125" style="5" customWidth="1"/>
    <col min="2" max="2" width="19.375" style="5" customWidth="1"/>
    <col min="3" max="3" width="15.25" style="5" customWidth="1"/>
    <col min="4" max="4" width="17.5" style="5" customWidth="1"/>
    <col min="5" max="5" width="7.5" style="5" bestFit="1" customWidth="1"/>
    <col min="6" max="6" width="14.375" style="5" bestFit="1" customWidth="1"/>
    <col min="7" max="7" width="14.375" style="5" customWidth="1"/>
    <col min="8" max="8" width="8" style="5" customWidth="1"/>
    <col min="9" max="9" width="5.875" style="5" customWidth="1"/>
    <col min="10" max="10" width="10.625" style="5" customWidth="1"/>
    <col min="11" max="11" width="14.625" style="5" customWidth="1"/>
    <col min="12" max="12" width="7.25" style="5" bestFit="1" customWidth="1"/>
    <col min="13" max="13" width="8" style="5" customWidth="1"/>
    <col min="14" max="14" width="12" style="5" customWidth="1"/>
    <col min="15" max="15" width="6" style="5" customWidth="1"/>
    <col min="16" max="16" width="9.25" style="5" customWidth="1"/>
    <col min="17" max="17" width="11.5" style="5" customWidth="1"/>
    <col min="18" max="18" width="8.5" style="5" customWidth="1"/>
    <col min="19" max="19" width="10.125" style="5" bestFit="1" customWidth="1"/>
    <col min="20" max="20" width="7.625" style="5" bestFit="1" customWidth="1"/>
    <col min="21" max="21" width="10.25" style="5" bestFit="1" customWidth="1"/>
    <col min="22" max="22" width="8.75" style="18" customWidth="1"/>
    <col min="23" max="23" width="7.375" style="5" customWidth="1"/>
    <col min="24" max="24" width="6.875" style="5" bestFit="1" customWidth="1"/>
    <col min="25" max="25" width="12.75" style="5" customWidth="1"/>
    <col min="26" max="26" width="18.875" style="5" customWidth="1"/>
    <col min="27" max="27" width="13.125" style="5" bestFit="1" customWidth="1"/>
    <col min="28" max="28" width="10.375" style="5" customWidth="1"/>
    <col min="29" max="29" width="9.375" style="5" customWidth="1"/>
    <col min="30" max="30" width="8" style="5"/>
    <col min="31" max="31" width="24.625" style="5" bestFit="1" customWidth="1"/>
    <col min="32" max="16384" width="8" style="5"/>
  </cols>
  <sheetData>
    <row r="1" spans="1:29" ht="26.25" customHeight="1">
      <c r="A1" s="1" t="s">
        <v>387</v>
      </c>
      <c r="B1" s="1"/>
      <c r="C1" s="2" t="s">
        <v>388</v>
      </c>
      <c r="D1" s="3">
        <f>SUM(F5:F64)</f>
        <v>127425</v>
      </c>
      <c r="E1" s="124" t="s">
        <v>389</v>
      </c>
      <c r="F1" s="1">
        <f>SUM(G5:G64)</f>
        <v>4208871.669999999</v>
      </c>
      <c r="G1" s="1" t="s">
        <v>390</v>
      </c>
      <c r="H1" s="4">
        <f>L8+L11+L44+L51+L19+L57+L32+L38+L25+L64</f>
        <v>156.95714285714286</v>
      </c>
      <c r="I1" s="652" t="s">
        <v>391</v>
      </c>
      <c r="J1" s="652"/>
      <c r="K1" s="652"/>
      <c r="L1" s="652" t="s">
        <v>392</v>
      </c>
      <c r="M1" s="652"/>
      <c r="N1" s="652"/>
      <c r="O1" s="652" t="s">
        <v>393</v>
      </c>
      <c r="P1" s="652"/>
      <c r="Q1" s="652"/>
      <c r="R1" s="652"/>
      <c r="S1" s="652" t="s">
        <v>394</v>
      </c>
      <c r="T1" s="652"/>
      <c r="U1" s="652"/>
      <c r="V1" s="652"/>
      <c r="W1" s="652"/>
      <c r="X1" s="652"/>
      <c r="Y1" s="652" t="s">
        <v>395</v>
      </c>
      <c r="Z1" s="652"/>
      <c r="AA1" s="652" t="s">
        <v>396</v>
      </c>
      <c r="AB1" s="653"/>
      <c r="AC1" s="653"/>
    </row>
    <row r="2" spans="1:29" ht="26.25" customHeight="1">
      <c r="A2" s="19">
        <v>45934</v>
      </c>
      <c r="B2" s="20" t="s">
        <v>397</v>
      </c>
      <c r="C2" s="2" t="s">
        <v>370</v>
      </c>
      <c r="D2" s="6">
        <f>AVERAGE(N8,N11,N44,N51,N19,N57,N25,N32,N38,N64)</f>
        <v>147.06164022706321</v>
      </c>
      <c r="E2" s="7" t="s">
        <v>2</v>
      </c>
      <c r="F2" s="8">
        <f>F1/D1</f>
        <v>33.030187718265637</v>
      </c>
      <c r="G2" s="1" t="s">
        <v>398</v>
      </c>
      <c r="H2" s="135">
        <f>COUNT(H5:H64)</f>
        <v>2</v>
      </c>
      <c r="I2" s="652"/>
      <c r="J2" s="652"/>
      <c r="K2" s="652"/>
      <c r="L2" s="652"/>
      <c r="M2" s="652"/>
      <c r="N2" s="652"/>
      <c r="O2" s="652"/>
      <c r="P2" s="652"/>
      <c r="Q2" s="652"/>
      <c r="R2" s="652"/>
      <c r="S2" s="652"/>
      <c r="T2" s="652"/>
      <c r="U2" s="652"/>
      <c r="V2" s="652"/>
      <c r="W2" s="652"/>
      <c r="X2" s="652"/>
      <c r="Y2" s="652"/>
      <c r="Z2" s="652"/>
      <c r="AA2" s="653"/>
      <c r="AB2" s="653"/>
      <c r="AC2" s="653"/>
    </row>
    <row r="3" spans="1:29" ht="23.25" customHeight="1">
      <c r="A3" s="617" t="s">
        <v>399</v>
      </c>
      <c r="B3" s="617" t="s">
        <v>400</v>
      </c>
      <c r="C3" s="617" t="s">
        <v>401</v>
      </c>
      <c r="D3" s="617"/>
      <c r="E3" s="654" t="s">
        <v>402</v>
      </c>
      <c r="F3" s="617" t="s">
        <v>403</v>
      </c>
      <c r="G3" s="654" t="s">
        <v>404</v>
      </c>
      <c r="H3" s="646" t="s">
        <v>405</v>
      </c>
      <c r="I3" s="645" t="s">
        <v>406</v>
      </c>
      <c r="J3" s="649" t="s">
        <v>407</v>
      </c>
      <c r="K3" s="651" t="s">
        <v>370</v>
      </c>
      <c r="L3" s="645" t="s">
        <v>406</v>
      </c>
      <c r="M3" s="649" t="s">
        <v>408</v>
      </c>
      <c r="N3" s="651" t="s">
        <v>409</v>
      </c>
      <c r="O3" s="645" t="s">
        <v>406</v>
      </c>
      <c r="P3" s="651" t="s">
        <v>370</v>
      </c>
      <c r="Q3" s="650" t="s">
        <v>410</v>
      </c>
      <c r="R3" s="633" t="s">
        <v>411</v>
      </c>
      <c r="S3" s="617" t="s">
        <v>14</v>
      </c>
      <c r="T3" s="617"/>
      <c r="U3" s="646" t="s">
        <v>15</v>
      </c>
      <c r="V3" s="646" t="s">
        <v>412</v>
      </c>
      <c r="W3" s="617" t="s">
        <v>413</v>
      </c>
      <c r="X3" s="617"/>
      <c r="Y3" s="647" t="s">
        <v>414</v>
      </c>
      <c r="Z3" s="648"/>
      <c r="AA3" s="649" t="s">
        <v>415</v>
      </c>
      <c r="AB3" s="650" t="s">
        <v>416</v>
      </c>
      <c r="AC3" s="633" t="s">
        <v>417</v>
      </c>
    </row>
    <row r="4" spans="1:29">
      <c r="A4" s="617"/>
      <c r="B4" s="617"/>
      <c r="C4" s="617"/>
      <c r="D4" s="617"/>
      <c r="E4" s="655"/>
      <c r="F4" s="617"/>
      <c r="G4" s="655"/>
      <c r="H4" s="646"/>
      <c r="I4" s="645"/>
      <c r="J4" s="649"/>
      <c r="K4" s="651"/>
      <c r="L4" s="645"/>
      <c r="M4" s="649"/>
      <c r="N4" s="651"/>
      <c r="O4" s="645"/>
      <c r="P4" s="651"/>
      <c r="Q4" s="650"/>
      <c r="R4" s="633"/>
      <c r="S4" s="124" t="s">
        <v>18</v>
      </c>
      <c r="T4" s="124" t="s">
        <v>19</v>
      </c>
      <c r="U4" s="646"/>
      <c r="V4" s="646"/>
      <c r="W4" s="124" t="s">
        <v>418</v>
      </c>
      <c r="X4" s="124" t="s">
        <v>419</v>
      </c>
      <c r="Y4" s="648"/>
      <c r="Z4" s="648"/>
      <c r="AA4" s="649"/>
      <c r="AB4" s="650"/>
      <c r="AC4" s="633"/>
    </row>
    <row r="5" spans="1:29">
      <c r="A5" s="644" t="s">
        <v>420</v>
      </c>
      <c r="B5" s="26" t="s">
        <v>36</v>
      </c>
      <c r="C5" s="601" t="s">
        <v>37</v>
      </c>
      <c r="D5" s="601"/>
      <c r="E5" s="26">
        <v>46.93</v>
      </c>
      <c r="F5" s="136">
        <v>738</v>
      </c>
      <c r="G5" s="124">
        <f>E5*F5</f>
        <v>34634.339999999997</v>
      </c>
      <c r="H5" s="21" t="s">
        <v>35</v>
      </c>
      <c r="I5" s="133">
        <v>16</v>
      </c>
      <c r="J5" s="23">
        <v>2000</v>
      </c>
      <c r="K5" s="9">
        <f>J5/I5</f>
        <v>125</v>
      </c>
      <c r="L5" s="133">
        <v>16</v>
      </c>
      <c r="M5" s="10">
        <f>F5/V5*60</f>
        <v>1925.2173913043412</v>
      </c>
      <c r="N5" s="9">
        <f>M5/L5</f>
        <v>120.32608695652132</v>
      </c>
      <c r="O5" s="11">
        <f t="shared" ref="O5:O7" si="0">L5-I5</f>
        <v>0</v>
      </c>
      <c r="P5" s="12">
        <f t="shared" ref="P5:P7" si="1">N5-K5</f>
        <v>-4.6739130434786773</v>
      </c>
      <c r="Q5" s="123">
        <f>N5/K5</f>
        <v>0.96260869565217055</v>
      </c>
      <c r="R5" s="571">
        <f>Q8</f>
        <v>0.95979159911569556</v>
      </c>
      <c r="S5" s="24">
        <v>0.70833333333333337</v>
      </c>
      <c r="T5" s="24">
        <v>0.72430555555555565</v>
      </c>
      <c r="U5" s="124"/>
      <c r="V5" s="134">
        <f>(T5-S5)*24*60</f>
        <v>23.000000000000078</v>
      </c>
      <c r="W5" s="13"/>
      <c r="X5" s="14"/>
      <c r="Y5" s="617"/>
      <c r="Z5" s="617"/>
      <c r="AA5" s="11">
        <f t="shared" ref="AA5:AA64" si="2">M5-J5</f>
        <v>-74.782608695658837</v>
      </c>
      <c r="AB5" s="123">
        <f t="shared" ref="AB5:AB7" si="3">M5/J5</f>
        <v>0.96260869565217055</v>
      </c>
      <c r="AC5" s="571">
        <f>AB8</f>
        <v>0.95979159911569556</v>
      </c>
    </row>
    <row r="6" spans="1:29">
      <c r="A6" s="645" t="s">
        <v>421</v>
      </c>
      <c r="B6" s="26" t="s">
        <v>36</v>
      </c>
      <c r="C6" s="601" t="s">
        <v>38</v>
      </c>
      <c r="D6" s="601"/>
      <c r="E6" s="26">
        <v>50.49</v>
      </c>
      <c r="F6" s="136">
        <v>1884</v>
      </c>
      <c r="G6" s="124">
        <f t="shared" ref="G6:G7" si="4">E6*F6</f>
        <v>95123.16</v>
      </c>
      <c r="H6" s="21" t="s">
        <v>35</v>
      </c>
      <c r="I6" s="133">
        <v>15</v>
      </c>
      <c r="J6" s="23">
        <v>2000</v>
      </c>
      <c r="K6" s="9">
        <f t="shared" ref="K6:K7" si="5">J6/I6</f>
        <v>133.33333333333334</v>
      </c>
      <c r="L6" s="133">
        <v>15</v>
      </c>
      <c r="M6" s="10">
        <f>F6/V6*60</f>
        <v>1915.9322033898322</v>
      </c>
      <c r="N6" s="9">
        <f t="shared" ref="N6:N7" si="6">M6/L6</f>
        <v>127.72881355932215</v>
      </c>
      <c r="O6" s="11">
        <f t="shared" si="0"/>
        <v>0</v>
      </c>
      <c r="P6" s="12">
        <f t="shared" si="1"/>
        <v>-5.6045197740111945</v>
      </c>
      <c r="Q6" s="123">
        <f t="shared" ref="Q6:Q7" si="7">N6/K6</f>
        <v>0.95796610169491603</v>
      </c>
      <c r="R6" s="571"/>
      <c r="S6" s="24">
        <v>0.72916666666666674</v>
      </c>
      <c r="T6" s="24">
        <v>0.77013888888888893</v>
      </c>
      <c r="U6" s="124">
        <f>(S6-T5)*24*60</f>
        <v>6.9999999999999751</v>
      </c>
      <c r="V6" s="134">
        <f>(T6-S6)*24*60</f>
        <v>58.99999999999995</v>
      </c>
      <c r="W6" s="13"/>
      <c r="X6" s="13"/>
      <c r="Y6" s="617"/>
      <c r="Z6" s="617"/>
      <c r="AA6" s="11">
        <f t="shared" si="2"/>
        <v>-84.067796610167761</v>
      </c>
      <c r="AB6" s="123">
        <f t="shared" si="3"/>
        <v>0.95796610169491614</v>
      </c>
      <c r="AC6" s="571"/>
    </row>
    <row r="7" spans="1:29">
      <c r="A7" s="645" t="s">
        <v>421</v>
      </c>
      <c r="B7" s="26" t="s">
        <v>36</v>
      </c>
      <c r="C7" s="594" t="s">
        <v>39</v>
      </c>
      <c r="D7" s="595"/>
      <c r="E7" s="26">
        <v>50.67</v>
      </c>
      <c r="F7" s="136">
        <v>1598</v>
      </c>
      <c r="G7" s="124">
        <f t="shared" si="4"/>
        <v>80970.66</v>
      </c>
      <c r="H7" s="21" t="s">
        <v>35</v>
      </c>
      <c r="I7" s="133">
        <v>17</v>
      </c>
      <c r="J7" s="23">
        <v>2000</v>
      </c>
      <c r="K7" s="9">
        <f t="shared" si="5"/>
        <v>117.64705882352941</v>
      </c>
      <c r="L7" s="133">
        <v>17</v>
      </c>
      <c r="M7" s="10">
        <f t="shared" ref="M7" si="8">F7/V7*60</f>
        <v>1917.6000000000004</v>
      </c>
      <c r="N7" s="9">
        <f t="shared" si="6"/>
        <v>112.80000000000003</v>
      </c>
      <c r="O7" s="11">
        <f t="shared" si="0"/>
        <v>0</v>
      </c>
      <c r="P7" s="12">
        <f t="shared" si="1"/>
        <v>-4.8470588235293803</v>
      </c>
      <c r="Q7" s="123">
        <f t="shared" si="7"/>
        <v>0.95880000000000032</v>
      </c>
      <c r="R7" s="571"/>
      <c r="S7" s="24">
        <v>0.77569444444444446</v>
      </c>
      <c r="T7" s="24">
        <v>0.81041666666666667</v>
      </c>
      <c r="U7" s="124">
        <f t="shared" ref="U7" si="9">(S7-T6)*24*60</f>
        <v>7.9999999999999716</v>
      </c>
      <c r="V7" s="134">
        <f t="shared" ref="V7" si="10">(T7-S7)*24*60</f>
        <v>49.999999999999986</v>
      </c>
      <c r="W7" s="13"/>
      <c r="X7" s="13"/>
      <c r="Y7" s="621"/>
      <c r="Z7" s="622"/>
      <c r="AA7" s="11">
        <f t="shared" si="2"/>
        <v>-82.399999999999636</v>
      </c>
      <c r="AB7" s="123">
        <f t="shared" si="3"/>
        <v>0.95880000000000021</v>
      </c>
      <c r="AC7" s="571"/>
    </row>
    <row r="8" spans="1:29">
      <c r="A8" s="645" t="s">
        <v>421</v>
      </c>
      <c r="B8" s="26" t="s">
        <v>422</v>
      </c>
      <c r="C8" s="629"/>
      <c r="D8" s="629"/>
      <c r="E8" s="129"/>
      <c r="F8" s="27"/>
      <c r="G8" s="9"/>
      <c r="H8" s="136"/>
      <c r="I8" s="16">
        <v>16</v>
      </c>
      <c r="J8" s="23">
        <v>2000</v>
      </c>
      <c r="K8" s="9">
        <f>J8/I8</f>
        <v>125</v>
      </c>
      <c r="L8" s="16">
        <v>16</v>
      </c>
      <c r="M8" s="10">
        <f>AVERAGE(M5:M7)</f>
        <v>1919.5831982313912</v>
      </c>
      <c r="N8" s="9">
        <f>M8/L8</f>
        <v>119.97394988946195</v>
      </c>
      <c r="O8" s="11">
        <f>L8-I8</f>
        <v>0</v>
      </c>
      <c r="P8" s="12">
        <f>N8-K8</f>
        <v>-5.0260501105380513</v>
      </c>
      <c r="Q8" s="123">
        <f>N8/K8</f>
        <v>0.95979159911569556</v>
      </c>
      <c r="R8" s="571"/>
      <c r="S8" s="24"/>
      <c r="T8" s="24"/>
      <c r="U8" s="124"/>
      <c r="V8" s="134"/>
      <c r="W8" s="9"/>
      <c r="X8" s="9"/>
      <c r="Y8" s="617"/>
      <c r="Z8" s="617"/>
      <c r="AA8" s="11">
        <f t="shared" si="2"/>
        <v>-80.416801768608821</v>
      </c>
      <c r="AB8" s="123">
        <f>M8/J8</f>
        <v>0.95979159911569556</v>
      </c>
      <c r="AC8" s="571"/>
    </row>
    <row r="9" spans="1:29" ht="15.75" customHeight="1">
      <c r="A9" s="643" t="s">
        <v>423</v>
      </c>
      <c r="B9" s="26" t="s">
        <v>40</v>
      </c>
      <c r="C9" s="594" t="s">
        <v>41</v>
      </c>
      <c r="D9" s="595"/>
      <c r="E9" s="26">
        <v>39.799999999999997</v>
      </c>
      <c r="F9" s="136">
        <v>4992</v>
      </c>
      <c r="G9" s="124">
        <f t="shared" ref="G9:G10" si="11">E9*F9</f>
        <v>198681.59999999998</v>
      </c>
      <c r="H9" s="21" t="s">
        <v>35</v>
      </c>
      <c r="I9" s="133">
        <v>17</v>
      </c>
      <c r="J9" s="23">
        <v>1500</v>
      </c>
      <c r="K9" s="9">
        <f t="shared" ref="K9:K10" si="12">J9/I9</f>
        <v>88.235294117647058</v>
      </c>
      <c r="L9" s="133">
        <v>17</v>
      </c>
      <c r="M9" s="10">
        <f t="shared" ref="M9:M10" si="13">F9/V9*60</f>
        <v>1433.1100478468895</v>
      </c>
      <c r="N9" s="9">
        <f t="shared" ref="N9:N10" si="14">M9/L9</f>
        <v>84.300591049817029</v>
      </c>
      <c r="O9" s="11">
        <f t="shared" ref="O9:O10" si="15">L9-I9</f>
        <v>0</v>
      </c>
      <c r="P9" s="12">
        <f>N9-K9</f>
        <v>-3.9347030678300285</v>
      </c>
      <c r="Q9" s="123">
        <f>N9/K9</f>
        <v>0.95540669856459304</v>
      </c>
      <c r="R9" s="571">
        <f>Q11</f>
        <v>0.95710334928229657</v>
      </c>
      <c r="S9" s="24">
        <v>0.25</v>
      </c>
      <c r="T9" s="24">
        <v>0.39513888888888893</v>
      </c>
      <c r="U9" s="124"/>
      <c r="V9" s="134">
        <f t="shared" ref="V9:V10" si="16">(T9-S9)*24*60</f>
        <v>209.00000000000006</v>
      </c>
      <c r="W9" s="13"/>
      <c r="X9" s="13"/>
      <c r="Y9" s="617"/>
      <c r="Z9" s="617"/>
      <c r="AA9" s="11">
        <f t="shared" si="2"/>
        <v>-66.889952153110471</v>
      </c>
      <c r="AB9" s="123">
        <f>M9/J9</f>
        <v>0.95540669856459304</v>
      </c>
      <c r="AC9" s="571">
        <f>AB11</f>
        <v>0.95710334928229657</v>
      </c>
    </row>
    <row r="10" spans="1:29" ht="15.75" customHeight="1">
      <c r="A10" s="643" t="s">
        <v>424</v>
      </c>
      <c r="B10" s="26" t="s">
        <v>40</v>
      </c>
      <c r="C10" s="594" t="s">
        <v>42</v>
      </c>
      <c r="D10" s="595"/>
      <c r="E10" s="26">
        <v>39.36</v>
      </c>
      <c r="F10" s="136">
        <v>2397</v>
      </c>
      <c r="G10" s="124">
        <f t="shared" si="11"/>
        <v>94345.919999999998</v>
      </c>
      <c r="H10" s="21" t="s">
        <v>35</v>
      </c>
      <c r="I10" s="133">
        <v>20</v>
      </c>
      <c r="J10" s="23">
        <v>1500</v>
      </c>
      <c r="K10" s="9">
        <f t="shared" si="12"/>
        <v>75</v>
      </c>
      <c r="L10" s="133">
        <v>20</v>
      </c>
      <c r="M10" s="10">
        <f t="shared" si="13"/>
        <v>1438.2000000000003</v>
      </c>
      <c r="N10" s="9">
        <f t="shared" si="14"/>
        <v>71.910000000000011</v>
      </c>
      <c r="O10" s="11">
        <f t="shared" si="15"/>
        <v>0</v>
      </c>
      <c r="P10" s="12">
        <f t="shared" ref="P10" si="17">N10-K10</f>
        <v>-3.0899999999999892</v>
      </c>
      <c r="Q10" s="123">
        <f t="shared" ref="Q10" si="18">N10/K10</f>
        <v>0.9588000000000001</v>
      </c>
      <c r="R10" s="571"/>
      <c r="S10" s="24">
        <v>0.39930555555555558</v>
      </c>
      <c r="T10" s="24">
        <v>0.46875</v>
      </c>
      <c r="U10" s="124">
        <f>(S10-T9)*24*60</f>
        <v>5.9999999999999787</v>
      </c>
      <c r="V10" s="134">
        <f t="shared" si="16"/>
        <v>99.999999999999972</v>
      </c>
      <c r="W10" s="13"/>
      <c r="X10" s="13"/>
      <c r="Y10" s="617"/>
      <c r="Z10" s="617"/>
      <c r="AA10" s="11">
        <f t="shared" si="2"/>
        <v>-61.799999999999727</v>
      </c>
      <c r="AB10" s="123">
        <f t="shared" ref="AB10:AB25" si="19">M10/J10</f>
        <v>0.95880000000000021</v>
      </c>
      <c r="AC10" s="571"/>
    </row>
    <row r="11" spans="1:29" ht="16.5" customHeight="1">
      <c r="A11" s="643" t="s">
        <v>424</v>
      </c>
      <c r="B11" s="26" t="s">
        <v>425</v>
      </c>
      <c r="C11" s="629"/>
      <c r="D11" s="629"/>
      <c r="E11" s="129"/>
      <c r="F11" s="23"/>
      <c r="G11" s="10"/>
      <c r="H11" s="136"/>
      <c r="I11" s="16">
        <v>18.5</v>
      </c>
      <c r="J11" s="23">
        <v>1500</v>
      </c>
      <c r="K11" s="9">
        <f>J11/I11</f>
        <v>81.081081081081081</v>
      </c>
      <c r="L11" s="16">
        <v>18.5</v>
      </c>
      <c r="M11" s="10">
        <f>AVERAGE(M9:M10)</f>
        <v>1435.6550239234448</v>
      </c>
      <c r="N11" s="9">
        <f>M11/L11</f>
        <v>77.602974266132151</v>
      </c>
      <c r="O11" s="11">
        <f>L11-I11</f>
        <v>0</v>
      </c>
      <c r="P11" s="12">
        <f>N11-K11</f>
        <v>-3.47810681494893</v>
      </c>
      <c r="Q11" s="123">
        <f>N11/K11</f>
        <v>0.95710334928229657</v>
      </c>
      <c r="R11" s="571"/>
      <c r="S11" s="24"/>
      <c r="T11" s="24"/>
      <c r="U11" s="9"/>
      <c r="V11" s="134"/>
      <c r="W11" s="9"/>
      <c r="X11" s="9"/>
      <c r="Y11" s="617"/>
      <c r="Z11" s="617"/>
      <c r="AA11" s="11">
        <f t="shared" si="2"/>
        <v>-64.344976076555213</v>
      </c>
      <c r="AB11" s="123">
        <f t="shared" si="19"/>
        <v>0.95710334928229657</v>
      </c>
      <c r="AC11" s="571"/>
    </row>
    <row r="12" spans="1:29" ht="16.5" customHeight="1">
      <c r="A12" s="641" t="s">
        <v>426</v>
      </c>
      <c r="B12" s="136" t="s">
        <v>43</v>
      </c>
      <c r="C12" s="636" t="s">
        <v>44</v>
      </c>
      <c r="D12" s="636"/>
      <c r="E12" s="26">
        <v>41</v>
      </c>
      <c r="F12" s="136">
        <v>1717</v>
      </c>
      <c r="G12" s="124">
        <f t="shared" ref="G12:G18" si="20">E12*F12</f>
        <v>70397</v>
      </c>
      <c r="H12" s="21" t="s">
        <v>35</v>
      </c>
      <c r="I12" s="133">
        <v>26</v>
      </c>
      <c r="J12" s="23">
        <v>1500</v>
      </c>
      <c r="K12" s="9">
        <f>J12/I12</f>
        <v>57.692307692307693</v>
      </c>
      <c r="L12" s="133">
        <v>26</v>
      </c>
      <c r="M12" s="10">
        <f>F12/V12*60</f>
        <v>1430.8333333333328</v>
      </c>
      <c r="N12" s="9">
        <f t="shared" ref="N12:N24" si="21">M12/L12</f>
        <v>55.032051282051263</v>
      </c>
      <c r="O12" s="11">
        <f t="shared" ref="O12" si="22">L12-I12</f>
        <v>0</v>
      </c>
      <c r="P12" s="12">
        <f t="shared" ref="P12" si="23">N12-K12</f>
        <v>-2.6602564102564301</v>
      </c>
      <c r="Q12" s="123">
        <f>N12/K12</f>
        <v>0.95388888888888856</v>
      </c>
      <c r="R12" s="571">
        <f>Q19</f>
        <v>0.95933747146186976</v>
      </c>
      <c r="S12" s="24">
        <v>0.20833333333333334</v>
      </c>
      <c r="T12" s="24">
        <v>0.25833333333333336</v>
      </c>
      <c r="U12" s="124"/>
      <c r="V12" s="134">
        <f>(T12-S12)*24*60</f>
        <v>72.000000000000028</v>
      </c>
      <c r="W12" s="15"/>
      <c r="X12" s="15"/>
      <c r="Y12" s="617"/>
      <c r="Z12" s="617"/>
      <c r="AA12" s="11">
        <f t="shared" si="2"/>
        <v>-69.166666666667197</v>
      </c>
      <c r="AB12" s="123">
        <f t="shared" si="19"/>
        <v>0.95388888888888856</v>
      </c>
      <c r="AC12" s="571">
        <f>AB19</f>
        <v>0.95933747146186987</v>
      </c>
    </row>
    <row r="13" spans="1:29" ht="16.5" customHeight="1">
      <c r="A13" s="642" t="s">
        <v>427</v>
      </c>
      <c r="B13" s="136" t="s">
        <v>40</v>
      </c>
      <c r="C13" s="636" t="s">
        <v>45</v>
      </c>
      <c r="D13" s="636"/>
      <c r="E13" s="26">
        <v>39.619999999999997</v>
      </c>
      <c r="F13" s="136">
        <v>3491</v>
      </c>
      <c r="G13" s="124">
        <f t="shared" si="20"/>
        <v>138313.41999999998</v>
      </c>
      <c r="H13" s="21" t="s">
        <v>35</v>
      </c>
      <c r="I13" s="133">
        <v>19</v>
      </c>
      <c r="J13" s="23">
        <v>1500</v>
      </c>
      <c r="K13" s="9">
        <f>J13/I13</f>
        <v>78.94736842105263</v>
      </c>
      <c r="L13" s="133">
        <v>19</v>
      </c>
      <c r="M13" s="10">
        <f>F13/V13*60</f>
        <v>1434.6575342465758</v>
      </c>
      <c r="N13" s="9">
        <f t="shared" si="21"/>
        <v>75.508291276135566</v>
      </c>
      <c r="O13" s="11">
        <f>L13-I13</f>
        <v>0</v>
      </c>
      <c r="P13" s="12">
        <f>N13-K13</f>
        <v>-3.4390771449170643</v>
      </c>
      <c r="Q13" s="123">
        <f>N13/K13</f>
        <v>0.95643835616438388</v>
      </c>
      <c r="R13" s="571"/>
      <c r="S13" s="24">
        <v>0.2638888888888889</v>
      </c>
      <c r="T13" s="24">
        <v>0.36527777777777776</v>
      </c>
      <c r="U13" s="124">
        <f>IF(S13=TIME(17,0,0),"",(S13-T12)*24*60)</f>
        <v>7.9999999999999716</v>
      </c>
      <c r="V13" s="134">
        <f>(T13-S13)*24*60</f>
        <v>145.99999999999997</v>
      </c>
      <c r="W13" s="13"/>
      <c r="X13" s="13"/>
      <c r="Y13" s="617"/>
      <c r="Z13" s="617"/>
      <c r="AA13" s="11">
        <f t="shared" si="2"/>
        <v>-65.342465753424221</v>
      </c>
      <c r="AB13" s="123">
        <f t="shared" si="19"/>
        <v>0.95643835616438388</v>
      </c>
      <c r="AC13" s="571"/>
    </row>
    <row r="14" spans="1:29" ht="16.5" customHeight="1">
      <c r="A14" s="642" t="s">
        <v>427</v>
      </c>
      <c r="B14" s="136" t="s">
        <v>46</v>
      </c>
      <c r="C14" s="636" t="s">
        <v>47</v>
      </c>
      <c r="D14" s="636"/>
      <c r="E14" s="26">
        <v>24.45</v>
      </c>
      <c r="F14" s="136">
        <v>1524</v>
      </c>
      <c r="G14" s="124">
        <f t="shared" si="20"/>
        <v>37261.799999999996</v>
      </c>
      <c r="H14" s="21" t="s">
        <v>35</v>
      </c>
      <c r="I14" s="133">
        <v>20</v>
      </c>
      <c r="J14" s="23">
        <v>2400</v>
      </c>
      <c r="K14" s="9">
        <f t="shared" ref="K14:K18" si="24">J14/I14</f>
        <v>120</v>
      </c>
      <c r="L14" s="133">
        <v>20</v>
      </c>
      <c r="M14" s="10">
        <f t="shared" ref="M14:M16" si="25">F14/V14*60</f>
        <v>2285.9999999999991</v>
      </c>
      <c r="N14" s="9">
        <f t="shared" si="21"/>
        <v>114.29999999999995</v>
      </c>
      <c r="O14" s="11">
        <f t="shared" ref="O14:O18" si="26">L14-I14</f>
        <v>0</v>
      </c>
      <c r="P14" s="12">
        <f t="shared" ref="P14:P18" si="27">N14-K14</f>
        <v>-5.7000000000000455</v>
      </c>
      <c r="Q14" s="123">
        <f t="shared" ref="Q14:Q24" si="28">N14/K14</f>
        <v>0.95249999999999957</v>
      </c>
      <c r="R14" s="571"/>
      <c r="S14" s="24">
        <v>0.36944444444444441</v>
      </c>
      <c r="T14" s="24">
        <v>0.3972222222222222</v>
      </c>
      <c r="U14" s="124">
        <f t="shared" ref="U14:U18" si="29">IF(S14=TIME(17,0,0),"",(S14-T13)*24*60)</f>
        <v>5.9999999999999787</v>
      </c>
      <c r="V14" s="134">
        <f t="shared" ref="V14:V18" si="30">(T14-S14)*24*60</f>
        <v>40.000000000000014</v>
      </c>
      <c r="W14" s="13"/>
      <c r="X14" s="13"/>
      <c r="Y14" s="617"/>
      <c r="Z14" s="617"/>
      <c r="AA14" s="11">
        <f t="shared" si="2"/>
        <v>-114.00000000000091</v>
      </c>
      <c r="AB14" s="123">
        <f t="shared" si="19"/>
        <v>0.95249999999999957</v>
      </c>
      <c r="AC14" s="571"/>
    </row>
    <row r="15" spans="1:29" ht="16.5" customHeight="1">
      <c r="A15" s="642" t="s">
        <v>428</v>
      </c>
      <c r="B15" s="136" t="s">
        <v>46</v>
      </c>
      <c r="C15" s="636" t="s">
        <v>65</v>
      </c>
      <c r="D15" s="636"/>
      <c r="E15" s="26">
        <v>24.43</v>
      </c>
      <c r="F15" s="136">
        <v>2146</v>
      </c>
      <c r="G15" s="124">
        <f t="shared" si="20"/>
        <v>52426.78</v>
      </c>
      <c r="H15" s="21" t="s">
        <v>35</v>
      </c>
      <c r="I15" s="133">
        <v>15</v>
      </c>
      <c r="J15" s="23">
        <v>2400</v>
      </c>
      <c r="K15" s="9">
        <f t="shared" si="24"/>
        <v>160</v>
      </c>
      <c r="L15" s="133">
        <v>15</v>
      </c>
      <c r="M15" s="10">
        <f t="shared" si="25"/>
        <v>2299.2857142857124</v>
      </c>
      <c r="N15" s="9">
        <f t="shared" si="21"/>
        <v>153.28571428571416</v>
      </c>
      <c r="O15" s="11">
        <f t="shared" si="26"/>
        <v>0</v>
      </c>
      <c r="P15" s="12">
        <f t="shared" si="27"/>
        <v>-6.7142857142858361</v>
      </c>
      <c r="Q15" s="123">
        <f t="shared" si="28"/>
        <v>0.95803571428571355</v>
      </c>
      <c r="R15" s="571"/>
      <c r="S15" s="24">
        <v>0.40277777777777773</v>
      </c>
      <c r="T15" s="24">
        <v>0.44166666666666665</v>
      </c>
      <c r="U15" s="124">
        <f t="shared" si="29"/>
        <v>7.9999999999999716</v>
      </c>
      <c r="V15" s="134">
        <f t="shared" si="30"/>
        <v>56.000000000000043</v>
      </c>
      <c r="W15" s="13"/>
      <c r="X15" s="13"/>
      <c r="Y15" s="617"/>
      <c r="Z15" s="617"/>
      <c r="AA15" s="11">
        <f t="shared" si="2"/>
        <v>-100.7142857142876</v>
      </c>
      <c r="AB15" s="123">
        <f t="shared" si="19"/>
        <v>0.95803571428571355</v>
      </c>
      <c r="AC15" s="571"/>
    </row>
    <row r="16" spans="1:29" ht="16.5" customHeight="1">
      <c r="A16" s="642" t="s">
        <v>428</v>
      </c>
      <c r="B16" s="136" t="s">
        <v>46</v>
      </c>
      <c r="C16" s="636" t="s">
        <v>66</v>
      </c>
      <c r="D16" s="636"/>
      <c r="E16" s="26">
        <v>24.25</v>
      </c>
      <c r="F16" s="136">
        <v>1665</v>
      </c>
      <c r="G16" s="124">
        <f t="shared" si="20"/>
        <v>40376.25</v>
      </c>
      <c r="H16" s="21" t="s">
        <v>35</v>
      </c>
      <c r="I16" s="133">
        <v>14</v>
      </c>
      <c r="J16" s="23">
        <v>2400</v>
      </c>
      <c r="K16" s="9">
        <f t="shared" si="24"/>
        <v>171.42857142857142</v>
      </c>
      <c r="L16" s="133">
        <v>14</v>
      </c>
      <c r="M16" s="10">
        <f t="shared" si="25"/>
        <v>2323.2558139534881</v>
      </c>
      <c r="N16" s="9">
        <f t="shared" si="21"/>
        <v>165.94684385382058</v>
      </c>
      <c r="O16" s="11">
        <f t="shared" si="26"/>
        <v>0</v>
      </c>
      <c r="P16" s="12">
        <f t="shared" si="27"/>
        <v>-5.4817275747508347</v>
      </c>
      <c r="Q16" s="123">
        <f t="shared" si="28"/>
        <v>0.96802325581395343</v>
      </c>
      <c r="R16" s="571"/>
      <c r="S16" s="24">
        <v>0.44722222222222219</v>
      </c>
      <c r="T16" s="24">
        <v>0.4770833333333333</v>
      </c>
      <c r="U16" s="124">
        <f t="shared" si="29"/>
        <v>7.9999999999999716</v>
      </c>
      <c r="V16" s="134">
        <f t="shared" si="30"/>
        <v>43.000000000000007</v>
      </c>
      <c r="W16" s="13"/>
      <c r="X16" s="13"/>
      <c r="Y16" s="617"/>
      <c r="Z16" s="617"/>
      <c r="AA16" s="11">
        <f t="shared" si="2"/>
        <v>-76.744186046511913</v>
      </c>
      <c r="AB16" s="123">
        <f t="shared" si="19"/>
        <v>0.96802325581395332</v>
      </c>
      <c r="AC16" s="571"/>
    </row>
    <row r="17" spans="1:29" ht="16.5" customHeight="1">
      <c r="A17" s="642" t="s">
        <v>428</v>
      </c>
      <c r="B17" s="136" t="s">
        <v>36</v>
      </c>
      <c r="C17" s="658" t="s">
        <v>49</v>
      </c>
      <c r="D17" s="659"/>
      <c r="E17" s="26">
        <v>50.98</v>
      </c>
      <c r="F17" s="136">
        <v>2372</v>
      </c>
      <c r="G17" s="124">
        <f t="shared" si="20"/>
        <v>120924.56</v>
      </c>
      <c r="H17" s="21" t="s">
        <v>35</v>
      </c>
      <c r="I17" s="133">
        <v>16</v>
      </c>
      <c r="J17" s="23">
        <v>2000</v>
      </c>
      <c r="K17" s="9">
        <f t="shared" si="24"/>
        <v>125</v>
      </c>
      <c r="L17" s="133">
        <v>16</v>
      </c>
      <c r="M17" s="10">
        <f>F17/V17*60</f>
        <v>1923.2432432432417</v>
      </c>
      <c r="N17" s="9">
        <f t="shared" si="21"/>
        <v>120.20270270270261</v>
      </c>
      <c r="O17" s="11">
        <f t="shared" si="26"/>
        <v>0</v>
      </c>
      <c r="P17" s="12">
        <f t="shared" si="27"/>
        <v>-4.7972972972973906</v>
      </c>
      <c r="Q17" s="123">
        <f t="shared" si="28"/>
        <v>0.9616216216216209</v>
      </c>
      <c r="R17" s="571"/>
      <c r="S17" s="24">
        <v>0.70833333333333337</v>
      </c>
      <c r="T17" s="24">
        <v>0.7597222222222223</v>
      </c>
      <c r="U17" s="124" t="str">
        <f t="shared" si="29"/>
        <v/>
      </c>
      <c r="V17" s="134">
        <f t="shared" si="30"/>
        <v>74.000000000000057</v>
      </c>
      <c r="W17" s="13"/>
      <c r="X17" s="13"/>
      <c r="Y17" s="621"/>
      <c r="Z17" s="622"/>
      <c r="AA17" s="11">
        <f t="shared" si="2"/>
        <v>-76.75675675675825</v>
      </c>
      <c r="AB17" s="123">
        <f t="shared" si="19"/>
        <v>0.9616216216216209</v>
      </c>
      <c r="AC17" s="571"/>
    </row>
    <row r="18" spans="1:29" ht="16.5" customHeight="1">
      <c r="A18" s="642" t="s">
        <v>428</v>
      </c>
      <c r="B18" s="136" t="s">
        <v>36</v>
      </c>
      <c r="C18" s="131" t="s">
        <v>50</v>
      </c>
      <c r="D18" s="132"/>
      <c r="E18" s="26">
        <v>50.92</v>
      </c>
      <c r="F18" s="136">
        <v>2535</v>
      </c>
      <c r="G18" s="124">
        <f t="shared" si="20"/>
        <v>129082.2</v>
      </c>
      <c r="H18" s="21" t="s">
        <v>35</v>
      </c>
      <c r="I18" s="133">
        <v>15</v>
      </c>
      <c r="J18" s="23">
        <v>2000</v>
      </c>
      <c r="K18" s="9">
        <f t="shared" si="24"/>
        <v>133.33333333333334</v>
      </c>
      <c r="L18" s="133">
        <v>15</v>
      </c>
      <c r="M18" s="10">
        <f t="shared" ref="M18" si="31">F18/V18*60</f>
        <v>1925.3164556962015</v>
      </c>
      <c r="N18" s="9">
        <f t="shared" si="21"/>
        <v>128.35443037974676</v>
      </c>
      <c r="O18" s="11">
        <f t="shared" si="26"/>
        <v>0</v>
      </c>
      <c r="P18" s="12">
        <f t="shared" si="27"/>
        <v>-4.9789029535865836</v>
      </c>
      <c r="Q18" s="123">
        <f t="shared" si="28"/>
        <v>0.96265822784810062</v>
      </c>
      <c r="R18" s="571"/>
      <c r="S18" s="24">
        <v>0.76388888888888895</v>
      </c>
      <c r="T18" s="24">
        <v>0.81875000000000009</v>
      </c>
      <c r="U18" s="124">
        <f t="shared" si="29"/>
        <v>5.9999999999999787</v>
      </c>
      <c r="V18" s="134">
        <f t="shared" si="30"/>
        <v>79.000000000000043</v>
      </c>
      <c r="W18" s="13"/>
      <c r="X18" s="13"/>
      <c r="Y18" s="621"/>
      <c r="Z18" s="622"/>
      <c r="AA18" s="11">
        <f t="shared" si="2"/>
        <v>-74.683544303798499</v>
      </c>
      <c r="AB18" s="123">
        <f t="shared" si="19"/>
        <v>0.96265822784810073</v>
      </c>
      <c r="AC18" s="571"/>
    </row>
    <row r="19" spans="1:29" ht="16.5" customHeight="1">
      <c r="A19" s="642" t="s">
        <v>427</v>
      </c>
      <c r="B19" s="26" t="s">
        <v>429</v>
      </c>
      <c r="C19" s="629"/>
      <c r="D19" s="629"/>
      <c r="E19" s="129"/>
      <c r="F19" s="27"/>
      <c r="G19" s="9"/>
      <c r="H19" s="136"/>
      <c r="I19" s="16">
        <v>17.857142857142858</v>
      </c>
      <c r="J19" s="23">
        <v>2028.5714285714287</v>
      </c>
      <c r="K19" s="9">
        <f>J19/I19</f>
        <v>113.60000000000001</v>
      </c>
      <c r="L19" s="16">
        <v>17.857142857142858</v>
      </c>
      <c r="M19" s="10">
        <f>AVERAGE(M12:M18)</f>
        <v>1946.0845849655075</v>
      </c>
      <c r="N19" s="9">
        <f t="shared" si="21"/>
        <v>108.98073675806842</v>
      </c>
      <c r="O19" s="11">
        <f>L19-I19</f>
        <v>0</v>
      </c>
      <c r="P19" s="12">
        <f>N19-K19</f>
        <v>-4.6192632419315913</v>
      </c>
      <c r="Q19" s="123">
        <f t="shared" si="28"/>
        <v>0.95933747146186976</v>
      </c>
      <c r="R19" s="571"/>
      <c r="S19" s="24"/>
      <c r="T19" s="24"/>
      <c r="U19" s="124"/>
      <c r="V19" s="134"/>
      <c r="W19" s="9"/>
      <c r="X19" s="9"/>
      <c r="Y19" s="617"/>
      <c r="Z19" s="617"/>
      <c r="AA19" s="11">
        <f t="shared" si="2"/>
        <v>-82.486843605921194</v>
      </c>
      <c r="AB19" s="123">
        <f t="shared" si="19"/>
        <v>0.95933747146186987</v>
      </c>
      <c r="AC19" s="571"/>
    </row>
    <row r="20" spans="1:29" ht="15.75" customHeight="1">
      <c r="A20" s="639" t="s">
        <v>430</v>
      </c>
      <c r="B20" s="26" t="s">
        <v>43</v>
      </c>
      <c r="C20" s="636" t="s">
        <v>51</v>
      </c>
      <c r="D20" s="636"/>
      <c r="E20" s="26">
        <v>43.14</v>
      </c>
      <c r="F20" s="136">
        <v>1051</v>
      </c>
      <c r="G20" s="124">
        <f t="shared" ref="G20:G24" si="32">E20*F20</f>
        <v>45340.14</v>
      </c>
      <c r="H20" s="21" t="s">
        <v>35</v>
      </c>
      <c r="I20" s="133">
        <v>17</v>
      </c>
      <c r="J20" s="23">
        <v>2000</v>
      </c>
      <c r="K20" s="9">
        <f t="shared" ref="K20:K25" si="33">J20/I20</f>
        <v>117.64705882352941</v>
      </c>
      <c r="L20" s="133">
        <v>17</v>
      </c>
      <c r="M20" s="10">
        <f t="shared" ref="M20:M24" si="34">F20/V20*60</f>
        <v>1910.9090909090908</v>
      </c>
      <c r="N20" s="9">
        <f t="shared" si="21"/>
        <v>112.40641711229945</v>
      </c>
      <c r="O20" s="11">
        <f t="shared" ref="O20:O24" si="35">L20-I20</f>
        <v>0</v>
      </c>
      <c r="P20" s="12">
        <f t="shared" ref="P20:P24" si="36">N20-K20</f>
        <v>-5.240641711229955</v>
      </c>
      <c r="Q20" s="123">
        <f t="shared" si="28"/>
        <v>0.95545454545454533</v>
      </c>
      <c r="R20" s="571">
        <f>Q25</f>
        <v>0.95834938085170618</v>
      </c>
      <c r="S20" s="24">
        <v>0.20833333333333334</v>
      </c>
      <c r="T20" s="24">
        <v>0.23125000000000001</v>
      </c>
      <c r="U20" s="124"/>
      <c r="V20" s="134">
        <f>(T20-S20)*24*60</f>
        <v>33</v>
      </c>
      <c r="W20" s="15"/>
      <c r="X20" s="15"/>
      <c r="Y20" s="617"/>
      <c r="Z20" s="617"/>
      <c r="AA20" s="11">
        <f t="shared" si="2"/>
        <v>-89.090909090909236</v>
      </c>
      <c r="AB20" s="123">
        <f t="shared" si="19"/>
        <v>0.95545454545454533</v>
      </c>
      <c r="AC20" s="571">
        <f>AB25</f>
        <v>0.95834938085170618</v>
      </c>
    </row>
    <row r="21" spans="1:29" ht="15.75" customHeight="1">
      <c r="A21" s="640" t="s">
        <v>431</v>
      </c>
      <c r="B21" s="26" t="s">
        <v>36</v>
      </c>
      <c r="C21" s="636" t="s">
        <v>52</v>
      </c>
      <c r="D21" s="636"/>
      <c r="E21" s="26">
        <v>57.73</v>
      </c>
      <c r="F21" s="136">
        <v>1952</v>
      </c>
      <c r="G21" s="124">
        <f t="shared" si="32"/>
        <v>112688.95999999999</v>
      </c>
      <c r="H21" s="21" t="s">
        <v>35</v>
      </c>
      <c r="I21" s="133">
        <v>15</v>
      </c>
      <c r="J21" s="23">
        <v>2000</v>
      </c>
      <c r="K21" s="9">
        <f t="shared" si="33"/>
        <v>133.33333333333334</v>
      </c>
      <c r="L21" s="133">
        <v>15</v>
      </c>
      <c r="M21" s="10">
        <f t="shared" si="34"/>
        <v>1920.0000000000005</v>
      </c>
      <c r="N21" s="9">
        <f t="shared" si="21"/>
        <v>128.00000000000003</v>
      </c>
      <c r="O21" s="11">
        <f t="shared" si="35"/>
        <v>0</v>
      </c>
      <c r="P21" s="12">
        <f t="shared" si="36"/>
        <v>-5.3333333333333144</v>
      </c>
      <c r="Q21" s="123">
        <f t="shared" si="28"/>
        <v>0.96000000000000019</v>
      </c>
      <c r="R21" s="571"/>
      <c r="S21" s="24">
        <v>0.23541666666666669</v>
      </c>
      <c r="T21" s="24">
        <v>0.27777777777777779</v>
      </c>
      <c r="U21" s="124">
        <f>IF(S21=TIME(17,0,0),"",(S21-T20)*24*60)</f>
        <v>6.0000000000000187</v>
      </c>
      <c r="V21" s="134">
        <f t="shared" ref="V21:V24" si="37">(T21-S21)*24*60</f>
        <v>60.999999999999986</v>
      </c>
      <c r="W21" s="13"/>
      <c r="X21" s="124"/>
      <c r="Y21" s="617"/>
      <c r="Z21" s="617"/>
      <c r="AA21" s="11">
        <f t="shared" si="2"/>
        <v>-79.999999999999545</v>
      </c>
      <c r="AB21" s="123">
        <f t="shared" si="19"/>
        <v>0.96000000000000019</v>
      </c>
      <c r="AC21" s="571"/>
    </row>
    <row r="22" spans="1:29" ht="15.75" customHeight="1">
      <c r="A22" s="640" t="s">
        <v>431</v>
      </c>
      <c r="B22" s="26" t="s">
        <v>36</v>
      </c>
      <c r="C22" s="636" t="s">
        <v>53</v>
      </c>
      <c r="D22" s="636"/>
      <c r="E22" s="26">
        <v>53.68</v>
      </c>
      <c r="F22" s="136">
        <v>1367</v>
      </c>
      <c r="G22" s="124">
        <f t="shared" si="32"/>
        <v>73380.56</v>
      </c>
      <c r="H22" s="21" t="s">
        <v>35</v>
      </c>
      <c r="I22" s="133">
        <v>16</v>
      </c>
      <c r="J22" s="23">
        <v>2000</v>
      </c>
      <c r="K22" s="9">
        <f t="shared" si="33"/>
        <v>125</v>
      </c>
      <c r="L22" s="133">
        <v>16</v>
      </c>
      <c r="M22" s="10">
        <f t="shared" si="34"/>
        <v>1907.441860465116</v>
      </c>
      <c r="N22" s="9">
        <f t="shared" si="21"/>
        <v>119.21511627906975</v>
      </c>
      <c r="O22" s="11">
        <f t="shared" si="35"/>
        <v>0</v>
      </c>
      <c r="P22" s="12">
        <f t="shared" si="36"/>
        <v>-5.784883720930253</v>
      </c>
      <c r="Q22" s="123">
        <f t="shared" si="28"/>
        <v>0.953720930232558</v>
      </c>
      <c r="R22" s="571"/>
      <c r="S22" s="24">
        <v>0.28125</v>
      </c>
      <c r="T22" s="24">
        <v>0.31111111111111112</v>
      </c>
      <c r="U22" s="124">
        <f t="shared" ref="U22:U24" si="38">IF(S22=TIME(17,0,0),"",(S22-T21)*24*60)</f>
        <v>4.9999999999999822</v>
      </c>
      <c r="V22" s="134">
        <f t="shared" si="37"/>
        <v>43.000000000000007</v>
      </c>
      <c r="W22" s="13"/>
      <c r="X22" s="124"/>
      <c r="Y22" s="617"/>
      <c r="Z22" s="617"/>
      <c r="AA22" s="11">
        <f t="shared" si="2"/>
        <v>-92.558139534884049</v>
      </c>
      <c r="AB22" s="123">
        <f t="shared" si="19"/>
        <v>0.953720930232558</v>
      </c>
      <c r="AC22" s="571"/>
    </row>
    <row r="23" spans="1:29" ht="15.75" customHeight="1">
      <c r="A23" s="640" t="s">
        <v>431</v>
      </c>
      <c r="B23" s="26" t="s">
        <v>36</v>
      </c>
      <c r="C23" s="636" t="s">
        <v>54</v>
      </c>
      <c r="D23" s="636"/>
      <c r="E23" s="26">
        <v>53.27</v>
      </c>
      <c r="F23" s="136">
        <v>1292</v>
      </c>
      <c r="G23" s="124">
        <f t="shared" si="32"/>
        <v>68824.840000000011</v>
      </c>
      <c r="H23" s="21" t="s">
        <v>35</v>
      </c>
      <c r="I23" s="133">
        <v>16</v>
      </c>
      <c r="J23" s="23">
        <v>2000</v>
      </c>
      <c r="K23" s="9">
        <f t="shared" si="33"/>
        <v>125</v>
      </c>
      <c r="L23" s="133">
        <v>16</v>
      </c>
      <c r="M23" s="10">
        <f t="shared" si="34"/>
        <v>1937.9999999999993</v>
      </c>
      <c r="N23" s="9">
        <f t="shared" si="21"/>
        <v>121.12499999999996</v>
      </c>
      <c r="O23" s="11">
        <f t="shared" si="35"/>
        <v>0</v>
      </c>
      <c r="P23" s="12">
        <f t="shared" si="36"/>
        <v>-3.8750000000000426</v>
      </c>
      <c r="Q23" s="123">
        <f t="shared" si="28"/>
        <v>0.96899999999999964</v>
      </c>
      <c r="R23" s="571"/>
      <c r="S23" s="24">
        <v>0.31458333333333333</v>
      </c>
      <c r="T23" s="24">
        <v>0.34236111111111112</v>
      </c>
      <c r="U23" s="124">
        <f t="shared" si="38"/>
        <v>4.9999999999999822</v>
      </c>
      <c r="V23" s="134">
        <f t="shared" si="37"/>
        <v>40.000000000000014</v>
      </c>
      <c r="W23" s="13"/>
      <c r="X23" s="124"/>
      <c r="Y23" s="617"/>
      <c r="Z23" s="617"/>
      <c r="AA23" s="11">
        <f t="shared" si="2"/>
        <v>-62.000000000000682</v>
      </c>
      <c r="AB23" s="123">
        <f t="shared" si="19"/>
        <v>0.96899999999999964</v>
      </c>
      <c r="AC23" s="571"/>
    </row>
    <row r="24" spans="1:29" ht="15.75" customHeight="1">
      <c r="A24" s="640" t="s">
        <v>431</v>
      </c>
      <c r="B24" s="26" t="s">
        <v>36</v>
      </c>
      <c r="C24" s="636" t="s">
        <v>55</v>
      </c>
      <c r="D24" s="636"/>
      <c r="E24" s="26">
        <v>54.09</v>
      </c>
      <c r="F24" s="136">
        <v>2225</v>
      </c>
      <c r="G24" s="124">
        <f t="shared" si="32"/>
        <v>120350.25000000001</v>
      </c>
      <c r="H24" s="21" t="s">
        <v>35</v>
      </c>
      <c r="I24" s="133">
        <v>19</v>
      </c>
      <c r="J24" s="23">
        <v>2000</v>
      </c>
      <c r="K24" s="9">
        <f t="shared" si="33"/>
        <v>105.26315789473684</v>
      </c>
      <c r="L24" s="133">
        <v>19</v>
      </c>
      <c r="M24" s="10">
        <f t="shared" si="34"/>
        <v>1907.1428571428551</v>
      </c>
      <c r="N24" s="9">
        <f t="shared" si="21"/>
        <v>100.37593984962395</v>
      </c>
      <c r="O24" s="11">
        <f t="shared" si="35"/>
        <v>0</v>
      </c>
      <c r="P24" s="12">
        <f t="shared" si="36"/>
        <v>-4.8872180451128884</v>
      </c>
      <c r="Q24" s="123">
        <f t="shared" si="28"/>
        <v>0.95357142857142752</v>
      </c>
      <c r="R24" s="571"/>
      <c r="S24" s="24">
        <v>0.70833333333333337</v>
      </c>
      <c r="T24" s="24">
        <v>0.75694444444444453</v>
      </c>
      <c r="U24" s="124" t="str">
        <f t="shared" si="38"/>
        <v/>
      </c>
      <c r="V24" s="134">
        <f t="shared" si="37"/>
        <v>70.000000000000071</v>
      </c>
      <c r="W24" s="13"/>
      <c r="X24" s="124"/>
      <c r="Y24" s="617"/>
      <c r="Z24" s="617"/>
      <c r="AA24" s="11">
        <f t="shared" si="2"/>
        <v>-92.857142857144936</v>
      </c>
      <c r="AB24" s="123">
        <f t="shared" si="19"/>
        <v>0.95357142857142752</v>
      </c>
      <c r="AC24" s="571"/>
    </row>
    <row r="25" spans="1:29" ht="15.75" customHeight="1">
      <c r="A25" s="640" t="s">
        <v>431</v>
      </c>
      <c r="B25" s="26" t="s">
        <v>432</v>
      </c>
      <c r="C25" s="629"/>
      <c r="D25" s="629"/>
      <c r="E25" s="129"/>
      <c r="F25" s="136"/>
      <c r="G25" s="124"/>
      <c r="H25" s="136"/>
      <c r="I25" s="16">
        <v>16.600000000000001</v>
      </c>
      <c r="J25" s="23">
        <v>2000</v>
      </c>
      <c r="K25" s="9">
        <f t="shared" si="33"/>
        <v>120.48192771084337</v>
      </c>
      <c r="L25" s="16">
        <v>16.600000000000001</v>
      </c>
      <c r="M25" s="10">
        <f>AVERAGE(M20:M24)</f>
        <v>1916.6987617034124</v>
      </c>
      <c r="N25" s="9">
        <f>M25/L25</f>
        <v>115.46378082550676</v>
      </c>
      <c r="O25" s="11">
        <f>L25-I25</f>
        <v>0</v>
      </c>
      <c r="P25" s="12">
        <f>N25-K25</f>
        <v>-5.0181468853366056</v>
      </c>
      <c r="Q25" s="123">
        <f>N25/K25</f>
        <v>0.95834938085170618</v>
      </c>
      <c r="R25" s="571"/>
      <c r="S25" s="24"/>
      <c r="T25" s="24"/>
      <c r="U25" s="9"/>
      <c r="V25" s="134"/>
      <c r="W25" s="9"/>
      <c r="X25" s="9"/>
      <c r="Y25" s="617"/>
      <c r="Z25" s="617"/>
      <c r="AA25" s="11">
        <f t="shared" si="2"/>
        <v>-83.301238296587599</v>
      </c>
      <c r="AB25" s="123">
        <f t="shared" si="19"/>
        <v>0.95834938085170618</v>
      </c>
      <c r="AC25" s="571"/>
    </row>
    <row r="26" spans="1:29" ht="15.75" customHeight="1">
      <c r="A26" s="635" t="s">
        <v>433</v>
      </c>
      <c r="B26" s="26" t="s">
        <v>46</v>
      </c>
      <c r="C26" s="636" t="s">
        <v>56</v>
      </c>
      <c r="D26" s="636"/>
      <c r="E26" s="26">
        <v>26.2</v>
      </c>
      <c r="F26" s="136">
        <v>3339</v>
      </c>
      <c r="G26" s="124">
        <f t="shared" ref="G26:G31" si="39">E26*F26</f>
        <v>87481.8</v>
      </c>
      <c r="H26" s="21" t="s">
        <v>35</v>
      </c>
      <c r="I26" s="133">
        <v>20</v>
      </c>
      <c r="J26" s="23">
        <v>2400</v>
      </c>
      <c r="K26" s="9">
        <f>J26/I26</f>
        <v>120</v>
      </c>
      <c r="L26" s="133">
        <v>20</v>
      </c>
      <c r="M26" s="10">
        <f t="shared" ref="M26:M31" si="40">F26/V26*60</f>
        <v>2302.7586206896549</v>
      </c>
      <c r="N26" s="9">
        <f t="shared" ref="N26:N31" si="41">M26/L26</f>
        <v>115.13793103448275</v>
      </c>
      <c r="O26" s="11">
        <f t="shared" ref="O26:O31" si="42">L26-I26</f>
        <v>0</v>
      </c>
      <c r="P26" s="12">
        <f t="shared" ref="P26:P31" si="43">N26-K26</f>
        <v>-4.8620689655172526</v>
      </c>
      <c r="Q26" s="123">
        <f t="shared" ref="Q26:Q31" si="44">N26/K26</f>
        <v>0.95948275862068955</v>
      </c>
      <c r="R26" s="571">
        <f>Q32</f>
        <v>0.95929239875785299</v>
      </c>
      <c r="S26" s="24">
        <v>0.125</v>
      </c>
      <c r="T26" s="24">
        <v>0.18541666666666667</v>
      </c>
      <c r="U26" s="124"/>
      <c r="V26" s="134">
        <f t="shared" ref="V26:V31" si="45">(T26-S26)*24*60</f>
        <v>87.000000000000014</v>
      </c>
      <c r="W26" s="13">
        <f>T26</f>
        <v>0.18541666666666667</v>
      </c>
      <c r="X26" s="13">
        <f>S27</f>
        <v>0.20416666666666669</v>
      </c>
      <c r="Y26" s="617"/>
      <c r="Z26" s="617"/>
      <c r="AA26" s="11">
        <f t="shared" si="2"/>
        <v>-97.24137931034511</v>
      </c>
      <c r="AB26" s="123">
        <f>M26/J26</f>
        <v>0.95948275862068955</v>
      </c>
      <c r="AC26" s="571">
        <f>AB32</f>
        <v>0.95929239875785299</v>
      </c>
    </row>
    <row r="27" spans="1:29" ht="15.75" customHeight="1">
      <c r="A27" s="635" t="s">
        <v>434</v>
      </c>
      <c r="B27" s="26" t="s">
        <v>46</v>
      </c>
      <c r="C27" s="636" t="s">
        <v>57</v>
      </c>
      <c r="D27" s="636"/>
      <c r="E27" s="26">
        <v>20.52</v>
      </c>
      <c r="F27" s="136">
        <v>2263</v>
      </c>
      <c r="G27" s="124">
        <f t="shared" si="39"/>
        <v>46436.76</v>
      </c>
      <c r="H27" s="21" t="s">
        <v>35</v>
      </c>
      <c r="I27" s="133">
        <v>18</v>
      </c>
      <c r="J27" s="23">
        <v>2400</v>
      </c>
      <c r="K27" s="9">
        <f t="shared" ref="K27:K32" si="46">J27/I27</f>
        <v>133.33333333333334</v>
      </c>
      <c r="L27" s="133">
        <v>18</v>
      </c>
      <c r="M27" s="10">
        <f t="shared" si="40"/>
        <v>2301.3559322033902</v>
      </c>
      <c r="N27" s="9">
        <f t="shared" si="41"/>
        <v>127.85310734463279</v>
      </c>
      <c r="O27" s="11">
        <f t="shared" si="42"/>
        <v>0</v>
      </c>
      <c r="P27" s="12">
        <f t="shared" si="43"/>
        <v>-5.4802259887005533</v>
      </c>
      <c r="Q27" s="123">
        <f t="shared" si="44"/>
        <v>0.95889830508474583</v>
      </c>
      <c r="R27" s="571"/>
      <c r="S27" s="24">
        <v>0.20416666666666669</v>
      </c>
      <c r="T27" s="24">
        <v>0.24513888888888891</v>
      </c>
      <c r="U27" s="124">
        <f>(S27-T26)*24*60</f>
        <v>27.000000000000025</v>
      </c>
      <c r="V27" s="134">
        <f t="shared" si="45"/>
        <v>58.999999999999993</v>
      </c>
      <c r="W27" s="13"/>
      <c r="X27" s="13"/>
      <c r="Y27" s="617"/>
      <c r="Z27" s="617"/>
      <c r="AA27" s="11">
        <f t="shared" si="2"/>
        <v>-98.644067796609761</v>
      </c>
      <c r="AB27" s="123">
        <f t="shared" ref="AB27:AB31" si="47">M27/J27</f>
        <v>0.95889830508474594</v>
      </c>
      <c r="AC27" s="571"/>
    </row>
    <row r="28" spans="1:29" ht="15.75" customHeight="1">
      <c r="A28" s="635" t="s">
        <v>434</v>
      </c>
      <c r="B28" s="26" t="s">
        <v>46</v>
      </c>
      <c r="C28" s="636" t="s">
        <v>58</v>
      </c>
      <c r="D28" s="636"/>
      <c r="E28" s="26">
        <v>25.98</v>
      </c>
      <c r="F28" s="136">
        <v>1229</v>
      </c>
      <c r="G28" s="124">
        <f t="shared" si="39"/>
        <v>31929.420000000002</v>
      </c>
      <c r="H28" s="21" t="s">
        <v>35</v>
      </c>
      <c r="I28" s="133">
        <v>17</v>
      </c>
      <c r="J28" s="23">
        <v>2400</v>
      </c>
      <c r="K28" s="9">
        <f t="shared" si="46"/>
        <v>141.1764705882353</v>
      </c>
      <c r="L28" s="133">
        <v>17</v>
      </c>
      <c r="M28" s="10">
        <f t="shared" si="40"/>
        <v>2304.3749999999995</v>
      </c>
      <c r="N28" s="9">
        <f t="shared" si="41"/>
        <v>135.55147058823528</v>
      </c>
      <c r="O28" s="11">
        <f t="shared" si="42"/>
        <v>0</v>
      </c>
      <c r="P28" s="12">
        <f t="shared" si="43"/>
        <v>-5.6250000000000284</v>
      </c>
      <c r="Q28" s="123">
        <f t="shared" si="44"/>
        <v>0.96015624999999982</v>
      </c>
      <c r="R28" s="571"/>
      <c r="S28" s="24">
        <v>0.24930555555555559</v>
      </c>
      <c r="T28" s="24">
        <v>0.27152777777777781</v>
      </c>
      <c r="U28" s="124">
        <f t="shared" ref="U28:U31" si="48">(S28-T27)*24*60</f>
        <v>6.0000000000000187</v>
      </c>
      <c r="V28" s="134">
        <f t="shared" si="45"/>
        <v>32.000000000000007</v>
      </c>
      <c r="W28" s="13"/>
      <c r="X28" s="13"/>
      <c r="Y28" s="617"/>
      <c r="Z28" s="617"/>
      <c r="AA28" s="11">
        <f t="shared" si="2"/>
        <v>-95.625000000000455</v>
      </c>
      <c r="AB28" s="123">
        <f t="shared" si="47"/>
        <v>0.96015624999999982</v>
      </c>
      <c r="AC28" s="571"/>
    </row>
    <row r="29" spans="1:29" ht="15.75" customHeight="1">
      <c r="A29" s="635" t="s">
        <v>434</v>
      </c>
      <c r="B29" s="26" t="s">
        <v>46</v>
      </c>
      <c r="C29" s="636" t="s">
        <v>59</v>
      </c>
      <c r="D29" s="636"/>
      <c r="E29" s="26">
        <v>26.18</v>
      </c>
      <c r="F29" s="136">
        <v>2882</v>
      </c>
      <c r="G29" s="124">
        <f t="shared" si="39"/>
        <v>75450.759999999995</v>
      </c>
      <c r="H29" s="21" t="s">
        <v>35</v>
      </c>
      <c r="I29" s="133">
        <v>19</v>
      </c>
      <c r="J29" s="23">
        <v>2400</v>
      </c>
      <c r="K29" s="9">
        <f t="shared" si="46"/>
        <v>126.31578947368421</v>
      </c>
      <c r="L29" s="133">
        <v>19</v>
      </c>
      <c r="M29" s="10">
        <f t="shared" si="40"/>
        <v>2305.6000000000008</v>
      </c>
      <c r="N29" s="9">
        <f t="shared" si="41"/>
        <v>121.34736842105268</v>
      </c>
      <c r="O29" s="11">
        <f t="shared" si="42"/>
        <v>0</v>
      </c>
      <c r="P29" s="12">
        <f t="shared" si="43"/>
        <v>-4.9684210526315269</v>
      </c>
      <c r="Q29" s="123">
        <f t="shared" si="44"/>
        <v>0.96066666666666711</v>
      </c>
      <c r="R29" s="571"/>
      <c r="S29" s="24">
        <v>0.27500000000000002</v>
      </c>
      <c r="T29" s="24">
        <v>0.32708333333333334</v>
      </c>
      <c r="U29" s="124">
        <f t="shared" si="48"/>
        <v>4.9999999999999822</v>
      </c>
      <c r="V29" s="134">
        <f t="shared" si="45"/>
        <v>74.999999999999972</v>
      </c>
      <c r="W29" s="13"/>
      <c r="X29" s="13"/>
      <c r="Y29" s="617"/>
      <c r="Z29" s="617"/>
      <c r="AA29" s="11">
        <f t="shared" si="2"/>
        <v>-94.399999999999181</v>
      </c>
      <c r="AB29" s="123">
        <f t="shared" si="47"/>
        <v>0.960666666666667</v>
      </c>
      <c r="AC29" s="571"/>
    </row>
    <row r="30" spans="1:29" ht="15.75" customHeight="1">
      <c r="A30" s="635" t="s">
        <v>434</v>
      </c>
      <c r="B30" s="26" t="s">
        <v>46</v>
      </c>
      <c r="C30" s="636" t="s">
        <v>60</v>
      </c>
      <c r="D30" s="636"/>
      <c r="E30" s="26">
        <v>26.2</v>
      </c>
      <c r="F30" s="136">
        <v>2920</v>
      </c>
      <c r="G30" s="124">
        <f t="shared" si="39"/>
        <v>76504</v>
      </c>
      <c r="H30" s="21" t="s">
        <v>35</v>
      </c>
      <c r="I30" s="133">
        <v>19</v>
      </c>
      <c r="J30" s="23">
        <v>2400</v>
      </c>
      <c r="K30" s="9">
        <f t="shared" si="46"/>
        <v>126.31578947368421</v>
      </c>
      <c r="L30" s="133">
        <v>19</v>
      </c>
      <c r="M30" s="10">
        <f t="shared" si="40"/>
        <v>2305.2631578947376</v>
      </c>
      <c r="N30" s="9">
        <f t="shared" si="41"/>
        <v>121.32963988919671</v>
      </c>
      <c r="O30" s="11">
        <f t="shared" si="42"/>
        <v>0</v>
      </c>
      <c r="P30" s="12">
        <f t="shared" si="43"/>
        <v>-4.9861495844874923</v>
      </c>
      <c r="Q30" s="123">
        <f t="shared" si="44"/>
        <v>0.96052631578947401</v>
      </c>
      <c r="R30" s="571"/>
      <c r="S30" s="24">
        <v>0.33263888888888887</v>
      </c>
      <c r="T30" s="24">
        <v>0.38541666666666663</v>
      </c>
      <c r="U30" s="124">
        <f t="shared" si="48"/>
        <v>7.9999999999999716</v>
      </c>
      <c r="V30" s="134">
        <f t="shared" si="45"/>
        <v>75.999999999999972</v>
      </c>
      <c r="W30" s="13"/>
      <c r="X30" s="13"/>
      <c r="Y30" s="617"/>
      <c r="Z30" s="617"/>
      <c r="AA30" s="11">
        <f t="shared" si="2"/>
        <v>-94.73684210526244</v>
      </c>
      <c r="AB30" s="123">
        <f t="shared" si="47"/>
        <v>0.96052631578947401</v>
      </c>
      <c r="AC30" s="571"/>
    </row>
    <row r="31" spans="1:29" ht="15.75" customHeight="1">
      <c r="A31" s="635" t="s">
        <v>434</v>
      </c>
      <c r="B31" s="26" t="s">
        <v>46</v>
      </c>
      <c r="C31" s="636" t="s">
        <v>61</v>
      </c>
      <c r="D31" s="636"/>
      <c r="E31" s="26">
        <v>31.29</v>
      </c>
      <c r="F31" s="136">
        <v>6348</v>
      </c>
      <c r="G31" s="124">
        <f t="shared" si="39"/>
        <v>198628.91999999998</v>
      </c>
      <c r="H31" s="21" t="s">
        <v>35</v>
      </c>
      <c r="I31" s="133">
        <v>18</v>
      </c>
      <c r="J31" s="23">
        <v>2400</v>
      </c>
      <c r="K31" s="9">
        <f t="shared" si="46"/>
        <v>133.33333333333334</v>
      </c>
      <c r="L31" s="133">
        <v>18</v>
      </c>
      <c r="M31" s="10">
        <f t="shared" si="40"/>
        <v>2294.4578313253005</v>
      </c>
      <c r="N31" s="9">
        <f t="shared" si="41"/>
        <v>127.46987951807225</v>
      </c>
      <c r="O31" s="11">
        <f t="shared" si="42"/>
        <v>0</v>
      </c>
      <c r="P31" s="12">
        <f t="shared" si="43"/>
        <v>-5.8634538152610958</v>
      </c>
      <c r="Q31" s="123">
        <f t="shared" si="44"/>
        <v>0.95602409638554176</v>
      </c>
      <c r="R31" s="571"/>
      <c r="S31" s="24">
        <v>0.39097222222222217</v>
      </c>
      <c r="T31" s="24">
        <v>0.50624999999999998</v>
      </c>
      <c r="U31" s="124">
        <f t="shared" si="48"/>
        <v>7.9999999999999716</v>
      </c>
      <c r="V31" s="134">
        <f t="shared" si="45"/>
        <v>166.00000000000006</v>
      </c>
      <c r="W31" s="13"/>
      <c r="X31" s="13"/>
      <c r="Y31" s="617"/>
      <c r="Z31" s="617"/>
      <c r="AA31" s="11">
        <f t="shared" si="2"/>
        <v>-105.5421686746995</v>
      </c>
      <c r="AB31" s="123">
        <f t="shared" si="47"/>
        <v>0.95602409638554187</v>
      </c>
      <c r="AC31" s="571"/>
    </row>
    <row r="32" spans="1:29" ht="15.75" customHeight="1">
      <c r="A32" s="635" t="s">
        <v>434</v>
      </c>
      <c r="B32" s="26" t="s">
        <v>422</v>
      </c>
      <c r="C32" s="629"/>
      <c r="D32" s="629"/>
      <c r="E32" s="129"/>
      <c r="F32" s="136"/>
      <c r="G32" s="124"/>
      <c r="H32" s="136"/>
      <c r="I32" s="16">
        <v>18.5</v>
      </c>
      <c r="J32" s="23">
        <v>2400</v>
      </c>
      <c r="K32" s="9">
        <f t="shared" si="46"/>
        <v>129.72972972972974</v>
      </c>
      <c r="L32" s="16">
        <v>18.5</v>
      </c>
      <c r="M32" s="10">
        <f>AVERAGE(M26:M31)</f>
        <v>2302.3017570188472</v>
      </c>
      <c r="N32" s="9">
        <f>M32/L32</f>
        <v>124.44874362264039</v>
      </c>
      <c r="O32" s="11">
        <f>L32-I32</f>
        <v>0</v>
      </c>
      <c r="P32" s="12">
        <f>N32-K32</f>
        <v>-5.2809861070893476</v>
      </c>
      <c r="Q32" s="123">
        <f>N32/K32</f>
        <v>0.95929239875785299</v>
      </c>
      <c r="R32" s="571"/>
      <c r="S32" s="24"/>
      <c r="T32" s="24"/>
      <c r="U32" s="124"/>
      <c r="V32" s="134"/>
      <c r="W32" s="124"/>
      <c r="X32" s="124"/>
      <c r="Y32" s="617"/>
      <c r="Z32" s="617"/>
      <c r="AA32" s="11">
        <f t="shared" si="2"/>
        <v>-97.698242981152816</v>
      </c>
      <c r="AB32" s="123">
        <f>M32/J32</f>
        <v>0.95929239875785299</v>
      </c>
      <c r="AC32" s="571"/>
    </row>
    <row r="33" spans="1:29" ht="15.75" customHeight="1">
      <c r="A33" s="637" t="s">
        <v>435</v>
      </c>
      <c r="B33" s="26" t="s">
        <v>46</v>
      </c>
      <c r="C33" s="616" t="s">
        <v>63</v>
      </c>
      <c r="D33" s="616"/>
      <c r="E33" s="26">
        <v>26.2</v>
      </c>
      <c r="F33" s="136">
        <v>4680</v>
      </c>
      <c r="G33" s="124">
        <f t="shared" ref="G33:G37" si="49">E33*F33</f>
        <v>122616</v>
      </c>
      <c r="H33" s="21" t="s">
        <v>35</v>
      </c>
      <c r="I33" s="133">
        <v>18</v>
      </c>
      <c r="J33" s="23">
        <v>2400</v>
      </c>
      <c r="K33" s="9">
        <f>J33/I33</f>
        <v>133.33333333333334</v>
      </c>
      <c r="L33" s="133">
        <v>18</v>
      </c>
      <c r="M33" s="10">
        <f>F33/V33*60</f>
        <v>2282.9268292682937</v>
      </c>
      <c r="N33" s="9">
        <f>M33/L33</f>
        <v>126.82926829268298</v>
      </c>
      <c r="O33" s="11">
        <f t="shared" ref="O33:O37" si="50">L33-I33</f>
        <v>0</v>
      </c>
      <c r="P33" s="12">
        <f t="shared" ref="P33:P44" si="51">N33-K33</f>
        <v>-6.5040650406503602</v>
      </c>
      <c r="Q33" s="123">
        <f t="shared" ref="Q33:Q42" si="52">N33/K33</f>
        <v>0.95121951219512235</v>
      </c>
      <c r="R33" s="571">
        <f>Q38</f>
        <v>0.95212024448778021</v>
      </c>
      <c r="S33" s="24">
        <v>0.125</v>
      </c>
      <c r="T33" s="24">
        <v>0.21041666666666664</v>
      </c>
      <c r="U33" s="124"/>
      <c r="V33" s="134">
        <f t="shared" ref="V33:V37" si="53">(T33-S33)*24*60</f>
        <v>122.99999999999996</v>
      </c>
      <c r="W33" s="15">
        <f>T33</f>
        <v>0.21041666666666664</v>
      </c>
      <c r="X33" s="15">
        <f>S34</f>
        <v>0.22916666666666666</v>
      </c>
      <c r="Y33" s="617"/>
      <c r="Z33" s="617"/>
      <c r="AA33" s="11">
        <f t="shared" si="2"/>
        <v>-117.07317073170634</v>
      </c>
      <c r="AB33" s="123">
        <f>M33/J33</f>
        <v>0.95121951219512235</v>
      </c>
      <c r="AC33" s="571">
        <f>AB38</f>
        <v>0.95212024448778021</v>
      </c>
    </row>
    <row r="34" spans="1:29" ht="15.75" customHeight="1">
      <c r="A34" s="637" t="s">
        <v>435</v>
      </c>
      <c r="B34" s="26" t="s">
        <v>46</v>
      </c>
      <c r="C34" s="616" t="s">
        <v>64</v>
      </c>
      <c r="D34" s="616"/>
      <c r="E34" s="26">
        <v>26.39</v>
      </c>
      <c r="F34" s="136">
        <v>4422</v>
      </c>
      <c r="G34" s="124">
        <f t="shared" si="49"/>
        <v>116696.58</v>
      </c>
      <c r="H34" s="21" t="s">
        <v>35</v>
      </c>
      <c r="I34" s="133">
        <v>19</v>
      </c>
      <c r="J34" s="23">
        <v>2400</v>
      </c>
      <c r="K34" s="9">
        <f t="shared" ref="K34:K43" si="54">J34/I34</f>
        <v>126.31578947368421</v>
      </c>
      <c r="L34" s="133">
        <v>19</v>
      </c>
      <c r="M34" s="10">
        <f t="shared" ref="M34:M37" si="55">F34/V34*60</f>
        <v>2287.2413793103442</v>
      </c>
      <c r="N34" s="9">
        <f t="shared" ref="N34:N37" si="56">M34/L34</f>
        <v>120.38112522686022</v>
      </c>
      <c r="O34" s="11">
        <f t="shared" si="50"/>
        <v>0</v>
      </c>
      <c r="P34" s="12">
        <f t="shared" si="51"/>
        <v>-5.934664246823985</v>
      </c>
      <c r="Q34" s="123">
        <f t="shared" si="52"/>
        <v>0.9530172413793101</v>
      </c>
      <c r="R34" s="571"/>
      <c r="S34" s="24">
        <v>0.22916666666666666</v>
      </c>
      <c r="T34" s="24">
        <v>0.30972222222222223</v>
      </c>
      <c r="U34" s="124">
        <f>(S34-T33)*24*60</f>
        <v>27.000000000000025</v>
      </c>
      <c r="V34" s="134">
        <f t="shared" si="53"/>
        <v>116.00000000000003</v>
      </c>
      <c r="W34" s="124"/>
      <c r="X34" s="124"/>
      <c r="Y34" s="617"/>
      <c r="Z34" s="617"/>
      <c r="AA34" s="11">
        <f t="shared" si="2"/>
        <v>-112.7586206896558</v>
      </c>
      <c r="AB34" s="123">
        <f t="shared" ref="AB34:AB57" si="57">M34/J34</f>
        <v>0.9530172413793101</v>
      </c>
      <c r="AC34" s="571"/>
    </row>
    <row r="35" spans="1:29">
      <c r="A35" s="638" t="s">
        <v>435</v>
      </c>
      <c r="B35" s="26" t="s">
        <v>46</v>
      </c>
      <c r="C35" s="616" t="s">
        <v>65</v>
      </c>
      <c r="D35" s="616"/>
      <c r="E35" s="26">
        <v>24.43</v>
      </c>
      <c r="F35" s="136">
        <v>4000</v>
      </c>
      <c r="G35" s="124">
        <f t="shared" si="49"/>
        <v>97720</v>
      </c>
      <c r="H35" s="21">
        <v>2</v>
      </c>
      <c r="I35" s="133">
        <v>15</v>
      </c>
      <c r="J35" s="23">
        <v>2400</v>
      </c>
      <c r="K35" s="9">
        <f t="shared" si="54"/>
        <v>160</v>
      </c>
      <c r="L35" s="133">
        <v>15</v>
      </c>
      <c r="M35" s="10">
        <f t="shared" si="55"/>
        <v>2285.7142857142853</v>
      </c>
      <c r="N35" s="9">
        <f t="shared" si="56"/>
        <v>152.38095238095235</v>
      </c>
      <c r="O35" s="11">
        <f t="shared" si="50"/>
        <v>0</v>
      </c>
      <c r="P35" s="12">
        <f t="shared" si="51"/>
        <v>-7.6190476190476488</v>
      </c>
      <c r="Q35" s="123">
        <f t="shared" si="52"/>
        <v>0.95238095238095222</v>
      </c>
      <c r="R35" s="571"/>
      <c r="S35" s="24">
        <v>0.31388888888888888</v>
      </c>
      <c r="T35" s="24">
        <v>0.38680555555555557</v>
      </c>
      <c r="U35" s="124">
        <f t="shared" ref="U35:U37" si="58">(S35-T34)*24*60</f>
        <v>5.9999999999999787</v>
      </c>
      <c r="V35" s="134">
        <f t="shared" si="53"/>
        <v>105.00000000000003</v>
      </c>
      <c r="W35" s="124"/>
      <c r="X35" s="124"/>
      <c r="Y35" s="617"/>
      <c r="Z35" s="617"/>
      <c r="AA35" s="11">
        <f t="shared" si="2"/>
        <v>-114.28571428571468</v>
      </c>
      <c r="AB35" s="123">
        <f t="shared" si="57"/>
        <v>0.95238095238095222</v>
      </c>
      <c r="AC35" s="571"/>
    </row>
    <row r="36" spans="1:29">
      <c r="A36" s="638" t="s">
        <v>435</v>
      </c>
      <c r="B36" s="26" t="s">
        <v>46</v>
      </c>
      <c r="C36" s="616" t="s">
        <v>66</v>
      </c>
      <c r="D36" s="616"/>
      <c r="E36" s="26">
        <v>24.25</v>
      </c>
      <c r="F36" s="136">
        <v>3200</v>
      </c>
      <c r="G36" s="124">
        <f t="shared" si="49"/>
        <v>77600</v>
      </c>
      <c r="H36" s="21">
        <v>2</v>
      </c>
      <c r="I36" s="133">
        <v>14</v>
      </c>
      <c r="J36" s="23">
        <v>2400</v>
      </c>
      <c r="K36" s="9">
        <f t="shared" si="54"/>
        <v>171.42857142857142</v>
      </c>
      <c r="L36" s="133">
        <v>14</v>
      </c>
      <c r="M36" s="10">
        <f t="shared" si="55"/>
        <v>2285.7142857142849</v>
      </c>
      <c r="N36" s="9">
        <f t="shared" si="56"/>
        <v>163.26530612244892</v>
      </c>
      <c r="O36" s="11">
        <f t="shared" si="50"/>
        <v>0</v>
      </c>
      <c r="P36" s="12">
        <f t="shared" si="51"/>
        <v>-8.1632653061224971</v>
      </c>
      <c r="Q36" s="123">
        <f t="shared" si="52"/>
        <v>0.95238095238095211</v>
      </c>
      <c r="R36" s="571"/>
      <c r="S36" s="24">
        <v>0.3923611111111111</v>
      </c>
      <c r="T36" s="24">
        <v>0.45069444444444445</v>
      </c>
      <c r="U36" s="124">
        <f t="shared" si="58"/>
        <v>7.9999999999999716</v>
      </c>
      <c r="V36" s="134">
        <f t="shared" si="53"/>
        <v>84.000000000000028</v>
      </c>
      <c r="W36" s="13"/>
      <c r="X36" s="13"/>
      <c r="Y36" s="617"/>
      <c r="Z36" s="617"/>
      <c r="AA36" s="11">
        <f t="shared" si="2"/>
        <v>-114.28571428571513</v>
      </c>
      <c r="AB36" s="123">
        <f t="shared" si="57"/>
        <v>0.952380952380952</v>
      </c>
      <c r="AC36" s="571"/>
    </row>
    <row r="37" spans="1:29">
      <c r="A37" s="638" t="s">
        <v>435</v>
      </c>
      <c r="B37" s="26" t="s">
        <v>46</v>
      </c>
      <c r="C37" s="616" t="s">
        <v>62</v>
      </c>
      <c r="D37" s="616"/>
      <c r="E37" s="26">
        <v>25</v>
      </c>
      <c r="F37" s="136">
        <v>2969</v>
      </c>
      <c r="G37" s="124">
        <f t="shared" si="49"/>
        <v>74225</v>
      </c>
      <c r="H37" s="21" t="s">
        <v>35</v>
      </c>
      <c r="I37" s="133">
        <v>15</v>
      </c>
      <c r="J37" s="23">
        <v>2400</v>
      </c>
      <c r="K37" s="9">
        <f t="shared" si="54"/>
        <v>160</v>
      </c>
      <c r="L37" s="133">
        <v>15</v>
      </c>
      <c r="M37" s="10">
        <f t="shared" si="55"/>
        <v>2283.8461538461552</v>
      </c>
      <c r="N37" s="9">
        <f t="shared" si="56"/>
        <v>152.25641025641033</v>
      </c>
      <c r="O37" s="11">
        <f t="shared" si="50"/>
        <v>0</v>
      </c>
      <c r="P37" s="12">
        <f t="shared" si="51"/>
        <v>-7.7435897435896663</v>
      </c>
      <c r="Q37" s="123">
        <f t="shared" si="52"/>
        <v>0.95160256410256461</v>
      </c>
      <c r="R37" s="571"/>
      <c r="S37" s="24">
        <v>0.4548611111111111</v>
      </c>
      <c r="T37" s="24">
        <v>0.50902777777777775</v>
      </c>
      <c r="U37" s="124">
        <f t="shared" si="58"/>
        <v>5.9999999999999787</v>
      </c>
      <c r="V37" s="134">
        <f t="shared" si="53"/>
        <v>77.999999999999957</v>
      </c>
      <c r="W37" s="13"/>
      <c r="X37" s="13"/>
      <c r="Y37" s="617"/>
      <c r="Z37" s="617"/>
      <c r="AA37" s="11">
        <f t="shared" si="2"/>
        <v>-116.15384615384482</v>
      </c>
      <c r="AB37" s="123">
        <f t="shared" si="57"/>
        <v>0.95160256410256461</v>
      </c>
      <c r="AC37" s="571"/>
    </row>
    <row r="38" spans="1:29">
      <c r="A38" s="638" t="s">
        <v>435</v>
      </c>
      <c r="B38" s="27" t="s">
        <v>422</v>
      </c>
      <c r="C38" s="629"/>
      <c r="D38" s="629"/>
      <c r="E38" s="129"/>
      <c r="F38" s="27"/>
      <c r="G38" s="9"/>
      <c r="H38" s="136"/>
      <c r="I38" s="16">
        <v>16.2</v>
      </c>
      <c r="J38" s="23">
        <v>2400</v>
      </c>
      <c r="K38" s="9">
        <f t="shared" si="54"/>
        <v>148.14814814814815</v>
      </c>
      <c r="L38" s="16">
        <v>16.2</v>
      </c>
      <c r="M38" s="10">
        <f>AVERAGE(M33:M37)</f>
        <v>2285.0885867706725</v>
      </c>
      <c r="N38" s="9">
        <f>M38/L38</f>
        <v>141.0548510352267</v>
      </c>
      <c r="O38" s="11">
        <f>L38-I38</f>
        <v>0</v>
      </c>
      <c r="P38" s="12">
        <f t="shared" si="51"/>
        <v>-7.0932971129214479</v>
      </c>
      <c r="Q38" s="123">
        <f t="shared" si="52"/>
        <v>0.95212024448778021</v>
      </c>
      <c r="R38" s="571"/>
      <c r="S38" s="24"/>
      <c r="T38" s="24"/>
      <c r="U38" s="9"/>
      <c r="V38" s="134"/>
      <c r="W38" s="9"/>
      <c r="X38" s="9"/>
      <c r="Y38" s="617"/>
      <c r="Z38" s="617"/>
      <c r="AA38" s="11">
        <f t="shared" si="2"/>
        <v>-114.91141322932754</v>
      </c>
      <c r="AB38" s="123">
        <f t="shared" si="57"/>
        <v>0.95212024448778021</v>
      </c>
      <c r="AC38" s="571"/>
    </row>
    <row r="39" spans="1:29" ht="15.75" customHeight="1">
      <c r="A39" s="630" t="s">
        <v>436</v>
      </c>
      <c r="B39" s="26" t="s">
        <v>67</v>
      </c>
      <c r="C39" s="627" t="s">
        <v>68</v>
      </c>
      <c r="D39" s="628"/>
      <c r="E39" s="26">
        <v>21.13</v>
      </c>
      <c r="F39" s="136">
        <v>3927</v>
      </c>
      <c r="G39" s="124">
        <f t="shared" ref="G39:G43" si="59">E39*F39</f>
        <v>82977.509999999995</v>
      </c>
      <c r="H39" s="21" t="s">
        <v>35</v>
      </c>
      <c r="I39" s="133">
        <v>10</v>
      </c>
      <c r="J39" s="23">
        <v>3000</v>
      </c>
      <c r="K39" s="9">
        <f t="shared" si="54"/>
        <v>300</v>
      </c>
      <c r="L39" s="133">
        <v>10</v>
      </c>
      <c r="M39" s="10">
        <f t="shared" ref="M39:M40" si="60">F39/V39*60</f>
        <v>2873.414634146342</v>
      </c>
      <c r="N39" s="10">
        <f t="shared" ref="N39:N44" si="61">M39/L39</f>
        <v>287.34146341463418</v>
      </c>
      <c r="O39" s="11">
        <f t="shared" ref="O39:O44" si="62">L39-I39</f>
        <v>0</v>
      </c>
      <c r="P39" s="12">
        <f t="shared" si="51"/>
        <v>-12.658536585365823</v>
      </c>
      <c r="Q39" s="123">
        <f t="shared" si="52"/>
        <v>0.95780487804878056</v>
      </c>
      <c r="R39" s="582">
        <f>Q44</f>
        <v>0.9596695728948238</v>
      </c>
      <c r="S39" s="24">
        <v>0.20833333333333334</v>
      </c>
      <c r="T39" s="24">
        <v>0.26527777777777778</v>
      </c>
      <c r="U39" s="15"/>
      <c r="V39" s="134">
        <f t="shared" ref="V39:V43" si="63">(T39-S39)*24*60</f>
        <v>81.999999999999986</v>
      </c>
      <c r="W39" s="13"/>
      <c r="X39" s="13"/>
      <c r="Y39" s="621"/>
      <c r="Z39" s="622"/>
      <c r="AA39" s="11">
        <f t="shared" si="2"/>
        <v>-126.585365853658</v>
      </c>
      <c r="AB39" s="123">
        <f t="shared" si="57"/>
        <v>0.95780487804878067</v>
      </c>
      <c r="AC39" s="582">
        <f>AB44</f>
        <v>0.95966957289482369</v>
      </c>
    </row>
    <row r="40" spans="1:29" ht="15.75" customHeight="1">
      <c r="A40" s="631" t="s">
        <v>436</v>
      </c>
      <c r="B40" s="26" t="s">
        <v>67</v>
      </c>
      <c r="C40" s="627" t="s">
        <v>69</v>
      </c>
      <c r="D40" s="628"/>
      <c r="E40" s="26">
        <v>27.17</v>
      </c>
      <c r="F40" s="136">
        <v>4887</v>
      </c>
      <c r="G40" s="124">
        <f t="shared" si="59"/>
        <v>132779.79</v>
      </c>
      <c r="H40" s="21" t="s">
        <v>35</v>
      </c>
      <c r="I40" s="133">
        <v>10</v>
      </c>
      <c r="J40" s="23">
        <v>3000</v>
      </c>
      <c r="K40" s="9">
        <f t="shared" si="54"/>
        <v>300</v>
      </c>
      <c r="L40" s="133">
        <v>10</v>
      </c>
      <c r="M40" s="10">
        <f t="shared" si="60"/>
        <v>2874.7058823529401</v>
      </c>
      <c r="N40" s="10">
        <f t="shared" si="61"/>
        <v>287.47058823529403</v>
      </c>
      <c r="O40" s="11">
        <f t="shared" si="62"/>
        <v>0</v>
      </c>
      <c r="P40" s="12">
        <f t="shared" si="51"/>
        <v>-12.529411764705969</v>
      </c>
      <c r="Q40" s="123">
        <f t="shared" si="52"/>
        <v>0.95823529411764674</v>
      </c>
      <c r="R40" s="583"/>
      <c r="S40" s="24">
        <v>0.27083333333333331</v>
      </c>
      <c r="T40" s="24">
        <v>0.34166666666666667</v>
      </c>
      <c r="U40" s="124">
        <f>(S40-T39)*24*60</f>
        <v>7.9999999999999716</v>
      </c>
      <c r="V40" s="134">
        <f t="shared" si="63"/>
        <v>102.00000000000004</v>
      </c>
      <c r="W40" s="13"/>
      <c r="X40" s="13"/>
      <c r="Y40" s="621"/>
      <c r="Z40" s="622"/>
      <c r="AA40" s="11">
        <f t="shared" si="2"/>
        <v>-125.29411764705992</v>
      </c>
      <c r="AB40" s="123">
        <f t="shared" si="57"/>
        <v>0.95823529411764674</v>
      </c>
      <c r="AC40" s="583"/>
    </row>
    <row r="41" spans="1:29" ht="15.75" customHeight="1">
      <c r="A41" s="631" t="s">
        <v>436</v>
      </c>
      <c r="B41" s="26" t="s">
        <v>67</v>
      </c>
      <c r="C41" s="627" t="s">
        <v>70</v>
      </c>
      <c r="D41" s="628"/>
      <c r="E41" s="26">
        <v>35.119999999999997</v>
      </c>
      <c r="F41" s="136">
        <v>3753</v>
      </c>
      <c r="G41" s="124">
        <f t="shared" si="59"/>
        <v>131805.35999999999</v>
      </c>
      <c r="H41" s="21" t="s">
        <v>35</v>
      </c>
      <c r="I41" s="133">
        <v>10</v>
      </c>
      <c r="J41" s="23">
        <v>3000</v>
      </c>
      <c r="K41" s="9">
        <f t="shared" si="54"/>
        <v>300</v>
      </c>
      <c r="L41" s="133">
        <v>10</v>
      </c>
      <c r="M41" s="10">
        <f>F41/V41*60</f>
        <v>2886.9230769230753</v>
      </c>
      <c r="N41" s="10">
        <f t="shared" si="61"/>
        <v>288.69230769230751</v>
      </c>
      <c r="O41" s="11">
        <f t="shared" si="62"/>
        <v>0</v>
      </c>
      <c r="P41" s="12">
        <f t="shared" si="51"/>
        <v>-11.307692307692491</v>
      </c>
      <c r="Q41" s="123">
        <f t="shared" si="52"/>
        <v>0.96230769230769164</v>
      </c>
      <c r="R41" s="583"/>
      <c r="S41" s="24">
        <v>0.34583333333333333</v>
      </c>
      <c r="T41" s="24">
        <v>0.4</v>
      </c>
      <c r="U41" s="124">
        <f t="shared" ref="U41:U43" si="64">(S41-T40)*24*60</f>
        <v>5.9999999999999787</v>
      </c>
      <c r="V41" s="134">
        <f t="shared" si="63"/>
        <v>78.000000000000043</v>
      </c>
      <c r="W41" s="13"/>
      <c r="X41" s="13"/>
      <c r="Y41" s="621"/>
      <c r="Z41" s="622"/>
      <c r="AA41" s="11">
        <f t="shared" si="2"/>
        <v>-113.07692307692469</v>
      </c>
      <c r="AB41" s="123">
        <f t="shared" si="57"/>
        <v>0.96230769230769175</v>
      </c>
      <c r="AC41" s="583"/>
    </row>
    <row r="42" spans="1:29" ht="15.75" customHeight="1">
      <c r="A42" s="631" t="s">
        <v>436</v>
      </c>
      <c r="B42" s="26" t="s">
        <v>67</v>
      </c>
      <c r="C42" s="627" t="s">
        <v>71</v>
      </c>
      <c r="D42" s="628"/>
      <c r="E42" s="26">
        <v>35.869999999999997</v>
      </c>
      <c r="F42" s="136">
        <v>2625</v>
      </c>
      <c r="G42" s="124">
        <f t="shared" si="59"/>
        <v>94158.75</v>
      </c>
      <c r="H42" s="21" t="s">
        <v>35</v>
      </c>
      <c r="I42" s="133">
        <v>10</v>
      </c>
      <c r="J42" s="23">
        <v>3000</v>
      </c>
      <c r="K42" s="9">
        <f t="shared" si="54"/>
        <v>300</v>
      </c>
      <c r="L42" s="133">
        <v>10</v>
      </c>
      <c r="M42" s="10">
        <f t="shared" ref="M42:M43" si="65">F42/V42*60</f>
        <v>2863.6363636363653</v>
      </c>
      <c r="N42" s="10">
        <f t="shared" si="61"/>
        <v>286.36363636363654</v>
      </c>
      <c r="O42" s="11">
        <f t="shared" si="62"/>
        <v>0</v>
      </c>
      <c r="P42" s="12">
        <f t="shared" si="51"/>
        <v>-13.636363636363455</v>
      </c>
      <c r="Q42" s="123">
        <f t="shared" si="52"/>
        <v>0.95454545454545514</v>
      </c>
      <c r="R42" s="583"/>
      <c r="S42" s="24">
        <v>0.40416666666666667</v>
      </c>
      <c r="T42" s="24">
        <v>0.44236111111111109</v>
      </c>
      <c r="U42" s="124">
        <f t="shared" si="64"/>
        <v>5.9999999999999787</v>
      </c>
      <c r="V42" s="134">
        <f t="shared" si="63"/>
        <v>54.999999999999964</v>
      </c>
      <c r="W42" s="13"/>
      <c r="X42" s="13"/>
      <c r="Y42" s="621"/>
      <c r="Z42" s="622"/>
      <c r="AA42" s="11">
        <f t="shared" si="2"/>
        <v>-136.36363636363467</v>
      </c>
      <c r="AB42" s="123">
        <f t="shared" si="57"/>
        <v>0.95454545454545514</v>
      </c>
      <c r="AC42" s="583"/>
    </row>
    <row r="43" spans="1:29" ht="15.75" customHeight="1">
      <c r="A43" s="631" t="s">
        <v>436</v>
      </c>
      <c r="B43" s="26" t="s">
        <v>67</v>
      </c>
      <c r="C43" s="627" t="s">
        <v>72</v>
      </c>
      <c r="D43" s="628"/>
      <c r="E43" s="26">
        <v>36.14</v>
      </c>
      <c r="F43" s="136">
        <v>1593</v>
      </c>
      <c r="G43" s="124">
        <f t="shared" si="59"/>
        <v>57571.020000000004</v>
      </c>
      <c r="H43" s="21" t="s">
        <v>35</v>
      </c>
      <c r="I43" s="133">
        <v>8</v>
      </c>
      <c r="J43" s="23">
        <v>3000</v>
      </c>
      <c r="K43" s="9">
        <f t="shared" si="54"/>
        <v>375</v>
      </c>
      <c r="L43" s="133">
        <v>8</v>
      </c>
      <c r="M43" s="10">
        <f t="shared" si="65"/>
        <v>2896.3636363636324</v>
      </c>
      <c r="N43" s="10">
        <f t="shared" si="61"/>
        <v>362.04545454545405</v>
      </c>
      <c r="O43" s="11">
        <f t="shared" si="62"/>
        <v>0</v>
      </c>
      <c r="P43" s="12">
        <f t="shared" si="51"/>
        <v>-12.954545454545951</v>
      </c>
      <c r="Q43" s="123">
        <f>N43/K43</f>
        <v>0.96545454545454412</v>
      </c>
      <c r="R43" s="583"/>
      <c r="S43" s="24">
        <v>0.44652777777777775</v>
      </c>
      <c r="T43" s="24">
        <v>0.46944444444444444</v>
      </c>
      <c r="U43" s="124">
        <f t="shared" si="64"/>
        <v>5.9999999999999787</v>
      </c>
      <c r="V43" s="134">
        <f t="shared" si="63"/>
        <v>33.000000000000043</v>
      </c>
      <c r="W43" s="13"/>
      <c r="X43" s="13"/>
      <c r="Y43" s="621"/>
      <c r="Z43" s="622"/>
      <c r="AA43" s="11">
        <f t="shared" si="2"/>
        <v>-103.63636363636761</v>
      </c>
      <c r="AB43" s="123">
        <f t="shared" si="57"/>
        <v>0.96545454545454412</v>
      </c>
      <c r="AC43" s="583"/>
    </row>
    <row r="44" spans="1:29" ht="15.75" customHeight="1">
      <c r="A44" s="632" t="s">
        <v>436</v>
      </c>
      <c r="B44" s="26" t="s">
        <v>422</v>
      </c>
      <c r="C44" s="625"/>
      <c r="D44" s="626"/>
      <c r="E44" s="130"/>
      <c r="F44" s="136"/>
      <c r="G44" s="124"/>
      <c r="H44" s="136"/>
      <c r="I44" s="16">
        <v>9.6</v>
      </c>
      <c r="J44" s="23">
        <v>3000</v>
      </c>
      <c r="K44" s="9">
        <f>J44/I44</f>
        <v>312.5</v>
      </c>
      <c r="L44" s="16">
        <v>9.6</v>
      </c>
      <c r="M44" s="10">
        <f>AVERAGE(M39:M43)</f>
        <v>2879.0087186844712</v>
      </c>
      <c r="N44" s="9">
        <f t="shared" si="61"/>
        <v>299.89674152963244</v>
      </c>
      <c r="O44" s="11">
        <f t="shared" si="62"/>
        <v>0</v>
      </c>
      <c r="P44" s="12">
        <f t="shared" si="51"/>
        <v>-12.603258470367564</v>
      </c>
      <c r="Q44" s="123">
        <f t="shared" ref="Q44" si="66">N44/K44</f>
        <v>0.9596695728948238</v>
      </c>
      <c r="R44" s="584"/>
      <c r="S44" s="24"/>
      <c r="T44" s="24"/>
      <c r="U44" s="124"/>
      <c r="V44" s="134"/>
      <c r="W44" s="13"/>
      <c r="X44" s="13"/>
      <c r="Y44" s="621"/>
      <c r="Z44" s="622"/>
      <c r="AA44" s="11">
        <f t="shared" si="2"/>
        <v>-120.99128131552879</v>
      </c>
      <c r="AB44" s="123">
        <f t="shared" si="57"/>
        <v>0.95966957289482369</v>
      </c>
      <c r="AC44" s="584"/>
    </row>
    <row r="45" spans="1:29" ht="15.75" customHeight="1">
      <c r="A45" s="633" t="s">
        <v>437</v>
      </c>
      <c r="B45" s="26" t="s">
        <v>40</v>
      </c>
      <c r="C45" s="616" t="s">
        <v>73</v>
      </c>
      <c r="D45" s="616"/>
      <c r="E45" s="26">
        <v>46</v>
      </c>
      <c r="F45" s="28">
        <v>2236</v>
      </c>
      <c r="G45" s="124">
        <f t="shared" ref="G45:G50" si="67">E45*F45</f>
        <v>102856</v>
      </c>
      <c r="H45" s="21" t="s">
        <v>35</v>
      </c>
      <c r="I45" s="133">
        <v>17</v>
      </c>
      <c r="J45" s="23">
        <v>2000</v>
      </c>
      <c r="K45" s="9">
        <f t="shared" ref="K45:K50" si="68">J45/I45</f>
        <v>117.64705882352941</v>
      </c>
      <c r="L45" s="133">
        <v>17</v>
      </c>
      <c r="M45" s="10">
        <f t="shared" ref="M45:M50" si="69">F45/V45*60</f>
        <v>1916.5714285714278</v>
      </c>
      <c r="N45" s="10">
        <f>M45/L45</f>
        <v>112.73949579831928</v>
      </c>
      <c r="O45" s="11">
        <f>L45-I45</f>
        <v>0</v>
      </c>
      <c r="P45" s="12">
        <f>N45-K45</f>
        <v>-4.9075630252101234</v>
      </c>
      <c r="Q45" s="123">
        <f>N45/K45</f>
        <v>0.95828571428571396</v>
      </c>
      <c r="R45" s="571">
        <f>Q51</f>
        <v>0.95938998729430769</v>
      </c>
      <c r="S45" s="24">
        <v>0.20833333333333334</v>
      </c>
      <c r="T45" s="24">
        <v>0.25694444444444448</v>
      </c>
      <c r="U45" s="15"/>
      <c r="V45" s="134">
        <f t="shared" ref="V45:V50" si="70">(T45-S45)*24*60</f>
        <v>70.000000000000028</v>
      </c>
      <c r="W45" s="15"/>
      <c r="X45" s="15"/>
      <c r="Y45" s="617"/>
      <c r="Z45" s="617"/>
      <c r="AA45" s="11">
        <f t="shared" si="2"/>
        <v>-83.428571428572241</v>
      </c>
      <c r="AB45" s="123">
        <f t="shared" si="57"/>
        <v>0.95828571428571385</v>
      </c>
      <c r="AC45" s="571">
        <f>AB51</f>
        <v>0.95938998729430758</v>
      </c>
    </row>
    <row r="46" spans="1:29" ht="15.75" customHeight="1">
      <c r="A46" s="633" t="s">
        <v>437</v>
      </c>
      <c r="B46" s="26" t="s">
        <v>40</v>
      </c>
      <c r="C46" s="616" t="s">
        <v>74</v>
      </c>
      <c r="D46" s="616"/>
      <c r="E46" s="26">
        <v>46</v>
      </c>
      <c r="F46" s="28">
        <v>2453</v>
      </c>
      <c r="G46" s="124">
        <f t="shared" si="67"/>
        <v>112838</v>
      </c>
      <c r="H46" s="21" t="s">
        <v>35</v>
      </c>
      <c r="I46" s="133">
        <v>17</v>
      </c>
      <c r="J46" s="23">
        <v>2000</v>
      </c>
      <c r="K46" s="9">
        <f t="shared" si="68"/>
        <v>117.64705882352941</v>
      </c>
      <c r="L46" s="133">
        <v>17</v>
      </c>
      <c r="M46" s="10">
        <f t="shared" si="69"/>
        <v>1911.428571428572</v>
      </c>
      <c r="N46" s="10">
        <f t="shared" ref="N46:N50" si="71">M46/L46</f>
        <v>112.43697478991601</v>
      </c>
      <c r="O46" s="11">
        <f t="shared" ref="O46:O50" si="72">L46-I46</f>
        <v>0</v>
      </c>
      <c r="P46" s="12">
        <f t="shared" ref="P46:P50" si="73">N46-K46</f>
        <v>-5.2100840336133984</v>
      </c>
      <c r="Q46" s="123">
        <f t="shared" ref="Q46:Q50" si="74">N46/K46</f>
        <v>0.95571428571428607</v>
      </c>
      <c r="R46" s="571"/>
      <c r="S46" s="24">
        <v>0.26041666666666669</v>
      </c>
      <c r="T46" s="24">
        <v>0.31388888888888888</v>
      </c>
      <c r="U46" s="124">
        <f>IF(S46=TIME(17,0,0),"",(S46-T45)*24*60)</f>
        <v>4.9999999999999822</v>
      </c>
      <c r="V46" s="134">
        <f t="shared" si="70"/>
        <v>76.999999999999972</v>
      </c>
      <c r="W46" s="13"/>
      <c r="X46" s="13"/>
      <c r="Y46" s="617"/>
      <c r="Z46" s="617"/>
      <c r="AA46" s="11">
        <f t="shared" si="2"/>
        <v>-88.571428571427987</v>
      </c>
      <c r="AB46" s="123">
        <f t="shared" si="57"/>
        <v>0.95571428571428596</v>
      </c>
      <c r="AC46" s="571"/>
    </row>
    <row r="47" spans="1:29" ht="15.75" customHeight="1">
      <c r="A47" s="633" t="s">
        <v>437</v>
      </c>
      <c r="B47" s="26" t="s">
        <v>36</v>
      </c>
      <c r="C47" s="627" t="s">
        <v>75</v>
      </c>
      <c r="D47" s="628"/>
      <c r="E47" s="26">
        <v>54.09</v>
      </c>
      <c r="F47" s="28">
        <v>1030</v>
      </c>
      <c r="G47" s="124">
        <f t="shared" si="67"/>
        <v>55712.700000000004</v>
      </c>
      <c r="H47" s="21" t="s">
        <v>35</v>
      </c>
      <c r="I47" s="133">
        <v>16</v>
      </c>
      <c r="J47" s="23">
        <v>2000</v>
      </c>
      <c r="K47" s="9">
        <f t="shared" si="68"/>
        <v>125</v>
      </c>
      <c r="L47" s="133">
        <v>16</v>
      </c>
      <c r="M47" s="10">
        <f t="shared" si="69"/>
        <v>1931.250000000002</v>
      </c>
      <c r="N47" s="10">
        <f t="shared" si="71"/>
        <v>120.70312500000013</v>
      </c>
      <c r="O47" s="11">
        <f t="shared" si="72"/>
        <v>0</v>
      </c>
      <c r="P47" s="12">
        <f t="shared" si="73"/>
        <v>-4.2968749999998721</v>
      </c>
      <c r="Q47" s="123">
        <f t="shared" si="74"/>
        <v>0.96562500000000107</v>
      </c>
      <c r="R47" s="571"/>
      <c r="S47" s="24">
        <v>0.31805555555555554</v>
      </c>
      <c r="T47" s="24">
        <v>0.34027777777777773</v>
      </c>
      <c r="U47" s="124">
        <f t="shared" ref="U47:U50" si="75">IF(S47=TIME(17,0,0),"",(S47-T46)*24*60)</f>
        <v>5.9999999999999787</v>
      </c>
      <c r="V47" s="134">
        <f t="shared" si="70"/>
        <v>31.999999999999964</v>
      </c>
      <c r="W47" s="13"/>
      <c r="X47" s="13"/>
      <c r="Y47" s="127"/>
      <c r="Z47" s="128"/>
      <c r="AA47" s="11">
        <f t="shared" si="2"/>
        <v>-68.749999999997954</v>
      </c>
      <c r="AB47" s="123">
        <f t="shared" si="57"/>
        <v>0.96562500000000107</v>
      </c>
      <c r="AC47" s="571"/>
    </row>
    <row r="48" spans="1:29" ht="15.75" customHeight="1">
      <c r="A48" s="633" t="s">
        <v>437</v>
      </c>
      <c r="B48" s="26" t="s">
        <v>36</v>
      </c>
      <c r="C48" s="125" t="s">
        <v>76</v>
      </c>
      <c r="D48" s="126"/>
      <c r="E48" s="26">
        <v>55.56</v>
      </c>
      <c r="F48" s="28">
        <v>1939</v>
      </c>
      <c r="G48" s="124">
        <f t="shared" si="67"/>
        <v>107730.84000000001</v>
      </c>
      <c r="H48" s="21" t="s">
        <v>35</v>
      </c>
      <c r="I48" s="133">
        <v>17</v>
      </c>
      <c r="J48" s="23">
        <v>2000</v>
      </c>
      <c r="K48" s="9">
        <f t="shared" si="68"/>
        <v>117.64705882352941</v>
      </c>
      <c r="L48" s="133">
        <v>17</v>
      </c>
      <c r="M48" s="10">
        <f t="shared" si="69"/>
        <v>1907.2131147541002</v>
      </c>
      <c r="N48" s="10">
        <f t="shared" si="71"/>
        <v>112.18900675024119</v>
      </c>
      <c r="O48" s="11">
        <f t="shared" si="72"/>
        <v>0</v>
      </c>
      <c r="P48" s="12">
        <f t="shared" si="73"/>
        <v>-5.458052073288215</v>
      </c>
      <c r="Q48" s="123">
        <f t="shared" si="74"/>
        <v>0.95360655737705013</v>
      </c>
      <c r="R48" s="571"/>
      <c r="S48" s="24">
        <v>0.70833333333333337</v>
      </c>
      <c r="T48" s="24">
        <v>0.75069444444444444</v>
      </c>
      <c r="U48" s="124" t="str">
        <f t="shared" si="75"/>
        <v/>
      </c>
      <c r="V48" s="134">
        <f t="shared" si="70"/>
        <v>60.999999999999943</v>
      </c>
      <c r="W48" s="13"/>
      <c r="X48" s="13"/>
      <c r="Y48" s="127"/>
      <c r="Z48" s="128"/>
      <c r="AA48" s="11">
        <f t="shared" si="2"/>
        <v>-92.786885245899839</v>
      </c>
      <c r="AB48" s="123">
        <f t="shared" si="57"/>
        <v>0.95360655737705013</v>
      </c>
      <c r="AC48" s="571"/>
    </row>
    <row r="49" spans="1:29" ht="15.75" customHeight="1">
      <c r="A49" s="633" t="s">
        <v>437</v>
      </c>
      <c r="B49" s="26" t="s">
        <v>36</v>
      </c>
      <c r="C49" s="125" t="s">
        <v>77</v>
      </c>
      <c r="D49" s="126"/>
      <c r="E49" s="26">
        <v>55.32</v>
      </c>
      <c r="F49" s="28">
        <v>1465</v>
      </c>
      <c r="G49" s="124">
        <f t="shared" si="67"/>
        <v>81043.8</v>
      </c>
      <c r="H49" s="21" t="s">
        <v>35</v>
      </c>
      <c r="I49" s="133">
        <v>15</v>
      </c>
      <c r="J49" s="23">
        <v>2000</v>
      </c>
      <c r="K49" s="9">
        <f t="shared" si="68"/>
        <v>133.33333333333334</v>
      </c>
      <c r="L49" s="133">
        <v>15</v>
      </c>
      <c r="M49" s="10">
        <f t="shared" si="69"/>
        <v>1910.8695652173915</v>
      </c>
      <c r="N49" s="10">
        <f t="shared" si="71"/>
        <v>127.39130434782609</v>
      </c>
      <c r="O49" s="11">
        <f t="shared" si="72"/>
        <v>0</v>
      </c>
      <c r="P49" s="12">
        <f t="shared" si="73"/>
        <v>-5.9420289855072497</v>
      </c>
      <c r="Q49" s="123">
        <f t="shared" si="74"/>
        <v>0.95543478260869563</v>
      </c>
      <c r="R49" s="571"/>
      <c r="S49" s="24">
        <v>0.75416666666666665</v>
      </c>
      <c r="T49" s="24">
        <v>0.78611111111111109</v>
      </c>
      <c r="U49" s="124">
        <f t="shared" si="75"/>
        <v>4.9999999999999822</v>
      </c>
      <c r="V49" s="134">
        <f t="shared" si="70"/>
        <v>46</v>
      </c>
      <c r="W49" s="13"/>
      <c r="X49" s="13"/>
      <c r="Y49" s="127"/>
      <c r="Z49" s="128"/>
      <c r="AA49" s="11">
        <f t="shared" si="2"/>
        <v>-89.130434782608518</v>
      </c>
      <c r="AB49" s="123">
        <f t="shared" si="57"/>
        <v>0.95543478260869574</v>
      </c>
      <c r="AC49" s="571"/>
    </row>
    <row r="50" spans="1:29" ht="15.75" customHeight="1">
      <c r="A50" s="633" t="s">
        <v>437</v>
      </c>
      <c r="B50" s="26" t="s">
        <v>36</v>
      </c>
      <c r="C50" s="627" t="s">
        <v>78</v>
      </c>
      <c r="D50" s="628"/>
      <c r="E50" s="26">
        <v>57.73</v>
      </c>
      <c r="F50" s="28">
        <v>1116</v>
      </c>
      <c r="G50" s="124">
        <f t="shared" si="67"/>
        <v>64426.679999999993</v>
      </c>
      <c r="H50" s="21" t="s">
        <v>35</v>
      </c>
      <c r="I50" s="133">
        <v>16</v>
      </c>
      <c r="J50" s="23">
        <v>1500</v>
      </c>
      <c r="K50" s="9">
        <f t="shared" si="68"/>
        <v>93.75</v>
      </c>
      <c r="L50" s="133">
        <v>16</v>
      </c>
      <c r="M50" s="10">
        <f t="shared" si="69"/>
        <v>1455.6521739130435</v>
      </c>
      <c r="N50" s="10">
        <f t="shared" si="71"/>
        <v>90.978260869565219</v>
      </c>
      <c r="O50" s="11">
        <f t="shared" si="72"/>
        <v>0</v>
      </c>
      <c r="P50" s="12">
        <f t="shared" si="73"/>
        <v>-2.7717391304347814</v>
      </c>
      <c r="Q50" s="123">
        <f t="shared" si="74"/>
        <v>0.97043478260869565</v>
      </c>
      <c r="R50" s="571"/>
      <c r="S50" s="24">
        <v>0.79166666666666663</v>
      </c>
      <c r="T50" s="24">
        <v>0.82361111111111107</v>
      </c>
      <c r="U50" s="124">
        <f t="shared" si="75"/>
        <v>7.9999999999999716</v>
      </c>
      <c r="V50" s="134">
        <f t="shared" si="70"/>
        <v>46</v>
      </c>
      <c r="W50" s="13"/>
      <c r="X50" s="13"/>
      <c r="Y50" s="621"/>
      <c r="Z50" s="622"/>
      <c r="AA50" s="11">
        <f t="shared" si="2"/>
        <v>-44.347826086956502</v>
      </c>
      <c r="AB50" s="123">
        <f t="shared" si="57"/>
        <v>0.97043478260869565</v>
      </c>
      <c r="AC50" s="571"/>
    </row>
    <row r="51" spans="1:29">
      <c r="A51" s="634" t="s">
        <v>437</v>
      </c>
      <c r="B51" s="26" t="s">
        <v>422</v>
      </c>
      <c r="C51" s="629"/>
      <c r="D51" s="629"/>
      <c r="E51" s="129"/>
      <c r="F51" s="27"/>
      <c r="G51" s="9"/>
      <c r="H51" s="136"/>
      <c r="I51" s="16">
        <v>16.333333333333332</v>
      </c>
      <c r="J51" s="23">
        <v>1916.6666666666667</v>
      </c>
      <c r="K51" s="9">
        <f>J51/I51</f>
        <v>117.34693877551021</v>
      </c>
      <c r="L51" s="16">
        <v>16.333333333333332</v>
      </c>
      <c r="M51" s="10">
        <f>AVERAGE(M45:M50)</f>
        <v>1838.8308089807563</v>
      </c>
      <c r="N51" s="9">
        <f>M51/L51</f>
        <v>112.58147810086264</v>
      </c>
      <c r="O51" s="11">
        <f>L51-I51</f>
        <v>0</v>
      </c>
      <c r="P51" s="12">
        <f>N51-K51</f>
        <v>-4.7654606746475707</v>
      </c>
      <c r="Q51" s="123">
        <f>N51/K51</f>
        <v>0.95938998729430769</v>
      </c>
      <c r="R51" s="571"/>
      <c r="S51" s="25"/>
      <c r="T51" s="24"/>
      <c r="U51" s="9"/>
      <c r="V51" s="134"/>
      <c r="W51" s="9"/>
      <c r="X51" s="9"/>
      <c r="Y51" s="617"/>
      <c r="Z51" s="617"/>
      <c r="AA51" s="11">
        <f t="shared" si="2"/>
        <v>-77.835857685910469</v>
      </c>
      <c r="AB51" s="123">
        <f t="shared" si="57"/>
        <v>0.95938998729430758</v>
      </c>
      <c r="AC51" s="571"/>
    </row>
    <row r="52" spans="1:29" ht="15.75" customHeight="1">
      <c r="A52" s="623" t="s">
        <v>438</v>
      </c>
      <c r="B52" s="136" t="s">
        <v>67</v>
      </c>
      <c r="C52" s="616" t="s">
        <v>79</v>
      </c>
      <c r="D52" s="616"/>
      <c r="E52" s="26">
        <v>26.78</v>
      </c>
      <c r="F52" s="28">
        <v>2285</v>
      </c>
      <c r="G52" s="124">
        <f t="shared" ref="G52:G56" si="76">E52*F52</f>
        <v>61192.3</v>
      </c>
      <c r="H52" s="21" t="s">
        <v>35</v>
      </c>
      <c r="I52" s="133">
        <v>10</v>
      </c>
      <c r="J52" s="23">
        <v>3000</v>
      </c>
      <c r="K52" s="9">
        <f t="shared" ref="K52:K56" si="77">J52/I52</f>
        <v>300</v>
      </c>
      <c r="L52" s="16">
        <v>10</v>
      </c>
      <c r="M52" s="10">
        <f t="shared" ref="M52:M56" si="78">F52/V52*60</f>
        <v>2856.2500000000009</v>
      </c>
      <c r="N52" s="9">
        <f>M52/L52</f>
        <v>285.62500000000011</v>
      </c>
      <c r="O52" s="11">
        <f t="shared" ref="O52:O56" si="79">L52-I52</f>
        <v>0</v>
      </c>
      <c r="P52" s="12">
        <f t="shared" ref="P52:P56" si="80">N52-K52</f>
        <v>-14.374999999999886</v>
      </c>
      <c r="Q52" s="123">
        <f>N52/K52</f>
        <v>0.95208333333333373</v>
      </c>
      <c r="R52" s="571">
        <f>Q57</f>
        <v>0.96332594163047469</v>
      </c>
      <c r="S52" s="24">
        <v>0.20833333333333334</v>
      </c>
      <c r="T52" s="24">
        <v>0.24166666666666667</v>
      </c>
      <c r="U52" s="124"/>
      <c r="V52" s="134">
        <f t="shared" ref="V52:V56" si="81">(T52-S52)*24*60</f>
        <v>47.999999999999986</v>
      </c>
      <c r="W52" s="15"/>
      <c r="X52" s="15"/>
      <c r="Y52" s="617"/>
      <c r="Z52" s="617"/>
      <c r="AA52" s="11">
        <f t="shared" si="2"/>
        <v>-143.74999999999909</v>
      </c>
      <c r="AB52" s="123">
        <f t="shared" si="57"/>
        <v>0.95208333333333361</v>
      </c>
      <c r="AC52" s="571">
        <f>AB57</f>
        <v>0.96332594163047469</v>
      </c>
    </row>
    <row r="53" spans="1:29" ht="15.75" customHeight="1">
      <c r="A53" s="623" t="s">
        <v>438</v>
      </c>
      <c r="B53" s="136" t="s">
        <v>67</v>
      </c>
      <c r="C53" s="616" t="s">
        <v>80</v>
      </c>
      <c r="D53" s="616"/>
      <c r="E53" s="26">
        <v>35.119999999999997</v>
      </c>
      <c r="F53" s="28">
        <v>1087</v>
      </c>
      <c r="G53" s="124">
        <f t="shared" si="76"/>
        <v>38175.439999999995</v>
      </c>
      <c r="H53" s="21" t="s">
        <v>35</v>
      </c>
      <c r="I53" s="133">
        <v>13</v>
      </c>
      <c r="J53" s="23">
        <v>2000</v>
      </c>
      <c r="K53" s="9">
        <f t="shared" si="77"/>
        <v>153.84615384615384</v>
      </c>
      <c r="L53" s="16">
        <v>13</v>
      </c>
      <c r="M53" s="10">
        <f t="shared" si="78"/>
        <v>1918.2352941176446</v>
      </c>
      <c r="N53" s="9">
        <f t="shared" ref="N53:N56" si="82">M53/L53</f>
        <v>147.55656108597265</v>
      </c>
      <c r="O53" s="11">
        <f t="shared" si="79"/>
        <v>0</v>
      </c>
      <c r="P53" s="12">
        <f t="shared" si="80"/>
        <v>-6.2895927601811934</v>
      </c>
      <c r="Q53" s="123">
        <f t="shared" ref="Q53:Q56" si="83">N53/K53</f>
        <v>0.95911764705882219</v>
      </c>
      <c r="R53" s="571"/>
      <c r="S53" s="24">
        <v>0.24722222222222223</v>
      </c>
      <c r="T53" s="24">
        <v>0.27083333333333337</v>
      </c>
      <c r="U53" s="124">
        <f>(S53-T52)*24*60</f>
        <v>8.0000000000000107</v>
      </c>
      <c r="V53" s="134">
        <f t="shared" si="81"/>
        <v>34.000000000000043</v>
      </c>
      <c r="W53" s="124"/>
      <c r="X53" s="124"/>
      <c r="Y53" s="617"/>
      <c r="Z53" s="617"/>
      <c r="AA53" s="11">
        <f t="shared" si="2"/>
        <v>-81.764705882355429</v>
      </c>
      <c r="AB53" s="123">
        <f t="shared" si="57"/>
        <v>0.9591176470588223</v>
      </c>
      <c r="AC53" s="571"/>
    </row>
    <row r="54" spans="1:29" ht="15.75" customHeight="1">
      <c r="A54" s="623" t="s">
        <v>438</v>
      </c>
      <c r="B54" s="136" t="s">
        <v>67</v>
      </c>
      <c r="C54" s="616" t="s">
        <v>81</v>
      </c>
      <c r="D54" s="616"/>
      <c r="E54" s="26">
        <v>35.869999999999997</v>
      </c>
      <c r="F54" s="28">
        <v>2040</v>
      </c>
      <c r="G54" s="124">
        <f t="shared" si="76"/>
        <v>73174.799999999988</v>
      </c>
      <c r="H54" s="21" t="s">
        <v>35</v>
      </c>
      <c r="I54" s="133">
        <v>10</v>
      </c>
      <c r="J54" s="23">
        <v>3000</v>
      </c>
      <c r="K54" s="9">
        <f t="shared" si="77"/>
        <v>300</v>
      </c>
      <c r="L54" s="16">
        <v>10</v>
      </c>
      <c r="M54" s="10">
        <f t="shared" si="78"/>
        <v>2914.2857142857133</v>
      </c>
      <c r="N54" s="9">
        <f t="shared" si="82"/>
        <v>291.42857142857133</v>
      </c>
      <c r="O54" s="11">
        <f t="shared" si="79"/>
        <v>0</v>
      </c>
      <c r="P54" s="12">
        <f t="shared" si="80"/>
        <v>-8.5714285714286689</v>
      </c>
      <c r="Q54" s="123">
        <f t="shared" si="83"/>
        <v>0.97142857142857109</v>
      </c>
      <c r="R54" s="571"/>
      <c r="S54" s="24">
        <v>0.27638888888888891</v>
      </c>
      <c r="T54" s="24">
        <v>0.30555555555555558</v>
      </c>
      <c r="U54" s="124">
        <f t="shared" ref="U54:U56" si="84">(S54-T53)*24*60</f>
        <v>7.9999999999999716</v>
      </c>
      <c r="V54" s="134">
        <f t="shared" si="81"/>
        <v>42.000000000000014</v>
      </c>
      <c r="W54" s="124"/>
      <c r="X54" s="124"/>
      <c r="Y54" s="617"/>
      <c r="Z54" s="617"/>
      <c r="AA54" s="11">
        <f t="shared" si="2"/>
        <v>-85.714285714286689</v>
      </c>
      <c r="AB54" s="123">
        <f t="shared" si="57"/>
        <v>0.97142857142857109</v>
      </c>
      <c r="AC54" s="571"/>
    </row>
    <row r="55" spans="1:29" ht="15.75" customHeight="1">
      <c r="A55" s="623" t="s">
        <v>438</v>
      </c>
      <c r="B55" s="136" t="s">
        <v>40</v>
      </c>
      <c r="C55" s="616" t="s">
        <v>82</v>
      </c>
      <c r="D55" s="616"/>
      <c r="E55" s="26">
        <v>26.97</v>
      </c>
      <c r="F55" s="28">
        <v>2611</v>
      </c>
      <c r="G55" s="124">
        <f t="shared" si="76"/>
        <v>70418.67</v>
      </c>
      <c r="H55" s="21" t="s">
        <v>35</v>
      </c>
      <c r="I55" s="133">
        <v>8</v>
      </c>
      <c r="J55" s="23">
        <v>1500</v>
      </c>
      <c r="K55" s="9">
        <f t="shared" si="77"/>
        <v>187.5</v>
      </c>
      <c r="L55" s="16">
        <v>8</v>
      </c>
      <c r="M55" s="10">
        <f t="shared" si="78"/>
        <v>1437.2477064220182</v>
      </c>
      <c r="N55" s="9">
        <f t="shared" si="82"/>
        <v>179.65596330275227</v>
      </c>
      <c r="O55" s="11">
        <f t="shared" si="79"/>
        <v>0</v>
      </c>
      <c r="P55" s="12">
        <f t="shared" si="80"/>
        <v>-7.8440366972477307</v>
      </c>
      <c r="Q55" s="123">
        <f t="shared" si="83"/>
        <v>0.95816513761467881</v>
      </c>
      <c r="R55" s="571"/>
      <c r="S55" s="24">
        <v>0.31041666666666667</v>
      </c>
      <c r="T55" s="24">
        <v>0.38611111111111113</v>
      </c>
      <c r="U55" s="124">
        <f t="shared" si="84"/>
        <v>6.9999999999999751</v>
      </c>
      <c r="V55" s="134">
        <f t="shared" si="81"/>
        <v>109.00000000000001</v>
      </c>
      <c r="W55" s="124"/>
      <c r="X55" s="124"/>
      <c r="Y55" s="617"/>
      <c r="Z55" s="617"/>
      <c r="AA55" s="11">
        <f t="shared" si="2"/>
        <v>-62.752293577981845</v>
      </c>
      <c r="AB55" s="123">
        <f t="shared" si="57"/>
        <v>0.95816513761467881</v>
      </c>
      <c r="AC55" s="571"/>
    </row>
    <row r="56" spans="1:29">
      <c r="A56" s="624" t="s">
        <v>438</v>
      </c>
      <c r="B56" s="136" t="s">
        <v>67</v>
      </c>
      <c r="C56" s="616" t="s">
        <v>83</v>
      </c>
      <c r="D56" s="616"/>
      <c r="E56" s="26">
        <v>35.369999999999997</v>
      </c>
      <c r="F56" s="28">
        <v>1312</v>
      </c>
      <c r="G56" s="124">
        <f t="shared" si="76"/>
        <v>46405.439999999995</v>
      </c>
      <c r="H56" s="21" t="s">
        <v>35</v>
      </c>
      <c r="I56" s="133">
        <v>10</v>
      </c>
      <c r="J56" s="23">
        <v>3000</v>
      </c>
      <c r="K56" s="9">
        <f t="shared" si="77"/>
        <v>300</v>
      </c>
      <c r="L56" s="16">
        <v>10</v>
      </c>
      <c r="M56" s="10">
        <f t="shared" si="78"/>
        <v>2915.555555555557</v>
      </c>
      <c r="N56" s="9">
        <f t="shared" si="82"/>
        <v>291.55555555555571</v>
      </c>
      <c r="O56" s="11">
        <f t="shared" si="79"/>
        <v>0</v>
      </c>
      <c r="P56" s="12">
        <f t="shared" si="80"/>
        <v>-8.4444444444442865</v>
      </c>
      <c r="Q56" s="123">
        <f t="shared" si="83"/>
        <v>0.97185185185185241</v>
      </c>
      <c r="R56" s="571"/>
      <c r="S56" s="24">
        <v>0.39166666666666666</v>
      </c>
      <c r="T56" s="24">
        <v>0.41041666666666665</v>
      </c>
      <c r="U56" s="124">
        <f t="shared" si="84"/>
        <v>7.9999999999999716</v>
      </c>
      <c r="V56" s="134">
        <f t="shared" si="81"/>
        <v>26.999999999999986</v>
      </c>
      <c r="W56" s="13"/>
      <c r="X56" s="13"/>
      <c r="Y56" s="617"/>
      <c r="Z56" s="617"/>
      <c r="AA56" s="11">
        <f t="shared" si="2"/>
        <v>-84.444444444442979</v>
      </c>
      <c r="AB56" s="123">
        <f t="shared" si="57"/>
        <v>0.9718518518518523</v>
      </c>
      <c r="AC56" s="571"/>
    </row>
    <row r="57" spans="1:29">
      <c r="A57" s="624" t="s">
        <v>438</v>
      </c>
      <c r="B57" s="26" t="s">
        <v>422</v>
      </c>
      <c r="C57" s="629"/>
      <c r="D57" s="629"/>
      <c r="E57" s="129"/>
      <c r="F57" s="27"/>
      <c r="G57" s="9"/>
      <c r="H57" s="136"/>
      <c r="I57" s="16">
        <v>10.199999999999999</v>
      </c>
      <c r="J57" s="23">
        <v>2500</v>
      </c>
      <c r="K57" s="9">
        <f>J57/I57</f>
        <v>245.0980392156863</v>
      </c>
      <c r="L57" s="16">
        <v>10.199999999999999</v>
      </c>
      <c r="M57" s="10">
        <f>AVERAGE(M52:M56)</f>
        <v>2408.3148540761867</v>
      </c>
      <c r="N57" s="9">
        <f>M57/L57</f>
        <v>236.10929941923402</v>
      </c>
      <c r="O57" s="11">
        <f>L57-I57</f>
        <v>0</v>
      </c>
      <c r="P57" s="12">
        <f>N57-K57</f>
        <v>-8.9887397964522791</v>
      </c>
      <c r="Q57" s="123">
        <f>N57/K57</f>
        <v>0.96332594163047469</v>
      </c>
      <c r="R57" s="571"/>
      <c r="S57" s="24"/>
      <c r="T57" s="24"/>
      <c r="U57" s="9"/>
      <c r="V57" s="134"/>
      <c r="W57" s="9"/>
      <c r="X57" s="9"/>
      <c r="Y57" s="617"/>
      <c r="Z57" s="617"/>
      <c r="AA57" s="11">
        <f t="shared" si="2"/>
        <v>-91.685145923813252</v>
      </c>
      <c r="AB57" s="123">
        <f t="shared" si="57"/>
        <v>0.96332594163047469</v>
      </c>
      <c r="AC57" s="571"/>
    </row>
    <row r="58" spans="1:29" ht="15.75" customHeight="1">
      <c r="A58" s="643" t="s">
        <v>439</v>
      </c>
      <c r="B58" s="136" t="s">
        <v>46</v>
      </c>
      <c r="C58" s="616" t="s">
        <v>84</v>
      </c>
      <c r="D58" s="616"/>
      <c r="E58" s="26">
        <v>20.2</v>
      </c>
      <c r="F58" s="136">
        <v>1520</v>
      </c>
      <c r="G58" s="124">
        <f t="shared" ref="G58:G63" si="85">E58*F58</f>
        <v>30704</v>
      </c>
      <c r="H58" s="21" t="s">
        <v>35</v>
      </c>
      <c r="I58" s="133">
        <v>19</v>
      </c>
      <c r="J58" s="23">
        <v>2400</v>
      </c>
      <c r="K58" s="9">
        <f t="shared" ref="K58:K60" si="86">J58/I58</f>
        <v>126.31578947368421</v>
      </c>
      <c r="L58" s="16">
        <v>19</v>
      </c>
      <c r="M58" s="10">
        <f>F58/V58*60</f>
        <v>2338.4615384615372</v>
      </c>
      <c r="N58" s="9">
        <f t="shared" ref="N58:N63" si="87">M58/L58</f>
        <v>123.07692307692301</v>
      </c>
      <c r="O58" s="11">
        <f t="shared" ref="O58:O63" si="88">L58-I58</f>
        <v>0</v>
      </c>
      <c r="P58" s="12">
        <f t="shared" ref="P58:P63" si="89">N58-K58</f>
        <v>-3.2388663967611961</v>
      </c>
      <c r="Q58" s="123">
        <f>N58/K58</f>
        <v>0.97435897435897389</v>
      </c>
      <c r="R58" s="571">
        <f>Q64</f>
        <v>0.96207612658737784</v>
      </c>
      <c r="S58" s="24">
        <v>0.125</v>
      </c>
      <c r="T58" s="24">
        <v>0.15208333333333335</v>
      </c>
      <c r="U58" s="15"/>
      <c r="V58" s="134">
        <f t="shared" ref="V58:V63" si="90">(T58-S58)*24*60</f>
        <v>39.000000000000021</v>
      </c>
      <c r="W58" s="13">
        <f>T58</f>
        <v>0.15208333333333335</v>
      </c>
      <c r="X58" s="13">
        <f>S59</f>
        <v>0.17222222222222225</v>
      </c>
      <c r="Y58" s="617"/>
      <c r="Z58" s="617"/>
      <c r="AA58" s="11">
        <f t="shared" si="2"/>
        <v>-61.538461538462798</v>
      </c>
      <c r="AB58" s="123">
        <f>M58/J58</f>
        <v>0.97435897435897378</v>
      </c>
      <c r="AC58" s="571">
        <f>AB64</f>
        <v>0.96207612658737784</v>
      </c>
    </row>
    <row r="59" spans="1:29" ht="15.75" customHeight="1">
      <c r="A59" s="643" t="s">
        <v>440</v>
      </c>
      <c r="B59" s="136" t="s">
        <v>46</v>
      </c>
      <c r="C59" s="616" t="s">
        <v>85</v>
      </c>
      <c r="D59" s="616"/>
      <c r="E59" s="26">
        <v>19.02</v>
      </c>
      <c r="F59" s="136">
        <v>6884</v>
      </c>
      <c r="G59" s="124">
        <f t="shared" si="85"/>
        <v>130933.68</v>
      </c>
      <c r="H59" s="21" t="s">
        <v>35</v>
      </c>
      <c r="I59" s="133">
        <v>15</v>
      </c>
      <c r="J59" s="23">
        <v>2400</v>
      </c>
      <c r="K59" s="9">
        <f t="shared" si="86"/>
        <v>160</v>
      </c>
      <c r="L59" s="16">
        <v>15</v>
      </c>
      <c r="M59" s="10">
        <f t="shared" ref="M59:M63" si="91">F59/V59*60</f>
        <v>2294.6666666666661</v>
      </c>
      <c r="N59" s="9">
        <f t="shared" si="87"/>
        <v>152.97777777777773</v>
      </c>
      <c r="O59" s="11">
        <f t="shared" si="88"/>
        <v>0</v>
      </c>
      <c r="P59" s="12">
        <f t="shared" si="89"/>
        <v>-7.0222222222222683</v>
      </c>
      <c r="Q59" s="123">
        <f t="shared" ref="Q59:Q64" si="92">N59/K59</f>
        <v>0.9561111111111108</v>
      </c>
      <c r="R59" s="571"/>
      <c r="S59" s="24">
        <v>0.17222222222222225</v>
      </c>
      <c r="T59" s="24">
        <v>0.29722222222222228</v>
      </c>
      <c r="U59" s="124">
        <f>(S59-T58)*24*60</f>
        <v>29.000000000000018</v>
      </c>
      <c r="V59" s="134">
        <f t="shared" si="90"/>
        <v>180.00000000000006</v>
      </c>
      <c r="W59" s="13"/>
      <c r="X59" s="13"/>
      <c r="Y59" s="617"/>
      <c r="Z59" s="617"/>
      <c r="AA59" s="11">
        <f t="shared" si="2"/>
        <v>-105.33333333333394</v>
      </c>
      <c r="AB59" s="123">
        <f t="shared" ref="AB59:AB64" si="93">M59/J59</f>
        <v>0.95611111111111091</v>
      </c>
      <c r="AC59" s="571"/>
    </row>
    <row r="60" spans="1:29" ht="15.75" customHeight="1">
      <c r="A60" s="643" t="s">
        <v>439</v>
      </c>
      <c r="B60" s="136" t="s">
        <v>46</v>
      </c>
      <c r="C60" s="616" t="s">
        <v>86</v>
      </c>
      <c r="D60" s="616"/>
      <c r="E60" s="26">
        <v>24.25</v>
      </c>
      <c r="F60" s="136">
        <v>2068</v>
      </c>
      <c r="G60" s="124">
        <f t="shared" si="85"/>
        <v>50149</v>
      </c>
      <c r="H60" s="21" t="s">
        <v>35</v>
      </c>
      <c r="I60" s="133">
        <v>18</v>
      </c>
      <c r="J60" s="23">
        <v>2400</v>
      </c>
      <c r="K60" s="9">
        <f t="shared" si="86"/>
        <v>133.33333333333334</v>
      </c>
      <c r="L60" s="16">
        <v>18</v>
      </c>
      <c r="M60" s="10">
        <f t="shared" si="91"/>
        <v>2297.7777777777792</v>
      </c>
      <c r="N60" s="9">
        <f t="shared" si="87"/>
        <v>127.6543209876544</v>
      </c>
      <c r="O60" s="11">
        <f t="shared" si="88"/>
        <v>0</v>
      </c>
      <c r="P60" s="12">
        <f t="shared" si="89"/>
        <v>-5.6790123456789416</v>
      </c>
      <c r="Q60" s="123">
        <f t="shared" si="92"/>
        <v>0.95740740740740793</v>
      </c>
      <c r="R60" s="571"/>
      <c r="S60" s="24">
        <v>0.30138888888888893</v>
      </c>
      <c r="T60" s="24">
        <v>0.33888888888888891</v>
      </c>
      <c r="U60" s="124">
        <f t="shared" ref="U60:U63" si="94">(S60-T59)*24*60</f>
        <v>5.9999999999999787</v>
      </c>
      <c r="V60" s="134">
        <f t="shared" si="90"/>
        <v>53.999999999999972</v>
      </c>
      <c r="W60" s="13"/>
      <c r="X60" s="13"/>
      <c r="Y60" s="617"/>
      <c r="Z60" s="617"/>
      <c r="AA60" s="11">
        <f t="shared" si="2"/>
        <v>-102.22222222222081</v>
      </c>
      <c r="AB60" s="123">
        <f t="shared" si="93"/>
        <v>0.95740740740740804</v>
      </c>
      <c r="AC60" s="571"/>
    </row>
    <row r="61" spans="1:29" ht="15.75" customHeight="1">
      <c r="A61" s="643" t="s">
        <v>439</v>
      </c>
      <c r="B61" s="136" t="s">
        <v>46</v>
      </c>
      <c r="C61" s="616" t="s">
        <v>87</v>
      </c>
      <c r="D61" s="616"/>
      <c r="E61" s="26">
        <v>20.52</v>
      </c>
      <c r="F61" s="136">
        <v>3083</v>
      </c>
      <c r="G61" s="124">
        <f t="shared" si="85"/>
        <v>63263.159999999996</v>
      </c>
      <c r="H61" s="21" t="s">
        <v>35</v>
      </c>
      <c r="I61" s="133">
        <v>18</v>
      </c>
      <c r="J61" s="23">
        <v>2400</v>
      </c>
      <c r="K61" s="9">
        <f>J61/I61</f>
        <v>133.33333333333334</v>
      </c>
      <c r="L61" s="16">
        <v>18</v>
      </c>
      <c r="M61" s="10">
        <f t="shared" si="91"/>
        <v>2283.703703703703</v>
      </c>
      <c r="N61" s="9">
        <f t="shared" si="87"/>
        <v>126.87242798353905</v>
      </c>
      <c r="O61" s="11">
        <f t="shared" si="88"/>
        <v>0</v>
      </c>
      <c r="P61" s="12">
        <f t="shared" si="89"/>
        <v>-6.4609053497942881</v>
      </c>
      <c r="Q61" s="123">
        <f t="shared" si="92"/>
        <v>0.95154320987654284</v>
      </c>
      <c r="R61" s="571"/>
      <c r="S61" s="24">
        <v>0.34305555555555556</v>
      </c>
      <c r="T61" s="24">
        <v>0.39930555555555558</v>
      </c>
      <c r="U61" s="124">
        <f t="shared" si="94"/>
        <v>5.9999999999999787</v>
      </c>
      <c r="V61" s="134">
        <f t="shared" si="90"/>
        <v>81.000000000000028</v>
      </c>
      <c r="W61" s="13"/>
      <c r="X61" s="13"/>
      <c r="Y61" s="617"/>
      <c r="Z61" s="617"/>
      <c r="AA61" s="11">
        <f t="shared" si="2"/>
        <v>-116.29629629629699</v>
      </c>
      <c r="AB61" s="123">
        <f t="shared" si="93"/>
        <v>0.95154320987654295</v>
      </c>
      <c r="AC61" s="571"/>
    </row>
    <row r="62" spans="1:29" ht="15.75" customHeight="1">
      <c r="A62" s="643" t="s">
        <v>439</v>
      </c>
      <c r="B62" s="136" t="s">
        <v>46</v>
      </c>
      <c r="C62" s="616" t="s">
        <v>88</v>
      </c>
      <c r="D62" s="616"/>
      <c r="E62" s="26">
        <v>24.25</v>
      </c>
      <c r="F62" s="136">
        <v>3025</v>
      </c>
      <c r="G62" s="124">
        <f t="shared" si="85"/>
        <v>73356.25</v>
      </c>
      <c r="H62" s="21" t="s">
        <v>35</v>
      </c>
      <c r="I62" s="133">
        <v>17</v>
      </c>
      <c r="J62" s="23">
        <v>2400</v>
      </c>
      <c r="K62" s="9">
        <f t="shared" ref="K62:K64" si="95">J62/I62</f>
        <v>141.1764705882353</v>
      </c>
      <c r="L62" s="16">
        <v>17</v>
      </c>
      <c r="M62" s="10">
        <f t="shared" si="91"/>
        <v>2297.4683544303789</v>
      </c>
      <c r="N62" s="9">
        <f t="shared" si="87"/>
        <v>135.14519731943406</v>
      </c>
      <c r="O62" s="11">
        <f t="shared" si="88"/>
        <v>0</v>
      </c>
      <c r="P62" s="12">
        <f t="shared" si="89"/>
        <v>-6.0312732688012431</v>
      </c>
      <c r="Q62" s="123">
        <f t="shared" si="92"/>
        <v>0.95727848101265789</v>
      </c>
      <c r="R62" s="571"/>
      <c r="S62" s="24">
        <v>0.40416666666666667</v>
      </c>
      <c r="T62" s="24">
        <v>0.45902777777777781</v>
      </c>
      <c r="U62" s="124">
        <f t="shared" si="94"/>
        <v>6.9999999999999751</v>
      </c>
      <c r="V62" s="134">
        <f t="shared" si="90"/>
        <v>79.000000000000043</v>
      </c>
      <c r="W62" s="13"/>
      <c r="X62" s="13"/>
      <c r="Y62" s="617"/>
      <c r="Z62" s="617"/>
      <c r="AA62" s="11">
        <f t="shared" si="2"/>
        <v>-102.53164556962111</v>
      </c>
      <c r="AB62" s="123">
        <f t="shared" si="93"/>
        <v>0.95727848101265789</v>
      </c>
      <c r="AC62" s="571"/>
    </row>
    <row r="63" spans="1:29" ht="15.75" customHeight="1">
      <c r="A63" s="643" t="s">
        <v>439</v>
      </c>
      <c r="B63" s="136" t="s">
        <v>46</v>
      </c>
      <c r="C63" s="616" t="s">
        <v>48</v>
      </c>
      <c r="D63" s="616"/>
      <c r="E63" s="26">
        <v>22.35</v>
      </c>
      <c r="F63" s="136">
        <v>1288</v>
      </c>
      <c r="G63" s="124">
        <f t="shared" si="85"/>
        <v>28786.800000000003</v>
      </c>
      <c r="H63" s="21" t="s">
        <v>35</v>
      </c>
      <c r="I63" s="133">
        <v>16</v>
      </c>
      <c r="J63" s="23">
        <v>2400</v>
      </c>
      <c r="K63" s="9">
        <f t="shared" si="95"/>
        <v>150</v>
      </c>
      <c r="L63" s="16">
        <v>16</v>
      </c>
      <c r="M63" s="10">
        <f t="shared" si="91"/>
        <v>2341.8181818181788</v>
      </c>
      <c r="N63" s="9">
        <f t="shared" si="87"/>
        <v>146.36363636363618</v>
      </c>
      <c r="O63" s="11">
        <f t="shared" si="88"/>
        <v>0</v>
      </c>
      <c r="P63" s="12">
        <f t="shared" si="89"/>
        <v>-3.636363636363825</v>
      </c>
      <c r="Q63" s="123">
        <f t="shared" si="92"/>
        <v>0.97575757575757449</v>
      </c>
      <c r="R63" s="571"/>
      <c r="S63" s="24">
        <v>0.46250000000000002</v>
      </c>
      <c r="T63" s="24">
        <v>0.48541666666666672</v>
      </c>
      <c r="U63" s="124">
        <f t="shared" si="94"/>
        <v>4.9999999999999822</v>
      </c>
      <c r="V63" s="134">
        <f t="shared" si="90"/>
        <v>33.000000000000043</v>
      </c>
      <c r="W63" s="13"/>
      <c r="X63" s="13"/>
      <c r="Y63" s="617"/>
      <c r="Z63" s="617"/>
      <c r="AA63" s="11">
        <f t="shared" si="2"/>
        <v>-58.1818181818212</v>
      </c>
      <c r="AB63" s="123">
        <f t="shared" si="93"/>
        <v>0.97575757575757449</v>
      </c>
      <c r="AC63" s="571"/>
    </row>
    <row r="64" spans="1:29" ht="16.5" customHeight="1">
      <c r="A64" s="660" t="s">
        <v>439</v>
      </c>
      <c r="B64" s="26" t="s">
        <v>422</v>
      </c>
      <c r="C64" s="629"/>
      <c r="D64" s="629"/>
      <c r="E64" s="129"/>
      <c r="F64" s="27"/>
      <c r="G64" s="9"/>
      <c r="H64" s="136"/>
      <c r="I64" s="16">
        <v>17.166666666666668</v>
      </c>
      <c r="J64" s="23">
        <v>2400</v>
      </c>
      <c r="K64" s="9">
        <f t="shared" si="95"/>
        <v>139.80582524271844</v>
      </c>
      <c r="L64" s="16">
        <v>17.166666666666668</v>
      </c>
      <c r="M64" s="10">
        <f>AVERAGE(M58:M63)</f>
        <v>2308.9827038097069</v>
      </c>
      <c r="N64" s="9">
        <f>M64/L64</f>
        <v>134.50384682386641</v>
      </c>
      <c r="O64" s="11">
        <f>L64-I64</f>
        <v>0</v>
      </c>
      <c r="P64" s="12">
        <f>N64-K64</f>
        <v>-5.3019784188520305</v>
      </c>
      <c r="Q64" s="123">
        <f t="shared" si="92"/>
        <v>0.96207612658737784</v>
      </c>
      <c r="R64" s="571"/>
      <c r="S64" s="24"/>
      <c r="T64" s="24"/>
      <c r="U64" s="9"/>
      <c r="V64" s="134"/>
      <c r="W64" s="9"/>
      <c r="X64" s="9"/>
      <c r="Y64" s="617"/>
      <c r="Z64" s="617"/>
      <c r="AA64" s="11">
        <f t="shared" si="2"/>
        <v>-91.017296190293109</v>
      </c>
      <c r="AB64" s="123">
        <f t="shared" si="93"/>
        <v>0.96207612658737784</v>
      </c>
      <c r="AC64" s="571"/>
    </row>
    <row r="65" spans="4:5">
      <c r="D65" s="17"/>
      <c r="E65" s="17"/>
    </row>
  </sheetData>
  <mergeCells count="175">
    <mergeCell ref="AC58:AC64"/>
    <mergeCell ref="C59:D59"/>
    <mergeCell ref="Y59:Z59"/>
    <mergeCell ref="C60:D60"/>
    <mergeCell ref="Y60:Z60"/>
    <mergeCell ref="C61:D61"/>
    <mergeCell ref="Y61:Z61"/>
    <mergeCell ref="C62:D62"/>
    <mergeCell ref="Y62:Z62"/>
    <mergeCell ref="C63:D63"/>
    <mergeCell ref="Y56:Z56"/>
    <mergeCell ref="C57:D57"/>
    <mergeCell ref="Y57:Z57"/>
    <mergeCell ref="A58:A64"/>
    <mergeCell ref="C58:D58"/>
    <mergeCell ref="R58:R64"/>
    <mergeCell ref="Y58:Z58"/>
    <mergeCell ref="Y63:Z63"/>
    <mergeCell ref="A52:A57"/>
    <mergeCell ref="C52:D52"/>
    <mergeCell ref="R52:R57"/>
    <mergeCell ref="Y52:Z52"/>
    <mergeCell ref="C64:D64"/>
    <mergeCell ref="Y64:Z64"/>
    <mergeCell ref="A45:A51"/>
    <mergeCell ref="C45:D45"/>
    <mergeCell ref="R45:R51"/>
    <mergeCell ref="Y45:Z45"/>
    <mergeCell ref="A39:A44"/>
    <mergeCell ref="C39:D39"/>
    <mergeCell ref="R39:R44"/>
    <mergeCell ref="Y39:Z39"/>
    <mergeCell ref="AC52:AC57"/>
    <mergeCell ref="C53:D53"/>
    <mergeCell ref="Y53:Z53"/>
    <mergeCell ref="C54:D54"/>
    <mergeCell ref="Y54:Z54"/>
    <mergeCell ref="C55:D55"/>
    <mergeCell ref="AC45:AC51"/>
    <mergeCell ref="C46:D46"/>
    <mergeCell ref="Y46:Z46"/>
    <mergeCell ref="C47:D47"/>
    <mergeCell ref="C50:D50"/>
    <mergeCell ref="Y50:Z50"/>
    <mergeCell ref="C51:D51"/>
    <mergeCell ref="Y51:Z51"/>
    <mergeCell ref="Y55:Z55"/>
    <mergeCell ref="C56:D56"/>
    <mergeCell ref="AC39:AC44"/>
    <mergeCell ref="C40:D40"/>
    <mergeCell ref="Y40:Z40"/>
    <mergeCell ref="C41:D41"/>
    <mergeCell ref="Y41:Z41"/>
    <mergeCell ref="C42:D42"/>
    <mergeCell ref="AC33:AC38"/>
    <mergeCell ref="C34:D34"/>
    <mergeCell ref="Y34:Z34"/>
    <mergeCell ref="C35:D35"/>
    <mergeCell ref="Y35:Z35"/>
    <mergeCell ref="C36:D36"/>
    <mergeCell ref="Y36:Z36"/>
    <mergeCell ref="C37:D37"/>
    <mergeCell ref="Y37:Z37"/>
    <mergeCell ref="C38:D38"/>
    <mergeCell ref="Y42:Z42"/>
    <mergeCell ref="C43:D43"/>
    <mergeCell ref="Y43:Z43"/>
    <mergeCell ref="C44:D44"/>
    <mergeCell ref="Y44:Z44"/>
    <mergeCell ref="A33:A38"/>
    <mergeCell ref="C33:D33"/>
    <mergeCell ref="R33:R38"/>
    <mergeCell ref="Y33:Z33"/>
    <mergeCell ref="Y38:Z38"/>
    <mergeCell ref="AC26:AC32"/>
    <mergeCell ref="C27:D27"/>
    <mergeCell ref="Y27:Z27"/>
    <mergeCell ref="C28:D28"/>
    <mergeCell ref="Y28:Z28"/>
    <mergeCell ref="C29:D29"/>
    <mergeCell ref="Y29:Z29"/>
    <mergeCell ref="C30:D30"/>
    <mergeCell ref="Y30:Z30"/>
    <mergeCell ref="C31:D31"/>
    <mergeCell ref="A26:A32"/>
    <mergeCell ref="C26:D26"/>
    <mergeCell ref="R26:R32"/>
    <mergeCell ref="Y26:Z26"/>
    <mergeCell ref="Y31:Z31"/>
    <mergeCell ref="A20:A25"/>
    <mergeCell ref="C20:D20"/>
    <mergeCell ref="R20:R25"/>
    <mergeCell ref="Y20:Z20"/>
    <mergeCell ref="C32:D32"/>
    <mergeCell ref="Y32:Z32"/>
    <mergeCell ref="AC20:AC25"/>
    <mergeCell ref="C21:D21"/>
    <mergeCell ref="Y21:Z21"/>
    <mergeCell ref="C22:D22"/>
    <mergeCell ref="Y22:Z22"/>
    <mergeCell ref="C23:D23"/>
    <mergeCell ref="C25:D25"/>
    <mergeCell ref="Y25:Z25"/>
    <mergeCell ref="C16:D16"/>
    <mergeCell ref="Y16:Z16"/>
    <mergeCell ref="C17:D17"/>
    <mergeCell ref="Y17:Z17"/>
    <mergeCell ref="Y18:Z18"/>
    <mergeCell ref="C19:D19"/>
    <mergeCell ref="Y19:Z19"/>
    <mergeCell ref="Y23:Z23"/>
    <mergeCell ref="C24:D24"/>
    <mergeCell ref="Y24:Z24"/>
    <mergeCell ref="H3:H4"/>
    <mergeCell ref="I3:I4"/>
    <mergeCell ref="A12:A19"/>
    <mergeCell ref="C12:D12"/>
    <mergeCell ref="R12:R19"/>
    <mergeCell ref="Y12:Z12"/>
    <mergeCell ref="AC12:AC19"/>
    <mergeCell ref="C8:D8"/>
    <mergeCell ref="Y8:Z8"/>
    <mergeCell ref="A9:A11"/>
    <mergeCell ref="C9:D9"/>
    <mergeCell ref="R9:R11"/>
    <mergeCell ref="Y9:Z9"/>
    <mergeCell ref="C13:D13"/>
    <mergeCell ref="Y13:Z13"/>
    <mergeCell ref="C14:D14"/>
    <mergeCell ref="Y14:Z14"/>
    <mergeCell ref="C15:D15"/>
    <mergeCell ref="Y15:Z15"/>
    <mergeCell ref="AC9:AC11"/>
    <mergeCell ref="C10:D10"/>
    <mergeCell ref="Y10:Z10"/>
    <mergeCell ref="C11:D11"/>
    <mergeCell ref="Y11:Z11"/>
    <mergeCell ref="A3:A4"/>
    <mergeCell ref="B3:B4"/>
    <mergeCell ref="C3:D4"/>
    <mergeCell ref="E3:E4"/>
    <mergeCell ref="F3:F4"/>
    <mergeCell ref="G3:G4"/>
    <mergeCell ref="AC3:AC4"/>
    <mergeCell ref="A5:A8"/>
    <mergeCell ref="C5:D5"/>
    <mergeCell ref="R5:R8"/>
    <mergeCell ref="Y5:Z5"/>
    <mergeCell ref="AC5:AC8"/>
    <mergeCell ref="C6:D6"/>
    <mergeCell ref="Y6:Z6"/>
    <mergeCell ref="C7:D7"/>
    <mergeCell ref="Y7:Z7"/>
    <mergeCell ref="U3:U4"/>
    <mergeCell ref="V3:V4"/>
    <mergeCell ref="W3:X3"/>
    <mergeCell ref="Y3:Z4"/>
    <mergeCell ref="AA3:AA4"/>
    <mergeCell ref="AB3:AB4"/>
    <mergeCell ref="N3:N4"/>
    <mergeCell ref="O3:O4"/>
    <mergeCell ref="I1:K2"/>
    <mergeCell ref="L1:N2"/>
    <mergeCell ref="O1:R2"/>
    <mergeCell ref="S1:X2"/>
    <mergeCell ref="Y1:Z2"/>
    <mergeCell ref="AA1:AC2"/>
    <mergeCell ref="J3:J4"/>
    <mergeCell ref="K3:K4"/>
    <mergeCell ref="L3:L4"/>
    <mergeCell ref="M3:M4"/>
    <mergeCell ref="P3:P4"/>
    <mergeCell ref="Q3:Q4"/>
    <mergeCell ref="R3:R4"/>
    <mergeCell ref="S3:T3"/>
  </mergeCells>
  <phoneticPr fontId="3" type="noConversion"/>
  <conditionalFormatting sqref="O55:O64 O5:O9 O11:O13 O19:O52">
    <cfRule type="cellIs" dxfId="263" priority="41" operator="greaterThan">
      <formula>0</formula>
    </cfRule>
  </conditionalFormatting>
  <conditionalFormatting sqref="P5:P7 P55:P56 AA55:AA56 P58:P63 P26:P31 P52 P9 P11:P13 P20:P24 P45:P50 P33:P43 AA5:AA52 AA58:AA64">
    <cfRule type="cellIs" dxfId="262" priority="45" operator="lessThan">
      <formula>0</formula>
    </cfRule>
  </conditionalFormatting>
  <conditionalFormatting sqref="AB55:AB56 Q55:Q64 Q5:Q9 Q11:Q13 Q19:Q52 AB5:AB52 AB58:AB64">
    <cfRule type="cellIs" dxfId="261" priority="42" operator="greaterThan">
      <formula>1</formula>
    </cfRule>
    <cfRule type="cellIs" dxfId="260" priority="43" operator="lessThan">
      <formula>0.8</formula>
    </cfRule>
  </conditionalFormatting>
  <conditionalFormatting sqref="AC12:AC13 R12:R13 AC55 R55:R64 AC5:AC9 R5:R9 AC19:AC52 R19:R52">
    <cfRule type="cellIs" dxfId="259" priority="47" operator="lessThan">
      <formula>0.8</formula>
    </cfRule>
  </conditionalFormatting>
  <conditionalFormatting sqref="AC39">
    <cfRule type="cellIs" dxfId="258" priority="49" operator="lessThan">
      <formula>0.8</formula>
    </cfRule>
  </conditionalFormatting>
  <conditionalFormatting sqref="AC20:AC24">
    <cfRule type="cellIs" dxfId="257" priority="46" operator="lessThan">
      <formula>0.8</formula>
    </cfRule>
  </conditionalFormatting>
  <conditionalFormatting sqref="AC26">
    <cfRule type="cellIs" dxfId="256" priority="48" operator="lessThan">
      <formula>0.8</formula>
    </cfRule>
  </conditionalFormatting>
  <conditionalFormatting sqref="AC33:AC37">
    <cfRule type="cellIs" dxfId="255" priority="44" operator="lessThan">
      <formula>0.8</formula>
    </cfRule>
  </conditionalFormatting>
  <conditionalFormatting sqref="AA57">
    <cfRule type="cellIs" dxfId="254" priority="40" operator="lessThan">
      <formula>0</formula>
    </cfRule>
  </conditionalFormatting>
  <conditionalFormatting sqref="AB57">
    <cfRule type="cellIs" dxfId="253" priority="38" operator="greaterThan">
      <formula>1</formula>
    </cfRule>
    <cfRule type="cellIs" dxfId="252" priority="39" operator="lessThan">
      <formula>0.8</formula>
    </cfRule>
  </conditionalFormatting>
  <conditionalFormatting sqref="O14:O15">
    <cfRule type="cellIs" dxfId="251" priority="33" operator="greaterThan">
      <formula>0</formula>
    </cfRule>
  </conditionalFormatting>
  <conditionalFormatting sqref="P14:P15">
    <cfRule type="cellIs" dxfId="250" priority="36" operator="lessThan">
      <formula>0</formula>
    </cfRule>
  </conditionalFormatting>
  <conditionalFormatting sqref="Q14:Q15">
    <cfRule type="cellIs" dxfId="249" priority="34" operator="greaterThan">
      <formula>1</formula>
    </cfRule>
    <cfRule type="cellIs" dxfId="248" priority="35" operator="lessThan">
      <formula>0.8</formula>
    </cfRule>
  </conditionalFormatting>
  <conditionalFormatting sqref="R14:R15 AC14:AC15">
    <cfRule type="cellIs" dxfId="247" priority="37" operator="lessThan">
      <formula>0.8</formula>
    </cfRule>
  </conditionalFormatting>
  <conditionalFormatting sqref="O10">
    <cfRule type="cellIs" dxfId="246" priority="29" operator="greaterThan">
      <formula>0</formula>
    </cfRule>
  </conditionalFormatting>
  <conditionalFormatting sqref="P10">
    <cfRule type="cellIs" dxfId="245" priority="32" operator="lessThan">
      <formula>0</formula>
    </cfRule>
  </conditionalFormatting>
  <conditionalFormatting sqref="Q10">
    <cfRule type="cellIs" dxfId="244" priority="30" operator="greaterThan">
      <formula>1</formula>
    </cfRule>
    <cfRule type="cellIs" dxfId="243" priority="31" operator="lessThan">
      <formula>0.8</formula>
    </cfRule>
  </conditionalFormatting>
  <conditionalFormatting sqref="O54">
    <cfRule type="cellIs" dxfId="242" priority="24" operator="greaterThan">
      <formula>0</formula>
    </cfRule>
  </conditionalFormatting>
  <conditionalFormatting sqref="P54 AA54">
    <cfRule type="cellIs" dxfId="241" priority="27" operator="lessThan">
      <formula>0</formula>
    </cfRule>
  </conditionalFormatting>
  <conditionalFormatting sqref="Q54 AB54">
    <cfRule type="cellIs" dxfId="240" priority="25" operator="greaterThan">
      <formula>1</formula>
    </cfRule>
    <cfRule type="cellIs" dxfId="239" priority="26" operator="lessThan">
      <formula>0.8</formula>
    </cfRule>
  </conditionalFormatting>
  <conditionalFormatting sqref="R54 AC54">
    <cfRule type="cellIs" dxfId="238" priority="28" operator="lessThan">
      <formula>0.8</formula>
    </cfRule>
  </conditionalFormatting>
  <conditionalFormatting sqref="O16:O17">
    <cfRule type="cellIs" dxfId="237" priority="19" operator="greaterThan">
      <formula>0</formula>
    </cfRule>
  </conditionalFormatting>
  <conditionalFormatting sqref="P16:P17">
    <cfRule type="cellIs" dxfId="236" priority="22" operator="lessThan">
      <formula>0</formula>
    </cfRule>
  </conditionalFormatting>
  <conditionalFormatting sqref="Q16:Q17">
    <cfRule type="cellIs" dxfId="235" priority="20" operator="greaterThan">
      <formula>1</formula>
    </cfRule>
    <cfRule type="cellIs" dxfId="234" priority="21" operator="lessThan">
      <formula>0.8</formula>
    </cfRule>
  </conditionalFormatting>
  <conditionalFormatting sqref="R16:R17 AC16:AC17">
    <cfRule type="cellIs" dxfId="233" priority="23" operator="lessThan">
      <formula>0.8</formula>
    </cfRule>
  </conditionalFormatting>
  <conditionalFormatting sqref="O53">
    <cfRule type="cellIs" dxfId="232" priority="14" operator="greaterThan">
      <formula>0</formula>
    </cfRule>
  </conditionalFormatting>
  <conditionalFormatting sqref="P53 AA53">
    <cfRule type="cellIs" dxfId="231" priority="17" operator="lessThan">
      <formula>0</formula>
    </cfRule>
  </conditionalFormatting>
  <conditionalFormatting sqref="Q53 AB53">
    <cfRule type="cellIs" dxfId="230" priority="15" operator="greaterThan">
      <formula>1</formula>
    </cfRule>
    <cfRule type="cellIs" dxfId="229" priority="16" operator="lessThan">
      <formula>0.8</formula>
    </cfRule>
  </conditionalFormatting>
  <conditionalFormatting sqref="R53 AC53">
    <cfRule type="cellIs" dxfId="228" priority="18" operator="lessThan">
      <formula>0.8</formula>
    </cfRule>
  </conditionalFormatting>
  <conditionalFormatting sqref="O18">
    <cfRule type="cellIs" dxfId="227" priority="9" operator="greaterThan">
      <formula>0</formula>
    </cfRule>
  </conditionalFormatting>
  <conditionalFormatting sqref="P18">
    <cfRule type="cellIs" dxfId="226" priority="12" operator="lessThan">
      <formula>0</formula>
    </cfRule>
  </conditionalFormatting>
  <conditionalFormatting sqref="Q18">
    <cfRule type="cellIs" dxfId="225" priority="10" operator="greaterThan">
      <formula>1</formula>
    </cfRule>
    <cfRule type="cellIs" dxfId="224" priority="11" operator="lessThan">
      <formula>0.8</formula>
    </cfRule>
  </conditionalFormatting>
  <conditionalFormatting sqref="AC18 R18">
    <cfRule type="cellIs" dxfId="223" priority="13" operator="lessThan">
      <formula>0.8</formula>
    </cfRule>
  </conditionalFormatting>
  <conditionalFormatting sqref="P8">
    <cfRule type="cellIs" dxfId="222" priority="8" operator="lessThan">
      <formula>0</formula>
    </cfRule>
  </conditionalFormatting>
  <conditionalFormatting sqref="P19">
    <cfRule type="cellIs" dxfId="221" priority="7" operator="lessThan">
      <formula>0</formula>
    </cfRule>
  </conditionalFormatting>
  <conditionalFormatting sqref="P25">
    <cfRule type="cellIs" dxfId="220" priority="6" operator="lessThan">
      <formula>0</formula>
    </cfRule>
  </conditionalFormatting>
  <conditionalFormatting sqref="P32">
    <cfRule type="cellIs" dxfId="219" priority="5" operator="lessThan">
      <formula>0</formula>
    </cfRule>
  </conditionalFormatting>
  <conditionalFormatting sqref="P44">
    <cfRule type="cellIs" dxfId="218" priority="4" operator="lessThan">
      <formula>0</formula>
    </cfRule>
  </conditionalFormatting>
  <conditionalFormatting sqref="P51">
    <cfRule type="cellIs" dxfId="217" priority="3" operator="lessThan">
      <formula>0</formula>
    </cfRule>
  </conditionalFormatting>
  <conditionalFormatting sqref="P57">
    <cfRule type="cellIs" dxfId="216" priority="2" operator="lessThan">
      <formula>0</formula>
    </cfRule>
  </conditionalFormatting>
  <conditionalFormatting sqref="P64">
    <cfRule type="cellIs" dxfId="215" priority="1" operator="lessThan">
      <formula>0</formula>
    </cfRule>
  </conditionalFormatting>
  <dataValidations count="1">
    <dataValidation type="list" allowBlank="1" showInputMessage="1" showErrorMessage="1" sqref="Z8 Z56 Y5:Z7 Y8:Y56 Z10:Z52 Y57:Z64">
      <formula1>#REF!</formula1>
    </dataValidation>
  </dataValidations>
  <pageMargins left="0" right="0" top="0" bottom="0" header="0" footer="0"/>
  <pageSetup paperSize="9" scale="11" orientation="landscape" horizontalDpi="300" verticalDpi="300" r:id="rId1"/>
</worksheet>
</file>

<file path=xl/worksheets/sheet5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工作表45"/>
  <dimension ref="B1:Q28"/>
  <sheetViews>
    <sheetView zoomScale="85" zoomScaleNormal="85" workbookViewId="0">
      <selection activeCell="F3" sqref="F3:G3"/>
    </sheetView>
  </sheetViews>
  <sheetFormatPr defaultColWidth="8.75" defaultRowHeight="15.75"/>
  <cols>
    <col min="1" max="1" width="8.75" style="30"/>
    <col min="2" max="2" width="17.875" style="30" customWidth="1"/>
    <col min="3" max="3" width="9.25" style="37" customWidth="1"/>
    <col min="4" max="13" width="12.625" style="30" customWidth="1"/>
    <col min="14" max="14" width="11" style="30" bestFit="1" customWidth="1"/>
    <col min="15" max="15" width="17.75" style="30" bestFit="1" customWidth="1"/>
    <col min="16" max="16" width="12.25" style="30" bestFit="1" customWidth="1"/>
    <col min="17" max="22" width="9.25" style="30" customWidth="1"/>
    <col min="23" max="23" width="10.75" style="30" customWidth="1"/>
    <col min="24" max="24" width="11" style="30" customWidth="1"/>
    <col min="25" max="16384" width="8.75" style="30"/>
  </cols>
  <sheetData>
    <row r="1" spans="2:17" ht="27.75" customHeight="1">
      <c r="B1" s="552" t="s">
        <v>272</v>
      </c>
      <c r="C1" s="552"/>
      <c r="D1" s="552"/>
      <c r="E1" s="552"/>
      <c r="F1" s="552"/>
      <c r="G1" s="552"/>
      <c r="H1" s="552"/>
      <c r="I1" s="552"/>
      <c r="J1" s="552"/>
      <c r="K1" s="29"/>
      <c r="L1" s="29"/>
      <c r="M1" s="29"/>
      <c r="N1" s="29"/>
      <c r="O1" s="29"/>
      <c r="P1" s="29"/>
    </row>
    <row r="2" spans="2:17" ht="27.75" customHeight="1">
      <c r="B2" s="553"/>
      <c r="C2" s="553"/>
      <c r="D2" s="553"/>
      <c r="E2" s="553"/>
      <c r="F2" s="553"/>
      <c r="G2" s="553"/>
      <c r="H2" s="553"/>
      <c r="I2" s="553"/>
      <c r="J2" s="553"/>
      <c r="K2" s="31"/>
      <c r="L2" s="31"/>
      <c r="M2" s="31"/>
      <c r="N2" s="29"/>
      <c r="O2" s="29"/>
      <c r="P2" s="29"/>
    </row>
    <row r="3" spans="2:17" ht="46.5" customHeight="1">
      <c r="B3" s="32" t="s">
        <v>273</v>
      </c>
      <c r="C3" s="554" t="str">
        <f>TEXT('1003 4度C'!A2,"yyyy.mm.ddaaaa")</f>
        <v>2025.10.03星期五</v>
      </c>
      <c r="D3" s="555"/>
      <c r="E3" s="32" t="s">
        <v>274</v>
      </c>
      <c r="F3" s="556">
        <f>'1003 4度C'!D1</f>
        <v>131535</v>
      </c>
      <c r="G3" s="557"/>
      <c r="H3" s="32" t="s">
        <v>275</v>
      </c>
      <c r="I3" s="558">
        <f>'1003 4度C'!F1</f>
        <v>4274146.5300000012</v>
      </c>
      <c r="J3" s="559"/>
      <c r="K3" s="33"/>
      <c r="L3" s="34"/>
      <c r="M3" s="35"/>
      <c r="N3" s="35"/>
    </row>
    <row r="4" spans="2:17" ht="28.5" customHeight="1">
      <c r="B4" s="560" t="s">
        <v>276</v>
      </c>
      <c r="C4" s="542" t="s">
        <v>277</v>
      </c>
      <c r="D4" s="543"/>
      <c r="E4" s="563" t="s">
        <v>278</v>
      </c>
      <c r="F4" s="564"/>
      <c r="G4" s="563" t="s">
        <v>279</v>
      </c>
      <c r="H4" s="564"/>
      <c r="I4" s="563" t="s">
        <v>280</v>
      </c>
      <c r="J4" s="564"/>
      <c r="L4" s="35"/>
      <c r="M4" s="35"/>
      <c r="N4" s="35"/>
    </row>
    <row r="5" spans="2:17" ht="28.5" customHeight="1">
      <c r="B5" s="561"/>
      <c r="C5" s="542" t="s">
        <v>281</v>
      </c>
      <c r="D5" s="543"/>
      <c r="E5" s="542" t="s">
        <v>282</v>
      </c>
      <c r="F5" s="543"/>
      <c r="G5" s="544" t="s">
        <v>283</v>
      </c>
      <c r="H5" s="545"/>
      <c r="I5" s="546" t="s">
        <v>284</v>
      </c>
      <c r="J5" s="547"/>
      <c r="K5" s="35"/>
      <c r="L5" s="35"/>
      <c r="M5" s="35"/>
      <c r="N5" s="35"/>
    </row>
    <row r="6" spans="2:17" ht="28.5" customHeight="1">
      <c r="B6" s="561"/>
      <c r="C6" s="542" t="s">
        <v>92</v>
      </c>
      <c r="D6" s="543"/>
      <c r="E6" s="548">
        <f>AVERAGE(D13:M13)</f>
        <v>153.27916899037174</v>
      </c>
      <c r="F6" s="549">
        <f>AVERAGE(D27:O27,D13:J13)</f>
        <v>159.3011409690173</v>
      </c>
      <c r="G6" s="550">
        <f>AVERAGE(D13:J13)</f>
        <v>159.3011409690173</v>
      </c>
      <c r="H6" s="551"/>
      <c r="I6" s="550">
        <f>AVERAGE(K13:M13)</f>
        <v>139.22790104019876</v>
      </c>
      <c r="J6" s="551"/>
      <c r="K6" s="35"/>
      <c r="L6" s="35"/>
      <c r="M6" s="35"/>
      <c r="N6" s="35"/>
    </row>
    <row r="7" spans="2:17" ht="28.5" customHeight="1">
      <c r="B7" s="561"/>
      <c r="C7" s="532" t="s">
        <v>93</v>
      </c>
      <c r="D7" s="533"/>
      <c r="E7" s="534">
        <f>AVERAGE(D14:M14)</f>
        <v>147.20761346800026</v>
      </c>
      <c r="F7" s="535">
        <f>AVERAGE(D28:O28,D14:J14)</f>
        <v>153.11369290609892</v>
      </c>
      <c r="G7" s="536">
        <f>AVERAGE(D14:J14)</f>
        <v>153.11369290609892</v>
      </c>
      <c r="H7" s="537"/>
      <c r="I7" s="536">
        <f>AVERAGE(K14:M14)</f>
        <v>133.42676144577007</v>
      </c>
      <c r="J7" s="537"/>
      <c r="K7" s="35"/>
      <c r="L7" s="35"/>
      <c r="M7" s="35"/>
      <c r="N7" s="35"/>
    </row>
    <row r="8" spans="2:17" ht="28.5" customHeight="1">
      <c r="B8" s="562"/>
      <c r="C8" s="532" t="s">
        <v>94</v>
      </c>
      <c r="D8" s="533"/>
      <c r="E8" s="538">
        <f>AVERAGE(D15:M15)</f>
        <v>0.96012516556169381</v>
      </c>
      <c r="F8" s="539">
        <f>AVERAGE(D15:J15,D29:O29)</f>
        <v>0.96084089566069542</v>
      </c>
      <c r="G8" s="540">
        <f>AVERAGE(D15:J15)</f>
        <v>0.96084089566069542</v>
      </c>
      <c r="H8" s="541"/>
      <c r="I8" s="540">
        <f>AVERAGE(K15:M15)</f>
        <v>0.9584551286640236</v>
      </c>
      <c r="J8" s="541"/>
      <c r="K8" s="36" t="s">
        <v>285</v>
      </c>
      <c r="L8" s="35"/>
      <c r="M8" s="35"/>
      <c r="N8" s="35"/>
    </row>
    <row r="9" spans="2:17" ht="28.5" customHeight="1" thickBot="1">
      <c r="H9" s="38"/>
      <c r="N9" s="35"/>
      <c r="O9" s="35"/>
      <c r="P9" s="35"/>
      <c r="Q9" s="35"/>
    </row>
    <row r="10" spans="2:17" ht="30" customHeight="1">
      <c r="B10" s="515" t="s">
        <v>123</v>
      </c>
      <c r="C10" s="516"/>
      <c r="D10" s="517" t="s">
        <v>286</v>
      </c>
      <c r="E10" s="518"/>
      <c r="F10" s="518"/>
      <c r="G10" s="518"/>
      <c r="H10" s="518"/>
      <c r="I10" s="518"/>
      <c r="J10" s="519"/>
      <c r="K10" s="520" t="s">
        <v>287</v>
      </c>
      <c r="L10" s="521"/>
      <c r="M10" s="522"/>
      <c r="P10" s="39"/>
      <c r="Q10" s="39"/>
    </row>
    <row r="11" spans="2:17" ht="17.25" customHeight="1">
      <c r="B11" s="523" t="s">
        <v>288</v>
      </c>
      <c r="C11" s="524"/>
      <c r="D11" s="40">
        <v>1</v>
      </c>
      <c r="E11" s="41">
        <v>2</v>
      </c>
      <c r="F11" s="41">
        <v>3</v>
      </c>
      <c r="G11" s="41">
        <v>4</v>
      </c>
      <c r="H11" s="41">
        <v>5</v>
      </c>
      <c r="I11" s="41">
        <v>6</v>
      </c>
      <c r="J11" s="42">
        <v>7</v>
      </c>
      <c r="K11" s="40">
        <v>1</v>
      </c>
      <c r="L11" s="41">
        <v>2</v>
      </c>
      <c r="M11" s="42">
        <v>3</v>
      </c>
      <c r="P11" s="39"/>
      <c r="Q11" s="39"/>
    </row>
    <row r="12" spans="2:17" ht="34.15" customHeight="1">
      <c r="B12" s="525"/>
      <c r="C12" s="526"/>
      <c r="D12" s="43" t="s">
        <v>96</v>
      </c>
      <c r="E12" s="44" t="s">
        <v>97</v>
      </c>
      <c r="F12" s="44" t="s">
        <v>98</v>
      </c>
      <c r="G12" s="44" t="s">
        <v>99</v>
      </c>
      <c r="H12" s="44" t="s">
        <v>100</v>
      </c>
      <c r="I12" s="44" t="s">
        <v>101</v>
      </c>
      <c r="J12" s="45" t="s">
        <v>102</v>
      </c>
      <c r="K12" s="43" t="s">
        <v>103</v>
      </c>
      <c r="L12" s="44" t="s">
        <v>104</v>
      </c>
      <c r="M12" s="45" t="s">
        <v>105</v>
      </c>
    </row>
    <row r="13" spans="2:17" ht="40.15" customHeight="1">
      <c r="B13" s="527" t="s">
        <v>289</v>
      </c>
      <c r="C13" s="46" t="s">
        <v>290</v>
      </c>
      <c r="D13" s="47">
        <f>SUMIFS('1003 4度C'!$K:$K,'1003 4度C'!$A:$A,"新豐6線",'1003 4度C'!$B:$B,"平均")</f>
        <v>125</v>
      </c>
      <c r="E13" s="48">
        <f>SUMIFS('1003 4度C'!$K:$K,'1003 4度C'!$A:$A,"新豐2線",'1003 4度C'!$B:$B,"平均")</f>
        <v>81.081081081081081</v>
      </c>
      <c r="F13" s="49">
        <f>SUMIFS('1003 4度C'!$K:$K,'1003 4度C'!$A:$A,"新豐5線",'1003 4度C'!$B:$B,"平均")</f>
        <v>113.60000000000001</v>
      </c>
      <c r="G13" s="49">
        <f>SUMIFS('1003 4度C'!$K:$K,'1003 4度C'!$A:$A,"新豐7線",'1003 4度C'!$B:$B,"平均")</f>
        <v>120.48192771084337</v>
      </c>
      <c r="H13" s="49">
        <f>SUMIFS('1003 4度C'!$K:$K,'1003 4度C'!$A:$A,"新豐3線",'1003 4度C'!$B:$B,"平均")</f>
        <v>312.5</v>
      </c>
      <c r="I13" s="49">
        <f>SUMIFS('1003 4度C'!$K:$K,'1003 4度C'!$A:$A,"新豐1線",'1003 4度C'!$B:$B,"平均")</f>
        <v>117.34693877551021</v>
      </c>
      <c r="J13" s="50">
        <f>SUMIFS('1003 4度C'!$K:$K,'1003 4度C'!$A:$A,"新豐10線",'1003 4度C'!$B:$B,"平均")</f>
        <v>245.0980392156863</v>
      </c>
      <c r="K13" s="51">
        <f>SUMIFS('1003 4度C'!$K:$K,'1003 4度C'!$A:$A,"新豐8線",'1003 4度C'!$B:$B,"平均")</f>
        <v>129.72972972972974</v>
      </c>
      <c r="L13" s="52">
        <f>SUMIFS('1003 4度C'!$K:$K,'1003 4度C'!$A:$A,"新豐9線",'1003 4度C'!$B:$B,"平均")</f>
        <v>148.14814814814815</v>
      </c>
      <c r="M13" s="50">
        <f>SUMIFS('1003 4度C'!$K:$K,'1003 4度C'!$A:$A,"新豐4線",'1003 4度C'!$B:$B,"平均")</f>
        <v>139.80582524271844</v>
      </c>
    </row>
    <row r="14" spans="2:17" ht="39.6" customHeight="1">
      <c r="B14" s="528"/>
      <c r="C14" s="53" t="s">
        <v>128</v>
      </c>
      <c r="D14" s="54">
        <f>SUMIFS('1003 4度C'!$N:$N,'1003 4度C'!$A:$A,"新豐6線",'1003 4度C'!$B:$B,"平均")</f>
        <v>120.72148503670259</v>
      </c>
      <c r="E14" s="55">
        <f>SUMIFS('1003 4度C'!$N:$N,'1003 4度C'!$A:$A,"新豐2線",'1003 4度C'!$B:$B,"平均")</f>
        <v>77.368141404838653</v>
      </c>
      <c r="F14" s="55">
        <f>SUMIFS('1003 4度C'!$N:$N,'1003 4度C'!$A:$A,"新豐5線",'1003 4度C'!$B:$B,"平均")</f>
        <v>108.84103343853673</v>
      </c>
      <c r="G14" s="55">
        <f>SUMIFS('1003 4度C'!$N:$N,'1003 4度C'!$A:$A,"新豐7線",'1003 4度C'!$B:$B,"平均")</f>
        <v>116.06384849437553</v>
      </c>
      <c r="H14" s="55">
        <f>SUMIFS('1003 4度C'!$N:$N,'1003 4度C'!$A:$A,"新豐3線",'1003 4度C'!$B:$B,"平均")</f>
        <v>299.09176922822616</v>
      </c>
      <c r="I14" s="55">
        <f>SUMIFS('1003 4度C'!$N:$N,'1003 4度C'!$A:$A,"新豐1線",'1003 4度C'!$B:$B,"平均")</f>
        <v>112.69481339925103</v>
      </c>
      <c r="J14" s="56">
        <f>SUMIFS('1003 4度C'!$N:$N,'1003 4度C'!$A:$A,"新豐10線",'1003 4度C'!$B:$B,"平均")</f>
        <v>237.01475934076146</v>
      </c>
      <c r="K14" s="57">
        <f>SUMIFS('1003 4度C'!$N:$N,'1003 4度C'!$A:$A,"新豐8線",'1003 4度C'!$B:$B,"平均")</f>
        <v>124.60938701571234</v>
      </c>
      <c r="L14" s="58">
        <f>SUMIFS('1003 4度C'!$N:$N,'1003 4度C'!$A:$A,"新豐9線",'1003 4度C'!$B:$B,"平均")</f>
        <v>141.46255596255597</v>
      </c>
      <c r="M14" s="56">
        <f>SUMIFS('1003 4度C'!$N:$N,'1003 4度C'!$A:$A,"新豐4線",'1003 4度C'!$B:$B,"平均")</f>
        <v>134.20834135904187</v>
      </c>
    </row>
    <row r="15" spans="2:17" ht="40.15" customHeight="1">
      <c r="B15" s="529"/>
      <c r="C15" s="59" t="s">
        <v>291</v>
      </c>
      <c r="D15" s="60">
        <f t="shared" ref="D15:M15" si="0">D14/D13</f>
        <v>0.96577188029362071</v>
      </c>
      <c r="E15" s="61">
        <f t="shared" si="0"/>
        <v>0.95420707732634336</v>
      </c>
      <c r="F15" s="61">
        <f t="shared" si="0"/>
        <v>0.95810768871951335</v>
      </c>
      <c r="G15" s="61">
        <f t="shared" si="0"/>
        <v>0.96332994250331705</v>
      </c>
      <c r="H15" s="61">
        <f t="shared" si="0"/>
        <v>0.95709366153032371</v>
      </c>
      <c r="I15" s="61">
        <f t="shared" si="0"/>
        <v>0.96035580114144348</v>
      </c>
      <c r="J15" s="62">
        <f t="shared" si="0"/>
        <v>0.9670202181103067</v>
      </c>
      <c r="K15" s="60">
        <f t="shared" si="0"/>
        <v>0.96053069157944926</v>
      </c>
      <c r="L15" s="61">
        <f t="shared" si="0"/>
        <v>0.95487225274725274</v>
      </c>
      <c r="M15" s="62">
        <f t="shared" si="0"/>
        <v>0.95996244166536893</v>
      </c>
    </row>
    <row r="16" spans="2:17" ht="17.25" customHeight="1">
      <c r="B16" s="530" t="s">
        <v>292</v>
      </c>
      <c r="C16" s="63" t="s">
        <v>293</v>
      </c>
      <c r="D16" s="64">
        <f>VLOOKUP("新豐6線",'1003 4度C'!$A:$T,19,0)</f>
        <v>0.70833333333333337</v>
      </c>
      <c r="E16" s="24">
        <f>VLOOKUP("新豐2線",'1003 4度C'!$A:$T,19,0)</f>
        <v>0.25</v>
      </c>
      <c r="F16" s="24">
        <f>VLOOKUP("新豐5線",'1003 4度C'!$A:$T,19,0)</f>
        <v>0.20833333333333334</v>
      </c>
      <c r="G16" s="24">
        <f>VLOOKUP("新豐7線",'1003 4度C'!$A:$T,19,0)</f>
        <v>0.20833333333333334</v>
      </c>
      <c r="H16" s="24">
        <f>VLOOKUP("新豐3線",'1003 4度C'!$A:$T,19,0)</f>
        <v>0.20833333333333334</v>
      </c>
      <c r="I16" s="24">
        <f>VLOOKUP("新豐1線",'1003 4度C'!$A:$T,19,0)</f>
        <v>0.20833333333333334</v>
      </c>
      <c r="J16" s="65">
        <f>VLOOKUP("新豐10線",'1003 4度C'!$A:$T,19,0)</f>
        <v>0.20833333333333334</v>
      </c>
      <c r="K16" s="66">
        <f>VLOOKUP("新豐8線",'1003 4度C'!$A:$T,19,0)</f>
        <v>0.125</v>
      </c>
      <c r="L16" s="67">
        <f>VLOOKUP("新豐9線",'1003 4度C'!$A:$T,19,0)</f>
        <v>0.125</v>
      </c>
      <c r="M16" s="68">
        <f>VLOOKUP("新豐4線",'1003 4度C'!$A:$T,19,0)</f>
        <v>0.125</v>
      </c>
    </row>
    <row r="17" spans="2:13" ht="17.25" customHeight="1">
      <c r="B17" s="531"/>
      <c r="C17" s="63" t="s">
        <v>294</v>
      </c>
      <c r="D17" s="66">
        <f>LOOKUP(2,1/(('1003 4度C'!$A:$A="新豐6線")*('1003 4度C'!$T:$T&lt;&gt;"")),'1003 4度C'!$T:$T)</f>
        <v>0.80416666666666659</v>
      </c>
      <c r="E17" s="24">
        <f>LOOKUP(2,1/(('1003 4度C'!$A:$A="新豐2線")*('1003 4度C'!$T:$T&lt;&gt;"")),'1003 4度C'!$T:$T)</f>
        <v>0.47430555555555554</v>
      </c>
      <c r="F17" s="24">
        <f>LOOKUP(2,1/(('1003 4度C'!$A:$A="新豐5線")*('1003 4度C'!$T:$T&lt;&gt;"")),'1003 4度C'!$T:$T)</f>
        <v>0.81319444444444455</v>
      </c>
      <c r="G17" s="24">
        <f>LOOKUP(2,1/(('1003 4度C'!$A:$A="新豐7線")*('1003 4度C'!$T:$T&lt;&gt;"")),'1003 4度C'!$T:$T)</f>
        <v>0.75555555555555554</v>
      </c>
      <c r="H17" s="24">
        <f>LOOKUP(2,1/(('1003 4度C'!$A:$A="新豐3線")*('1003 4度C'!$T:$T&lt;&gt;"")),'1003 4度C'!$T:$T)</f>
        <v>0.47708333333333325</v>
      </c>
      <c r="I17" s="24">
        <f>LOOKUP(2,1/(('1003 4度C'!$A:$A="新豐1線")*('1003 4度C'!$T:$T&lt;&gt;"")),'1003 4度C'!$T:$T)</f>
        <v>0.81666666666666665</v>
      </c>
      <c r="J17" s="65">
        <f>LOOKUP(2,1/(('1003 4度C'!$A:$A="新豐10線")*('1003 4度C'!$T:$T&lt;&gt;"")),'1003 4度C'!$T:$T)</f>
        <v>0.40902777777777777</v>
      </c>
      <c r="K17" s="64">
        <f>LOOKUP(2,1/(('1003 4度C'!$A:$A="新豐8線")*('1003 4度C'!$T:$T&lt;&gt;"")),'1003 4度C'!$T:$T)</f>
        <v>0.5263888888888888</v>
      </c>
      <c r="L17" s="24">
        <f>LOOKUP(2,1/(('1003 4度C'!$A:$A="新豐9線")*('1003 4度C'!$T:$T&lt;&gt;"")),'1003 4度C'!$T:$T)</f>
        <v>0.52430555555555547</v>
      </c>
      <c r="M17" s="65">
        <f>LOOKUP(2,1/(('1003 4度C'!$A:$A="新豐4線")*('1003 4度C'!$T:$T&lt;&gt;"")),'1003 4度C'!$T:$T)</f>
        <v>0.51597222222222217</v>
      </c>
    </row>
    <row r="18" spans="2:13" ht="17.25" customHeight="1">
      <c r="B18" s="509" t="s">
        <v>295</v>
      </c>
      <c r="C18" s="510"/>
      <c r="D18" s="69">
        <f>SUMIFS('1003 4度C'!$I:$I,'1003 4度C'!$A:$A,"新豐6線",'1003 4度C'!$B:$B,"平均")</f>
        <v>16</v>
      </c>
      <c r="E18" s="70">
        <f>SUMIFS('1003 4度C'!$I:$I,'1003 4度C'!$A:$A,"新豐2線",'1003 4度C'!$B:$B,"平均")</f>
        <v>18.5</v>
      </c>
      <c r="F18" s="70">
        <f>SUMIFS('1003 4度C'!$I:$I,'1003 4度C'!$A:$A,"新豐5線",'1003 4度C'!$B:$B,"平均")</f>
        <v>17.857142857142858</v>
      </c>
      <c r="G18" s="70">
        <f>SUMIFS('1003 4度C'!$I:$I,'1003 4度C'!$A:$A,"新豐7線",'1003 4度C'!$B:$B,"平均")</f>
        <v>16.600000000000001</v>
      </c>
      <c r="H18" s="70">
        <f>SUMIFS('1003 4度C'!$I:$I,'1003 4度C'!$A:$A,"新豐3線",'1003 4度C'!$B:$B,"平均")</f>
        <v>9.6</v>
      </c>
      <c r="I18" s="70">
        <f>SUMIFS('1003 4度C'!$I:$I,'1003 4度C'!$A:$A,"新豐1線",'1003 4度C'!$B:$B,"平均")</f>
        <v>16.333333333333332</v>
      </c>
      <c r="J18" s="71">
        <f>SUMIFS('1003 4度C'!$I:$I,'1003 4度C'!$A:$A,"新豐10線",'1003 4度C'!$B:$B,"平均")</f>
        <v>10.199999999999999</v>
      </c>
      <c r="K18" s="69">
        <f>SUMIFS('1003 4度C'!$I:$I,'1003 4度C'!$A:$A,"新豐8線",'1003 4度C'!$B:$B,"平均")</f>
        <v>18.5</v>
      </c>
      <c r="L18" s="70">
        <f>SUMIFS('1003 4度C'!$I:$I,'1003 4度C'!$A:$A,"新豐9線",'1003 4度C'!$B:$B,"平均")</f>
        <v>16.2</v>
      </c>
      <c r="M18" s="71">
        <f>SUMIFS('1003 4度C'!$I:$I,'1003 4度C'!$A:$A,"新豐4線",'1003 4度C'!$B:$B,"平均")</f>
        <v>17.166666666666668</v>
      </c>
    </row>
    <row r="19" spans="2:13" ht="17.25" customHeight="1">
      <c r="B19" s="509" t="s">
        <v>296</v>
      </c>
      <c r="C19" s="510"/>
      <c r="D19" s="72" t="s">
        <v>109</v>
      </c>
      <c r="E19" s="73" t="s">
        <v>110</v>
      </c>
      <c r="F19" s="73" t="s">
        <v>297</v>
      </c>
      <c r="G19" s="73" t="s">
        <v>297</v>
      </c>
      <c r="H19" s="73" t="s">
        <v>111</v>
      </c>
      <c r="I19" s="73" t="s">
        <v>109</v>
      </c>
      <c r="J19" s="74" t="s">
        <v>111</v>
      </c>
      <c r="K19" s="72" t="s">
        <v>136</v>
      </c>
      <c r="L19" s="73" t="s">
        <v>298</v>
      </c>
      <c r="M19" s="74" t="s">
        <v>299</v>
      </c>
    </row>
    <row r="20" spans="2:13" ht="17.25" customHeight="1">
      <c r="B20" s="509" t="s">
        <v>300</v>
      </c>
      <c r="C20" s="510"/>
      <c r="D20" s="72"/>
      <c r="E20" s="73"/>
      <c r="F20" s="73" t="s">
        <v>301</v>
      </c>
      <c r="G20" s="73" t="s">
        <v>109</v>
      </c>
      <c r="H20" s="73"/>
      <c r="I20" s="73"/>
      <c r="J20" s="74"/>
      <c r="K20" s="72"/>
      <c r="L20" s="73"/>
      <c r="M20" s="74"/>
    </row>
    <row r="21" spans="2:13" ht="17.25" customHeight="1" thickBot="1">
      <c r="B21" s="511" t="s">
        <v>141</v>
      </c>
      <c r="C21" s="512"/>
      <c r="D21" s="75"/>
      <c r="E21" s="76" t="s">
        <v>302</v>
      </c>
      <c r="F21" s="513" t="s">
        <v>303</v>
      </c>
      <c r="G21" s="514"/>
      <c r="H21" s="76" t="s">
        <v>304</v>
      </c>
      <c r="I21" s="76" t="s">
        <v>145</v>
      </c>
      <c r="J21" s="77" t="s">
        <v>304</v>
      </c>
      <c r="K21" s="78"/>
      <c r="L21" s="76"/>
      <c r="M21" s="77"/>
    </row>
    <row r="22" spans="2:13" ht="17.25" customHeight="1"/>
    <row r="23" spans="2:13" ht="17.25" customHeight="1"/>
    <row r="24" spans="2:13" ht="17.25" customHeight="1"/>
    <row r="25" spans="2:13" ht="37.5" customHeight="1"/>
    <row r="26" spans="2:13" ht="35.25" customHeight="1"/>
    <row r="27" spans="2:13" ht="35.25" customHeight="1"/>
    <row r="28" spans="2:13" ht="39.75" customHeight="1"/>
  </sheetData>
  <mergeCells count="36">
    <mergeCell ref="B1:J2"/>
    <mergeCell ref="C3:D3"/>
    <mergeCell ref="F3:G3"/>
    <mergeCell ref="I3:J3"/>
    <mergeCell ref="B4:B8"/>
    <mergeCell ref="C4:D4"/>
    <mergeCell ref="E4:F4"/>
    <mergeCell ref="G4:H4"/>
    <mergeCell ref="I4:J4"/>
    <mergeCell ref="C5:D5"/>
    <mergeCell ref="E5:F5"/>
    <mergeCell ref="G5:H5"/>
    <mergeCell ref="I5:J5"/>
    <mergeCell ref="C6:D6"/>
    <mergeCell ref="E6:F6"/>
    <mergeCell ref="G6:H6"/>
    <mergeCell ref="I6:J6"/>
    <mergeCell ref="B16:B17"/>
    <mergeCell ref="C7:D7"/>
    <mergeCell ref="E7:F7"/>
    <mergeCell ref="G7:H7"/>
    <mergeCell ref="I7:J7"/>
    <mergeCell ref="C8:D8"/>
    <mergeCell ref="E8:F8"/>
    <mergeCell ref="G8:H8"/>
    <mergeCell ref="I8:J8"/>
    <mergeCell ref="B10:C10"/>
    <mergeCell ref="D10:J10"/>
    <mergeCell ref="B20:C20"/>
    <mergeCell ref="B21:C21"/>
    <mergeCell ref="F21:G21"/>
    <mergeCell ref="K10:M10"/>
    <mergeCell ref="B11:C12"/>
    <mergeCell ref="B13:B15"/>
    <mergeCell ref="B18:C18"/>
    <mergeCell ref="B19:C19"/>
  </mergeCells>
  <phoneticPr fontId="3" type="noConversion"/>
  <conditionalFormatting sqref="D15:M15">
    <cfRule type="cellIs" dxfId="214" priority="1" operator="lessThan">
      <formula>0.8</formula>
    </cfRule>
  </conditionalFormatting>
  <pageMargins left="0.7" right="0.7" top="0.75" bottom="0.75" header="0.3" footer="0.3"/>
  <pageSetup paperSize="9" orientation="portrait" horizontalDpi="300" verticalDpi="300" r:id="rId1"/>
</worksheet>
</file>

<file path=xl/worksheets/sheet5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工作表46">
    <pageSetUpPr fitToPage="1"/>
  </sheetPr>
  <dimension ref="A1:AC65"/>
  <sheetViews>
    <sheetView zoomScale="80" zoomScaleNormal="80" workbookViewId="0">
      <pane ySplit="4" topLeftCell="A5" activePane="bottomLeft" state="frozen"/>
      <selection activeCell="F3" sqref="F3:G3"/>
      <selection pane="bottomLeft" activeCell="B2" sqref="B2"/>
    </sheetView>
  </sheetViews>
  <sheetFormatPr defaultColWidth="8" defaultRowHeight="15.75"/>
  <cols>
    <col min="1" max="1" width="15.125" style="5" customWidth="1"/>
    <col min="2" max="2" width="19.375" style="5" customWidth="1"/>
    <col min="3" max="3" width="15.25" style="5" customWidth="1"/>
    <col min="4" max="4" width="17.5" style="5" customWidth="1"/>
    <col min="5" max="5" width="7.5" style="5" bestFit="1" customWidth="1"/>
    <col min="6" max="6" width="14.375" style="5" bestFit="1" customWidth="1"/>
    <col min="7" max="7" width="14.375" style="5" customWidth="1"/>
    <col min="8" max="8" width="8" style="22" customWidth="1"/>
    <col min="9" max="9" width="5.875" style="5" customWidth="1"/>
    <col min="10" max="10" width="10.625" style="5" customWidth="1"/>
    <col min="11" max="11" width="14.625" style="5" customWidth="1"/>
    <col min="12" max="12" width="7.25" style="5" bestFit="1" customWidth="1"/>
    <col min="13" max="13" width="8" style="5" customWidth="1"/>
    <col min="14" max="14" width="12" style="5" customWidth="1"/>
    <col min="15" max="15" width="6" style="5" customWidth="1"/>
    <col min="16" max="16" width="9.25" style="5" customWidth="1"/>
    <col min="17" max="17" width="11.5" style="5" customWidth="1"/>
    <col min="18" max="18" width="8.5" style="5" customWidth="1"/>
    <col min="19" max="19" width="10.125" style="22" bestFit="1" customWidth="1"/>
    <col min="20" max="20" width="7.625" style="22" bestFit="1" customWidth="1"/>
    <col min="21" max="21" width="10.25" style="5" bestFit="1" customWidth="1"/>
    <col min="22" max="22" width="8.75" style="18" customWidth="1"/>
    <col min="23" max="23" width="7.375" style="5" customWidth="1"/>
    <col min="24" max="24" width="6.875" style="5" bestFit="1" customWidth="1"/>
    <col min="25" max="25" width="12.75" style="5" customWidth="1"/>
    <col min="26" max="26" width="18.875" style="5" customWidth="1"/>
    <col min="27" max="27" width="13.125" style="5" bestFit="1" customWidth="1"/>
    <col min="28" max="28" width="10.375" style="5" customWidth="1"/>
    <col min="29" max="29" width="9.375" style="5" customWidth="1"/>
    <col min="30" max="30" width="8" style="5"/>
    <col min="31" max="31" width="24.625" style="5" bestFit="1" customWidth="1"/>
    <col min="32" max="16384" width="8" style="5"/>
  </cols>
  <sheetData>
    <row r="1" spans="1:29" ht="26.25" customHeight="1">
      <c r="A1" s="1" t="s">
        <v>305</v>
      </c>
      <c r="B1" s="1"/>
      <c r="C1" s="2" t="s">
        <v>306</v>
      </c>
      <c r="D1" s="3">
        <f>SUM(F5:F64)</f>
        <v>131535</v>
      </c>
      <c r="E1" s="110" t="s">
        <v>307</v>
      </c>
      <c r="F1" s="1">
        <f>SUM(G5:G64)</f>
        <v>4274146.5300000012</v>
      </c>
      <c r="G1" s="1" t="s">
        <v>308</v>
      </c>
      <c r="H1" s="4">
        <f>L8+L11+L44+L51+L19+L57+L32+L38+L25+L64</f>
        <v>156.95714285714286</v>
      </c>
      <c r="I1" s="652" t="s">
        <v>309</v>
      </c>
      <c r="J1" s="652"/>
      <c r="K1" s="652"/>
      <c r="L1" s="652" t="s">
        <v>310</v>
      </c>
      <c r="M1" s="652"/>
      <c r="N1" s="652"/>
      <c r="O1" s="652" t="s">
        <v>311</v>
      </c>
      <c r="P1" s="652"/>
      <c r="Q1" s="652"/>
      <c r="R1" s="652"/>
      <c r="S1" s="652" t="s">
        <v>312</v>
      </c>
      <c r="T1" s="652"/>
      <c r="U1" s="652"/>
      <c r="V1" s="652"/>
      <c r="W1" s="652"/>
      <c r="X1" s="652"/>
      <c r="Y1" s="652" t="s">
        <v>313</v>
      </c>
      <c r="Z1" s="652"/>
      <c r="AA1" s="652" t="s">
        <v>314</v>
      </c>
      <c r="AB1" s="653"/>
      <c r="AC1" s="653"/>
    </row>
    <row r="2" spans="1:29" ht="26.25" customHeight="1">
      <c r="A2" s="19">
        <v>45933</v>
      </c>
      <c r="B2" s="20" t="s">
        <v>315</v>
      </c>
      <c r="C2" s="2" t="s">
        <v>289</v>
      </c>
      <c r="D2" s="6">
        <f>AVERAGE(N8,N11,N44,N51,N19,N57,N25,N32,N38,N64)</f>
        <v>147.20761346800026</v>
      </c>
      <c r="E2" s="7" t="s">
        <v>2</v>
      </c>
      <c r="F2" s="8">
        <f>F1/D1</f>
        <v>32.494366746493341</v>
      </c>
      <c r="G2" s="1" t="s">
        <v>316</v>
      </c>
      <c r="H2" s="109">
        <f>COUNT(H5:H64)</f>
        <v>2</v>
      </c>
      <c r="I2" s="652"/>
      <c r="J2" s="652"/>
      <c r="K2" s="652"/>
      <c r="L2" s="652"/>
      <c r="M2" s="652"/>
      <c r="N2" s="652"/>
      <c r="O2" s="652"/>
      <c r="P2" s="652"/>
      <c r="Q2" s="652"/>
      <c r="R2" s="652"/>
      <c r="S2" s="652"/>
      <c r="T2" s="652"/>
      <c r="U2" s="652"/>
      <c r="V2" s="652"/>
      <c r="W2" s="652"/>
      <c r="X2" s="652"/>
      <c r="Y2" s="652"/>
      <c r="Z2" s="652"/>
      <c r="AA2" s="653"/>
      <c r="AB2" s="653"/>
      <c r="AC2" s="653"/>
    </row>
    <row r="3" spans="1:29" ht="23.25" customHeight="1">
      <c r="A3" s="617" t="s">
        <v>317</v>
      </c>
      <c r="B3" s="617" t="s">
        <v>318</v>
      </c>
      <c r="C3" s="617" t="s">
        <v>319</v>
      </c>
      <c r="D3" s="617"/>
      <c r="E3" s="654" t="s">
        <v>320</v>
      </c>
      <c r="F3" s="617" t="s">
        <v>321</v>
      </c>
      <c r="G3" s="654" t="s">
        <v>322</v>
      </c>
      <c r="H3" s="646" t="s">
        <v>323</v>
      </c>
      <c r="I3" s="645" t="s">
        <v>324</v>
      </c>
      <c r="J3" s="649" t="s">
        <v>325</v>
      </c>
      <c r="K3" s="651" t="s">
        <v>289</v>
      </c>
      <c r="L3" s="645" t="s">
        <v>324</v>
      </c>
      <c r="M3" s="649" t="s">
        <v>325</v>
      </c>
      <c r="N3" s="651" t="s">
        <v>289</v>
      </c>
      <c r="O3" s="645" t="s">
        <v>324</v>
      </c>
      <c r="P3" s="651" t="s">
        <v>289</v>
      </c>
      <c r="Q3" s="650" t="s">
        <v>326</v>
      </c>
      <c r="R3" s="633" t="s">
        <v>327</v>
      </c>
      <c r="S3" s="656" t="s">
        <v>14</v>
      </c>
      <c r="T3" s="656"/>
      <c r="U3" s="646" t="s">
        <v>15</v>
      </c>
      <c r="V3" s="646" t="s">
        <v>328</v>
      </c>
      <c r="W3" s="617" t="s">
        <v>329</v>
      </c>
      <c r="X3" s="617"/>
      <c r="Y3" s="647" t="s">
        <v>330</v>
      </c>
      <c r="Z3" s="648"/>
      <c r="AA3" s="649" t="s">
        <v>331</v>
      </c>
      <c r="AB3" s="650" t="s">
        <v>332</v>
      </c>
      <c r="AC3" s="633" t="s">
        <v>333</v>
      </c>
    </row>
    <row r="4" spans="1:29">
      <c r="A4" s="617"/>
      <c r="B4" s="617"/>
      <c r="C4" s="617"/>
      <c r="D4" s="617"/>
      <c r="E4" s="655"/>
      <c r="F4" s="617"/>
      <c r="G4" s="655"/>
      <c r="H4" s="646"/>
      <c r="I4" s="645"/>
      <c r="J4" s="649"/>
      <c r="K4" s="651"/>
      <c r="L4" s="645"/>
      <c r="M4" s="649"/>
      <c r="N4" s="651"/>
      <c r="O4" s="645"/>
      <c r="P4" s="651"/>
      <c r="Q4" s="650"/>
      <c r="R4" s="633"/>
      <c r="S4" s="111" t="s">
        <v>18</v>
      </c>
      <c r="T4" s="111" t="s">
        <v>19</v>
      </c>
      <c r="U4" s="646"/>
      <c r="V4" s="646"/>
      <c r="W4" s="110" t="s">
        <v>334</v>
      </c>
      <c r="X4" s="110" t="s">
        <v>335</v>
      </c>
      <c r="Y4" s="648"/>
      <c r="Z4" s="648"/>
      <c r="AA4" s="649"/>
      <c r="AB4" s="650"/>
      <c r="AC4" s="633"/>
    </row>
    <row r="5" spans="1:29">
      <c r="A5" s="644" t="s">
        <v>336</v>
      </c>
      <c r="B5" s="26" t="s">
        <v>36</v>
      </c>
      <c r="C5" s="601" t="s">
        <v>37</v>
      </c>
      <c r="D5" s="601"/>
      <c r="E5" s="26">
        <v>46.93</v>
      </c>
      <c r="F5" s="111">
        <v>681</v>
      </c>
      <c r="G5" s="110">
        <f>E5*F5</f>
        <v>31959.329999999998</v>
      </c>
      <c r="H5" s="21" t="s">
        <v>35</v>
      </c>
      <c r="I5" s="113">
        <v>16</v>
      </c>
      <c r="J5" s="23">
        <v>2000</v>
      </c>
      <c r="K5" s="9">
        <f>J5/I5</f>
        <v>125</v>
      </c>
      <c r="L5" s="113">
        <v>16</v>
      </c>
      <c r="M5" s="10">
        <f>F5/V5*60</f>
        <v>1945.7142857142926</v>
      </c>
      <c r="N5" s="9">
        <f>M5/L5</f>
        <v>121.60714285714329</v>
      </c>
      <c r="O5" s="11">
        <f t="shared" ref="O5:O7" si="0">L5-I5</f>
        <v>0</v>
      </c>
      <c r="P5" s="12">
        <f t="shared" ref="P5:P7" si="1">N5-K5</f>
        <v>-3.3928571428567125</v>
      </c>
      <c r="Q5" s="115">
        <f>N5/K5</f>
        <v>0.97285714285714631</v>
      </c>
      <c r="R5" s="571">
        <f>Q8</f>
        <v>0.96577188029362071</v>
      </c>
      <c r="S5" s="24">
        <v>0.70833333333333337</v>
      </c>
      <c r="T5" s="24">
        <v>0.72291666666666665</v>
      </c>
      <c r="U5" s="110"/>
      <c r="V5" s="112">
        <f>(T5-S5)*24*60</f>
        <v>20.999999999999925</v>
      </c>
      <c r="W5" s="13"/>
      <c r="X5" s="14"/>
      <c r="Y5" s="617"/>
      <c r="Z5" s="617"/>
      <c r="AA5" s="11">
        <f t="shared" ref="AA5:AA64" si="2">M5-J5</f>
        <v>-54.2857142857074</v>
      </c>
      <c r="AB5" s="115">
        <f t="shared" ref="AB5:AB7" si="3">M5/J5</f>
        <v>0.97285714285714631</v>
      </c>
      <c r="AC5" s="571">
        <f>AB8</f>
        <v>0.96577188029362071</v>
      </c>
    </row>
    <row r="6" spans="1:29">
      <c r="A6" s="645" t="s">
        <v>337</v>
      </c>
      <c r="B6" s="26" t="s">
        <v>36</v>
      </c>
      <c r="C6" s="601" t="s">
        <v>38</v>
      </c>
      <c r="D6" s="601"/>
      <c r="E6" s="26">
        <v>50.49</v>
      </c>
      <c r="F6" s="111">
        <v>1761</v>
      </c>
      <c r="G6" s="110">
        <f t="shared" ref="G6:G7" si="4">E6*F6</f>
        <v>88912.89</v>
      </c>
      <c r="H6" s="21" t="s">
        <v>35</v>
      </c>
      <c r="I6" s="113">
        <v>15</v>
      </c>
      <c r="J6" s="23">
        <v>2000</v>
      </c>
      <c r="K6" s="9">
        <f t="shared" ref="K6:K7" si="5">J6/I6</f>
        <v>133.33333333333334</v>
      </c>
      <c r="L6" s="113">
        <v>15</v>
      </c>
      <c r="M6" s="10">
        <f>F6/V6*60</f>
        <v>1921.0909090909101</v>
      </c>
      <c r="N6" s="9">
        <f t="shared" ref="N6:N7" si="6">M6/L6</f>
        <v>128.07272727272735</v>
      </c>
      <c r="O6" s="11">
        <f t="shared" si="0"/>
        <v>0</v>
      </c>
      <c r="P6" s="12">
        <f t="shared" si="1"/>
        <v>-5.2606060606059941</v>
      </c>
      <c r="Q6" s="115">
        <f t="shared" ref="Q6:Q7" si="7">N6/K6</f>
        <v>0.96054545454545504</v>
      </c>
      <c r="R6" s="571"/>
      <c r="S6" s="24">
        <v>0.72847222222222219</v>
      </c>
      <c r="T6" s="24">
        <v>0.76666666666666661</v>
      </c>
      <c r="U6" s="110">
        <f>(S6-T5)*24*60</f>
        <v>7.9999999999999716</v>
      </c>
      <c r="V6" s="112">
        <f>(T6-S6)*24*60</f>
        <v>54.999999999999964</v>
      </c>
      <c r="W6" s="13"/>
      <c r="X6" s="13"/>
      <c r="Y6" s="617"/>
      <c r="Z6" s="617"/>
      <c r="AA6" s="11">
        <f t="shared" si="2"/>
        <v>-78.909090909089855</v>
      </c>
      <c r="AB6" s="115">
        <f t="shared" si="3"/>
        <v>0.96054545454545504</v>
      </c>
      <c r="AC6" s="571"/>
    </row>
    <row r="7" spans="1:29">
      <c r="A7" s="645" t="s">
        <v>337</v>
      </c>
      <c r="B7" s="26" t="s">
        <v>36</v>
      </c>
      <c r="C7" s="594" t="s">
        <v>39</v>
      </c>
      <c r="D7" s="595"/>
      <c r="E7" s="26">
        <v>50.67</v>
      </c>
      <c r="F7" s="111">
        <v>1478</v>
      </c>
      <c r="G7" s="110">
        <f t="shared" si="4"/>
        <v>74890.260000000009</v>
      </c>
      <c r="H7" s="21" t="s">
        <v>35</v>
      </c>
      <c r="I7" s="113">
        <v>17</v>
      </c>
      <c r="J7" s="23">
        <v>2000</v>
      </c>
      <c r="K7" s="9">
        <f t="shared" si="5"/>
        <v>117.64705882352941</v>
      </c>
      <c r="L7" s="113">
        <v>17</v>
      </c>
      <c r="M7" s="10">
        <f t="shared" ref="M7" si="8">F7/V7*60</f>
        <v>1927.8260869565217</v>
      </c>
      <c r="N7" s="9">
        <f t="shared" si="6"/>
        <v>113.40153452685422</v>
      </c>
      <c r="O7" s="11">
        <f t="shared" si="0"/>
        <v>0</v>
      </c>
      <c r="P7" s="12">
        <f t="shared" si="1"/>
        <v>-4.2455242966751854</v>
      </c>
      <c r="Q7" s="115">
        <f t="shared" si="7"/>
        <v>0.9639130434782609</v>
      </c>
      <c r="R7" s="571"/>
      <c r="S7" s="24">
        <v>0.77222222222222214</v>
      </c>
      <c r="T7" s="24">
        <v>0.80416666666666659</v>
      </c>
      <c r="U7" s="110">
        <f t="shared" ref="U7" si="9">(S7-T6)*24*60</f>
        <v>7.9999999999999716</v>
      </c>
      <c r="V7" s="112">
        <f t="shared" ref="V7" si="10">(T7-S7)*24*60</f>
        <v>46</v>
      </c>
      <c r="W7" s="13"/>
      <c r="X7" s="13"/>
      <c r="Y7" s="621"/>
      <c r="Z7" s="622"/>
      <c r="AA7" s="11">
        <f t="shared" si="2"/>
        <v>-72.173913043478251</v>
      </c>
      <c r="AB7" s="115">
        <f t="shared" si="3"/>
        <v>0.9639130434782609</v>
      </c>
      <c r="AC7" s="571"/>
    </row>
    <row r="8" spans="1:29">
      <c r="A8" s="645" t="s">
        <v>337</v>
      </c>
      <c r="B8" s="26" t="s">
        <v>22</v>
      </c>
      <c r="C8" s="629"/>
      <c r="D8" s="629"/>
      <c r="E8" s="114"/>
      <c r="F8" s="27"/>
      <c r="G8" s="9"/>
      <c r="H8" s="111"/>
      <c r="I8" s="16">
        <v>16</v>
      </c>
      <c r="J8" s="23">
        <v>2000</v>
      </c>
      <c r="K8" s="9">
        <f>J8/I8</f>
        <v>125</v>
      </c>
      <c r="L8" s="16">
        <v>16</v>
      </c>
      <c r="M8" s="10">
        <f>AVERAGE(M5:M7)</f>
        <v>1931.5437605872414</v>
      </c>
      <c r="N8" s="9">
        <f>M8/L8</f>
        <v>120.72148503670259</v>
      </c>
      <c r="O8" s="11">
        <f>L8-I8</f>
        <v>0</v>
      </c>
      <c r="P8" s="12">
        <f>N8-K8</f>
        <v>-4.2785149632974111</v>
      </c>
      <c r="Q8" s="115">
        <f>N8/K8</f>
        <v>0.96577188029362071</v>
      </c>
      <c r="R8" s="571"/>
      <c r="S8" s="24"/>
      <c r="T8" s="24"/>
      <c r="U8" s="110"/>
      <c r="V8" s="112"/>
      <c r="W8" s="9"/>
      <c r="X8" s="9"/>
      <c r="Y8" s="617"/>
      <c r="Z8" s="617"/>
      <c r="AA8" s="11">
        <f t="shared" si="2"/>
        <v>-68.456239412758578</v>
      </c>
      <c r="AB8" s="115">
        <f>M8/J8</f>
        <v>0.96577188029362071</v>
      </c>
      <c r="AC8" s="571"/>
    </row>
    <row r="9" spans="1:29" ht="15.75" customHeight="1">
      <c r="A9" s="643" t="s">
        <v>338</v>
      </c>
      <c r="B9" s="26" t="s">
        <v>40</v>
      </c>
      <c r="C9" s="594" t="s">
        <v>41</v>
      </c>
      <c r="D9" s="595"/>
      <c r="E9" s="26">
        <v>39.799999999999997</v>
      </c>
      <c r="F9" s="111">
        <v>5200</v>
      </c>
      <c r="G9" s="110">
        <f t="shared" ref="G9:G10" si="11">E9*F9</f>
        <v>206959.99999999997</v>
      </c>
      <c r="H9" s="21" t="s">
        <v>35</v>
      </c>
      <c r="I9" s="113">
        <v>17</v>
      </c>
      <c r="J9" s="23">
        <v>1500</v>
      </c>
      <c r="K9" s="9">
        <f t="shared" ref="K9:K10" si="12">J9/I9</f>
        <v>88.235294117647058</v>
      </c>
      <c r="L9" s="113">
        <v>17</v>
      </c>
      <c r="M9" s="10">
        <f t="shared" ref="M9:M10" si="13">F9/V9*60</f>
        <v>1431.1926605504586</v>
      </c>
      <c r="N9" s="9">
        <f t="shared" ref="N9:N10" si="14">M9/L9</f>
        <v>84.187803561791682</v>
      </c>
      <c r="O9" s="11">
        <f t="shared" ref="O9:O10" si="15">L9-I9</f>
        <v>0</v>
      </c>
      <c r="P9" s="12">
        <f>N9-K9</f>
        <v>-4.0474905558553758</v>
      </c>
      <c r="Q9" s="115">
        <f>N9/K9</f>
        <v>0.95412844036697242</v>
      </c>
      <c r="R9" s="571">
        <f>Q11</f>
        <v>0.95420707732634336</v>
      </c>
      <c r="S9" s="24">
        <v>0.25</v>
      </c>
      <c r="T9" s="24">
        <v>0.40138888888888891</v>
      </c>
      <c r="U9" s="110"/>
      <c r="V9" s="112">
        <f t="shared" ref="V9:V10" si="16">(T9-S9)*24*60</f>
        <v>218.00000000000003</v>
      </c>
      <c r="W9" s="13"/>
      <c r="X9" s="13"/>
      <c r="Y9" s="617"/>
      <c r="Z9" s="617"/>
      <c r="AA9" s="11">
        <f t="shared" si="2"/>
        <v>-68.807339449541359</v>
      </c>
      <c r="AB9" s="115">
        <f>M9/J9</f>
        <v>0.95412844036697242</v>
      </c>
      <c r="AC9" s="571">
        <f>AB11</f>
        <v>0.95420707732634336</v>
      </c>
    </row>
    <row r="10" spans="1:29" ht="15.75" customHeight="1">
      <c r="A10" s="643" t="s">
        <v>339</v>
      </c>
      <c r="B10" s="26" t="s">
        <v>40</v>
      </c>
      <c r="C10" s="594" t="s">
        <v>42</v>
      </c>
      <c r="D10" s="595"/>
      <c r="E10" s="26">
        <v>39.36</v>
      </c>
      <c r="F10" s="111">
        <v>2338</v>
      </c>
      <c r="G10" s="110">
        <f t="shared" si="11"/>
        <v>92023.679999999993</v>
      </c>
      <c r="H10" s="21" t="s">
        <v>35</v>
      </c>
      <c r="I10" s="113">
        <v>20</v>
      </c>
      <c r="J10" s="23">
        <v>1500</v>
      </c>
      <c r="K10" s="9">
        <f t="shared" si="12"/>
        <v>75</v>
      </c>
      <c r="L10" s="113">
        <v>20</v>
      </c>
      <c r="M10" s="10">
        <f t="shared" si="13"/>
        <v>1431.4285714285718</v>
      </c>
      <c r="N10" s="9">
        <f t="shared" si="14"/>
        <v>71.571428571428584</v>
      </c>
      <c r="O10" s="11">
        <f t="shared" si="15"/>
        <v>0</v>
      </c>
      <c r="P10" s="12">
        <f t="shared" ref="P10" si="17">N10-K10</f>
        <v>-3.4285714285714164</v>
      </c>
      <c r="Q10" s="115">
        <f t="shared" ref="Q10" si="18">N10/K10</f>
        <v>0.9542857142857144</v>
      </c>
      <c r="R10" s="571"/>
      <c r="S10" s="24">
        <v>0.40625</v>
      </c>
      <c r="T10" s="24">
        <v>0.47430555555555554</v>
      </c>
      <c r="U10" s="110">
        <f>(S10-T9)*24*60</f>
        <v>6.9999999999999751</v>
      </c>
      <c r="V10" s="112">
        <f t="shared" si="16"/>
        <v>97.999999999999972</v>
      </c>
      <c r="W10" s="13"/>
      <c r="X10" s="13"/>
      <c r="Y10" s="617"/>
      <c r="Z10" s="617"/>
      <c r="AA10" s="11">
        <f t="shared" si="2"/>
        <v>-68.571428571428214</v>
      </c>
      <c r="AB10" s="115">
        <f t="shared" ref="AB10:AB25" si="19">M10/J10</f>
        <v>0.95428571428571451</v>
      </c>
      <c r="AC10" s="571"/>
    </row>
    <row r="11" spans="1:29" ht="16.5" customHeight="1">
      <c r="A11" s="643" t="s">
        <v>23</v>
      </c>
      <c r="B11" s="26" t="s">
        <v>340</v>
      </c>
      <c r="C11" s="629"/>
      <c r="D11" s="629"/>
      <c r="E11" s="114"/>
      <c r="F11" s="23"/>
      <c r="G11" s="10"/>
      <c r="H11" s="111"/>
      <c r="I11" s="16">
        <v>18.5</v>
      </c>
      <c r="J11" s="23">
        <v>1500</v>
      </c>
      <c r="K11" s="9">
        <f>J11/I11</f>
        <v>81.081081081081081</v>
      </c>
      <c r="L11" s="16">
        <v>18.5</v>
      </c>
      <c r="M11" s="10">
        <f>AVERAGE(M9:M10)</f>
        <v>1431.3106159895151</v>
      </c>
      <c r="N11" s="9">
        <f>M11/L11</f>
        <v>77.368141404838653</v>
      </c>
      <c r="O11" s="11">
        <f>L11-I11</f>
        <v>0</v>
      </c>
      <c r="P11" s="12">
        <f>N11-K11</f>
        <v>-3.7129396762424278</v>
      </c>
      <c r="Q11" s="115">
        <f>N11/K11</f>
        <v>0.95420707732634336</v>
      </c>
      <c r="R11" s="571"/>
      <c r="S11" s="24"/>
      <c r="T11" s="24"/>
      <c r="U11" s="9"/>
      <c r="V11" s="112"/>
      <c r="W11" s="9"/>
      <c r="X11" s="9"/>
      <c r="Y11" s="617"/>
      <c r="Z11" s="617"/>
      <c r="AA11" s="11">
        <f t="shared" si="2"/>
        <v>-68.689384010484901</v>
      </c>
      <c r="AB11" s="115">
        <f t="shared" si="19"/>
        <v>0.95420707732634336</v>
      </c>
      <c r="AC11" s="571"/>
    </row>
    <row r="12" spans="1:29" ht="16.5" customHeight="1">
      <c r="A12" s="641" t="s">
        <v>341</v>
      </c>
      <c r="B12" s="111" t="s">
        <v>43</v>
      </c>
      <c r="C12" s="636" t="s">
        <v>44</v>
      </c>
      <c r="D12" s="636"/>
      <c r="E12" s="26">
        <v>41</v>
      </c>
      <c r="F12" s="111">
        <v>1683</v>
      </c>
      <c r="G12" s="110">
        <f t="shared" ref="G12:G18" si="20">E12*F12</f>
        <v>69003</v>
      </c>
      <c r="H12" s="21" t="s">
        <v>35</v>
      </c>
      <c r="I12" s="113">
        <v>26</v>
      </c>
      <c r="J12" s="23">
        <v>1500</v>
      </c>
      <c r="K12" s="9">
        <f>J12/I12</f>
        <v>57.692307692307693</v>
      </c>
      <c r="L12" s="113">
        <v>26</v>
      </c>
      <c r="M12" s="10">
        <f>F12/V12*60</f>
        <v>1442.571428571428</v>
      </c>
      <c r="N12" s="9">
        <f t="shared" ref="N12:N24" si="21">M12/L12</f>
        <v>55.48351648351646</v>
      </c>
      <c r="O12" s="11">
        <f t="shared" ref="O12" si="22">L12-I12</f>
        <v>0</v>
      </c>
      <c r="P12" s="12">
        <f t="shared" ref="P12" si="23">N12-K12</f>
        <v>-2.2087912087912329</v>
      </c>
      <c r="Q12" s="115">
        <f>N12/K12</f>
        <v>0.9617142857142853</v>
      </c>
      <c r="R12" s="571">
        <f>Q19</f>
        <v>0.95810768871951335</v>
      </c>
      <c r="S12" s="24">
        <v>0.20833333333333334</v>
      </c>
      <c r="T12" s="24">
        <v>0.25694444444444448</v>
      </c>
      <c r="U12" s="110"/>
      <c r="V12" s="112">
        <f>(T12-S12)*24*60</f>
        <v>70.000000000000028</v>
      </c>
      <c r="W12" s="15"/>
      <c r="X12" s="15"/>
      <c r="Y12" s="617"/>
      <c r="Z12" s="617"/>
      <c r="AA12" s="11">
        <f t="shared" si="2"/>
        <v>-57.428571428572013</v>
      </c>
      <c r="AB12" s="115">
        <f t="shared" si="19"/>
        <v>0.9617142857142853</v>
      </c>
      <c r="AC12" s="571">
        <f>AB19</f>
        <v>0.95810768871951346</v>
      </c>
    </row>
    <row r="13" spans="1:29" ht="16.5" customHeight="1">
      <c r="A13" s="642" t="s">
        <v>342</v>
      </c>
      <c r="B13" s="111" t="s">
        <v>40</v>
      </c>
      <c r="C13" s="636" t="s">
        <v>45</v>
      </c>
      <c r="D13" s="636"/>
      <c r="E13" s="26">
        <v>39.619999999999997</v>
      </c>
      <c r="F13" s="111">
        <v>3584</v>
      </c>
      <c r="G13" s="110">
        <f t="shared" si="20"/>
        <v>141998.07999999999</v>
      </c>
      <c r="H13" s="21" t="s">
        <v>35</v>
      </c>
      <c r="I13" s="113">
        <v>19</v>
      </c>
      <c r="J13" s="23">
        <v>1500</v>
      </c>
      <c r="K13" s="9">
        <f>J13/I13</f>
        <v>78.94736842105263</v>
      </c>
      <c r="L13" s="113">
        <v>19</v>
      </c>
      <c r="M13" s="10">
        <f>F13/V13*60</f>
        <v>1433.5999999999997</v>
      </c>
      <c r="N13" s="9">
        <f t="shared" si="21"/>
        <v>75.452631578947347</v>
      </c>
      <c r="O13" s="11">
        <f>L13-I13</f>
        <v>0</v>
      </c>
      <c r="P13" s="12">
        <f>N13-K13</f>
        <v>-3.4947368421052829</v>
      </c>
      <c r="Q13" s="115">
        <f>N13/K13</f>
        <v>0.9557333333333331</v>
      </c>
      <c r="R13" s="571"/>
      <c r="S13" s="24">
        <v>0.26180555555555557</v>
      </c>
      <c r="T13" s="24">
        <v>0.36597222222222225</v>
      </c>
      <c r="U13" s="110">
        <f>IF(S13=TIME(17,0,0),"",(S13-T12)*24*60)</f>
        <v>6.9999999999999751</v>
      </c>
      <c r="V13" s="112">
        <f>(T13-S13)*24*60</f>
        <v>150.00000000000003</v>
      </c>
      <c r="W13" s="13"/>
      <c r="X13" s="13"/>
      <c r="Y13" s="617"/>
      <c r="Z13" s="617"/>
      <c r="AA13" s="11">
        <f t="shared" si="2"/>
        <v>-66.400000000000318</v>
      </c>
      <c r="AB13" s="115">
        <f t="shared" si="19"/>
        <v>0.9557333333333331</v>
      </c>
      <c r="AC13" s="571"/>
    </row>
    <row r="14" spans="1:29" ht="16.5" customHeight="1">
      <c r="A14" s="642" t="s">
        <v>342</v>
      </c>
      <c r="B14" s="111" t="s">
        <v>46</v>
      </c>
      <c r="C14" s="636" t="s">
        <v>47</v>
      </c>
      <c r="D14" s="636"/>
      <c r="E14" s="26">
        <v>24.45</v>
      </c>
      <c r="F14" s="111">
        <v>1654</v>
      </c>
      <c r="G14" s="110">
        <f t="shared" si="20"/>
        <v>40440.299999999996</v>
      </c>
      <c r="H14" s="21" t="s">
        <v>35</v>
      </c>
      <c r="I14" s="113">
        <v>20</v>
      </c>
      <c r="J14" s="23">
        <v>2400</v>
      </c>
      <c r="K14" s="9">
        <f t="shared" ref="K14:K18" si="24">J14/I14</f>
        <v>120</v>
      </c>
      <c r="L14" s="113">
        <v>20</v>
      </c>
      <c r="M14" s="10">
        <f t="shared" ref="M14:M16" si="25">F14/V14*60</f>
        <v>2307.9069767441856</v>
      </c>
      <c r="N14" s="9">
        <f t="shared" si="21"/>
        <v>115.39534883720928</v>
      </c>
      <c r="O14" s="11">
        <f t="shared" ref="O14:O18" si="26">L14-I14</f>
        <v>0</v>
      </c>
      <c r="P14" s="12">
        <f t="shared" ref="P14:P18" si="27">N14-K14</f>
        <v>-4.6046511627907165</v>
      </c>
      <c r="Q14" s="115">
        <f t="shared" ref="Q14:Q24" si="28">N14/K14</f>
        <v>0.96162790697674405</v>
      </c>
      <c r="R14" s="571"/>
      <c r="S14" s="24">
        <v>0.37152777777777779</v>
      </c>
      <c r="T14" s="24">
        <v>0.40138888888888891</v>
      </c>
      <c r="U14" s="110">
        <f t="shared" ref="U14:U18" si="29">IF(S14=TIME(17,0,0),"",(S14-T13)*24*60)</f>
        <v>7.9999999999999716</v>
      </c>
      <c r="V14" s="112">
        <f t="shared" ref="V14:V18" si="30">(T14-S14)*24*60</f>
        <v>43.000000000000007</v>
      </c>
      <c r="W14" s="13"/>
      <c r="X14" s="13"/>
      <c r="Y14" s="617"/>
      <c r="Z14" s="617"/>
      <c r="AA14" s="11">
        <f t="shared" si="2"/>
        <v>-92.093023255814387</v>
      </c>
      <c r="AB14" s="115">
        <f t="shared" si="19"/>
        <v>0.96162790697674405</v>
      </c>
      <c r="AC14" s="571"/>
    </row>
    <row r="15" spans="1:29" ht="16.5" customHeight="1">
      <c r="A15" s="642" t="s">
        <v>342</v>
      </c>
      <c r="B15" s="111" t="s">
        <v>46</v>
      </c>
      <c r="C15" s="636" t="s">
        <v>65</v>
      </c>
      <c r="D15" s="636"/>
      <c r="E15" s="26">
        <v>24.43</v>
      </c>
      <c r="F15" s="111">
        <v>2822</v>
      </c>
      <c r="G15" s="110">
        <f t="shared" si="20"/>
        <v>68941.460000000006</v>
      </c>
      <c r="H15" s="21" t="s">
        <v>35</v>
      </c>
      <c r="I15" s="113">
        <v>15</v>
      </c>
      <c r="J15" s="23">
        <v>2400</v>
      </c>
      <c r="K15" s="9">
        <f t="shared" si="24"/>
        <v>160</v>
      </c>
      <c r="L15" s="113">
        <v>15</v>
      </c>
      <c r="M15" s="10">
        <f t="shared" si="25"/>
        <v>2288.1081081081093</v>
      </c>
      <c r="N15" s="9">
        <f t="shared" si="21"/>
        <v>152.5405405405406</v>
      </c>
      <c r="O15" s="11">
        <f t="shared" si="26"/>
        <v>0</v>
      </c>
      <c r="P15" s="12">
        <f t="shared" si="27"/>
        <v>-7.4594594594593957</v>
      </c>
      <c r="Q15" s="115">
        <f t="shared" si="28"/>
        <v>0.9533783783783788</v>
      </c>
      <c r="R15" s="571"/>
      <c r="S15" s="24">
        <v>0.40694444444444444</v>
      </c>
      <c r="T15" s="24">
        <v>0.45833333333333331</v>
      </c>
      <c r="U15" s="110">
        <f t="shared" si="29"/>
        <v>7.9999999999999716</v>
      </c>
      <c r="V15" s="112">
        <f t="shared" si="30"/>
        <v>73.999999999999972</v>
      </c>
      <c r="W15" s="13"/>
      <c r="X15" s="13"/>
      <c r="Y15" s="617"/>
      <c r="Z15" s="617"/>
      <c r="AA15" s="11">
        <f t="shared" si="2"/>
        <v>-111.89189189189074</v>
      </c>
      <c r="AB15" s="115">
        <f t="shared" si="19"/>
        <v>0.95337837837837891</v>
      </c>
      <c r="AC15" s="571"/>
    </row>
    <row r="16" spans="1:29" ht="16.5" customHeight="1">
      <c r="A16" s="642" t="s">
        <v>342</v>
      </c>
      <c r="B16" s="111" t="s">
        <v>46</v>
      </c>
      <c r="C16" s="636" t="s">
        <v>66</v>
      </c>
      <c r="D16" s="636"/>
      <c r="E16" s="26">
        <v>24.25</v>
      </c>
      <c r="F16" s="111">
        <v>2011</v>
      </c>
      <c r="G16" s="110">
        <f t="shared" si="20"/>
        <v>48766.75</v>
      </c>
      <c r="H16" s="21" t="s">
        <v>35</v>
      </c>
      <c r="I16" s="113">
        <v>14</v>
      </c>
      <c r="J16" s="23">
        <v>2400</v>
      </c>
      <c r="K16" s="9">
        <f t="shared" si="24"/>
        <v>171.42857142857142</v>
      </c>
      <c r="L16" s="113">
        <v>14</v>
      </c>
      <c r="M16" s="10">
        <f t="shared" si="25"/>
        <v>2320.3846153846166</v>
      </c>
      <c r="N16" s="9">
        <f t="shared" si="21"/>
        <v>165.74175824175833</v>
      </c>
      <c r="O16" s="11">
        <f t="shared" si="26"/>
        <v>0</v>
      </c>
      <c r="P16" s="12">
        <f t="shared" si="27"/>
        <v>-5.6868131868130831</v>
      </c>
      <c r="Q16" s="115">
        <f t="shared" si="28"/>
        <v>0.96682692307692364</v>
      </c>
      <c r="R16" s="571"/>
      <c r="S16" s="24">
        <v>0.46319444444444441</v>
      </c>
      <c r="T16" s="24">
        <v>0.4993055555555555</v>
      </c>
      <c r="U16" s="110">
        <f t="shared" si="29"/>
        <v>6.9999999999999751</v>
      </c>
      <c r="V16" s="112">
        <f t="shared" si="30"/>
        <v>51.999999999999972</v>
      </c>
      <c r="W16" s="13"/>
      <c r="X16" s="13"/>
      <c r="Y16" s="617"/>
      <c r="Z16" s="617"/>
      <c r="AA16" s="11">
        <f t="shared" si="2"/>
        <v>-79.615384615383391</v>
      </c>
      <c r="AB16" s="115">
        <f t="shared" si="19"/>
        <v>0.96682692307692364</v>
      </c>
      <c r="AC16" s="571"/>
    </row>
    <row r="17" spans="1:29" ht="16.5" customHeight="1">
      <c r="A17" s="642" t="s">
        <v>342</v>
      </c>
      <c r="B17" s="111" t="s">
        <v>36</v>
      </c>
      <c r="C17" s="658" t="s">
        <v>49</v>
      </c>
      <c r="D17" s="659"/>
      <c r="E17" s="26">
        <v>50.98</v>
      </c>
      <c r="F17" s="111">
        <v>2252</v>
      </c>
      <c r="G17" s="110">
        <f t="shared" si="20"/>
        <v>114806.95999999999</v>
      </c>
      <c r="H17" s="21" t="s">
        <v>35</v>
      </c>
      <c r="I17" s="113">
        <v>16</v>
      </c>
      <c r="J17" s="23">
        <v>2000</v>
      </c>
      <c r="K17" s="9">
        <f t="shared" si="24"/>
        <v>125</v>
      </c>
      <c r="L17" s="113">
        <v>16</v>
      </c>
      <c r="M17" s="10">
        <f>F17/V17*60</f>
        <v>1903.0985915492938</v>
      </c>
      <c r="N17" s="9">
        <f t="shared" si="21"/>
        <v>118.94366197183086</v>
      </c>
      <c r="O17" s="11">
        <f t="shared" si="26"/>
        <v>0</v>
      </c>
      <c r="P17" s="12">
        <f t="shared" si="27"/>
        <v>-6.0563380281691366</v>
      </c>
      <c r="Q17" s="115">
        <f t="shared" si="28"/>
        <v>0.95154929577464686</v>
      </c>
      <c r="R17" s="571"/>
      <c r="S17" s="24">
        <v>0.70833333333333337</v>
      </c>
      <c r="T17" s="24">
        <v>0.75763888888888897</v>
      </c>
      <c r="U17" s="110" t="str">
        <f t="shared" si="29"/>
        <v/>
      </c>
      <c r="V17" s="112">
        <f t="shared" si="30"/>
        <v>71.000000000000071</v>
      </c>
      <c r="W17" s="13"/>
      <c r="X17" s="13"/>
      <c r="Y17" s="621"/>
      <c r="Z17" s="622"/>
      <c r="AA17" s="11">
        <f t="shared" si="2"/>
        <v>-96.901408450706185</v>
      </c>
      <c r="AB17" s="115">
        <f t="shared" si="19"/>
        <v>0.95154929577464686</v>
      </c>
      <c r="AC17" s="571"/>
    </row>
    <row r="18" spans="1:29" ht="16.5" customHeight="1">
      <c r="A18" s="642" t="s">
        <v>342</v>
      </c>
      <c r="B18" s="111" t="s">
        <v>36</v>
      </c>
      <c r="C18" s="118" t="s">
        <v>50</v>
      </c>
      <c r="D18" s="119"/>
      <c r="E18" s="26">
        <v>50.92</v>
      </c>
      <c r="F18" s="111">
        <v>2355</v>
      </c>
      <c r="G18" s="110">
        <f t="shared" si="20"/>
        <v>119916.6</v>
      </c>
      <c r="H18" s="21" t="s">
        <v>35</v>
      </c>
      <c r="I18" s="113">
        <v>15</v>
      </c>
      <c r="J18" s="23">
        <v>2000</v>
      </c>
      <c r="K18" s="9">
        <f t="shared" si="24"/>
        <v>133.33333333333334</v>
      </c>
      <c r="L18" s="113">
        <v>15</v>
      </c>
      <c r="M18" s="10">
        <f t="shared" ref="M18" si="31">F18/V18*60</f>
        <v>1909.459459459458</v>
      </c>
      <c r="N18" s="9">
        <f t="shared" si="21"/>
        <v>127.29729729729721</v>
      </c>
      <c r="O18" s="11">
        <f t="shared" si="26"/>
        <v>0</v>
      </c>
      <c r="P18" s="12">
        <f t="shared" si="27"/>
        <v>-6.0360360360361369</v>
      </c>
      <c r="Q18" s="115">
        <f t="shared" si="28"/>
        <v>0.95472972972972903</v>
      </c>
      <c r="R18" s="571"/>
      <c r="S18" s="24">
        <v>0.76180555555555562</v>
      </c>
      <c r="T18" s="24">
        <v>0.81319444444444455</v>
      </c>
      <c r="U18" s="110">
        <f t="shared" si="29"/>
        <v>5.9999999999999787</v>
      </c>
      <c r="V18" s="112">
        <f t="shared" si="30"/>
        <v>74.000000000000057</v>
      </c>
      <c r="W18" s="13"/>
      <c r="X18" s="13"/>
      <c r="Y18" s="621"/>
      <c r="Z18" s="622"/>
      <c r="AA18" s="11">
        <f t="shared" si="2"/>
        <v>-90.540540540541997</v>
      </c>
      <c r="AB18" s="115">
        <f t="shared" si="19"/>
        <v>0.95472972972972903</v>
      </c>
      <c r="AC18" s="571"/>
    </row>
    <row r="19" spans="1:29" ht="16.5" customHeight="1">
      <c r="A19" s="642" t="s">
        <v>342</v>
      </c>
      <c r="B19" s="26" t="s">
        <v>343</v>
      </c>
      <c r="C19" s="629"/>
      <c r="D19" s="629"/>
      <c r="E19" s="114"/>
      <c r="F19" s="27"/>
      <c r="G19" s="9"/>
      <c r="H19" s="111"/>
      <c r="I19" s="16">
        <v>17.857142857142858</v>
      </c>
      <c r="J19" s="23">
        <v>2028.5714285714287</v>
      </c>
      <c r="K19" s="9">
        <f>J19/I19</f>
        <v>113.60000000000001</v>
      </c>
      <c r="L19" s="16">
        <v>17.857142857142858</v>
      </c>
      <c r="M19" s="10">
        <f>AVERAGE(M12:M18)</f>
        <v>1943.589882831013</v>
      </c>
      <c r="N19" s="9">
        <f t="shared" si="21"/>
        <v>108.84103343853673</v>
      </c>
      <c r="O19" s="11">
        <f>L19-I19</f>
        <v>0</v>
      </c>
      <c r="P19" s="12">
        <f>N19-K19</f>
        <v>-4.7589665614632821</v>
      </c>
      <c r="Q19" s="115">
        <f t="shared" si="28"/>
        <v>0.95810768871951335</v>
      </c>
      <c r="R19" s="571"/>
      <c r="S19" s="24"/>
      <c r="T19" s="24"/>
      <c r="U19" s="110"/>
      <c r="V19" s="112"/>
      <c r="W19" s="9"/>
      <c r="X19" s="9"/>
      <c r="Y19" s="617"/>
      <c r="Z19" s="617"/>
      <c r="AA19" s="11">
        <f t="shared" si="2"/>
        <v>-84.98154574041564</v>
      </c>
      <c r="AB19" s="115">
        <f t="shared" si="19"/>
        <v>0.95810768871951346</v>
      </c>
      <c r="AC19" s="571"/>
    </row>
    <row r="20" spans="1:29" ht="15.75" customHeight="1">
      <c r="A20" s="639" t="s">
        <v>344</v>
      </c>
      <c r="B20" s="26" t="s">
        <v>43</v>
      </c>
      <c r="C20" s="636" t="s">
        <v>51</v>
      </c>
      <c r="D20" s="636"/>
      <c r="E20" s="26">
        <v>43.14</v>
      </c>
      <c r="F20" s="111">
        <v>1036</v>
      </c>
      <c r="G20" s="110">
        <f t="shared" ref="G20:G24" si="32">E20*F20</f>
        <v>44693.04</v>
      </c>
      <c r="H20" s="21" t="s">
        <v>35</v>
      </c>
      <c r="I20" s="113">
        <v>17</v>
      </c>
      <c r="J20" s="23">
        <v>2000</v>
      </c>
      <c r="K20" s="9">
        <f t="shared" ref="K20:K25" si="33">J20/I20</f>
        <v>117.64705882352941</v>
      </c>
      <c r="L20" s="113">
        <v>17</v>
      </c>
      <c r="M20" s="10">
        <f t="shared" ref="M20:M24" si="34">F20/V20*60</f>
        <v>1942.4999999999995</v>
      </c>
      <c r="N20" s="9">
        <f t="shared" si="21"/>
        <v>114.26470588235291</v>
      </c>
      <c r="O20" s="11">
        <f t="shared" ref="O20:O24" si="35">L20-I20</f>
        <v>0</v>
      </c>
      <c r="P20" s="12">
        <f t="shared" ref="P20:P24" si="36">N20-K20</f>
        <v>-3.3823529411764923</v>
      </c>
      <c r="Q20" s="115">
        <f t="shared" si="28"/>
        <v>0.97124999999999984</v>
      </c>
      <c r="R20" s="571">
        <f>Q25</f>
        <v>0.96332994250331705</v>
      </c>
      <c r="S20" s="24">
        <v>0.20833333333333334</v>
      </c>
      <c r="T20" s="24">
        <v>0.23055555555555557</v>
      </c>
      <c r="U20" s="110"/>
      <c r="V20" s="112">
        <f>(T20-S20)*24*60</f>
        <v>32.000000000000007</v>
      </c>
      <c r="W20" s="15"/>
      <c r="X20" s="15"/>
      <c r="Y20" s="617"/>
      <c r="Z20" s="617"/>
      <c r="AA20" s="11">
        <f t="shared" si="2"/>
        <v>-57.500000000000455</v>
      </c>
      <c r="AB20" s="115">
        <f t="shared" si="19"/>
        <v>0.97124999999999972</v>
      </c>
      <c r="AC20" s="571">
        <f>AB25</f>
        <v>0.96332994250331705</v>
      </c>
    </row>
    <row r="21" spans="1:29" ht="15.75" customHeight="1">
      <c r="A21" s="640" t="s">
        <v>344</v>
      </c>
      <c r="B21" s="26" t="s">
        <v>36</v>
      </c>
      <c r="C21" s="636" t="s">
        <v>52</v>
      </c>
      <c r="D21" s="636"/>
      <c r="E21" s="26">
        <v>57.73</v>
      </c>
      <c r="F21" s="111">
        <v>2040</v>
      </c>
      <c r="G21" s="110">
        <f t="shared" si="32"/>
        <v>117769.2</v>
      </c>
      <c r="H21" s="21" t="s">
        <v>35</v>
      </c>
      <c r="I21" s="113">
        <v>15</v>
      </c>
      <c r="J21" s="23">
        <v>2000</v>
      </c>
      <c r="K21" s="9">
        <f t="shared" si="33"/>
        <v>133.33333333333334</v>
      </c>
      <c r="L21" s="113">
        <v>15</v>
      </c>
      <c r="M21" s="10">
        <f t="shared" si="34"/>
        <v>1912.4999999999995</v>
      </c>
      <c r="N21" s="9">
        <f t="shared" si="21"/>
        <v>127.49999999999997</v>
      </c>
      <c r="O21" s="11">
        <f t="shared" si="35"/>
        <v>0</v>
      </c>
      <c r="P21" s="12">
        <f t="shared" si="36"/>
        <v>-5.8333333333333712</v>
      </c>
      <c r="Q21" s="115">
        <f t="shared" si="28"/>
        <v>0.95624999999999971</v>
      </c>
      <c r="R21" s="571"/>
      <c r="S21" s="24">
        <v>0.23402777777777778</v>
      </c>
      <c r="T21" s="24">
        <v>0.27847222222222223</v>
      </c>
      <c r="U21" s="110">
        <f>IF(S21=TIME(17,0,0),"",(S21-T20)*24*60)</f>
        <v>4.9999999999999822</v>
      </c>
      <c r="V21" s="112">
        <f t="shared" ref="V21:V24" si="37">(T21-S21)*24*60</f>
        <v>64.000000000000014</v>
      </c>
      <c r="W21" s="13"/>
      <c r="X21" s="110"/>
      <c r="Y21" s="617"/>
      <c r="Z21" s="617"/>
      <c r="AA21" s="11">
        <f t="shared" si="2"/>
        <v>-87.500000000000455</v>
      </c>
      <c r="AB21" s="115">
        <f t="shared" si="19"/>
        <v>0.95624999999999982</v>
      </c>
      <c r="AC21" s="571"/>
    </row>
    <row r="22" spans="1:29" ht="15.75" customHeight="1">
      <c r="A22" s="640" t="s">
        <v>344</v>
      </c>
      <c r="B22" s="26" t="s">
        <v>36</v>
      </c>
      <c r="C22" s="636" t="s">
        <v>53</v>
      </c>
      <c r="D22" s="636"/>
      <c r="E22" s="26">
        <v>53.68</v>
      </c>
      <c r="F22" s="111">
        <v>1348</v>
      </c>
      <c r="G22" s="110">
        <f t="shared" si="32"/>
        <v>72360.639999999999</v>
      </c>
      <c r="H22" s="21" t="s">
        <v>35</v>
      </c>
      <c r="I22" s="113">
        <v>16</v>
      </c>
      <c r="J22" s="23">
        <v>2000</v>
      </c>
      <c r="K22" s="9">
        <f t="shared" si="33"/>
        <v>125</v>
      </c>
      <c r="L22" s="113">
        <v>16</v>
      </c>
      <c r="M22" s="10">
        <f t="shared" si="34"/>
        <v>1925.7142857142853</v>
      </c>
      <c r="N22" s="9">
        <f t="shared" si="21"/>
        <v>120.35714285714283</v>
      </c>
      <c r="O22" s="11">
        <f t="shared" si="35"/>
        <v>0</v>
      </c>
      <c r="P22" s="12">
        <f t="shared" si="36"/>
        <v>-4.6428571428571672</v>
      </c>
      <c r="Q22" s="115">
        <f t="shared" si="28"/>
        <v>0.96285714285714263</v>
      </c>
      <c r="R22" s="571"/>
      <c r="S22" s="24">
        <v>0.28194444444444444</v>
      </c>
      <c r="T22" s="24">
        <v>0.31111111111111112</v>
      </c>
      <c r="U22" s="110">
        <f t="shared" ref="U22:U24" si="38">IF(S22=TIME(17,0,0),"",(S22-T21)*24*60)</f>
        <v>4.9999999999999822</v>
      </c>
      <c r="V22" s="112">
        <f t="shared" si="37"/>
        <v>42.000000000000014</v>
      </c>
      <c r="W22" s="13"/>
      <c r="X22" s="110"/>
      <c r="Y22" s="617"/>
      <c r="Z22" s="617"/>
      <c r="AA22" s="11">
        <f t="shared" si="2"/>
        <v>-74.285714285714675</v>
      </c>
      <c r="AB22" s="115">
        <f t="shared" si="19"/>
        <v>0.96285714285714263</v>
      </c>
      <c r="AC22" s="571"/>
    </row>
    <row r="23" spans="1:29" ht="15.75" customHeight="1">
      <c r="A23" s="640" t="s">
        <v>344</v>
      </c>
      <c r="B23" s="26" t="s">
        <v>36</v>
      </c>
      <c r="C23" s="636" t="s">
        <v>54</v>
      </c>
      <c r="D23" s="636"/>
      <c r="E23" s="26">
        <v>53.27</v>
      </c>
      <c r="F23" s="111">
        <v>1229</v>
      </c>
      <c r="G23" s="110">
        <f t="shared" si="32"/>
        <v>65468.83</v>
      </c>
      <c r="H23" s="21" t="s">
        <v>35</v>
      </c>
      <c r="I23" s="113">
        <v>16</v>
      </c>
      <c r="J23" s="23">
        <v>2000</v>
      </c>
      <c r="K23" s="9">
        <f t="shared" si="33"/>
        <v>125</v>
      </c>
      <c r="L23" s="113">
        <v>16</v>
      </c>
      <c r="M23" s="10">
        <f t="shared" si="34"/>
        <v>1940.5263157894722</v>
      </c>
      <c r="N23" s="9">
        <f t="shared" si="21"/>
        <v>121.28289473684201</v>
      </c>
      <c r="O23" s="11">
        <f t="shared" si="35"/>
        <v>0</v>
      </c>
      <c r="P23" s="12">
        <f t="shared" si="36"/>
        <v>-3.7171052631579897</v>
      </c>
      <c r="Q23" s="115">
        <f t="shared" si="28"/>
        <v>0.97026315789473605</v>
      </c>
      <c r="R23" s="571"/>
      <c r="S23" s="24">
        <v>0.31597222222222221</v>
      </c>
      <c r="T23" s="24">
        <v>0.34236111111111112</v>
      </c>
      <c r="U23" s="110">
        <f t="shared" si="38"/>
        <v>6.9999999999999751</v>
      </c>
      <c r="V23" s="112">
        <f t="shared" si="37"/>
        <v>38.000000000000028</v>
      </c>
      <c r="W23" s="13"/>
      <c r="X23" s="110"/>
      <c r="Y23" s="617"/>
      <c r="Z23" s="617"/>
      <c r="AA23" s="11">
        <f t="shared" si="2"/>
        <v>-59.473684210527836</v>
      </c>
      <c r="AB23" s="115">
        <f t="shared" si="19"/>
        <v>0.97026315789473605</v>
      </c>
      <c r="AC23" s="571"/>
    </row>
    <row r="24" spans="1:29" ht="15.75" customHeight="1">
      <c r="A24" s="640" t="s">
        <v>344</v>
      </c>
      <c r="B24" s="26" t="s">
        <v>36</v>
      </c>
      <c r="C24" s="636" t="s">
        <v>55</v>
      </c>
      <c r="D24" s="636"/>
      <c r="E24" s="26">
        <v>54.09</v>
      </c>
      <c r="F24" s="111">
        <v>2167</v>
      </c>
      <c r="G24" s="110">
        <f t="shared" si="32"/>
        <v>117213.03000000001</v>
      </c>
      <c r="H24" s="21" t="s">
        <v>35</v>
      </c>
      <c r="I24" s="113">
        <v>19</v>
      </c>
      <c r="J24" s="23">
        <v>2000</v>
      </c>
      <c r="K24" s="9">
        <f t="shared" si="33"/>
        <v>105.26315789473684</v>
      </c>
      <c r="L24" s="113">
        <v>19</v>
      </c>
      <c r="M24" s="10">
        <f t="shared" si="34"/>
        <v>1912.058823529414</v>
      </c>
      <c r="N24" s="9">
        <f t="shared" si="21"/>
        <v>100.63467492260074</v>
      </c>
      <c r="O24" s="11">
        <f t="shared" si="35"/>
        <v>0</v>
      </c>
      <c r="P24" s="12">
        <f t="shared" si="36"/>
        <v>-4.6284829721360978</v>
      </c>
      <c r="Q24" s="115">
        <f t="shared" si="28"/>
        <v>0.95602941176470702</v>
      </c>
      <c r="R24" s="571"/>
      <c r="S24" s="24">
        <v>0.70833333333333337</v>
      </c>
      <c r="T24" s="24">
        <v>0.75555555555555554</v>
      </c>
      <c r="U24" s="110" t="str">
        <f t="shared" si="38"/>
        <v/>
      </c>
      <c r="V24" s="112">
        <f t="shared" si="37"/>
        <v>67.999999999999915</v>
      </c>
      <c r="W24" s="13"/>
      <c r="X24" s="110"/>
      <c r="Y24" s="617"/>
      <c r="Z24" s="617"/>
      <c r="AA24" s="11">
        <f t="shared" si="2"/>
        <v>-87.941176470586015</v>
      </c>
      <c r="AB24" s="115">
        <f t="shared" si="19"/>
        <v>0.95602941176470702</v>
      </c>
      <c r="AC24" s="571"/>
    </row>
    <row r="25" spans="1:29" ht="15.75" customHeight="1">
      <c r="A25" s="640" t="s">
        <v>344</v>
      </c>
      <c r="B25" s="26" t="s">
        <v>343</v>
      </c>
      <c r="C25" s="629"/>
      <c r="D25" s="629"/>
      <c r="E25" s="114"/>
      <c r="F25" s="111"/>
      <c r="G25" s="110"/>
      <c r="H25" s="111"/>
      <c r="I25" s="16">
        <v>16.600000000000001</v>
      </c>
      <c r="J25" s="23">
        <v>2000</v>
      </c>
      <c r="K25" s="9">
        <f t="shared" si="33"/>
        <v>120.48192771084337</v>
      </c>
      <c r="L25" s="16">
        <v>16.600000000000001</v>
      </c>
      <c r="M25" s="10">
        <f>AVERAGE(M20:M24)</f>
        <v>1926.6598850066341</v>
      </c>
      <c r="N25" s="9">
        <f>M25/L25</f>
        <v>116.06384849437553</v>
      </c>
      <c r="O25" s="11">
        <f>L25-I25</f>
        <v>0</v>
      </c>
      <c r="P25" s="12">
        <f>N25-K25</f>
        <v>-4.4180792164678309</v>
      </c>
      <c r="Q25" s="115">
        <f>N25/K25</f>
        <v>0.96332994250331705</v>
      </c>
      <c r="R25" s="571"/>
      <c r="S25" s="24"/>
      <c r="T25" s="24"/>
      <c r="U25" s="9"/>
      <c r="V25" s="112"/>
      <c r="W25" s="9"/>
      <c r="X25" s="9"/>
      <c r="Y25" s="617"/>
      <c r="Z25" s="617"/>
      <c r="AA25" s="11">
        <f t="shared" si="2"/>
        <v>-73.340114993365887</v>
      </c>
      <c r="AB25" s="115">
        <f t="shared" si="19"/>
        <v>0.96332994250331705</v>
      </c>
      <c r="AC25" s="571"/>
    </row>
    <row r="26" spans="1:29" ht="15.75" customHeight="1">
      <c r="A26" s="635" t="s">
        <v>345</v>
      </c>
      <c r="B26" s="26" t="s">
        <v>46</v>
      </c>
      <c r="C26" s="636" t="s">
        <v>56</v>
      </c>
      <c r="D26" s="636"/>
      <c r="E26" s="26">
        <v>26.2</v>
      </c>
      <c r="F26" s="111">
        <v>3461</v>
      </c>
      <c r="G26" s="110">
        <f t="shared" ref="G26:G31" si="39">E26*F26</f>
        <v>90678.2</v>
      </c>
      <c r="H26" s="21" t="s">
        <v>35</v>
      </c>
      <c r="I26" s="113">
        <v>20</v>
      </c>
      <c r="J26" s="23">
        <v>2400</v>
      </c>
      <c r="K26" s="9">
        <f>J26/I26</f>
        <v>120</v>
      </c>
      <c r="L26" s="113">
        <v>20</v>
      </c>
      <c r="M26" s="10">
        <f t="shared" ref="M26:M31" si="40">F26/V26*60</f>
        <v>2307.3333333333335</v>
      </c>
      <c r="N26" s="9">
        <f t="shared" ref="N26:N31" si="41">M26/L26</f>
        <v>115.36666666666667</v>
      </c>
      <c r="O26" s="11">
        <f t="shared" ref="O26:O31" si="42">L26-I26</f>
        <v>0</v>
      </c>
      <c r="P26" s="12">
        <f t="shared" ref="P26:P31" si="43">N26-K26</f>
        <v>-4.6333333333333258</v>
      </c>
      <c r="Q26" s="115">
        <f t="shared" ref="Q26:Q31" si="44">N26/K26</f>
        <v>0.96138888888888896</v>
      </c>
      <c r="R26" s="571">
        <f>Q32</f>
        <v>0.96053069157944926</v>
      </c>
      <c r="S26" s="24">
        <v>0.125</v>
      </c>
      <c r="T26" s="24">
        <v>0.1875</v>
      </c>
      <c r="U26" s="110"/>
      <c r="V26" s="112">
        <f t="shared" ref="V26:V31" si="45">(T26-S26)*24*60</f>
        <v>90</v>
      </c>
      <c r="W26" s="13">
        <f>T26</f>
        <v>0.1875</v>
      </c>
      <c r="X26" s="13">
        <f>S27</f>
        <v>0.2076388888888889</v>
      </c>
      <c r="Y26" s="617"/>
      <c r="Z26" s="617"/>
      <c r="AA26" s="11">
        <f t="shared" si="2"/>
        <v>-92.666666666666515</v>
      </c>
      <c r="AB26" s="115">
        <f>M26/J26</f>
        <v>0.96138888888888896</v>
      </c>
      <c r="AC26" s="571">
        <f>AB32</f>
        <v>0.96053069157944926</v>
      </c>
    </row>
    <row r="27" spans="1:29" ht="15.75" customHeight="1">
      <c r="A27" s="635" t="s">
        <v>345</v>
      </c>
      <c r="B27" s="26" t="s">
        <v>46</v>
      </c>
      <c r="C27" s="636" t="s">
        <v>57</v>
      </c>
      <c r="D27" s="636"/>
      <c r="E27" s="26">
        <v>20.52</v>
      </c>
      <c r="F27" s="111">
        <v>2534</v>
      </c>
      <c r="G27" s="110">
        <f t="shared" si="39"/>
        <v>51997.68</v>
      </c>
      <c r="H27" s="21" t="s">
        <v>35</v>
      </c>
      <c r="I27" s="113">
        <v>18</v>
      </c>
      <c r="J27" s="23">
        <v>2400</v>
      </c>
      <c r="K27" s="9">
        <f t="shared" ref="K27:K32" si="46">J27/I27</f>
        <v>133.33333333333334</v>
      </c>
      <c r="L27" s="113">
        <v>18</v>
      </c>
      <c r="M27" s="10">
        <f t="shared" si="40"/>
        <v>2303.6363636363649</v>
      </c>
      <c r="N27" s="9">
        <f t="shared" si="41"/>
        <v>127.97979797979805</v>
      </c>
      <c r="O27" s="11">
        <f t="shared" si="42"/>
        <v>0</v>
      </c>
      <c r="P27" s="12">
        <f t="shared" si="43"/>
        <v>-5.3535353535352925</v>
      </c>
      <c r="Q27" s="115">
        <f t="shared" si="44"/>
        <v>0.95984848484848528</v>
      </c>
      <c r="R27" s="571"/>
      <c r="S27" s="24">
        <v>0.2076388888888889</v>
      </c>
      <c r="T27" s="24">
        <v>0.25347222222222221</v>
      </c>
      <c r="U27" s="110">
        <f>(S27-T26)*24*60</f>
        <v>29.000000000000018</v>
      </c>
      <c r="V27" s="112">
        <f t="shared" si="45"/>
        <v>65.999999999999972</v>
      </c>
      <c r="W27" s="13"/>
      <c r="X27" s="13"/>
      <c r="Y27" s="617"/>
      <c r="Z27" s="617"/>
      <c r="AA27" s="11">
        <f t="shared" si="2"/>
        <v>-96.363636363635123</v>
      </c>
      <c r="AB27" s="115">
        <f t="shared" ref="AB27:AB31" si="47">M27/J27</f>
        <v>0.95984848484848539</v>
      </c>
      <c r="AC27" s="571"/>
    </row>
    <row r="28" spans="1:29" ht="15.75" customHeight="1">
      <c r="A28" s="635" t="s">
        <v>345</v>
      </c>
      <c r="B28" s="26" t="s">
        <v>46</v>
      </c>
      <c r="C28" s="636" t="s">
        <v>58</v>
      </c>
      <c r="D28" s="636"/>
      <c r="E28" s="26">
        <v>25.98</v>
      </c>
      <c r="F28" s="111">
        <v>1253</v>
      </c>
      <c r="G28" s="110">
        <f t="shared" si="39"/>
        <v>32552.940000000002</v>
      </c>
      <c r="H28" s="21" t="s">
        <v>35</v>
      </c>
      <c r="I28" s="113">
        <v>17</v>
      </c>
      <c r="J28" s="23">
        <v>2400</v>
      </c>
      <c r="K28" s="9">
        <f t="shared" si="46"/>
        <v>141.1764705882353</v>
      </c>
      <c r="L28" s="113">
        <v>17</v>
      </c>
      <c r="M28" s="10">
        <f t="shared" si="40"/>
        <v>2349.3750000000027</v>
      </c>
      <c r="N28" s="9">
        <f t="shared" si="41"/>
        <v>138.19852941176487</v>
      </c>
      <c r="O28" s="11">
        <f t="shared" si="42"/>
        <v>0</v>
      </c>
      <c r="P28" s="12">
        <f t="shared" si="43"/>
        <v>-2.9779411764704378</v>
      </c>
      <c r="Q28" s="115">
        <f t="shared" si="44"/>
        <v>0.97890625000000109</v>
      </c>
      <c r="R28" s="571"/>
      <c r="S28" s="24">
        <v>0.2583333333333333</v>
      </c>
      <c r="T28" s="24">
        <v>0.2805555555555555</v>
      </c>
      <c r="U28" s="110">
        <f t="shared" ref="U28:U31" si="48">(S28-T27)*24*60</f>
        <v>6.9999999999999751</v>
      </c>
      <c r="V28" s="112">
        <f t="shared" si="45"/>
        <v>31.999999999999964</v>
      </c>
      <c r="W28" s="13"/>
      <c r="X28" s="13"/>
      <c r="Y28" s="617"/>
      <c r="Z28" s="617"/>
      <c r="AA28" s="11">
        <f t="shared" si="2"/>
        <v>-50.624999999997272</v>
      </c>
      <c r="AB28" s="115">
        <f t="shared" si="47"/>
        <v>0.97890625000000109</v>
      </c>
      <c r="AC28" s="571"/>
    </row>
    <row r="29" spans="1:29" ht="15.75" customHeight="1">
      <c r="A29" s="635" t="s">
        <v>345</v>
      </c>
      <c r="B29" s="26" t="s">
        <v>46</v>
      </c>
      <c r="C29" s="636" t="s">
        <v>59</v>
      </c>
      <c r="D29" s="636"/>
      <c r="E29" s="26">
        <v>26.18</v>
      </c>
      <c r="F29" s="111">
        <v>2941</v>
      </c>
      <c r="G29" s="110">
        <f t="shared" si="39"/>
        <v>76995.38</v>
      </c>
      <c r="H29" s="21" t="s">
        <v>35</v>
      </c>
      <c r="I29" s="113">
        <v>19</v>
      </c>
      <c r="J29" s="23">
        <v>2400</v>
      </c>
      <c r="K29" s="9">
        <f t="shared" si="46"/>
        <v>126.31578947368421</v>
      </c>
      <c r="L29" s="113">
        <v>19</v>
      </c>
      <c r="M29" s="10">
        <f t="shared" si="40"/>
        <v>2291.6883116883123</v>
      </c>
      <c r="N29" s="9">
        <f t="shared" si="41"/>
        <v>120.61517429938486</v>
      </c>
      <c r="O29" s="11">
        <f t="shared" si="42"/>
        <v>0</v>
      </c>
      <c r="P29" s="12">
        <f t="shared" si="43"/>
        <v>-5.7006151742993438</v>
      </c>
      <c r="Q29" s="115">
        <f t="shared" si="44"/>
        <v>0.9548701298701302</v>
      </c>
      <c r="R29" s="571"/>
      <c r="S29" s="24">
        <v>0.28472222222222215</v>
      </c>
      <c r="T29" s="24">
        <v>0.33819444444444435</v>
      </c>
      <c r="U29" s="110">
        <f t="shared" si="48"/>
        <v>5.9999999999999787</v>
      </c>
      <c r="V29" s="112">
        <f t="shared" si="45"/>
        <v>76.999999999999972</v>
      </c>
      <c r="W29" s="13"/>
      <c r="X29" s="13"/>
      <c r="Y29" s="617"/>
      <c r="Z29" s="617"/>
      <c r="AA29" s="11">
        <f t="shared" si="2"/>
        <v>-108.3116883116877</v>
      </c>
      <c r="AB29" s="115">
        <f t="shared" si="47"/>
        <v>0.95487012987013009</v>
      </c>
      <c r="AC29" s="571"/>
    </row>
    <row r="30" spans="1:29" ht="15.75" customHeight="1">
      <c r="A30" s="635" t="s">
        <v>345</v>
      </c>
      <c r="B30" s="26" t="s">
        <v>46</v>
      </c>
      <c r="C30" s="636" t="s">
        <v>60</v>
      </c>
      <c r="D30" s="636"/>
      <c r="E30" s="26">
        <v>26.2</v>
      </c>
      <c r="F30" s="111">
        <v>3165</v>
      </c>
      <c r="G30" s="110">
        <f t="shared" si="39"/>
        <v>82923</v>
      </c>
      <c r="H30" s="21" t="s">
        <v>35</v>
      </c>
      <c r="I30" s="113">
        <v>19</v>
      </c>
      <c r="J30" s="23">
        <v>2400</v>
      </c>
      <c r="K30" s="9">
        <f t="shared" si="46"/>
        <v>126.31578947368421</v>
      </c>
      <c r="L30" s="113">
        <v>19</v>
      </c>
      <c r="M30" s="10">
        <f t="shared" si="40"/>
        <v>2287.9518072289152</v>
      </c>
      <c r="N30" s="9">
        <f t="shared" si="41"/>
        <v>120.4185161699429</v>
      </c>
      <c r="O30" s="11">
        <f t="shared" si="42"/>
        <v>0</v>
      </c>
      <c r="P30" s="12">
        <f t="shared" si="43"/>
        <v>-5.8972733037413008</v>
      </c>
      <c r="Q30" s="115">
        <f t="shared" si="44"/>
        <v>0.95331325301204806</v>
      </c>
      <c r="R30" s="571"/>
      <c r="S30" s="24">
        <v>0.34305555555555545</v>
      </c>
      <c r="T30" s="24">
        <v>0.40069444444444435</v>
      </c>
      <c r="U30" s="110">
        <f t="shared" si="48"/>
        <v>6.9999999999999751</v>
      </c>
      <c r="V30" s="112">
        <f t="shared" si="45"/>
        <v>83.000000000000028</v>
      </c>
      <c r="W30" s="13"/>
      <c r="X30" s="13"/>
      <c r="Y30" s="617"/>
      <c r="Z30" s="617"/>
      <c r="AA30" s="11">
        <f t="shared" si="2"/>
        <v>-112.04819277108481</v>
      </c>
      <c r="AB30" s="115">
        <f t="shared" si="47"/>
        <v>0.95331325301204795</v>
      </c>
      <c r="AC30" s="571"/>
    </row>
    <row r="31" spans="1:29" ht="15.75" customHeight="1">
      <c r="A31" s="635" t="s">
        <v>345</v>
      </c>
      <c r="B31" s="26" t="s">
        <v>46</v>
      </c>
      <c r="C31" s="636" t="s">
        <v>61</v>
      </c>
      <c r="D31" s="636"/>
      <c r="E31" s="26">
        <v>31.29</v>
      </c>
      <c r="F31" s="111">
        <v>6684</v>
      </c>
      <c r="G31" s="110">
        <f t="shared" si="39"/>
        <v>209142.36</v>
      </c>
      <c r="H31" s="21" t="s">
        <v>35</v>
      </c>
      <c r="I31" s="113">
        <v>18</v>
      </c>
      <c r="J31" s="23">
        <v>2400</v>
      </c>
      <c r="K31" s="9">
        <f t="shared" si="46"/>
        <v>133.33333333333334</v>
      </c>
      <c r="L31" s="113">
        <v>18</v>
      </c>
      <c r="M31" s="10">
        <f t="shared" si="40"/>
        <v>2291.6571428571424</v>
      </c>
      <c r="N31" s="9">
        <f t="shared" si="41"/>
        <v>127.31428571428569</v>
      </c>
      <c r="O31" s="11">
        <f t="shared" si="42"/>
        <v>0</v>
      </c>
      <c r="P31" s="12">
        <f t="shared" si="43"/>
        <v>-6.0190476190476545</v>
      </c>
      <c r="Q31" s="115">
        <f t="shared" si="44"/>
        <v>0.95485714285714263</v>
      </c>
      <c r="R31" s="571"/>
      <c r="S31" s="24">
        <v>0.40486111111111101</v>
      </c>
      <c r="T31" s="24">
        <v>0.5263888888888888</v>
      </c>
      <c r="U31" s="110">
        <f t="shared" si="48"/>
        <v>5.9999999999999787</v>
      </c>
      <c r="V31" s="112">
        <f t="shared" si="45"/>
        <v>175.00000000000003</v>
      </c>
      <c r="W31" s="13"/>
      <c r="X31" s="13"/>
      <c r="Y31" s="617"/>
      <c r="Z31" s="617"/>
      <c r="AA31" s="11">
        <f t="shared" si="2"/>
        <v>-108.34285714285761</v>
      </c>
      <c r="AB31" s="115">
        <f t="shared" si="47"/>
        <v>0.95485714285714263</v>
      </c>
      <c r="AC31" s="571"/>
    </row>
    <row r="32" spans="1:29" ht="15.75" customHeight="1">
      <c r="A32" s="635" t="s">
        <v>345</v>
      </c>
      <c r="B32" s="26" t="s">
        <v>343</v>
      </c>
      <c r="C32" s="629"/>
      <c r="D32" s="629"/>
      <c r="E32" s="114"/>
      <c r="F32" s="111"/>
      <c r="G32" s="110"/>
      <c r="H32" s="111"/>
      <c r="I32" s="16">
        <v>18.5</v>
      </c>
      <c r="J32" s="23">
        <v>2400</v>
      </c>
      <c r="K32" s="9">
        <f t="shared" si="46"/>
        <v>129.72972972972974</v>
      </c>
      <c r="L32" s="16">
        <v>18.5</v>
      </c>
      <c r="M32" s="10">
        <f>AVERAGE(M26:M31)</f>
        <v>2305.2736597906783</v>
      </c>
      <c r="N32" s="9">
        <f>M32/L32</f>
        <v>124.60938701571234</v>
      </c>
      <c r="O32" s="11">
        <f>L32-I32</f>
        <v>0</v>
      </c>
      <c r="P32" s="12">
        <f>N32-K32</f>
        <v>-5.1203427140173972</v>
      </c>
      <c r="Q32" s="115">
        <f>N32/K32</f>
        <v>0.96053069157944926</v>
      </c>
      <c r="R32" s="571"/>
      <c r="S32" s="24"/>
      <c r="T32" s="24"/>
      <c r="U32" s="110"/>
      <c r="V32" s="112"/>
      <c r="W32" s="110"/>
      <c r="X32" s="110"/>
      <c r="Y32" s="617"/>
      <c r="Z32" s="617"/>
      <c r="AA32" s="11">
        <f t="shared" si="2"/>
        <v>-94.726340209321734</v>
      </c>
      <c r="AB32" s="115">
        <f>M32/J32</f>
        <v>0.96053069157944926</v>
      </c>
      <c r="AC32" s="571"/>
    </row>
    <row r="33" spans="1:29" ht="15.75" customHeight="1">
      <c r="A33" s="637" t="s">
        <v>346</v>
      </c>
      <c r="B33" s="26" t="s">
        <v>46</v>
      </c>
      <c r="C33" s="616" t="s">
        <v>63</v>
      </c>
      <c r="D33" s="616"/>
      <c r="E33" s="26">
        <v>26.2</v>
      </c>
      <c r="F33" s="111">
        <v>4978</v>
      </c>
      <c r="G33" s="110">
        <f t="shared" ref="G33:G37" si="49">E33*F33</f>
        <v>130423.59999999999</v>
      </c>
      <c r="H33" s="21" t="s">
        <v>35</v>
      </c>
      <c r="I33" s="113">
        <v>18</v>
      </c>
      <c r="J33" s="23">
        <v>2400</v>
      </c>
      <c r="K33" s="9">
        <f>J33/I33</f>
        <v>133.33333333333334</v>
      </c>
      <c r="L33" s="113">
        <v>18</v>
      </c>
      <c r="M33" s="10">
        <f>F33/V33*60</f>
        <v>2297.538461538461</v>
      </c>
      <c r="N33" s="9">
        <f>M33/L33</f>
        <v>127.64102564102561</v>
      </c>
      <c r="O33" s="11">
        <f t="shared" ref="O33:O37" si="50">L33-I33</f>
        <v>0</v>
      </c>
      <c r="P33" s="12">
        <f t="shared" ref="P33:P44" si="51">N33-K33</f>
        <v>-5.692307692307736</v>
      </c>
      <c r="Q33" s="115">
        <f t="shared" ref="Q33:Q42" si="52">N33/K33</f>
        <v>0.95730769230769197</v>
      </c>
      <c r="R33" s="571">
        <f>Q38</f>
        <v>0.95487225274725274</v>
      </c>
      <c r="S33" s="24">
        <v>0.125</v>
      </c>
      <c r="T33" s="24">
        <v>0.21527777777777779</v>
      </c>
      <c r="U33" s="110"/>
      <c r="V33" s="112">
        <f t="shared" ref="V33:V37" si="53">(T33-S33)*24*60</f>
        <v>130.00000000000003</v>
      </c>
      <c r="W33" s="15">
        <f>T33</f>
        <v>0.21527777777777779</v>
      </c>
      <c r="X33" s="15">
        <f>S34</f>
        <v>0.23402777777777778</v>
      </c>
      <c r="Y33" s="617"/>
      <c r="Z33" s="617"/>
      <c r="AA33" s="11">
        <f t="shared" si="2"/>
        <v>-102.46153846153902</v>
      </c>
      <c r="AB33" s="115">
        <f>M33/J33</f>
        <v>0.95730769230769208</v>
      </c>
      <c r="AC33" s="571">
        <f>AB38</f>
        <v>0.95487225274725274</v>
      </c>
    </row>
    <row r="34" spans="1:29" ht="15.75" customHeight="1">
      <c r="A34" s="637" t="s">
        <v>346</v>
      </c>
      <c r="B34" s="26" t="s">
        <v>46</v>
      </c>
      <c r="C34" s="616" t="s">
        <v>64</v>
      </c>
      <c r="D34" s="616"/>
      <c r="E34" s="26">
        <v>26.39</v>
      </c>
      <c r="F34" s="111">
        <v>4579</v>
      </c>
      <c r="G34" s="110">
        <f t="shared" si="49"/>
        <v>120839.81</v>
      </c>
      <c r="H34" s="21" t="s">
        <v>35</v>
      </c>
      <c r="I34" s="113">
        <v>19</v>
      </c>
      <c r="J34" s="23">
        <v>2400</v>
      </c>
      <c r="K34" s="9">
        <f t="shared" ref="K34:K43" si="54">J34/I34</f>
        <v>126.31578947368421</v>
      </c>
      <c r="L34" s="113">
        <v>19</v>
      </c>
      <c r="M34" s="10">
        <f t="shared" ref="M34:M37" si="55">F34/V34*60</f>
        <v>2289.5000000000009</v>
      </c>
      <c r="N34" s="9">
        <f t="shared" ref="N34:N37" si="56">M34/L34</f>
        <v>120.50000000000004</v>
      </c>
      <c r="O34" s="11">
        <f t="shared" si="50"/>
        <v>0</v>
      </c>
      <c r="P34" s="12">
        <f t="shared" si="51"/>
        <v>-5.8157894736841627</v>
      </c>
      <c r="Q34" s="115">
        <f t="shared" si="52"/>
        <v>0.95395833333333369</v>
      </c>
      <c r="R34" s="571"/>
      <c r="S34" s="24">
        <v>0.23402777777777778</v>
      </c>
      <c r="T34" s="24">
        <v>0.31736111111111109</v>
      </c>
      <c r="U34" s="110">
        <f>(S34-T33)*24*60</f>
        <v>26.999999999999986</v>
      </c>
      <c r="V34" s="112">
        <f t="shared" si="53"/>
        <v>119.99999999999997</v>
      </c>
      <c r="W34" s="110"/>
      <c r="X34" s="110"/>
      <c r="Y34" s="617"/>
      <c r="Z34" s="617"/>
      <c r="AA34" s="11">
        <f t="shared" si="2"/>
        <v>-110.49999999999909</v>
      </c>
      <c r="AB34" s="115">
        <f t="shared" ref="AB34:AB57" si="57">M34/J34</f>
        <v>0.95395833333333369</v>
      </c>
      <c r="AC34" s="571"/>
    </row>
    <row r="35" spans="1:29">
      <c r="A35" s="638" t="s">
        <v>346</v>
      </c>
      <c r="B35" s="26" t="s">
        <v>46</v>
      </c>
      <c r="C35" s="616" t="s">
        <v>65</v>
      </c>
      <c r="D35" s="616"/>
      <c r="E35" s="26">
        <v>24.43</v>
      </c>
      <c r="F35" s="111">
        <v>4000</v>
      </c>
      <c r="G35" s="110">
        <f t="shared" si="49"/>
        <v>97720</v>
      </c>
      <c r="H35" s="21">
        <v>2</v>
      </c>
      <c r="I35" s="113">
        <v>15</v>
      </c>
      <c r="J35" s="23">
        <v>2400</v>
      </c>
      <c r="K35" s="9">
        <f t="shared" si="54"/>
        <v>160</v>
      </c>
      <c r="L35" s="113">
        <v>15</v>
      </c>
      <c r="M35" s="10">
        <f t="shared" si="55"/>
        <v>2285.7142857142853</v>
      </c>
      <c r="N35" s="9">
        <f t="shared" si="56"/>
        <v>152.38095238095235</v>
      </c>
      <c r="O35" s="11">
        <f t="shared" si="50"/>
        <v>0</v>
      </c>
      <c r="P35" s="12">
        <f t="shared" si="51"/>
        <v>-7.6190476190476488</v>
      </c>
      <c r="Q35" s="115">
        <f t="shared" si="52"/>
        <v>0.95238095238095222</v>
      </c>
      <c r="R35" s="571"/>
      <c r="S35" s="24">
        <v>0.32152777777777775</v>
      </c>
      <c r="T35" s="24">
        <v>0.39444444444444443</v>
      </c>
      <c r="U35" s="110">
        <f t="shared" ref="U35:U37" si="58">(S35-T34)*24*60</f>
        <v>5.9999999999999787</v>
      </c>
      <c r="V35" s="112">
        <f t="shared" si="53"/>
        <v>105.00000000000003</v>
      </c>
      <c r="W35" s="110"/>
      <c r="X35" s="110"/>
      <c r="Y35" s="617"/>
      <c r="Z35" s="617"/>
      <c r="AA35" s="11">
        <f t="shared" si="2"/>
        <v>-114.28571428571468</v>
      </c>
      <c r="AB35" s="115">
        <f t="shared" si="57"/>
        <v>0.95238095238095222</v>
      </c>
      <c r="AC35" s="571"/>
    </row>
    <row r="36" spans="1:29">
      <c r="A36" s="638" t="s">
        <v>346</v>
      </c>
      <c r="B36" s="26" t="s">
        <v>46</v>
      </c>
      <c r="C36" s="616" t="s">
        <v>66</v>
      </c>
      <c r="D36" s="616"/>
      <c r="E36" s="26">
        <v>24.25</v>
      </c>
      <c r="F36" s="111">
        <v>3200</v>
      </c>
      <c r="G36" s="110">
        <f t="shared" si="49"/>
        <v>77600</v>
      </c>
      <c r="H36" s="21">
        <v>2</v>
      </c>
      <c r="I36" s="113">
        <v>14</v>
      </c>
      <c r="J36" s="23">
        <v>2400</v>
      </c>
      <c r="K36" s="9">
        <f t="shared" si="54"/>
        <v>171.42857142857142</v>
      </c>
      <c r="L36" s="113">
        <v>14</v>
      </c>
      <c r="M36" s="10">
        <f t="shared" si="55"/>
        <v>2285.7142857142849</v>
      </c>
      <c r="N36" s="9">
        <f t="shared" si="56"/>
        <v>163.26530612244892</v>
      </c>
      <c r="O36" s="11">
        <f t="shared" si="50"/>
        <v>0</v>
      </c>
      <c r="P36" s="12">
        <f t="shared" si="51"/>
        <v>-8.1632653061224971</v>
      </c>
      <c r="Q36" s="115">
        <f t="shared" si="52"/>
        <v>0.95238095238095211</v>
      </c>
      <c r="R36" s="571"/>
      <c r="S36" s="24">
        <v>0.39999999999999997</v>
      </c>
      <c r="T36" s="24">
        <v>0.45833333333333331</v>
      </c>
      <c r="U36" s="110">
        <f t="shared" si="58"/>
        <v>7.9999999999999716</v>
      </c>
      <c r="V36" s="112">
        <f t="shared" si="53"/>
        <v>84.000000000000028</v>
      </c>
      <c r="W36" s="13"/>
      <c r="X36" s="13"/>
      <c r="Y36" s="617"/>
      <c r="Z36" s="617"/>
      <c r="AA36" s="11">
        <f t="shared" si="2"/>
        <v>-114.28571428571513</v>
      </c>
      <c r="AB36" s="115">
        <f t="shared" si="57"/>
        <v>0.952380952380952</v>
      </c>
      <c r="AC36" s="571"/>
    </row>
    <row r="37" spans="1:29">
      <c r="A37" s="638" t="s">
        <v>346</v>
      </c>
      <c r="B37" s="26" t="s">
        <v>46</v>
      </c>
      <c r="C37" s="616" t="s">
        <v>62</v>
      </c>
      <c r="D37" s="616"/>
      <c r="E37" s="26">
        <v>25</v>
      </c>
      <c r="F37" s="111">
        <v>3335</v>
      </c>
      <c r="G37" s="110">
        <f t="shared" si="49"/>
        <v>83375</v>
      </c>
      <c r="H37" s="21" t="s">
        <v>35</v>
      </c>
      <c r="I37" s="113">
        <v>15</v>
      </c>
      <c r="J37" s="23">
        <v>2400</v>
      </c>
      <c r="K37" s="9">
        <f t="shared" si="54"/>
        <v>160</v>
      </c>
      <c r="L37" s="113">
        <v>15</v>
      </c>
      <c r="M37" s="10">
        <f t="shared" si="55"/>
        <v>2300.0000000000018</v>
      </c>
      <c r="N37" s="9">
        <f t="shared" si="56"/>
        <v>153.33333333333346</v>
      </c>
      <c r="O37" s="11">
        <f t="shared" si="50"/>
        <v>0</v>
      </c>
      <c r="P37" s="12">
        <f t="shared" si="51"/>
        <v>-6.6666666666665435</v>
      </c>
      <c r="Q37" s="115">
        <f t="shared" si="52"/>
        <v>0.95833333333333415</v>
      </c>
      <c r="R37" s="571"/>
      <c r="S37" s="24">
        <v>0.46388888888888885</v>
      </c>
      <c r="T37" s="24">
        <v>0.52430555555555547</v>
      </c>
      <c r="U37" s="110">
        <f t="shared" si="58"/>
        <v>7.9999999999999716</v>
      </c>
      <c r="V37" s="112">
        <f t="shared" si="53"/>
        <v>86.999999999999929</v>
      </c>
      <c r="W37" s="13"/>
      <c r="X37" s="13"/>
      <c r="Y37" s="617"/>
      <c r="Z37" s="617"/>
      <c r="AA37" s="11">
        <f t="shared" si="2"/>
        <v>-99.999999999998181</v>
      </c>
      <c r="AB37" s="115">
        <f t="shared" si="57"/>
        <v>0.95833333333333404</v>
      </c>
      <c r="AC37" s="571"/>
    </row>
    <row r="38" spans="1:29">
      <c r="A38" s="638" t="s">
        <v>346</v>
      </c>
      <c r="B38" s="27" t="s">
        <v>343</v>
      </c>
      <c r="C38" s="629"/>
      <c r="D38" s="629"/>
      <c r="E38" s="114"/>
      <c r="F38" s="27"/>
      <c r="G38" s="9"/>
      <c r="H38" s="111"/>
      <c r="I38" s="16">
        <v>16.2</v>
      </c>
      <c r="J38" s="23">
        <v>2400</v>
      </c>
      <c r="K38" s="9">
        <f t="shared" si="54"/>
        <v>148.14814814814815</v>
      </c>
      <c r="L38" s="16">
        <v>16.2</v>
      </c>
      <c r="M38" s="10">
        <f>AVERAGE(M33:M37)</f>
        <v>2291.6934065934065</v>
      </c>
      <c r="N38" s="9">
        <f>M38/L38</f>
        <v>141.46255596255597</v>
      </c>
      <c r="O38" s="11">
        <f>L38-I38</f>
        <v>0</v>
      </c>
      <c r="P38" s="12">
        <f t="shared" si="51"/>
        <v>-6.6855921855921849</v>
      </c>
      <c r="Q38" s="115">
        <f t="shared" si="52"/>
        <v>0.95487225274725274</v>
      </c>
      <c r="R38" s="571"/>
      <c r="S38" s="24"/>
      <c r="T38" s="24"/>
      <c r="U38" s="9"/>
      <c r="V38" s="112"/>
      <c r="W38" s="9"/>
      <c r="X38" s="9"/>
      <c r="Y38" s="617"/>
      <c r="Z38" s="617"/>
      <c r="AA38" s="11">
        <f t="shared" si="2"/>
        <v>-108.30659340659349</v>
      </c>
      <c r="AB38" s="115">
        <f t="shared" si="57"/>
        <v>0.95487225274725274</v>
      </c>
      <c r="AC38" s="571"/>
    </row>
    <row r="39" spans="1:29" ht="15.75" customHeight="1">
      <c r="A39" s="630" t="s">
        <v>347</v>
      </c>
      <c r="B39" s="26" t="s">
        <v>67</v>
      </c>
      <c r="C39" s="627" t="s">
        <v>68</v>
      </c>
      <c r="D39" s="628"/>
      <c r="E39" s="26">
        <v>21.13</v>
      </c>
      <c r="F39" s="111">
        <v>4236</v>
      </c>
      <c r="G39" s="110">
        <f t="shared" ref="G39:G43" si="59">E39*F39</f>
        <v>89506.68</v>
      </c>
      <c r="H39" s="21" t="s">
        <v>35</v>
      </c>
      <c r="I39" s="113">
        <v>10</v>
      </c>
      <c r="J39" s="23">
        <v>3000</v>
      </c>
      <c r="K39" s="9">
        <f t="shared" si="54"/>
        <v>300</v>
      </c>
      <c r="L39" s="113">
        <v>10</v>
      </c>
      <c r="M39" s="10">
        <f t="shared" ref="M39:M40" si="60">F39/V39*60</f>
        <v>2855.7303370786503</v>
      </c>
      <c r="N39" s="10">
        <f t="shared" ref="N39:N44" si="61">M39/L39</f>
        <v>285.57303370786502</v>
      </c>
      <c r="O39" s="11">
        <f t="shared" ref="O39:O44" si="62">L39-I39</f>
        <v>0</v>
      </c>
      <c r="P39" s="12">
        <f t="shared" si="51"/>
        <v>-14.426966292134978</v>
      </c>
      <c r="Q39" s="115">
        <f t="shared" si="52"/>
        <v>0.95191011235955003</v>
      </c>
      <c r="R39" s="582">
        <f>Q44</f>
        <v>0.95709366153032371</v>
      </c>
      <c r="S39" s="24">
        <v>0.20833333333333334</v>
      </c>
      <c r="T39" s="24">
        <v>0.27013888888888893</v>
      </c>
      <c r="U39" s="15"/>
      <c r="V39" s="112">
        <f t="shared" ref="V39:V43" si="63">(T39-S39)*24*60</f>
        <v>89.000000000000043</v>
      </c>
      <c r="W39" s="13"/>
      <c r="X39" s="13"/>
      <c r="Y39" s="621"/>
      <c r="Z39" s="622"/>
      <c r="AA39" s="11">
        <f t="shared" si="2"/>
        <v>-144.26966292134966</v>
      </c>
      <c r="AB39" s="115">
        <f t="shared" si="57"/>
        <v>0.95191011235955014</v>
      </c>
      <c r="AC39" s="582">
        <f>AB44</f>
        <v>0.95709366153032371</v>
      </c>
    </row>
    <row r="40" spans="1:29" ht="15.75" customHeight="1">
      <c r="A40" s="631" t="s">
        <v>347</v>
      </c>
      <c r="B40" s="26" t="s">
        <v>67</v>
      </c>
      <c r="C40" s="627" t="s">
        <v>69</v>
      </c>
      <c r="D40" s="628"/>
      <c r="E40" s="26">
        <v>27.17</v>
      </c>
      <c r="F40" s="111">
        <v>5278</v>
      </c>
      <c r="G40" s="110">
        <f t="shared" si="59"/>
        <v>143403.26</v>
      </c>
      <c r="H40" s="21" t="s">
        <v>35</v>
      </c>
      <c r="I40" s="113">
        <v>10</v>
      </c>
      <c r="J40" s="23">
        <v>3000</v>
      </c>
      <c r="K40" s="9">
        <f t="shared" si="54"/>
        <v>300</v>
      </c>
      <c r="L40" s="113">
        <v>10</v>
      </c>
      <c r="M40" s="10">
        <f t="shared" si="60"/>
        <v>2852.9729729729729</v>
      </c>
      <c r="N40" s="10">
        <f t="shared" si="61"/>
        <v>285.29729729729729</v>
      </c>
      <c r="O40" s="11">
        <f t="shared" si="62"/>
        <v>0</v>
      </c>
      <c r="P40" s="12">
        <f t="shared" si="51"/>
        <v>-14.702702702702709</v>
      </c>
      <c r="Q40" s="115">
        <f t="shared" si="52"/>
        <v>0.95099099099099094</v>
      </c>
      <c r="R40" s="583"/>
      <c r="S40" s="24">
        <v>0.27361111111111114</v>
      </c>
      <c r="T40" s="24">
        <v>0.35069444444444448</v>
      </c>
      <c r="U40" s="110">
        <f>(S40-T39)*24*60</f>
        <v>4.9999999999999822</v>
      </c>
      <c r="V40" s="112">
        <f t="shared" si="63"/>
        <v>111</v>
      </c>
      <c r="W40" s="13"/>
      <c r="X40" s="13"/>
      <c r="Y40" s="621"/>
      <c r="Z40" s="622"/>
      <c r="AA40" s="11">
        <f t="shared" si="2"/>
        <v>-147.02702702702709</v>
      </c>
      <c r="AB40" s="115">
        <f t="shared" si="57"/>
        <v>0.95099099099099094</v>
      </c>
      <c r="AC40" s="583"/>
    </row>
    <row r="41" spans="1:29" ht="15.75" customHeight="1">
      <c r="A41" s="631" t="s">
        <v>347</v>
      </c>
      <c r="B41" s="26" t="s">
        <v>67</v>
      </c>
      <c r="C41" s="627" t="s">
        <v>70</v>
      </c>
      <c r="D41" s="628"/>
      <c r="E41" s="26">
        <v>35.119999999999997</v>
      </c>
      <c r="F41" s="111">
        <v>3815</v>
      </c>
      <c r="G41" s="110">
        <f t="shared" si="59"/>
        <v>133982.79999999999</v>
      </c>
      <c r="H41" s="21" t="s">
        <v>35</v>
      </c>
      <c r="I41" s="113">
        <v>10</v>
      </c>
      <c r="J41" s="23">
        <v>3000</v>
      </c>
      <c r="K41" s="9">
        <f t="shared" si="54"/>
        <v>300</v>
      </c>
      <c r="L41" s="113">
        <v>10</v>
      </c>
      <c r="M41" s="10">
        <f>F41/V41*60</f>
        <v>2861.2500000000018</v>
      </c>
      <c r="N41" s="10">
        <f t="shared" si="61"/>
        <v>286.12500000000017</v>
      </c>
      <c r="O41" s="11">
        <f t="shared" si="62"/>
        <v>0</v>
      </c>
      <c r="P41" s="12">
        <f t="shared" si="51"/>
        <v>-13.874999999999829</v>
      </c>
      <c r="Q41" s="115">
        <f t="shared" si="52"/>
        <v>0.95375000000000054</v>
      </c>
      <c r="R41" s="583"/>
      <c r="S41" s="24">
        <v>0.35416666666666669</v>
      </c>
      <c r="T41" s="24">
        <v>0.40972222222222221</v>
      </c>
      <c r="U41" s="110">
        <f t="shared" ref="U41:U43" si="64">(S41-T40)*24*60</f>
        <v>4.9999999999999822</v>
      </c>
      <c r="V41" s="112">
        <f t="shared" si="63"/>
        <v>79.999999999999957</v>
      </c>
      <c r="W41" s="13"/>
      <c r="X41" s="13"/>
      <c r="Y41" s="621"/>
      <c r="Z41" s="622"/>
      <c r="AA41" s="11">
        <f t="shared" si="2"/>
        <v>-138.74999999999818</v>
      </c>
      <c r="AB41" s="115">
        <f t="shared" si="57"/>
        <v>0.95375000000000065</v>
      </c>
      <c r="AC41" s="583"/>
    </row>
    <row r="42" spans="1:29" ht="15.75" customHeight="1">
      <c r="A42" s="631" t="s">
        <v>347</v>
      </c>
      <c r="B42" s="26" t="s">
        <v>67</v>
      </c>
      <c r="C42" s="627" t="s">
        <v>71</v>
      </c>
      <c r="D42" s="628"/>
      <c r="E42" s="26">
        <v>35.869999999999997</v>
      </c>
      <c r="F42" s="111">
        <v>2574</v>
      </c>
      <c r="G42" s="110">
        <f t="shared" si="59"/>
        <v>92329.37999999999</v>
      </c>
      <c r="H42" s="21" t="s">
        <v>35</v>
      </c>
      <c r="I42" s="113">
        <v>10</v>
      </c>
      <c r="J42" s="23">
        <v>3000</v>
      </c>
      <c r="K42" s="9">
        <f t="shared" si="54"/>
        <v>300</v>
      </c>
      <c r="L42" s="113">
        <v>10</v>
      </c>
      <c r="M42" s="10">
        <f t="shared" ref="M42:M43" si="65">F42/V42*60</f>
        <v>2860.0000000000014</v>
      </c>
      <c r="N42" s="10">
        <f t="shared" si="61"/>
        <v>286.00000000000011</v>
      </c>
      <c r="O42" s="11">
        <f t="shared" si="62"/>
        <v>0</v>
      </c>
      <c r="P42" s="12">
        <f t="shared" si="51"/>
        <v>-13.999999999999886</v>
      </c>
      <c r="Q42" s="115">
        <f t="shared" si="52"/>
        <v>0.9533333333333337</v>
      </c>
      <c r="R42" s="583"/>
      <c r="S42" s="24">
        <v>0.41319444444444442</v>
      </c>
      <c r="T42" s="24">
        <v>0.4506944444444444</v>
      </c>
      <c r="U42" s="110">
        <f t="shared" si="64"/>
        <v>4.9999999999999822</v>
      </c>
      <c r="V42" s="112">
        <f t="shared" si="63"/>
        <v>53.999999999999972</v>
      </c>
      <c r="W42" s="13"/>
      <c r="X42" s="13"/>
      <c r="Y42" s="621"/>
      <c r="Z42" s="622"/>
      <c r="AA42" s="11">
        <f t="shared" si="2"/>
        <v>-139.99999999999864</v>
      </c>
      <c r="AB42" s="115">
        <f t="shared" si="57"/>
        <v>0.95333333333333381</v>
      </c>
      <c r="AC42" s="583"/>
    </row>
    <row r="43" spans="1:29" ht="15.75" customHeight="1">
      <c r="A43" s="631" t="s">
        <v>347</v>
      </c>
      <c r="B43" s="26" t="s">
        <v>67</v>
      </c>
      <c r="C43" s="627" t="s">
        <v>72</v>
      </c>
      <c r="D43" s="628"/>
      <c r="E43" s="26">
        <v>36.14</v>
      </c>
      <c r="F43" s="111">
        <v>1512</v>
      </c>
      <c r="G43" s="110">
        <f t="shared" si="59"/>
        <v>54643.68</v>
      </c>
      <c r="H43" s="21" t="s">
        <v>35</v>
      </c>
      <c r="I43" s="113">
        <v>8</v>
      </c>
      <c r="J43" s="23">
        <v>3000</v>
      </c>
      <c r="K43" s="9">
        <f t="shared" si="54"/>
        <v>375</v>
      </c>
      <c r="L43" s="113">
        <v>8</v>
      </c>
      <c r="M43" s="10">
        <f t="shared" si="65"/>
        <v>2926.4516129032281</v>
      </c>
      <c r="N43" s="10">
        <f t="shared" si="61"/>
        <v>365.80645161290352</v>
      </c>
      <c r="O43" s="11">
        <f t="shared" si="62"/>
        <v>0</v>
      </c>
      <c r="P43" s="12">
        <f t="shared" si="51"/>
        <v>-9.1935483870964845</v>
      </c>
      <c r="Q43" s="115">
        <f>N43/K43</f>
        <v>0.97548387096774269</v>
      </c>
      <c r="R43" s="583"/>
      <c r="S43" s="24">
        <v>0.45555555555555549</v>
      </c>
      <c r="T43" s="24">
        <v>0.47708333333333325</v>
      </c>
      <c r="U43" s="110">
        <f t="shared" si="64"/>
        <v>6.9999999999999751</v>
      </c>
      <c r="V43" s="112">
        <f t="shared" si="63"/>
        <v>30.999999999999972</v>
      </c>
      <c r="W43" s="13"/>
      <c r="X43" s="13"/>
      <c r="Y43" s="621"/>
      <c r="Z43" s="622"/>
      <c r="AA43" s="11">
        <f t="shared" si="2"/>
        <v>-73.548387096771876</v>
      </c>
      <c r="AB43" s="115">
        <f t="shared" si="57"/>
        <v>0.97548387096774269</v>
      </c>
      <c r="AC43" s="583"/>
    </row>
    <row r="44" spans="1:29" ht="15.75" customHeight="1">
      <c r="A44" s="632" t="s">
        <v>347</v>
      </c>
      <c r="B44" s="26" t="s">
        <v>343</v>
      </c>
      <c r="C44" s="625"/>
      <c r="D44" s="626"/>
      <c r="E44" s="122"/>
      <c r="F44" s="111"/>
      <c r="G44" s="110"/>
      <c r="H44" s="111"/>
      <c r="I44" s="16">
        <v>9.6</v>
      </c>
      <c r="J44" s="23">
        <v>3000</v>
      </c>
      <c r="K44" s="9">
        <f>J44/I44</f>
        <v>312.5</v>
      </c>
      <c r="L44" s="16">
        <v>9.6</v>
      </c>
      <c r="M44" s="10">
        <f>AVERAGE(M39:M43)</f>
        <v>2871.280984590971</v>
      </c>
      <c r="N44" s="9">
        <f t="shared" si="61"/>
        <v>299.09176922822616</v>
      </c>
      <c r="O44" s="11">
        <f t="shared" si="62"/>
        <v>0</v>
      </c>
      <c r="P44" s="12">
        <f t="shared" si="51"/>
        <v>-13.408230771773844</v>
      </c>
      <c r="Q44" s="115">
        <f t="shared" ref="Q44" si="66">N44/K44</f>
        <v>0.95709366153032371</v>
      </c>
      <c r="R44" s="584"/>
      <c r="S44" s="24"/>
      <c r="T44" s="24"/>
      <c r="U44" s="110"/>
      <c r="V44" s="112"/>
      <c r="W44" s="13"/>
      <c r="X44" s="13"/>
      <c r="Y44" s="621"/>
      <c r="Z44" s="622"/>
      <c r="AA44" s="11">
        <f t="shared" si="2"/>
        <v>-128.719015409029</v>
      </c>
      <c r="AB44" s="115">
        <f t="shared" si="57"/>
        <v>0.95709366153032371</v>
      </c>
      <c r="AC44" s="584"/>
    </row>
    <row r="45" spans="1:29" ht="15.75" customHeight="1">
      <c r="A45" s="633" t="s">
        <v>348</v>
      </c>
      <c r="B45" s="26" t="s">
        <v>40</v>
      </c>
      <c r="C45" s="616" t="s">
        <v>73</v>
      </c>
      <c r="D45" s="616"/>
      <c r="E45" s="26">
        <v>46</v>
      </c>
      <c r="F45" s="28">
        <v>2110</v>
      </c>
      <c r="G45" s="110">
        <f t="shared" ref="G45:G50" si="67">E45*F45</f>
        <v>97060</v>
      </c>
      <c r="H45" s="21" t="s">
        <v>35</v>
      </c>
      <c r="I45" s="113">
        <v>17</v>
      </c>
      <c r="J45" s="23">
        <v>2000</v>
      </c>
      <c r="K45" s="9">
        <f t="shared" ref="K45:K50" si="68">J45/I45</f>
        <v>117.64705882352941</v>
      </c>
      <c r="L45" s="113">
        <v>17</v>
      </c>
      <c r="M45" s="10">
        <f t="shared" ref="M45:M50" si="69">F45/V45*60</f>
        <v>1918.1818181818189</v>
      </c>
      <c r="N45" s="10">
        <f>M45/L45</f>
        <v>112.83422459893052</v>
      </c>
      <c r="O45" s="11">
        <f>L45-I45</f>
        <v>0</v>
      </c>
      <c r="P45" s="12">
        <f>N45-K45</f>
        <v>-4.8128342245988875</v>
      </c>
      <c r="Q45" s="115">
        <f>N45/K45</f>
        <v>0.95909090909090944</v>
      </c>
      <c r="R45" s="571">
        <f>Q51</f>
        <v>0.96035580114144348</v>
      </c>
      <c r="S45" s="24">
        <v>0.20833333333333334</v>
      </c>
      <c r="T45" s="24">
        <v>0.25416666666666665</v>
      </c>
      <c r="U45" s="15"/>
      <c r="V45" s="112">
        <f t="shared" ref="V45:V50" si="70">(T45-S45)*24*60</f>
        <v>65.999999999999972</v>
      </c>
      <c r="W45" s="15"/>
      <c r="X45" s="15"/>
      <c r="Y45" s="617"/>
      <c r="Z45" s="617"/>
      <c r="AA45" s="11">
        <f t="shared" si="2"/>
        <v>-81.818181818181074</v>
      </c>
      <c r="AB45" s="115">
        <f t="shared" si="57"/>
        <v>0.95909090909090944</v>
      </c>
      <c r="AC45" s="571">
        <f>AB51</f>
        <v>0.96035580114144348</v>
      </c>
    </row>
    <row r="46" spans="1:29" ht="15.75" customHeight="1">
      <c r="A46" s="633" t="s">
        <v>348</v>
      </c>
      <c r="B46" s="26" t="s">
        <v>40</v>
      </c>
      <c r="C46" s="616" t="s">
        <v>74</v>
      </c>
      <c r="D46" s="616"/>
      <c r="E46" s="26">
        <v>46</v>
      </c>
      <c r="F46" s="28">
        <v>2375</v>
      </c>
      <c r="G46" s="110">
        <f t="shared" si="67"/>
        <v>109250</v>
      </c>
      <c r="H46" s="21" t="s">
        <v>35</v>
      </c>
      <c r="I46" s="113">
        <v>17</v>
      </c>
      <c r="J46" s="23">
        <v>2000</v>
      </c>
      <c r="K46" s="9">
        <f t="shared" si="68"/>
        <v>117.64705882352941</v>
      </c>
      <c r="L46" s="113">
        <v>17</v>
      </c>
      <c r="M46" s="10">
        <f t="shared" si="69"/>
        <v>1925.6756756756763</v>
      </c>
      <c r="N46" s="10">
        <f t="shared" ref="N46:N50" si="71">M46/L46</f>
        <v>113.27503974562802</v>
      </c>
      <c r="O46" s="11">
        <f t="shared" ref="O46:O50" si="72">L46-I46</f>
        <v>0</v>
      </c>
      <c r="P46" s="12">
        <f t="shared" ref="P46:P50" si="73">N46-K46</f>
        <v>-4.3720190779013848</v>
      </c>
      <c r="Q46" s="115">
        <f t="shared" ref="Q46:Q50" si="74">N46/K46</f>
        <v>0.96283783783783827</v>
      </c>
      <c r="R46" s="571"/>
      <c r="S46" s="24">
        <v>0.25972222222222219</v>
      </c>
      <c r="T46" s="24">
        <v>0.31111111111111106</v>
      </c>
      <c r="U46" s="110">
        <f>IF(S46=TIME(17,0,0),"",(S46-T45)*24*60)</f>
        <v>7.9999999999999716</v>
      </c>
      <c r="V46" s="112">
        <f t="shared" si="70"/>
        <v>73.999999999999972</v>
      </c>
      <c r="W46" s="13"/>
      <c r="X46" s="13"/>
      <c r="Y46" s="617"/>
      <c r="Z46" s="617"/>
      <c r="AA46" s="11">
        <f t="shared" si="2"/>
        <v>-74.324324324323698</v>
      </c>
      <c r="AB46" s="115">
        <f t="shared" si="57"/>
        <v>0.96283783783783816</v>
      </c>
      <c r="AC46" s="571"/>
    </row>
    <row r="47" spans="1:29" ht="15.75" customHeight="1">
      <c r="A47" s="633" t="s">
        <v>348</v>
      </c>
      <c r="B47" s="26" t="s">
        <v>36</v>
      </c>
      <c r="C47" s="627" t="s">
        <v>75</v>
      </c>
      <c r="D47" s="628"/>
      <c r="E47" s="26">
        <v>54.09</v>
      </c>
      <c r="F47" s="28">
        <v>959</v>
      </c>
      <c r="G47" s="110">
        <f t="shared" si="67"/>
        <v>51872.310000000005</v>
      </c>
      <c r="H47" s="21" t="s">
        <v>35</v>
      </c>
      <c r="I47" s="113">
        <v>16</v>
      </c>
      <c r="J47" s="23">
        <v>2000</v>
      </c>
      <c r="K47" s="9">
        <f t="shared" si="68"/>
        <v>125</v>
      </c>
      <c r="L47" s="113">
        <v>16</v>
      </c>
      <c r="M47" s="10">
        <f t="shared" si="69"/>
        <v>1918.0000000000018</v>
      </c>
      <c r="N47" s="10">
        <f t="shared" si="71"/>
        <v>119.87500000000011</v>
      </c>
      <c r="O47" s="11">
        <f t="shared" si="72"/>
        <v>0</v>
      </c>
      <c r="P47" s="12">
        <f t="shared" si="73"/>
        <v>-5.1249999999998863</v>
      </c>
      <c r="Q47" s="115">
        <f t="shared" si="74"/>
        <v>0.95900000000000096</v>
      </c>
      <c r="R47" s="571"/>
      <c r="S47" s="24">
        <v>0.3166666666666666</v>
      </c>
      <c r="T47" s="24">
        <v>0.33749999999999991</v>
      </c>
      <c r="U47" s="110">
        <f t="shared" ref="U47:U50" si="75">IF(S47=TIME(17,0,0),"",(S47-T46)*24*60)</f>
        <v>7.9999999999999716</v>
      </c>
      <c r="V47" s="112">
        <f t="shared" si="70"/>
        <v>29.999999999999972</v>
      </c>
      <c r="W47" s="13"/>
      <c r="X47" s="13"/>
      <c r="Y47" s="116"/>
      <c r="Z47" s="117"/>
      <c r="AA47" s="11">
        <f t="shared" si="2"/>
        <v>-81.999999999998181</v>
      </c>
      <c r="AB47" s="115">
        <f t="shared" si="57"/>
        <v>0.95900000000000096</v>
      </c>
      <c r="AC47" s="571"/>
    </row>
    <row r="48" spans="1:29" ht="15.75" customHeight="1">
      <c r="A48" s="633" t="s">
        <v>348</v>
      </c>
      <c r="B48" s="26" t="s">
        <v>36</v>
      </c>
      <c r="C48" s="120" t="s">
        <v>76</v>
      </c>
      <c r="D48" s="121"/>
      <c r="E48" s="26">
        <v>55.56</v>
      </c>
      <c r="F48" s="28">
        <v>1785</v>
      </c>
      <c r="G48" s="110">
        <f t="shared" si="67"/>
        <v>99174.6</v>
      </c>
      <c r="H48" s="21" t="s">
        <v>35</v>
      </c>
      <c r="I48" s="113">
        <v>17</v>
      </c>
      <c r="J48" s="23">
        <v>2000</v>
      </c>
      <c r="K48" s="9">
        <f t="shared" si="68"/>
        <v>117.64705882352941</v>
      </c>
      <c r="L48" s="113">
        <v>17</v>
      </c>
      <c r="M48" s="10">
        <f t="shared" si="69"/>
        <v>1912.5000000000016</v>
      </c>
      <c r="N48" s="10">
        <f t="shared" si="71"/>
        <v>112.5000000000001</v>
      </c>
      <c r="O48" s="11">
        <f t="shared" si="72"/>
        <v>0</v>
      </c>
      <c r="P48" s="12">
        <f t="shared" si="73"/>
        <v>-5.1470588235293064</v>
      </c>
      <c r="Q48" s="115">
        <f t="shared" si="74"/>
        <v>0.95625000000000093</v>
      </c>
      <c r="R48" s="571"/>
      <c r="S48" s="24">
        <v>0.70833333333333337</v>
      </c>
      <c r="T48" s="24">
        <v>0.74722222222222223</v>
      </c>
      <c r="U48" s="110" t="str">
        <f t="shared" si="75"/>
        <v/>
      </c>
      <c r="V48" s="112">
        <f t="shared" si="70"/>
        <v>55.999999999999957</v>
      </c>
      <c r="W48" s="13"/>
      <c r="X48" s="13"/>
      <c r="Y48" s="116"/>
      <c r="Z48" s="117"/>
      <c r="AA48" s="11">
        <f t="shared" si="2"/>
        <v>-87.499999999998408</v>
      </c>
      <c r="AB48" s="115">
        <f t="shared" si="57"/>
        <v>0.95625000000000082</v>
      </c>
      <c r="AC48" s="571"/>
    </row>
    <row r="49" spans="1:29" ht="15.75" customHeight="1">
      <c r="A49" s="633" t="s">
        <v>348</v>
      </c>
      <c r="B49" s="26" t="s">
        <v>36</v>
      </c>
      <c r="C49" s="120" t="s">
        <v>77</v>
      </c>
      <c r="D49" s="121"/>
      <c r="E49" s="26">
        <v>55.32</v>
      </c>
      <c r="F49" s="28">
        <v>1343</v>
      </c>
      <c r="G49" s="110">
        <f t="shared" si="67"/>
        <v>74294.759999999995</v>
      </c>
      <c r="H49" s="21" t="s">
        <v>35</v>
      </c>
      <c r="I49" s="113">
        <v>15</v>
      </c>
      <c r="J49" s="23">
        <v>2000</v>
      </c>
      <c r="K49" s="9">
        <f t="shared" si="68"/>
        <v>133.33333333333334</v>
      </c>
      <c r="L49" s="113">
        <v>15</v>
      </c>
      <c r="M49" s="10">
        <f t="shared" si="69"/>
        <v>1918.5714285714278</v>
      </c>
      <c r="N49" s="10">
        <f t="shared" si="71"/>
        <v>127.90476190476186</v>
      </c>
      <c r="O49" s="11">
        <f t="shared" si="72"/>
        <v>0</v>
      </c>
      <c r="P49" s="12">
        <f t="shared" si="73"/>
        <v>-5.4285714285714874</v>
      </c>
      <c r="Q49" s="115">
        <f t="shared" si="74"/>
        <v>0.95928571428571385</v>
      </c>
      <c r="R49" s="571"/>
      <c r="S49" s="24">
        <v>0.75277777777777777</v>
      </c>
      <c r="T49" s="24">
        <v>0.78194444444444444</v>
      </c>
      <c r="U49" s="110">
        <f t="shared" si="75"/>
        <v>7.9999999999999716</v>
      </c>
      <c r="V49" s="112">
        <f t="shared" si="70"/>
        <v>42.000000000000014</v>
      </c>
      <c r="W49" s="13"/>
      <c r="X49" s="13"/>
      <c r="Y49" s="116"/>
      <c r="Z49" s="117"/>
      <c r="AA49" s="11">
        <f t="shared" si="2"/>
        <v>-81.428571428572241</v>
      </c>
      <c r="AB49" s="115">
        <f t="shared" si="57"/>
        <v>0.95928571428571385</v>
      </c>
      <c r="AC49" s="571"/>
    </row>
    <row r="50" spans="1:29" ht="15.75" customHeight="1">
      <c r="A50" s="633" t="s">
        <v>348</v>
      </c>
      <c r="B50" s="26" t="s">
        <v>36</v>
      </c>
      <c r="C50" s="627" t="s">
        <v>78</v>
      </c>
      <c r="D50" s="628"/>
      <c r="E50" s="26">
        <v>57.73</v>
      </c>
      <c r="F50" s="28">
        <v>1040</v>
      </c>
      <c r="G50" s="110">
        <f t="shared" si="67"/>
        <v>60039.199999999997</v>
      </c>
      <c r="H50" s="21" t="s">
        <v>35</v>
      </c>
      <c r="I50" s="113">
        <v>16</v>
      </c>
      <c r="J50" s="23">
        <v>1500</v>
      </c>
      <c r="K50" s="9">
        <f t="shared" si="68"/>
        <v>93.75</v>
      </c>
      <c r="L50" s="113">
        <v>16</v>
      </c>
      <c r="M50" s="10">
        <f t="shared" si="69"/>
        <v>1451.1627906976742</v>
      </c>
      <c r="N50" s="10">
        <f t="shared" si="71"/>
        <v>90.697674418604635</v>
      </c>
      <c r="O50" s="11">
        <f t="shared" si="72"/>
        <v>0</v>
      </c>
      <c r="P50" s="12">
        <f t="shared" si="73"/>
        <v>-3.0523255813953654</v>
      </c>
      <c r="Q50" s="115">
        <f t="shared" si="74"/>
        <v>0.96744186046511615</v>
      </c>
      <c r="R50" s="571"/>
      <c r="S50" s="24">
        <v>0.78680555555555554</v>
      </c>
      <c r="T50" s="24">
        <v>0.81666666666666665</v>
      </c>
      <c r="U50" s="110">
        <f t="shared" si="75"/>
        <v>6.9999999999999751</v>
      </c>
      <c r="V50" s="112">
        <f t="shared" si="70"/>
        <v>43.000000000000007</v>
      </c>
      <c r="W50" s="13"/>
      <c r="X50" s="13"/>
      <c r="Y50" s="621"/>
      <c r="Z50" s="622"/>
      <c r="AA50" s="11">
        <f t="shared" si="2"/>
        <v>-48.837209302325846</v>
      </c>
      <c r="AB50" s="115">
        <f t="shared" si="57"/>
        <v>0.96744186046511615</v>
      </c>
      <c r="AC50" s="571"/>
    </row>
    <row r="51" spans="1:29">
      <c r="A51" s="634" t="s">
        <v>348</v>
      </c>
      <c r="B51" s="26" t="s">
        <v>343</v>
      </c>
      <c r="C51" s="629"/>
      <c r="D51" s="629"/>
      <c r="E51" s="114"/>
      <c r="F51" s="27"/>
      <c r="G51" s="9"/>
      <c r="H51" s="111"/>
      <c r="I51" s="16">
        <v>16.333333333333332</v>
      </c>
      <c r="J51" s="23">
        <v>1916.6666666666667</v>
      </c>
      <c r="K51" s="9">
        <f>J51/I51</f>
        <v>117.34693877551021</v>
      </c>
      <c r="L51" s="16">
        <v>16.333333333333332</v>
      </c>
      <c r="M51" s="10">
        <f>AVERAGE(M45:M50)</f>
        <v>1840.6819521877667</v>
      </c>
      <c r="N51" s="9">
        <f>M51/L51</f>
        <v>112.69481339925103</v>
      </c>
      <c r="O51" s="11">
        <f>L51-I51</f>
        <v>0</v>
      </c>
      <c r="P51" s="12">
        <f>N51-K51</f>
        <v>-4.6521253762591783</v>
      </c>
      <c r="Q51" s="115">
        <f>N51/K51</f>
        <v>0.96035580114144348</v>
      </c>
      <c r="R51" s="571"/>
      <c r="S51" s="25"/>
      <c r="T51" s="24"/>
      <c r="U51" s="9"/>
      <c r="V51" s="112"/>
      <c r="W51" s="9"/>
      <c r="X51" s="9"/>
      <c r="Y51" s="617"/>
      <c r="Z51" s="617"/>
      <c r="AA51" s="11">
        <f t="shared" si="2"/>
        <v>-75.984714478900059</v>
      </c>
      <c r="AB51" s="115">
        <f t="shared" si="57"/>
        <v>0.96035580114144348</v>
      </c>
      <c r="AC51" s="571"/>
    </row>
    <row r="52" spans="1:29" ht="15.75" customHeight="1">
      <c r="A52" s="623" t="s">
        <v>349</v>
      </c>
      <c r="B52" s="111" t="s">
        <v>67</v>
      </c>
      <c r="C52" s="616" t="s">
        <v>79</v>
      </c>
      <c r="D52" s="616"/>
      <c r="E52" s="26">
        <v>26.78</v>
      </c>
      <c r="F52" s="28">
        <v>2327</v>
      </c>
      <c r="G52" s="110">
        <f t="shared" ref="G52:G56" si="76">E52*F52</f>
        <v>62317.060000000005</v>
      </c>
      <c r="H52" s="21" t="s">
        <v>35</v>
      </c>
      <c r="I52" s="113">
        <v>10</v>
      </c>
      <c r="J52" s="23">
        <v>3000</v>
      </c>
      <c r="K52" s="9">
        <f t="shared" ref="K52:K56" si="77">J52/I52</f>
        <v>300</v>
      </c>
      <c r="L52" s="16">
        <v>10</v>
      </c>
      <c r="M52" s="10">
        <f t="shared" ref="M52:M56" si="78">F52/V52*60</f>
        <v>2908.7500000000009</v>
      </c>
      <c r="N52" s="9">
        <f>M52/L52</f>
        <v>290.87500000000011</v>
      </c>
      <c r="O52" s="11">
        <f t="shared" ref="O52:O56" si="79">L52-I52</f>
        <v>0</v>
      </c>
      <c r="P52" s="12">
        <f t="shared" ref="P52:P56" si="80">N52-K52</f>
        <v>-9.1249999999998863</v>
      </c>
      <c r="Q52" s="115">
        <f>N52/K52</f>
        <v>0.96958333333333369</v>
      </c>
      <c r="R52" s="571">
        <f>Q57</f>
        <v>0.9670202181103067</v>
      </c>
      <c r="S52" s="24">
        <v>0.20833333333333334</v>
      </c>
      <c r="T52" s="24">
        <v>0.24166666666666667</v>
      </c>
      <c r="U52" s="110"/>
      <c r="V52" s="112">
        <f t="shared" ref="V52:V56" si="81">(T52-S52)*24*60</f>
        <v>47.999999999999986</v>
      </c>
      <c r="W52" s="15"/>
      <c r="X52" s="15"/>
      <c r="Y52" s="617"/>
      <c r="Z52" s="617"/>
      <c r="AA52" s="11">
        <f t="shared" si="2"/>
        <v>-91.249999999999091</v>
      </c>
      <c r="AB52" s="115">
        <f t="shared" si="57"/>
        <v>0.96958333333333369</v>
      </c>
      <c r="AC52" s="571">
        <f>AB57</f>
        <v>0.96702021811030658</v>
      </c>
    </row>
    <row r="53" spans="1:29" ht="15.75" customHeight="1">
      <c r="A53" s="623" t="s">
        <v>349</v>
      </c>
      <c r="B53" s="111" t="s">
        <v>67</v>
      </c>
      <c r="C53" s="616" t="s">
        <v>80</v>
      </c>
      <c r="D53" s="616"/>
      <c r="E53" s="26">
        <v>35.119999999999997</v>
      </c>
      <c r="F53" s="28">
        <v>1059</v>
      </c>
      <c r="G53" s="110">
        <f t="shared" si="76"/>
        <v>37192.079999999994</v>
      </c>
      <c r="H53" s="21" t="s">
        <v>35</v>
      </c>
      <c r="I53" s="113">
        <v>13</v>
      </c>
      <c r="J53" s="23">
        <v>2000</v>
      </c>
      <c r="K53" s="9">
        <f t="shared" si="77"/>
        <v>153.84615384615384</v>
      </c>
      <c r="L53" s="16">
        <v>13</v>
      </c>
      <c r="M53" s="10">
        <f t="shared" si="78"/>
        <v>1925.454545454543</v>
      </c>
      <c r="N53" s="9">
        <f t="shared" ref="N53:N56" si="82">M53/L53</f>
        <v>148.11188811188794</v>
      </c>
      <c r="O53" s="11">
        <f t="shared" si="79"/>
        <v>0</v>
      </c>
      <c r="P53" s="12">
        <f t="shared" si="80"/>
        <v>-5.7342657342659038</v>
      </c>
      <c r="Q53" s="115">
        <f t="shared" ref="Q53:Q56" si="83">N53/K53</f>
        <v>0.96272727272727165</v>
      </c>
      <c r="R53" s="571"/>
      <c r="S53" s="24">
        <v>0.24652777777777779</v>
      </c>
      <c r="T53" s="24">
        <v>0.26944444444444449</v>
      </c>
      <c r="U53" s="110">
        <f>(S53-T52)*24*60</f>
        <v>7.0000000000000151</v>
      </c>
      <c r="V53" s="112">
        <f t="shared" si="81"/>
        <v>33.000000000000043</v>
      </c>
      <c r="W53" s="110"/>
      <c r="X53" s="110"/>
      <c r="Y53" s="617"/>
      <c r="Z53" s="617"/>
      <c r="AA53" s="11">
        <f t="shared" si="2"/>
        <v>-74.545454545457005</v>
      </c>
      <c r="AB53" s="115">
        <f t="shared" si="57"/>
        <v>0.96272727272727154</v>
      </c>
      <c r="AC53" s="571"/>
    </row>
    <row r="54" spans="1:29" ht="15.75" customHeight="1">
      <c r="A54" s="623" t="s">
        <v>349</v>
      </c>
      <c r="B54" s="111" t="s">
        <v>67</v>
      </c>
      <c r="C54" s="616" t="s">
        <v>81</v>
      </c>
      <c r="D54" s="616"/>
      <c r="E54" s="26">
        <v>35.869999999999997</v>
      </c>
      <c r="F54" s="28">
        <v>1927</v>
      </c>
      <c r="G54" s="110">
        <f t="shared" si="76"/>
        <v>69121.489999999991</v>
      </c>
      <c r="H54" s="21" t="s">
        <v>35</v>
      </c>
      <c r="I54" s="113">
        <v>10</v>
      </c>
      <c r="J54" s="23">
        <v>3000</v>
      </c>
      <c r="K54" s="9">
        <f t="shared" si="77"/>
        <v>300</v>
      </c>
      <c r="L54" s="16">
        <v>10</v>
      </c>
      <c r="M54" s="10">
        <f t="shared" si="78"/>
        <v>2890.4999999999991</v>
      </c>
      <c r="N54" s="9">
        <f t="shared" si="82"/>
        <v>289.0499999999999</v>
      </c>
      <c r="O54" s="11">
        <f t="shared" si="79"/>
        <v>0</v>
      </c>
      <c r="P54" s="12">
        <f t="shared" si="80"/>
        <v>-10.950000000000102</v>
      </c>
      <c r="Q54" s="115">
        <f t="shared" si="83"/>
        <v>0.96349999999999969</v>
      </c>
      <c r="R54" s="571"/>
      <c r="S54" s="24">
        <v>0.27500000000000002</v>
      </c>
      <c r="T54" s="24">
        <v>0.30277777777777781</v>
      </c>
      <c r="U54" s="110">
        <f t="shared" ref="U54:U56" si="84">(S54-T53)*24*60</f>
        <v>7.9999999999999716</v>
      </c>
      <c r="V54" s="112">
        <f t="shared" si="81"/>
        <v>40.000000000000014</v>
      </c>
      <c r="W54" s="110"/>
      <c r="X54" s="110"/>
      <c r="Y54" s="617"/>
      <c r="Z54" s="617"/>
      <c r="AA54" s="11">
        <f t="shared" si="2"/>
        <v>-109.50000000000091</v>
      </c>
      <c r="AB54" s="115">
        <f t="shared" si="57"/>
        <v>0.96349999999999969</v>
      </c>
      <c r="AC54" s="571"/>
    </row>
    <row r="55" spans="1:29" ht="15.75" customHeight="1">
      <c r="A55" s="623" t="s">
        <v>349</v>
      </c>
      <c r="B55" s="111" t="s">
        <v>40</v>
      </c>
      <c r="C55" s="616" t="s">
        <v>82</v>
      </c>
      <c r="D55" s="616"/>
      <c r="E55" s="26">
        <v>26.97</v>
      </c>
      <c r="F55" s="28">
        <v>2701</v>
      </c>
      <c r="G55" s="110">
        <f t="shared" si="76"/>
        <v>72845.97</v>
      </c>
      <c r="H55" s="21" t="s">
        <v>35</v>
      </c>
      <c r="I55" s="113">
        <v>8</v>
      </c>
      <c r="J55" s="23">
        <v>1500</v>
      </c>
      <c r="K55" s="9">
        <f t="shared" si="77"/>
        <v>187.5</v>
      </c>
      <c r="L55" s="16">
        <v>8</v>
      </c>
      <c r="M55" s="10">
        <f t="shared" si="78"/>
        <v>1434.1592920353983</v>
      </c>
      <c r="N55" s="9">
        <f t="shared" si="82"/>
        <v>179.26991150442478</v>
      </c>
      <c r="O55" s="11">
        <f t="shared" si="79"/>
        <v>0</v>
      </c>
      <c r="P55" s="12">
        <f t="shared" si="80"/>
        <v>-8.2300884955752167</v>
      </c>
      <c r="Q55" s="115">
        <f t="shared" si="83"/>
        <v>0.95610619469026548</v>
      </c>
      <c r="R55" s="571"/>
      <c r="S55" s="24">
        <v>0.30694444444444446</v>
      </c>
      <c r="T55" s="24">
        <v>0.38541666666666669</v>
      </c>
      <c r="U55" s="110">
        <f t="shared" si="84"/>
        <v>5.9999999999999787</v>
      </c>
      <c r="V55" s="112">
        <f t="shared" si="81"/>
        <v>113</v>
      </c>
      <c r="W55" s="110"/>
      <c r="X55" s="110"/>
      <c r="Y55" s="617"/>
      <c r="Z55" s="617"/>
      <c r="AA55" s="11">
        <f t="shared" si="2"/>
        <v>-65.840707964601734</v>
      </c>
      <c r="AB55" s="115">
        <f t="shared" si="57"/>
        <v>0.95610619469026548</v>
      </c>
      <c r="AC55" s="571"/>
    </row>
    <row r="56" spans="1:29">
      <c r="A56" s="624" t="s">
        <v>349</v>
      </c>
      <c r="B56" s="111" t="s">
        <v>67</v>
      </c>
      <c r="C56" s="616" t="s">
        <v>83</v>
      </c>
      <c r="D56" s="616"/>
      <c r="E56" s="26">
        <v>35.369999999999997</v>
      </c>
      <c r="F56" s="28">
        <v>1318</v>
      </c>
      <c r="G56" s="110">
        <f t="shared" si="76"/>
        <v>46617.659999999996</v>
      </c>
      <c r="H56" s="21" t="s">
        <v>35</v>
      </c>
      <c r="I56" s="113">
        <v>10</v>
      </c>
      <c r="J56" s="23">
        <v>3000</v>
      </c>
      <c r="K56" s="9">
        <f t="shared" si="77"/>
        <v>300</v>
      </c>
      <c r="L56" s="16">
        <v>10</v>
      </c>
      <c r="M56" s="10">
        <f t="shared" si="78"/>
        <v>2928.8888888888905</v>
      </c>
      <c r="N56" s="9">
        <f t="shared" si="82"/>
        <v>292.88888888888903</v>
      </c>
      <c r="O56" s="11">
        <f t="shared" si="79"/>
        <v>0</v>
      </c>
      <c r="P56" s="12">
        <f t="shared" si="80"/>
        <v>-7.1111111111109722</v>
      </c>
      <c r="Q56" s="115">
        <f t="shared" si="83"/>
        <v>0.97629629629629677</v>
      </c>
      <c r="R56" s="571"/>
      <c r="S56" s="24">
        <v>0.39027777777777778</v>
      </c>
      <c r="T56" s="24">
        <v>0.40902777777777777</v>
      </c>
      <c r="U56" s="110">
        <f t="shared" si="84"/>
        <v>6.9999999999999751</v>
      </c>
      <c r="V56" s="112">
        <f t="shared" si="81"/>
        <v>26.999999999999986</v>
      </c>
      <c r="W56" s="13"/>
      <c r="X56" s="13"/>
      <c r="Y56" s="617"/>
      <c r="Z56" s="617"/>
      <c r="AA56" s="11">
        <f t="shared" si="2"/>
        <v>-71.111111111109494</v>
      </c>
      <c r="AB56" s="115">
        <f t="shared" si="57"/>
        <v>0.97629629629629688</v>
      </c>
      <c r="AC56" s="571"/>
    </row>
    <row r="57" spans="1:29">
      <c r="A57" s="624" t="s">
        <v>349</v>
      </c>
      <c r="B57" s="26" t="s">
        <v>343</v>
      </c>
      <c r="C57" s="629"/>
      <c r="D57" s="629"/>
      <c r="E57" s="114"/>
      <c r="F57" s="27"/>
      <c r="G57" s="9"/>
      <c r="H57" s="111"/>
      <c r="I57" s="16">
        <v>10.199999999999999</v>
      </c>
      <c r="J57" s="23">
        <v>2500</v>
      </c>
      <c r="K57" s="9">
        <f>J57/I57</f>
        <v>245.0980392156863</v>
      </c>
      <c r="L57" s="16">
        <v>10.199999999999999</v>
      </c>
      <c r="M57" s="10">
        <f>AVERAGE(M52:M56)</f>
        <v>2417.5505452757666</v>
      </c>
      <c r="N57" s="9">
        <f>M57/L57</f>
        <v>237.01475934076146</v>
      </c>
      <c r="O57" s="11">
        <f>L57-I57</f>
        <v>0</v>
      </c>
      <c r="P57" s="12">
        <f>N57-K57</f>
        <v>-8.0832798749248411</v>
      </c>
      <c r="Q57" s="115">
        <f>N57/K57</f>
        <v>0.9670202181103067</v>
      </c>
      <c r="R57" s="571"/>
      <c r="S57" s="24"/>
      <c r="T57" s="24"/>
      <c r="U57" s="9"/>
      <c r="V57" s="112"/>
      <c r="W57" s="9"/>
      <c r="X57" s="9"/>
      <c r="Y57" s="617"/>
      <c r="Z57" s="617"/>
      <c r="AA57" s="11">
        <f t="shared" si="2"/>
        <v>-82.449454724233419</v>
      </c>
      <c r="AB57" s="115">
        <f t="shared" si="57"/>
        <v>0.96702021811030658</v>
      </c>
      <c r="AC57" s="571"/>
    </row>
    <row r="58" spans="1:29" ht="15.75" customHeight="1">
      <c r="A58" s="643" t="s">
        <v>350</v>
      </c>
      <c r="B58" s="111" t="s">
        <v>46</v>
      </c>
      <c r="C58" s="616" t="s">
        <v>84</v>
      </c>
      <c r="D58" s="616"/>
      <c r="E58" s="26">
        <v>20.2</v>
      </c>
      <c r="F58" s="111">
        <v>1731</v>
      </c>
      <c r="G58" s="110">
        <f t="shared" ref="G58:G63" si="85">E58*F58</f>
        <v>34966.199999999997</v>
      </c>
      <c r="H58" s="21" t="s">
        <v>35</v>
      </c>
      <c r="I58" s="113">
        <v>19</v>
      </c>
      <c r="J58" s="23">
        <v>2400</v>
      </c>
      <c r="K58" s="9">
        <f t="shared" ref="K58:K60" si="86">J58/I58</f>
        <v>126.31578947368421</v>
      </c>
      <c r="L58" s="16">
        <v>19</v>
      </c>
      <c r="M58" s="10">
        <f>F58/V58*60</f>
        <v>2308</v>
      </c>
      <c r="N58" s="9">
        <f t="shared" ref="N58:N63" si="87">M58/L58</f>
        <v>121.47368421052632</v>
      </c>
      <c r="O58" s="11">
        <f t="shared" ref="O58:O63" si="88">L58-I58</f>
        <v>0</v>
      </c>
      <c r="P58" s="12">
        <f t="shared" ref="P58:P63" si="89">N58-K58</f>
        <v>-4.8421052631578902</v>
      </c>
      <c r="Q58" s="115">
        <f>N58/K58</f>
        <v>0.96166666666666667</v>
      </c>
      <c r="R58" s="571">
        <f>Q64</f>
        <v>0.95996244166536893</v>
      </c>
      <c r="S58" s="24">
        <v>0.125</v>
      </c>
      <c r="T58" s="24">
        <v>0.15625</v>
      </c>
      <c r="U58" s="15"/>
      <c r="V58" s="112">
        <f t="shared" ref="V58:V63" si="90">(T58-S58)*24*60</f>
        <v>45</v>
      </c>
      <c r="W58" s="13">
        <f>T58</f>
        <v>0.15625</v>
      </c>
      <c r="X58" s="13">
        <f>S59</f>
        <v>0.17708333333333334</v>
      </c>
      <c r="Y58" s="617"/>
      <c r="Z58" s="617"/>
      <c r="AA58" s="11">
        <f t="shared" si="2"/>
        <v>-92</v>
      </c>
      <c r="AB58" s="115">
        <f>M58/J58</f>
        <v>0.96166666666666667</v>
      </c>
      <c r="AC58" s="571">
        <f>AB64</f>
        <v>0.95996244166536904</v>
      </c>
    </row>
    <row r="59" spans="1:29" ht="15.75" customHeight="1">
      <c r="A59" s="643" t="s">
        <v>351</v>
      </c>
      <c r="B59" s="111" t="s">
        <v>46</v>
      </c>
      <c r="C59" s="616" t="s">
        <v>85</v>
      </c>
      <c r="D59" s="616"/>
      <c r="E59" s="26">
        <v>19.02</v>
      </c>
      <c r="F59" s="111">
        <v>7329</v>
      </c>
      <c r="G59" s="110">
        <f t="shared" si="85"/>
        <v>139397.57999999999</v>
      </c>
      <c r="H59" s="21" t="s">
        <v>35</v>
      </c>
      <c r="I59" s="113">
        <v>15</v>
      </c>
      <c r="J59" s="23">
        <v>2400</v>
      </c>
      <c r="K59" s="9">
        <f t="shared" si="86"/>
        <v>160</v>
      </c>
      <c r="L59" s="16">
        <v>15</v>
      </c>
      <c r="M59" s="10">
        <f t="shared" ref="M59:M63" si="91">F59/V59*60</f>
        <v>2290.3125</v>
      </c>
      <c r="N59" s="9">
        <f t="shared" si="87"/>
        <v>152.6875</v>
      </c>
      <c r="O59" s="11">
        <f t="shared" si="88"/>
        <v>0</v>
      </c>
      <c r="P59" s="12">
        <f t="shared" si="89"/>
        <v>-7.3125</v>
      </c>
      <c r="Q59" s="115">
        <f t="shared" ref="Q59:Q64" si="92">N59/K59</f>
        <v>0.95429687500000004</v>
      </c>
      <c r="R59" s="571"/>
      <c r="S59" s="24">
        <v>0.17708333333333334</v>
      </c>
      <c r="T59" s="24">
        <v>0.31041666666666667</v>
      </c>
      <c r="U59" s="110">
        <f>(S59-T58)*24*60</f>
        <v>30.000000000000014</v>
      </c>
      <c r="V59" s="112">
        <f t="shared" si="90"/>
        <v>192</v>
      </c>
      <c r="W59" s="13"/>
      <c r="X59" s="13"/>
      <c r="Y59" s="617"/>
      <c r="Z59" s="617"/>
      <c r="AA59" s="11">
        <f t="shared" si="2"/>
        <v>-109.6875</v>
      </c>
      <c r="AB59" s="115">
        <f t="shared" ref="AB59:AB64" si="93">M59/J59</f>
        <v>0.95429687500000004</v>
      </c>
      <c r="AC59" s="571"/>
    </row>
    <row r="60" spans="1:29" ht="15.75" customHeight="1">
      <c r="A60" s="643" t="s">
        <v>352</v>
      </c>
      <c r="B60" s="111" t="s">
        <v>46</v>
      </c>
      <c r="C60" s="616" t="s">
        <v>86</v>
      </c>
      <c r="D60" s="616"/>
      <c r="E60" s="26">
        <v>24.25</v>
      </c>
      <c r="F60" s="111">
        <v>2215</v>
      </c>
      <c r="G60" s="110">
        <f t="shared" si="85"/>
        <v>53713.75</v>
      </c>
      <c r="H60" s="21" t="s">
        <v>35</v>
      </c>
      <c r="I60" s="113">
        <v>18</v>
      </c>
      <c r="J60" s="23">
        <v>2400</v>
      </c>
      <c r="K60" s="9">
        <f t="shared" si="86"/>
        <v>133.33333333333334</v>
      </c>
      <c r="L60" s="16">
        <v>18</v>
      </c>
      <c r="M60" s="10">
        <f t="shared" si="91"/>
        <v>2291.3793103448265</v>
      </c>
      <c r="N60" s="9">
        <f t="shared" si="87"/>
        <v>127.29885057471259</v>
      </c>
      <c r="O60" s="11">
        <f t="shared" si="88"/>
        <v>0</v>
      </c>
      <c r="P60" s="12">
        <f t="shared" si="89"/>
        <v>-6.0344827586207543</v>
      </c>
      <c r="Q60" s="115">
        <f t="shared" si="92"/>
        <v>0.95474137931034431</v>
      </c>
      <c r="R60" s="571"/>
      <c r="S60" s="24">
        <v>0.31527777777777777</v>
      </c>
      <c r="T60" s="24">
        <v>0.35555555555555557</v>
      </c>
      <c r="U60" s="110">
        <f t="shared" ref="U60:U63" si="94">(S60-T59)*24*60</f>
        <v>6.9999999999999751</v>
      </c>
      <c r="V60" s="112">
        <f t="shared" si="90"/>
        <v>58.000000000000036</v>
      </c>
      <c r="W60" s="13"/>
      <c r="X60" s="13"/>
      <c r="Y60" s="617"/>
      <c r="Z60" s="617"/>
      <c r="AA60" s="11">
        <f t="shared" si="2"/>
        <v>-108.62068965517346</v>
      </c>
      <c r="AB60" s="115">
        <f t="shared" si="93"/>
        <v>0.95474137931034442</v>
      </c>
      <c r="AC60" s="571"/>
    </row>
    <row r="61" spans="1:29" ht="15.75" customHeight="1">
      <c r="A61" s="643" t="s">
        <v>351</v>
      </c>
      <c r="B61" s="111" t="s">
        <v>46</v>
      </c>
      <c r="C61" s="616" t="s">
        <v>87</v>
      </c>
      <c r="D61" s="616"/>
      <c r="E61" s="26">
        <v>20.52</v>
      </c>
      <c r="F61" s="111">
        <v>3385</v>
      </c>
      <c r="G61" s="110">
        <f t="shared" si="85"/>
        <v>69460.2</v>
      </c>
      <c r="H61" s="21" t="s">
        <v>35</v>
      </c>
      <c r="I61" s="113">
        <v>18</v>
      </c>
      <c r="J61" s="23">
        <v>2400</v>
      </c>
      <c r="K61" s="9">
        <f>J61/I61</f>
        <v>133.33333333333334</v>
      </c>
      <c r="L61" s="16">
        <v>18</v>
      </c>
      <c r="M61" s="10">
        <f t="shared" si="91"/>
        <v>2282.0224719101125</v>
      </c>
      <c r="N61" s="9">
        <f t="shared" si="87"/>
        <v>126.77902621722848</v>
      </c>
      <c r="O61" s="11">
        <f t="shared" si="88"/>
        <v>0</v>
      </c>
      <c r="P61" s="12">
        <f t="shared" si="89"/>
        <v>-6.5543071161048658</v>
      </c>
      <c r="Q61" s="115">
        <f t="shared" si="92"/>
        <v>0.9508426966292135</v>
      </c>
      <c r="R61" s="571"/>
      <c r="S61" s="24">
        <v>0.35972222222222222</v>
      </c>
      <c r="T61" s="24">
        <v>0.42152777777777778</v>
      </c>
      <c r="U61" s="110">
        <f t="shared" si="94"/>
        <v>5.9999999999999787</v>
      </c>
      <c r="V61" s="112">
        <f t="shared" si="90"/>
        <v>89</v>
      </c>
      <c r="W61" s="13"/>
      <c r="X61" s="13"/>
      <c r="Y61" s="617"/>
      <c r="Z61" s="617"/>
      <c r="AA61" s="11">
        <f t="shared" si="2"/>
        <v>-117.97752808988753</v>
      </c>
      <c r="AB61" s="115">
        <f t="shared" si="93"/>
        <v>0.9508426966292135</v>
      </c>
      <c r="AC61" s="571"/>
    </row>
    <row r="62" spans="1:29" ht="15.75" customHeight="1">
      <c r="A62" s="643" t="s">
        <v>352</v>
      </c>
      <c r="B62" s="111" t="s">
        <v>46</v>
      </c>
      <c r="C62" s="616" t="s">
        <v>88</v>
      </c>
      <c r="D62" s="616"/>
      <c r="E62" s="26">
        <v>24.25</v>
      </c>
      <c r="F62" s="111">
        <v>3416</v>
      </c>
      <c r="G62" s="110">
        <f t="shared" si="85"/>
        <v>82838</v>
      </c>
      <c r="H62" s="21" t="s">
        <v>35</v>
      </c>
      <c r="I62" s="113">
        <v>17</v>
      </c>
      <c r="J62" s="23">
        <v>2400</v>
      </c>
      <c r="K62" s="9">
        <f t="shared" ref="K62:K64" si="95">J62/I62</f>
        <v>141.1764705882353</v>
      </c>
      <c r="L62" s="16">
        <v>17</v>
      </c>
      <c r="M62" s="10">
        <f t="shared" si="91"/>
        <v>2302.9213483146068</v>
      </c>
      <c r="N62" s="9">
        <f t="shared" si="87"/>
        <v>135.46596166556512</v>
      </c>
      <c r="O62" s="11">
        <f t="shared" si="88"/>
        <v>0</v>
      </c>
      <c r="P62" s="12">
        <f t="shared" si="89"/>
        <v>-5.7105089226701864</v>
      </c>
      <c r="Q62" s="115">
        <f t="shared" si="92"/>
        <v>0.95955056179775289</v>
      </c>
      <c r="R62" s="571"/>
      <c r="S62" s="24">
        <v>0.42569444444444443</v>
      </c>
      <c r="T62" s="24">
        <v>0.48749999999999999</v>
      </c>
      <c r="U62" s="110">
        <f t="shared" si="94"/>
        <v>5.9999999999999787</v>
      </c>
      <c r="V62" s="112">
        <f t="shared" si="90"/>
        <v>89</v>
      </c>
      <c r="W62" s="13"/>
      <c r="X62" s="13"/>
      <c r="Y62" s="617"/>
      <c r="Z62" s="617"/>
      <c r="AA62" s="11">
        <f t="shared" si="2"/>
        <v>-97.078651685393197</v>
      </c>
      <c r="AB62" s="115">
        <f t="shared" si="93"/>
        <v>0.95955056179775289</v>
      </c>
      <c r="AC62" s="571"/>
    </row>
    <row r="63" spans="1:29" ht="15.75" customHeight="1">
      <c r="A63" s="643" t="s">
        <v>351</v>
      </c>
      <c r="B63" s="111" t="s">
        <v>46</v>
      </c>
      <c r="C63" s="616" t="s">
        <v>48</v>
      </c>
      <c r="D63" s="616"/>
      <c r="E63" s="26">
        <v>22.35</v>
      </c>
      <c r="F63" s="111">
        <v>1331</v>
      </c>
      <c r="G63" s="110">
        <f t="shared" si="85"/>
        <v>29747.850000000002</v>
      </c>
      <c r="H63" s="21" t="s">
        <v>35</v>
      </c>
      <c r="I63" s="113">
        <v>16</v>
      </c>
      <c r="J63" s="23">
        <v>2400</v>
      </c>
      <c r="K63" s="9">
        <f t="shared" si="95"/>
        <v>150</v>
      </c>
      <c r="L63" s="16">
        <v>16</v>
      </c>
      <c r="M63" s="10">
        <f t="shared" si="91"/>
        <v>2348.8235294117676</v>
      </c>
      <c r="N63" s="9">
        <f t="shared" si="87"/>
        <v>146.80147058823547</v>
      </c>
      <c r="O63" s="11">
        <f t="shared" si="88"/>
        <v>0</v>
      </c>
      <c r="P63" s="12">
        <f t="shared" si="89"/>
        <v>-3.1985294117645253</v>
      </c>
      <c r="Q63" s="115">
        <f t="shared" si="92"/>
        <v>0.97867647058823648</v>
      </c>
      <c r="R63" s="571"/>
      <c r="S63" s="24">
        <v>0.49236111111111108</v>
      </c>
      <c r="T63" s="24">
        <v>0.51597222222222217</v>
      </c>
      <c r="U63" s="110">
        <f t="shared" si="94"/>
        <v>6.9999999999999751</v>
      </c>
      <c r="V63" s="112">
        <f t="shared" si="90"/>
        <v>33.999999999999957</v>
      </c>
      <c r="W63" s="13"/>
      <c r="X63" s="13"/>
      <c r="Y63" s="617"/>
      <c r="Z63" s="617"/>
      <c r="AA63" s="11">
        <f t="shared" si="2"/>
        <v>-51.176470588232405</v>
      </c>
      <c r="AB63" s="115">
        <f t="shared" si="93"/>
        <v>0.97867647058823648</v>
      </c>
      <c r="AC63" s="571"/>
    </row>
    <row r="64" spans="1:29" ht="16.5" customHeight="1">
      <c r="A64" s="660" t="s">
        <v>352</v>
      </c>
      <c r="B64" s="26" t="s">
        <v>22</v>
      </c>
      <c r="C64" s="629"/>
      <c r="D64" s="629"/>
      <c r="E64" s="114"/>
      <c r="F64" s="27"/>
      <c r="G64" s="9"/>
      <c r="H64" s="111"/>
      <c r="I64" s="16">
        <v>17.166666666666668</v>
      </c>
      <c r="J64" s="23">
        <v>2400</v>
      </c>
      <c r="K64" s="9">
        <f t="shared" si="95"/>
        <v>139.80582524271844</v>
      </c>
      <c r="L64" s="16">
        <v>17.166666666666668</v>
      </c>
      <c r="M64" s="10">
        <f>AVERAGE(M58:M63)</f>
        <v>2303.9098599968856</v>
      </c>
      <c r="N64" s="9">
        <f>M64/L64</f>
        <v>134.20834135904187</v>
      </c>
      <c r="O64" s="11">
        <f>L64-I64</f>
        <v>0</v>
      </c>
      <c r="P64" s="12">
        <f>N64-K64</f>
        <v>-5.5974838836765741</v>
      </c>
      <c r="Q64" s="115">
        <f t="shared" si="92"/>
        <v>0.95996244166536893</v>
      </c>
      <c r="R64" s="571"/>
      <c r="S64" s="24"/>
      <c r="T64" s="24"/>
      <c r="U64" s="9"/>
      <c r="V64" s="112"/>
      <c r="W64" s="9"/>
      <c r="X64" s="9"/>
      <c r="Y64" s="617"/>
      <c r="Z64" s="617"/>
      <c r="AA64" s="11">
        <f t="shared" si="2"/>
        <v>-96.090140003114357</v>
      </c>
      <c r="AB64" s="115">
        <f t="shared" si="93"/>
        <v>0.95996244166536904</v>
      </c>
      <c r="AC64" s="571"/>
    </row>
    <row r="65" spans="4:5">
      <c r="D65" s="17"/>
      <c r="E65" s="17"/>
    </row>
  </sheetData>
  <mergeCells count="175">
    <mergeCell ref="I1:K2"/>
    <mergeCell ref="L1:N2"/>
    <mergeCell ref="O1:R2"/>
    <mergeCell ref="S1:X2"/>
    <mergeCell ref="Y1:Z2"/>
    <mergeCell ref="AA1:AC2"/>
    <mergeCell ref="J3:J4"/>
    <mergeCell ref="K3:K4"/>
    <mergeCell ref="L3:L4"/>
    <mergeCell ref="M3:M4"/>
    <mergeCell ref="P3:P4"/>
    <mergeCell ref="Q3:Q4"/>
    <mergeCell ref="R3:R4"/>
    <mergeCell ref="S3:T3"/>
    <mergeCell ref="A3:A4"/>
    <mergeCell ref="B3:B4"/>
    <mergeCell ref="C3:D4"/>
    <mergeCell ref="E3:E4"/>
    <mergeCell ref="F3:F4"/>
    <mergeCell ref="G3:G4"/>
    <mergeCell ref="AC3:AC4"/>
    <mergeCell ref="A5:A8"/>
    <mergeCell ref="C5:D5"/>
    <mergeCell ref="R5:R8"/>
    <mergeCell ref="Y5:Z5"/>
    <mergeCell ref="AC5:AC8"/>
    <mergeCell ref="C6:D6"/>
    <mergeCell ref="Y6:Z6"/>
    <mergeCell ref="C7:D7"/>
    <mergeCell ref="Y7:Z7"/>
    <mergeCell ref="U3:U4"/>
    <mergeCell ref="V3:V4"/>
    <mergeCell ref="W3:X3"/>
    <mergeCell ref="Y3:Z4"/>
    <mergeCell ref="AA3:AA4"/>
    <mergeCell ref="AB3:AB4"/>
    <mergeCell ref="N3:N4"/>
    <mergeCell ref="O3:O4"/>
    <mergeCell ref="H3:H4"/>
    <mergeCell ref="I3:I4"/>
    <mergeCell ref="A12:A19"/>
    <mergeCell ref="C12:D12"/>
    <mergeCell ref="R12:R19"/>
    <mergeCell ref="Y12:Z12"/>
    <mergeCell ref="AC12:AC19"/>
    <mergeCell ref="C8:D8"/>
    <mergeCell ref="Y8:Z8"/>
    <mergeCell ref="A9:A11"/>
    <mergeCell ref="C9:D9"/>
    <mergeCell ref="R9:R11"/>
    <mergeCell ref="Y9:Z9"/>
    <mergeCell ref="C13:D13"/>
    <mergeCell ref="Y13:Z13"/>
    <mergeCell ref="C14:D14"/>
    <mergeCell ref="Y14:Z14"/>
    <mergeCell ref="C15:D15"/>
    <mergeCell ref="Y15:Z15"/>
    <mergeCell ref="AC9:AC11"/>
    <mergeCell ref="C10:D10"/>
    <mergeCell ref="Y10:Z10"/>
    <mergeCell ref="C11:D11"/>
    <mergeCell ref="Y11:Z11"/>
    <mergeCell ref="C16:D16"/>
    <mergeCell ref="Y16:Z16"/>
    <mergeCell ref="C17:D17"/>
    <mergeCell ref="Y17:Z17"/>
    <mergeCell ref="Y18:Z18"/>
    <mergeCell ref="C19:D19"/>
    <mergeCell ref="Y19:Z19"/>
    <mergeCell ref="Y23:Z23"/>
    <mergeCell ref="C24:D24"/>
    <mergeCell ref="Y24:Z24"/>
    <mergeCell ref="A20:A25"/>
    <mergeCell ref="C20:D20"/>
    <mergeCell ref="R20:R25"/>
    <mergeCell ref="Y20:Z20"/>
    <mergeCell ref="C32:D32"/>
    <mergeCell ref="Y32:Z32"/>
    <mergeCell ref="AC20:AC25"/>
    <mergeCell ref="C21:D21"/>
    <mergeCell ref="Y21:Z21"/>
    <mergeCell ref="C22:D22"/>
    <mergeCell ref="Y22:Z22"/>
    <mergeCell ref="C23:D23"/>
    <mergeCell ref="C25:D25"/>
    <mergeCell ref="Y25:Z25"/>
    <mergeCell ref="A33:A38"/>
    <mergeCell ref="C33:D33"/>
    <mergeCell ref="R33:R38"/>
    <mergeCell ref="Y33:Z33"/>
    <mergeCell ref="Y38:Z38"/>
    <mergeCell ref="AC26:AC32"/>
    <mergeCell ref="C27:D27"/>
    <mergeCell ref="Y27:Z27"/>
    <mergeCell ref="C28:D28"/>
    <mergeCell ref="Y28:Z28"/>
    <mergeCell ref="C29:D29"/>
    <mergeCell ref="Y29:Z29"/>
    <mergeCell ref="C30:D30"/>
    <mergeCell ref="Y30:Z30"/>
    <mergeCell ref="C31:D31"/>
    <mergeCell ref="A26:A32"/>
    <mergeCell ref="C26:D26"/>
    <mergeCell ref="R26:R32"/>
    <mergeCell ref="Y26:Z26"/>
    <mergeCell ref="Y31:Z31"/>
    <mergeCell ref="AC39:AC44"/>
    <mergeCell ref="C40:D40"/>
    <mergeCell ref="Y40:Z40"/>
    <mergeCell ref="C41:D41"/>
    <mergeCell ref="Y41:Z41"/>
    <mergeCell ref="C42:D42"/>
    <mergeCell ref="AC33:AC38"/>
    <mergeCell ref="C34:D34"/>
    <mergeCell ref="Y34:Z34"/>
    <mergeCell ref="C35:D35"/>
    <mergeCell ref="Y35:Z35"/>
    <mergeCell ref="C36:D36"/>
    <mergeCell ref="Y36:Z36"/>
    <mergeCell ref="C37:D37"/>
    <mergeCell ref="Y37:Z37"/>
    <mergeCell ref="C38:D38"/>
    <mergeCell ref="Y42:Z42"/>
    <mergeCell ref="C43:D43"/>
    <mergeCell ref="Y43:Z43"/>
    <mergeCell ref="C44:D44"/>
    <mergeCell ref="Y44:Z44"/>
    <mergeCell ref="A45:A51"/>
    <mergeCell ref="C45:D45"/>
    <mergeCell ref="R45:R51"/>
    <mergeCell ref="Y45:Z45"/>
    <mergeCell ref="A39:A44"/>
    <mergeCell ref="C39:D39"/>
    <mergeCell ref="R39:R44"/>
    <mergeCell ref="Y39:Z39"/>
    <mergeCell ref="AC52:AC57"/>
    <mergeCell ref="C53:D53"/>
    <mergeCell ref="Y53:Z53"/>
    <mergeCell ref="C54:D54"/>
    <mergeCell ref="Y54:Z54"/>
    <mergeCell ref="C55:D55"/>
    <mergeCell ref="AC45:AC51"/>
    <mergeCell ref="C46:D46"/>
    <mergeCell ref="Y46:Z46"/>
    <mergeCell ref="C47:D47"/>
    <mergeCell ref="C50:D50"/>
    <mergeCell ref="Y50:Z50"/>
    <mergeCell ref="C51:D51"/>
    <mergeCell ref="Y51:Z51"/>
    <mergeCell ref="Y55:Z55"/>
    <mergeCell ref="C56:D56"/>
    <mergeCell ref="Y56:Z56"/>
    <mergeCell ref="C57:D57"/>
    <mergeCell ref="Y57:Z57"/>
    <mergeCell ref="A58:A64"/>
    <mergeCell ref="C58:D58"/>
    <mergeCell ref="R58:R64"/>
    <mergeCell ref="Y58:Z58"/>
    <mergeCell ref="Y63:Z63"/>
    <mergeCell ref="A52:A57"/>
    <mergeCell ref="C52:D52"/>
    <mergeCell ref="R52:R57"/>
    <mergeCell ref="Y52:Z52"/>
    <mergeCell ref="C64:D64"/>
    <mergeCell ref="Y64:Z64"/>
    <mergeCell ref="AC58:AC64"/>
    <mergeCell ref="C59:D59"/>
    <mergeCell ref="Y59:Z59"/>
    <mergeCell ref="C60:D60"/>
    <mergeCell ref="Y60:Z60"/>
    <mergeCell ref="C61:D61"/>
    <mergeCell ref="Y61:Z61"/>
    <mergeCell ref="C62:D62"/>
    <mergeCell ref="Y62:Z62"/>
    <mergeCell ref="C63:D63"/>
  </mergeCells>
  <phoneticPr fontId="3" type="noConversion"/>
  <conditionalFormatting sqref="O55:O64 O5:O9 O11:O13 O19:O52">
    <cfRule type="cellIs" dxfId="213" priority="41" operator="greaterThan">
      <formula>0</formula>
    </cfRule>
  </conditionalFormatting>
  <conditionalFormatting sqref="P5:P7 P55:P56 AA55:AA56 P58:P63 P26:P31 P52 P9 P11:P13 P20:P24 P45:P50 P33:P43 AA5:AA52 AA58:AA64">
    <cfRule type="cellIs" dxfId="212" priority="45" operator="lessThan">
      <formula>0</formula>
    </cfRule>
  </conditionalFormatting>
  <conditionalFormatting sqref="AB55:AB56 Q55:Q64 Q5:Q9 Q11:Q13 Q19:Q52 AB5:AB52 AB58:AB64">
    <cfRule type="cellIs" dxfId="211" priority="42" operator="greaterThan">
      <formula>1</formula>
    </cfRule>
    <cfRule type="cellIs" dxfId="210" priority="43" operator="lessThan">
      <formula>0.8</formula>
    </cfRule>
  </conditionalFormatting>
  <conditionalFormatting sqref="AC12:AC13 R12:R13 AC55 R55:R64 AC5:AC9 R5:R9 AC19:AC52 R19:R52">
    <cfRule type="cellIs" dxfId="209" priority="47" operator="lessThan">
      <formula>0.8</formula>
    </cfRule>
  </conditionalFormatting>
  <conditionalFormatting sqref="AC39">
    <cfRule type="cellIs" dxfId="208" priority="49" operator="lessThan">
      <formula>0.8</formula>
    </cfRule>
  </conditionalFormatting>
  <conditionalFormatting sqref="AC20:AC24">
    <cfRule type="cellIs" dxfId="207" priority="46" operator="lessThan">
      <formula>0.8</formula>
    </cfRule>
  </conditionalFormatting>
  <conditionalFormatting sqref="AC26">
    <cfRule type="cellIs" dxfId="206" priority="48" operator="lessThan">
      <formula>0.8</formula>
    </cfRule>
  </conditionalFormatting>
  <conditionalFormatting sqref="AC33:AC37">
    <cfRule type="cellIs" dxfId="205" priority="44" operator="lessThan">
      <formula>0.8</formula>
    </cfRule>
  </conditionalFormatting>
  <conditionalFormatting sqref="AA57">
    <cfRule type="cellIs" dxfId="204" priority="40" operator="lessThan">
      <formula>0</formula>
    </cfRule>
  </conditionalFormatting>
  <conditionalFormatting sqref="AB57">
    <cfRule type="cellIs" dxfId="203" priority="38" operator="greaterThan">
      <formula>1</formula>
    </cfRule>
    <cfRule type="cellIs" dxfId="202" priority="39" operator="lessThan">
      <formula>0.8</formula>
    </cfRule>
  </conditionalFormatting>
  <conditionalFormatting sqref="O14:O15">
    <cfRule type="cellIs" dxfId="201" priority="33" operator="greaterThan">
      <formula>0</formula>
    </cfRule>
  </conditionalFormatting>
  <conditionalFormatting sqref="P14:P15">
    <cfRule type="cellIs" dxfId="200" priority="36" operator="lessThan">
      <formula>0</formula>
    </cfRule>
  </conditionalFormatting>
  <conditionalFormatting sqref="Q14:Q15">
    <cfRule type="cellIs" dxfId="199" priority="34" operator="greaterThan">
      <formula>1</formula>
    </cfRule>
    <cfRule type="cellIs" dxfId="198" priority="35" operator="lessThan">
      <formula>0.8</formula>
    </cfRule>
  </conditionalFormatting>
  <conditionalFormatting sqref="R14:R15 AC14:AC15">
    <cfRule type="cellIs" dxfId="197" priority="37" operator="lessThan">
      <formula>0.8</formula>
    </cfRule>
  </conditionalFormatting>
  <conditionalFormatting sqref="O10">
    <cfRule type="cellIs" dxfId="196" priority="29" operator="greaterThan">
      <formula>0</formula>
    </cfRule>
  </conditionalFormatting>
  <conditionalFormatting sqref="P10">
    <cfRule type="cellIs" dxfId="195" priority="32" operator="lessThan">
      <formula>0</formula>
    </cfRule>
  </conditionalFormatting>
  <conditionalFormatting sqref="Q10">
    <cfRule type="cellIs" dxfId="194" priority="30" operator="greaterThan">
      <formula>1</formula>
    </cfRule>
    <cfRule type="cellIs" dxfId="193" priority="31" operator="lessThan">
      <formula>0.8</formula>
    </cfRule>
  </conditionalFormatting>
  <conditionalFormatting sqref="O54">
    <cfRule type="cellIs" dxfId="192" priority="24" operator="greaterThan">
      <formula>0</formula>
    </cfRule>
  </conditionalFormatting>
  <conditionalFormatting sqref="P54 AA54">
    <cfRule type="cellIs" dxfId="191" priority="27" operator="lessThan">
      <formula>0</formula>
    </cfRule>
  </conditionalFormatting>
  <conditionalFormatting sqref="Q54 AB54">
    <cfRule type="cellIs" dxfId="190" priority="25" operator="greaterThan">
      <formula>1</formula>
    </cfRule>
    <cfRule type="cellIs" dxfId="189" priority="26" operator="lessThan">
      <formula>0.8</formula>
    </cfRule>
  </conditionalFormatting>
  <conditionalFormatting sqref="R54 AC54">
    <cfRule type="cellIs" dxfId="188" priority="28" operator="lessThan">
      <formula>0.8</formula>
    </cfRule>
  </conditionalFormatting>
  <conditionalFormatting sqref="O16:O17">
    <cfRule type="cellIs" dxfId="187" priority="19" operator="greaterThan">
      <formula>0</formula>
    </cfRule>
  </conditionalFormatting>
  <conditionalFormatting sqref="P16:P17">
    <cfRule type="cellIs" dxfId="186" priority="22" operator="lessThan">
      <formula>0</formula>
    </cfRule>
  </conditionalFormatting>
  <conditionalFormatting sqref="Q16:Q17">
    <cfRule type="cellIs" dxfId="185" priority="20" operator="greaterThan">
      <formula>1</formula>
    </cfRule>
    <cfRule type="cellIs" dxfId="184" priority="21" operator="lessThan">
      <formula>0.8</formula>
    </cfRule>
  </conditionalFormatting>
  <conditionalFormatting sqref="R16:R17 AC16:AC17">
    <cfRule type="cellIs" dxfId="183" priority="23" operator="lessThan">
      <formula>0.8</formula>
    </cfRule>
  </conditionalFormatting>
  <conditionalFormatting sqref="O53">
    <cfRule type="cellIs" dxfId="182" priority="14" operator="greaterThan">
      <formula>0</formula>
    </cfRule>
  </conditionalFormatting>
  <conditionalFormatting sqref="P53 AA53">
    <cfRule type="cellIs" dxfId="181" priority="17" operator="lessThan">
      <formula>0</formula>
    </cfRule>
  </conditionalFormatting>
  <conditionalFormatting sqref="Q53 AB53">
    <cfRule type="cellIs" dxfId="180" priority="15" operator="greaterThan">
      <formula>1</formula>
    </cfRule>
    <cfRule type="cellIs" dxfId="179" priority="16" operator="lessThan">
      <formula>0.8</formula>
    </cfRule>
  </conditionalFormatting>
  <conditionalFormatting sqref="R53 AC53">
    <cfRule type="cellIs" dxfId="178" priority="18" operator="lessThan">
      <formula>0.8</formula>
    </cfRule>
  </conditionalFormatting>
  <conditionalFormatting sqref="O18">
    <cfRule type="cellIs" dxfId="177" priority="9" operator="greaterThan">
      <formula>0</formula>
    </cfRule>
  </conditionalFormatting>
  <conditionalFormatting sqref="P18">
    <cfRule type="cellIs" dxfId="176" priority="12" operator="lessThan">
      <formula>0</formula>
    </cfRule>
  </conditionalFormatting>
  <conditionalFormatting sqref="Q18">
    <cfRule type="cellIs" dxfId="175" priority="10" operator="greaterThan">
      <formula>1</formula>
    </cfRule>
    <cfRule type="cellIs" dxfId="174" priority="11" operator="lessThan">
      <formula>0.8</formula>
    </cfRule>
  </conditionalFormatting>
  <conditionalFormatting sqref="AC18 R18">
    <cfRule type="cellIs" dxfId="173" priority="13" operator="lessThan">
      <formula>0.8</formula>
    </cfRule>
  </conditionalFormatting>
  <conditionalFormatting sqref="P8">
    <cfRule type="cellIs" dxfId="172" priority="8" operator="lessThan">
      <formula>0</formula>
    </cfRule>
  </conditionalFormatting>
  <conditionalFormatting sqref="P19">
    <cfRule type="cellIs" dxfId="171" priority="7" operator="lessThan">
      <formula>0</formula>
    </cfRule>
  </conditionalFormatting>
  <conditionalFormatting sqref="P25">
    <cfRule type="cellIs" dxfId="170" priority="6" operator="lessThan">
      <formula>0</formula>
    </cfRule>
  </conditionalFormatting>
  <conditionalFormatting sqref="P32">
    <cfRule type="cellIs" dxfId="169" priority="5" operator="lessThan">
      <formula>0</formula>
    </cfRule>
  </conditionalFormatting>
  <conditionalFormatting sqref="P44">
    <cfRule type="cellIs" dxfId="168" priority="4" operator="lessThan">
      <formula>0</formula>
    </cfRule>
  </conditionalFormatting>
  <conditionalFormatting sqref="P51">
    <cfRule type="cellIs" dxfId="167" priority="3" operator="lessThan">
      <formula>0</formula>
    </cfRule>
  </conditionalFormatting>
  <conditionalFormatting sqref="P57">
    <cfRule type="cellIs" dxfId="166" priority="2" operator="lessThan">
      <formula>0</formula>
    </cfRule>
  </conditionalFormatting>
  <conditionalFormatting sqref="P64">
    <cfRule type="cellIs" dxfId="165" priority="1" operator="lessThan">
      <formula>0</formula>
    </cfRule>
  </conditionalFormatting>
  <dataValidations count="1">
    <dataValidation type="list" allowBlank="1" showInputMessage="1" showErrorMessage="1" sqref="Z8 Z56 Y5:Z7 Y8:Y56 Z10:Z52 Y57:Z64">
      <formula1>#REF!</formula1>
    </dataValidation>
  </dataValidations>
  <pageMargins left="0" right="0" top="0" bottom="0" header="0" footer="0"/>
  <pageSetup paperSize="9" scale="11" orientation="landscape" horizontalDpi="300" verticalDpi="300" r:id="rId1"/>
</worksheet>
</file>

<file path=xl/worksheets/sheet5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工作表47"/>
  <dimension ref="B1:Q28"/>
  <sheetViews>
    <sheetView zoomScale="85" zoomScaleNormal="85" workbookViewId="0">
      <selection activeCell="C3" sqref="C3:D3"/>
    </sheetView>
  </sheetViews>
  <sheetFormatPr defaultColWidth="8.75" defaultRowHeight="15.75"/>
  <cols>
    <col min="1" max="1" width="8.75" style="30"/>
    <col min="2" max="2" width="17.875" style="30" customWidth="1"/>
    <col min="3" max="3" width="9.25" style="37" customWidth="1"/>
    <col min="4" max="13" width="12.625" style="30" customWidth="1"/>
    <col min="14" max="14" width="11" style="30" bestFit="1" customWidth="1"/>
    <col min="15" max="15" width="17.75" style="30" bestFit="1" customWidth="1"/>
    <col min="16" max="16" width="12.25" style="30" bestFit="1" customWidth="1"/>
    <col min="17" max="22" width="9.25" style="30" customWidth="1"/>
    <col min="23" max="23" width="10.75" style="30" customWidth="1"/>
    <col min="24" max="24" width="11" style="30" customWidth="1"/>
    <col min="25" max="16384" width="8.75" style="30"/>
  </cols>
  <sheetData>
    <row r="1" spans="2:17" ht="27.75" customHeight="1">
      <c r="B1" s="552" t="s">
        <v>112</v>
      </c>
      <c r="C1" s="552"/>
      <c r="D1" s="552"/>
      <c r="E1" s="552"/>
      <c r="F1" s="552"/>
      <c r="G1" s="552"/>
      <c r="H1" s="552"/>
      <c r="I1" s="552"/>
      <c r="J1" s="552"/>
      <c r="K1" s="29"/>
      <c r="L1" s="29"/>
      <c r="M1" s="29"/>
      <c r="N1" s="29"/>
      <c r="O1" s="29"/>
      <c r="P1" s="29"/>
    </row>
    <row r="2" spans="2:17" ht="27.75" customHeight="1">
      <c r="B2" s="553"/>
      <c r="C2" s="553"/>
      <c r="D2" s="553"/>
      <c r="E2" s="553"/>
      <c r="F2" s="553"/>
      <c r="G2" s="553"/>
      <c r="H2" s="553"/>
      <c r="I2" s="553"/>
      <c r="J2" s="553"/>
      <c r="K2" s="31"/>
      <c r="L2" s="31"/>
      <c r="M2" s="31"/>
      <c r="N2" s="29"/>
      <c r="O2" s="29"/>
      <c r="P2" s="29"/>
    </row>
    <row r="3" spans="2:17" ht="46.5" customHeight="1">
      <c r="B3" s="32" t="s">
        <v>113</v>
      </c>
      <c r="C3" s="554" t="str">
        <f>TEXT('1002 4度C'!A2,"yyyy.mm.ddaaaa")</f>
        <v>2025.10.02星期四</v>
      </c>
      <c r="D3" s="555"/>
      <c r="E3" s="32" t="s">
        <v>89</v>
      </c>
      <c r="F3" s="556">
        <f>'1002 4度C'!D1</f>
        <v>171980</v>
      </c>
      <c r="G3" s="557"/>
      <c r="H3" s="32" t="s">
        <v>90</v>
      </c>
      <c r="I3" s="558">
        <f>'1002 4度C'!F1</f>
        <v>5488740.5000000019</v>
      </c>
      <c r="J3" s="559"/>
      <c r="K3" s="33"/>
      <c r="L3" s="34"/>
      <c r="M3" s="35"/>
      <c r="N3" s="35"/>
    </row>
    <row r="4" spans="2:17" ht="28.5" customHeight="1">
      <c r="B4" s="560" t="s">
        <v>114</v>
      </c>
      <c r="C4" s="542" t="s">
        <v>115</v>
      </c>
      <c r="D4" s="543"/>
      <c r="E4" s="563" t="s">
        <v>116</v>
      </c>
      <c r="F4" s="564"/>
      <c r="G4" s="563" t="s">
        <v>117</v>
      </c>
      <c r="H4" s="564"/>
      <c r="I4" s="563" t="s">
        <v>118</v>
      </c>
      <c r="J4" s="564"/>
      <c r="L4" s="35"/>
      <c r="M4" s="35"/>
      <c r="N4" s="35"/>
    </row>
    <row r="5" spans="2:17" ht="28.5" customHeight="1">
      <c r="B5" s="561"/>
      <c r="C5" s="542" t="s">
        <v>119</v>
      </c>
      <c r="D5" s="543"/>
      <c r="E5" s="542" t="s">
        <v>120</v>
      </c>
      <c r="F5" s="543"/>
      <c r="G5" s="544" t="s">
        <v>121</v>
      </c>
      <c r="H5" s="545"/>
      <c r="I5" s="546" t="s">
        <v>91</v>
      </c>
      <c r="J5" s="547"/>
      <c r="K5" s="35"/>
      <c r="L5" s="35"/>
      <c r="M5" s="35"/>
      <c r="N5" s="35"/>
    </row>
    <row r="6" spans="2:17" ht="28.5" customHeight="1">
      <c r="B6" s="561"/>
      <c r="C6" s="542" t="s">
        <v>92</v>
      </c>
      <c r="D6" s="543"/>
      <c r="E6" s="548">
        <f>AVERAGE(D13:M13)</f>
        <v>151.8330048693617</v>
      </c>
      <c r="F6" s="549">
        <f>AVERAGE(D27:O27,D13:J13)</f>
        <v>157.07453332689241</v>
      </c>
      <c r="G6" s="550">
        <f>AVERAGE(D13:J13)</f>
        <v>157.07453332689241</v>
      </c>
      <c r="H6" s="551"/>
      <c r="I6" s="550">
        <f>AVERAGE(K13:M13)</f>
        <v>139.60277180179003</v>
      </c>
      <c r="J6" s="551"/>
      <c r="K6" s="35"/>
      <c r="L6" s="35"/>
      <c r="M6" s="35"/>
      <c r="N6" s="35"/>
    </row>
    <row r="7" spans="2:17" ht="28.5" customHeight="1">
      <c r="B7" s="561"/>
      <c r="C7" s="532" t="s">
        <v>93</v>
      </c>
      <c r="D7" s="533"/>
      <c r="E7" s="534">
        <f>AVERAGE(D14:M14)</f>
        <v>145.68803746189059</v>
      </c>
      <c r="F7" s="535">
        <f>AVERAGE(D28:O28,D14:J14)</f>
        <v>150.76060219404525</v>
      </c>
      <c r="G7" s="536">
        <f>AVERAGE(D14:J14)</f>
        <v>150.76060219404525</v>
      </c>
      <c r="H7" s="537"/>
      <c r="I7" s="536">
        <f>AVERAGE(K14:M14)</f>
        <v>133.85205308686309</v>
      </c>
      <c r="J7" s="537"/>
      <c r="K7" s="35"/>
      <c r="L7" s="35"/>
      <c r="M7" s="35"/>
      <c r="N7" s="35"/>
    </row>
    <row r="8" spans="2:17" ht="28.5" customHeight="1">
      <c r="B8" s="562"/>
      <c r="C8" s="532" t="s">
        <v>94</v>
      </c>
      <c r="D8" s="533"/>
      <c r="E8" s="538">
        <f>AVERAGE(D15:M15)</f>
        <v>0.95910972290764884</v>
      </c>
      <c r="F8" s="539">
        <f>AVERAGE(D15:J15,D29:O29)</f>
        <v>0.95921920985131937</v>
      </c>
      <c r="G8" s="540">
        <f>AVERAGE(D15:J15)</f>
        <v>0.95921920985131937</v>
      </c>
      <c r="H8" s="541"/>
      <c r="I8" s="540">
        <f>AVERAGE(K15:M15)</f>
        <v>0.95885425337241814</v>
      </c>
      <c r="J8" s="541"/>
      <c r="K8" s="36" t="s">
        <v>122</v>
      </c>
      <c r="L8" s="35"/>
      <c r="M8" s="35"/>
      <c r="N8" s="35"/>
    </row>
    <row r="9" spans="2:17" ht="28.5" customHeight="1" thickBot="1">
      <c r="H9" s="38"/>
      <c r="N9" s="35"/>
      <c r="O9" s="35"/>
      <c r="P9" s="35"/>
      <c r="Q9" s="35"/>
    </row>
    <row r="10" spans="2:17" ht="30" customHeight="1">
      <c r="B10" s="515" t="s">
        <v>123</v>
      </c>
      <c r="C10" s="516"/>
      <c r="D10" s="517" t="s">
        <v>124</v>
      </c>
      <c r="E10" s="518"/>
      <c r="F10" s="518"/>
      <c r="G10" s="518"/>
      <c r="H10" s="518"/>
      <c r="I10" s="518"/>
      <c r="J10" s="519"/>
      <c r="K10" s="520" t="s">
        <v>125</v>
      </c>
      <c r="L10" s="521"/>
      <c r="M10" s="522"/>
      <c r="P10" s="39"/>
      <c r="Q10" s="39"/>
    </row>
    <row r="11" spans="2:17" ht="17.25" customHeight="1">
      <c r="B11" s="523" t="s">
        <v>126</v>
      </c>
      <c r="C11" s="524"/>
      <c r="D11" s="40">
        <v>1</v>
      </c>
      <c r="E11" s="41">
        <v>2</v>
      </c>
      <c r="F11" s="41">
        <v>3</v>
      </c>
      <c r="G11" s="41">
        <v>4</v>
      </c>
      <c r="H11" s="41">
        <v>5</v>
      </c>
      <c r="I11" s="41">
        <v>6</v>
      </c>
      <c r="J11" s="42">
        <v>7</v>
      </c>
      <c r="K11" s="40">
        <v>1</v>
      </c>
      <c r="L11" s="41">
        <v>2</v>
      </c>
      <c r="M11" s="42">
        <v>3</v>
      </c>
      <c r="P11" s="39"/>
      <c r="Q11" s="39"/>
    </row>
    <row r="12" spans="2:17" ht="34.15" customHeight="1">
      <c r="B12" s="525"/>
      <c r="C12" s="526"/>
      <c r="D12" s="43" t="s">
        <v>96</v>
      </c>
      <c r="E12" s="44" t="s">
        <v>97</v>
      </c>
      <c r="F12" s="44" t="s">
        <v>98</v>
      </c>
      <c r="G12" s="44" t="s">
        <v>99</v>
      </c>
      <c r="H12" s="44" t="s">
        <v>100</v>
      </c>
      <c r="I12" s="44" t="s">
        <v>101</v>
      </c>
      <c r="J12" s="45" t="s">
        <v>102</v>
      </c>
      <c r="K12" s="43" t="s">
        <v>103</v>
      </c>
      <c r="L12" s="44" t="s">
        <v>104</v>
      </c>
      <c r="M12" s="45" t="s">
        <v>105</v>
      </c>
    </row>
    <row r="13" spans="2:17" ht="40.15" customHeight="1">
      <c r="B13" s="527" t="s">
        <v>127</v>
      </c>
      <c r="C13" s="46" t="s">
        <v>107</v>
      </c>
      <c r="D13" s="47">
        <f>SUMIFS('1002 4度C'!$K:$K,'1002 4度C'!$A:$A,"新豐6線",'1002 4度C'!$B:$B,"平均")</f>
        <v>125</v>
      </c>
      <c r="E13" s="48">
        <f>SUMIFS('1002 4度C'!$K:$K,'1002 4度C'!$A:$A,"新豐2線",'1002 4度C'!$B:$B,"平均")</f>
        <v>83.333333333333329</v>
      </c>
      <c r="F13" s="49">
        <f>SUMIFS('1002 4度C'!$K:$K,'1002 4度C'!$A:$A,"新豐5線",'1002 4度C'!$B:$B,"平均")</f>
        <v>97.916666666666671</v>
      </c>
      <c r="G13" s="49">
        <f>SUMIFS('1002 4度C'!$K:$K,'1002 4度C'!$A:$A,"新豐7線",'1002 4度C'!$B:$B,"平均")</f>
        <v>120.48192771084337</v>
      </c>
      <c r="H13" s="49">
        <f>SUMIFS('1002 4度C'!$K:$K,'1002 4度C'!$A:$A,"新豐3線",'1002 4度C'!$B:$B,"平均")</f>
        <v>310.34482758620692</v>
      </c>
      <c r="I13" s="49">
        <f>SUMIFS('1002 4度C'!$K:$K,'1002 4度C'!$A:$A,"新豐1線",'1002 4度C'!$B:$B,"平均")</f>
        <v>117.34693877551021</v>
      </c>
      <c r="J13" s="50">
        <f>SUMIFS('1002 4度C'!$K:$K,'1002 4度C'!$A:$A,"新豐10線",'1002 4度C'!$B:$B,"平均")</f>
        <v>245.0980392156863</v>
      </c>
      <c r="K13" s="51">
        <f>SUMIFS('1002 4度C'!$K:$K,'1002 4度C'!$A:$A,"新豐8線",'1002 4度C'!$B:$B,"平均")</f>
        <v>130.69306930693068</v>
      </c>
      <c r="L13" s="52">
        <f>SUMIFS('1002 4度C'!$K:$K,'1002 4度C'!$A:$A,"新豐9線",'1002 4度C'!$B:$B,"平均")</f>
        <v>146.9387755102041</v>
      </c>
      <c r="M13" s="50">
        <f>SUMIFS('1002 4度C'!$K:$K,'1002 4度C'!$A:$A,"新豐4線",'1002 4度C'!$B:$B,"平均")</f>
        <v>141.1764705882353</v>
      </c>
    </row>
    <row r="14" spans="2:17" ht="39.6" customHeight="1">
      <c r="B14" s="528"/>
      <c r="C14" s="53" t="s">
        <v>128</v>
      </c>
      <c r="D14" s="54">
        <f>SUMIFS('1002 4度C'!$N:$N,'1002 4度C'!$A:$A,"新豐6線",'1002 4度C'!$B:$B,"平均")</f>
        <v>120.31718546284219</v>
      </c>
      <c r="E14" s="55">
        <f>SUMIFS('1002 4度C'!$N:$N,'1002 4度C'!$A:$A,"新豐2線",'1002 4度C'!$B:$B,"平均")</f>
        <v>79.59772204047016</v>
      </c>
      <c r="F14" s="55">
        <f>SUMIFS('1002 4度C'!$N:$N,'1002 4度C'!$A:$A,"新豐5線",'1002 4度C'!$B:$B,"平均")</f>
        <v>93.843623607877745</v>
      </c>
      <c r="G14" s="55">
        <f>SUMIFS('1002 4度C'!$N:$N,'1002 4度C'!$A:$A,"新豐7線",'1002 4度C'!$B:$B,"平均")</f>
        <v>115.17831827967831</v>
      </c>
      <c r="H14" s="55">
        <f>SUMIFS('1002 4度C'!$N:$N,'1002 4度C'!$A:$A,"新豐3線",'1002 4度C'!$B:$B,"平均")</f>
        <v>297.27707234986133</v>
      </c>
      <c r="I14" s="55">
        <f>SUMIFS('1002 4度C'!$N:$N,'1002 4度C'!$A:$A,"新豐1線",'1002 4度C'!$B:$B,"平均")</f>
        <v>112.6087132118315</v>
      </c>
      <c r="J14" s="56">
        <f>SUMIFS('1002 4度C'!$N:$N,'1002 4度C'!$A:$A,"新豐10線",'1002 4度C'!$B:$B,"平均")</f>
        <v>236.50158040575531</v>
      </c>
      <c r="K14" s="57">
        <f>SUMIFS('1002 4度C'!$N:$N,'1002 4度C'!$A:$A,"新豐8線",'1002 4度C'!$B:$B,"平均")</f>
        <v>125.52553127082119</v>
      </c>
      <c r="L14" s="58">
        <f>SUMIFS('1002 4度C'!$N:$N,'1002 4度C'!$A:$A,"新豐9線",'1002 4度C'!$B:$B,"平均")</f>
        <v>140.81289323140848</v>
      </c>
      <c r="M14" s="56">
        <f>SUMIFS('1002 4度C'!$N:$N,'1002 4度C'!$A:$A,"新豐4線",'1002 4度C'!$B:$B,"平均")</f>
        <v>135.2177347583596</v>
      </c>
    </row>
    <row r="15" spans="2:17" ht="40.15" customHeight="1">
      <c r="B15" s="529"/>
      <c r="C15" s="59" t="s">
        <v>129</v>
      </c>
      <c r="D15" s="60">
        <f t="shared" ref="D15:M15" si="0">D14/D13</f>
        <v>0.96253748370273751</v>
      </c>
      <c r="E15" s="61">
        <f t="shared" si="0"/>
        <v>0.95517266448564198</v>
      </c>
      <c r="F15" s="61">
        <f t="shared" si="0"/>
        <v>0.95840296450598539</v>
      </c>
      <c r="G15" s="61">
        <f t="shared" si="0"/>
        <v>0.95598004172133</v>
      </c>
      <c r="H15" s="61">
        <f t="shared" si="0"/>
        <v>0.95789278868288641</v>
      </c>
      <c r="I15" s="61">
        <f t="shared" si="0"/>
        <v>0.95962207780517272</v>
      </c>
      <c r="J15" s="62">
        <f t="shared" si="0"/>
        <v>0.96492644805548156</v>
      </c>
      <c r="K15" s="60">
        <f t="shared" si="0"/>
        <v>0.96046050442067743</v>
      </c>
      <c r="L15" s="61">
        <f t="shared" si="0"/>
        <v>0.95830996782486322</v>
      </c>
      <c r="M15" s="62">
        <f t="shared" si="0"/>
        <v>0.95779228787171378</v>
      </c>
    </row>
    <row r="16" spans="2:17" ht="17.25" customHeight="1">
      <c r="B16" s="530" t="s">
        <v>130</v>
      </c>
      <c r="C16" s="63" t="s">
        <v>131</v>
      </c>
      <c r="D16" s="64">
        <f>VLOOKUP("新豐6線",'1002 4度C'!$A:$T,19,0)</f>
        <v>0.70833333333333337</v>
      </c>
      <c r="E16" s="24">
        <f>VLOOKUP("新豐2線",'1002 4度C'!$A:$T,19,0)</f>
        <v>0.25</v>
      </c>
      <c r="F16" s="24">
        <f>VLOOKUP("新豐5線",'1002 4度C'!$A:$T,19,0)</f>
        <v>0.25</v>
      </c>
      <c r="G16" s="24">
        <f>VLOOKUP("新豐7線",'1002 4度C'!$A:$T,19,0)</f>
        <v>0.20833333333333334</v>
      </c>
      <c r="H16" s="24">
        <f>VLOOKUP("新豐3線",'1002 4度C'!$A:$T,19,0)</f>
        <v>0.20833333333333334</v>
      </c>
      <c r="I16" s="24">
        <f>VLOOKUP("新豐1線",'1002 4度C'!$A:$T,19,0)</f>
        <v>0.20833333333333334</v>
      </c>
      <c r="J16" s="65">
        <f>VLOOKUP("新豐10線",'1002 4度C'!$A:$T,19,0)</f>
        <v>0.20833333333333334</v>
      </c>
      <c r="K16" s="66">
        <f>VLOOKUP("新豐8線",'1002 4度C'!$A:$T,19,0)</f>
        <v>0.125</v>
      </c>
      <c r="L16" s="67">
        <f>VLOOKUP("新豐9線",'1002 4度C'!$A:$T,19,0)</f>
        <v>0.125</v>
      </c>
      <c r="M16" s="68">
        <f>VLOOKUP("新豐4線",'1002 4度C'!$A:$T,19,0)</f>
        <v>0.125</v>
      </c>
    </row>
    <row r="17" spans="2:13" ht="17.25" customHeight="1">
      <c r="B17" s="531"/>
      <c r="C17" s="63" t="s">
        <v>132</v>
      </c>
      <c r="D17" s="66">
        <f>LOOKUP(2,1/(('1002 4度C'!$A:$A="新豐6線")*('1002 4度C'!$T:$T&lt;&gt;"")),'1002 4度C'!$T:$T)</f>
        <v>0.81041666666666667</v>
      </c>
      <c r="E17" s="24">
        <f>LOOKUP(2,1/(('1002 4度C'!$A:$A="新豐2線")*('1002 4度C'!$T:$T&lt;&gt;"")),'1002 4度C'!$T:$T)</f>
        <v>0.62986111111111098</v>
      </c>
      <c r="F17" s="24">
        <f>LOOKUP(2,1/(('1002 4度C'!$A:$A="新豐5線")*('1002 4度C'!$T:$T&lt;&gt;"")),'1002 4度C'!$T:$T)</f>
        <v>0.82430555555555562</v>
      </c>
      <c r="G17" s="24">
        <f>LOOKUP(2,1/(('1002 4度C'!$A:$A="新豐7線")*('1002 4度C'!$T:$T&lt;&gt;"")),'1002 4度C'!$T:$T)</f>
        <v>0.75694444444444453</v>
      </c>
      <c r="H17" s="24">
        <f>LOOKUP(2,1/(('1002 4度C'!$A:$A="新豐3線")*('1002 4度C'!$T:$T&lt;&gt;"")),'1002 4度C'!$T:$T)</f>
        <v>0.56805555555555542</v>
      </c>
      <c r="I17" s="24">
        <f>LOOKUP(2,1/(('1002 4度C'!$A:$A="新豐1線")*('1002 4度C'!$T:$T&lt;&gt;"")),'1002 4度C'!$T:$T)</f>
        <v>0.82499999999999996</v>
      </c>
      <c r="J17" s="65">
        <f>LOOKUP(2,1/(('1002 4度C'!$A:$A="新豐10線")*('1002 4度C'!$T:$T&lt;&gt;"")),'1002 4度C'!$T:$T)</f>
        <v>0.44444444444444442</v>
      </c>
      <c r="K17" s="64">
        <f>LOOKUP(2,1/(('1002 4度C'!$A:$A="新豐8線")*('1002 4度C'!$T:$T&lt;&gt;"")),'1002 4度C'!$T:$T)</f>
        <v>0.73958333333333326</v>
      </c>
      <c r="L17" s="24">
        <f>LOOKUP(2,1/(('1002 4度C'!$A:$A="新豐9線")*('1002 4度C'!$T:$T&lt;&gt;"")),'1002 4度C'!$T:$T)</f>
        <v>0.75624999999999987</v>
      </c>
      <c r="M17" s="65">
        <f>LOOKUP(2,1/(('1002 4度C'!$A:$A="新豐4線")*('1002 4度C'!$T:$T&lt;&gt;"")),'1002 4度C'!$T:$T)</f>
        <v>0.74791666666666656</v>
      </c>
    </row>
    <row r="18" spans="2:13" ht="17.25" customHeight="1">
      <c r="B18" s="509" t="s">
        <v>108</v>
      </c>
      <c r="C18" s="510"/>
      <c r="D18" s="69">
        <f>SUMIFS('1002 4度C'!$I:$I,'1002 4度C'!$A:$A,"新豐6線",'1002 4度C'!$B:$B,"平均")</f>
        <v>16</v>
      </c>
      <c r="E18" s="70">
        <f>SUMIFS('1002 4度C'!$I:$I,'1002 4度C'!$A:$A,"新豐2線",'1002 4度C'!$B:$B,"平均")</f>
        <v>18</v>
      </c>
      <c r="F18" s="70">
        <f>SUMIFS('1002 4度C'!$I:$I,'1002 4度C'!$A:$A,"新豐5線",'1002 4度C'!$B:$B,"平均")</f>
        <v>19.2</v>
      </c>
      <c r="G18" s="70">
        <f>SUMIFS('1002 4度C'!$I:$I,'1002 4度C'!$A:$A,"新豐7線",'1002 4度C'!$B:$B,"平均")</f>
        <v>16.600000000000001</v>
      </c>
      <c r="H18" s="70">
        <f>SUMIFS('1002 4度C'!$I:$I,'1002 4度C'!$A:$A,"新豐3線",'1002 4度C'!$B:$B,"平均")</f>
        <v>9.6666666666666661</v>
      </c>
      <c r="I18" s="70">
        <f>SUMIFS('1002 4度C'!$I:$I,'1002 4度C'!$A:$A,"新豐1線",'1002 4度C'!$B:$B,"平均")</f>
        <v>16.333333333333332</v>
      </c>
      <c r="J18" s="71">
        <f>SUMIFS('1002 4度C'!$I:$I,'1002 4度C'!$A:$A,"新豐10線",'1002 4度C'!$B:$B,"平均")</f>
        <v>10.199999999999999</v>
      </c>
      <c r="K18" s="69">
        <f>SUMIFS('1002 4度C'!$I:$I,'1002 4度C'!$A:$A,"新豐8線",'1002 4度C'!$B:$B,"平均")</f>
        <v>18.363636363636363</v>
      </c>
      <c r="L18" s="70">
        <f>SUMIFS('1002 4度C'!$I:$I,'1002 4度C'!$A:$A,"新豐9線",'1002 4度C'!$B:$B,"平均")</f>
        <v>16.333333333333332</v>
      </c>
      <c r="M18" s="71">
        <f>SUMIFS('1002 4度C'!$I:$I,'1002 4度C'!$A:$A,"新豐4線",'1002 4度C'!$B:$B,"平均")</f>
        <v>17</v>
      </c>
    </row>
    <row r="19" spans="2:13" ht="17.25" customHeight="1">
      <c r="B19" s="509" t="s">
        <v>133</v>
      </c>
      <c r="C19" s="510"/>
      <c r="D19" s="72" t="s">
        <v>109</v>
      </c>
      <c r="E19" s="73" t="s">
        <v>110</v>
      </c>
      <c r="F19" s="73" t="s">
        <v>134</v>
      </c>
      <c r="G19" s="73" t="s">
        <v>135</v>
      </c>
      <c r="H19" s="73" t="s">
        <v>111</v>
      </c>
      <c r="I19" s="73" t="s">
        <v>109</v>
      </c>
      <c r="J19" s="74" t="s">
        <v>111</v>
      </c>
      <c r="K19" s="72" t="s">
        <v>136</v>
      </c>
      <c r="L19" s="73" t="s">
        <v>137</v>
      </c>
      <c r="M19" s="74" t="s">
        <v>138</v>
      </c>
    </row>
    <row r="20" spans="2:13" ht="17.25" customHeight="1">
      <c r="B20" s="509" t="s">
        <v>139</v>
      </c>
      <c r="C20" s="510"/>
      <c r="D20" s="72"/>
      <c r="E20" s="73"/>
      <c r="F20" s="73" t="s">
        <v>140</v>
      </c>
      <c r="G20" s="73" t="s">
        <v>109</v>
      </c>
      <c r="H20" s="73"/>
      <c r="I20" s="73"/>
      <c r="J20" s="74"/>
      <c r="K20" s="72"/>
      <c r="L20" s="73"/>
      <c r="M20" s="74"/>
    </row>
    <row r="21" spans="2:13" ht="17.25" customHeight="1" thickBot="1">
      <c r="B21" s="511" t="s">
        <v>141</v>
      </c>
      <c r="C21" s="512"/>
      <c r="D21" s="75"/>
      <c r="E21" s="76" t="s">
        <v>142</v>
      </c>
      <c r="F21" s="513" t="s">
        <v>143</v>
      </c>
      <c r="G21" s="514"/>
      <c r="H21" s="76" t="s">
        <v>144</v>
      </c>
      <c r="I21" s="76" t="s">
        <v>145</v>
      </c>
      <c r="J21" s="77" t="s">
        <v>144</v>
      </c>
      <c r="K21" s="78"/>
      <c r="L21" s="76"/>
      <c r="M21" s="77"/>
    </row>
    <row r="22" spans="2:13" ht="17.25" customHeight="1"/>
    <row r="23" spans="2:13" ht="17.25" customHeight="1"/>
    <row r="24" spans="2:13" ht="17.25" customHeight="1"/>
    <row r="25" spans="2:13" ht="37.5" customHeight="1"/>
    <row r="26" spans="2:13" ht="35.25" customHeight="1"/>
    <row r="27" spans="2:13" ht="35.25" customHeight="1"/>
    <row r="28" spans="2:13" ht="39.75" customHeight="1"/>
  </sheetData>
  <mergeCells count="36">
    <mergeCell ref="B20:C20"/>
    <mergeCell ref="B21:C21"/>
    <mergeCell ref="F21:G21"/>
    <mergeCell ref="K10:M10"/>
    <mergeCell ref="B11:C12"/>
    <mergeCell ref="B13:B15"/>
    <mergeCell ref="B18:C18"/>
    <mergeCell ref="B19:C19"/>
    <mergeCell ref="I6:J6"/>
    <mergeCell ref="B16:B17"/>
    <mergeCell ref="C7:D7"/>
    <mergeCell ref="E7:F7"/>
    <mergeCell ref="G7:H7"/>
    <mergeCell ref="I7:J7"/>
    <mergeCell ref="C8:D8"/>
    <mergeCell ref="E8:F8"/>
    <mergeCell ref="G8:H8"/>
    <mergeCell ref="I8:J8"/>
    <mergeCell ref="B10:C10"/>
    <mergeCell ref="D10:J10"/>
    <mergeCell ref="B1:J2"/>
    <mergeCell ref="C3:D3"/>
    <mergeCell ref="F3:G3"/>
    <mergeCell ref="I3:J3"/>
    <mergeCell ref="B4:B8"/>
    <mergeCell ref="C4:D4"/>
    <mergeCell ref="E4:F4"/>
    <mergeCell ref="G4:H4"/>
    <mergeCell ref="I4:J4"/>
    <mergeCell ref="C5:D5"/>
    <mergeCell ref="E5:F5"/>
    <mergeCell ref="G5:H5"/>
    <mergeCell ref="I5:J5"/>
    <mergeCell ref="C6:D6"/>
    <mergeCell ref="E6:F6"/>
    <mergeCell ref="G6:H6"/>
  </mergeCells>
  <phoneticPr fontId="3" type="noConversion"/>
  <conditionalFormatting sqref="D15:M15">
    <cfRule type="cellIs" dxfId="164" priority="1" operator="lessThan">
      <formula>0.8</formula>
    </cfRule>
  </conditionalFormatting>
  <pageMargins left="0.7" right="0.7" top="0.75" bottom="0.75" header="0.3" footer="0.3"/>
  <pageSetup paperSize="9" orientation="portrait" horizontalDpi="300" verticalDpi="300" r:id="rId1"/>
</worksheet>
</file>

<file path=xl/worksheets/sheet6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工作表1313">
    <pageSetUpPr fitToPage="1"/>
  </sheetPr>
  <dimension ref="A1:AC77"/>
  <sheetViews>
    <sheetView zoomScale="80" zoomScaleNormal="80" workbookViewId="0">
      <pane ySplit="4" topLeftCell="A5" activePane="bottomLeft" state="frozen"/>
      <selection activeCell="B6" sqref="B6"/>
      <selection pane="bottomLeft" activeCell="C21" sqref="C21:M21"/>
    </sheetView>
  </sheetViews>
  <sheetFormatPr defaultColWidth="8" defaultRowHeight="15.75"/>
  <cols>
    <col min="1" max="1" width="15.125" style="5" customWidth="1"/>
    <col min="2" max="2" width="19.375" style="5" customWidth="1"/>
    <col min="3" max="3" width="15.25" style="5" customWidth="1"/>
    <col min="4" max="4" width="17.5" style="5" customWidth="1"/>
    <col min="5" max="5" width="7.5" style="5" bestFit="1" customWidth="1"/>
    <col min="6" max="6" width="14.375" style="5" bestFit="1" customWidth="1"/>
    <col min="7" max="7" width="14.375" style="5" customWidth="1"/>
    <col min="8" max="8" width="8" style="5" customWidth="1"/>
    <col min="9" max="9" width="5.875" style="5" customWidth="1"/>
    <col min="10" max="10" width="10.625" style="5" customWidth="1"/>
    <col min="11" max="11" width="14.625" style="5" customWidth="1"/>
    <col min="12" max="12" width="7.25" style="5" bestFit="1" customWidth="1"/>
    <col min="13" max="13" width="8" style="5" customWidth="1"/>
    <col min="14" max="14" width="12" style="5" customWidth="1"/>
    <col min="15" max="15" width="6" style="5" customWidth="1"/>
    <col min="16" max="16" width="9.25" style="5" customWidth="1"/>
    <col min="17" max="17" width="11.5" style="5" customWidth="1"/>
    <col min="18" max="18" width="8.5" style="5" customWidth="1"/>
    <col min="19" max="19" width="10.125" style="22" bestFit="1" customWidth="1"/>
    <col min="20" max="20" width="7.625" style="22" bestFit="1" customWidth="1"/>
    <col min="21" max="21" width="10.25" style="5" bestFit="1" customWidth="1"/>
    <col min="22" max="22" width="8.75" style="18" customWidth="1"/>
    <col min="23" max="23" width="7.375" style="5" customWidth="1"/>
    <col min="24" max="24" width="6.875" style="5" bestFit="1" customWidth="1"/>
    <col min="25" max="25" width="12.75" style="5" customWidth="1"/>
    <col min="26" max="26" width="18.875" style="5" customWidth="1"/>
    <col min="27" max="27" width="13.125" style="5" bestFit="1" customWidth="1"/>
    <col min="28" max="28" width="10.375" style="5" customWidth="1"/>
    <col min="29" max="29" width="9.375" style="5" customWidth="1"/>
    <col min="30" max="30" width="8" style="5"/>
    <col min="31" max="31" width="24.625" style="5" bestFit="1" customWidth="1"/>
    <col min="32" max="16384" width="8" style="5"/>
  </cols>
  <sheetData>
    <row r="1" spans="1:29" ht="26.25" customHeight="1">
      <c r="A1" s="1" t="s">
        <v>146</v>
      </c>
      <c r="B1" s="1"/>
      <c r="C1" s="2" t="s">
        <v>147</v>
      </c>
      <c r="D1" s="3">
        <f>SUM(F5:F76)</f>
        <v>171980</v>
      </c>
      <c r="E1" s="82" t="s">
        <v>148</v>
      </c>
      <c r="F1" s="1">
        <f>SUM(G5:G76)</f>
        <v>5488740.5000000019</v>
      </c>
      <c r="G1" s="1" t="s">
        <v>149</v>
      </c>
      <c r="H1" s="4">
        <f>L8+L12+L53+L60+L18+L66+L36+L46+L24+L76</f>
        <v>157.69696969696969</v>
      </c>
      <c r="I1" s="652" t="s">
        <v>150</v>
      </c>
      <c r="J1" s="652"/>
      <c r="K1" s="652"/>
      <c r="L1" s="652" t="s">
        <v>151</v>
      </c>
      <c r="M1" s="652"/>
      <c r="N1" s="652"/>
      <c r="O1" s="652" t="s">
        <v>152</v>
      </c>
      <c r="P1" s="652"/>
      <c r="Q1" s="652"/>
      <c r="R1" s="652"/>
      <c r="S1" s="652" t="s">
        <v>153</v>
      </c>
      <c r="T1" s="652"/>
      <c r="U1" s="652"/>
      <c r="V1" s="652"/>
      <c r="W1" s="652"/>
      <c r="X1" s="652"/>
      <c r="Y1" s="652" t="s">
        <v>0</v>
      </c>
      <c r="Z1" s="652"/>
      <c r="AA1" s="652" t="s">
        <v>154</v>
      </c>
      <c r="AB1" s="653"/>
      <c r="AC1" s="653"/>
    </row>
    <row r="2" spans="1:29" ht="26.25" customHeight="1">
      <c r="A2" s="19">
        <v>45932</v>
      </c>
      <c r="B2" s="20" t="s">
        <v>155</v>
      </c>
      <c r="C2" s="2" t="s">
        <v>156</v>
      </c>
      <c r="D2" s="6">
        <f>AVERAGE(N8,N12,N53,N60,N18,N66,N24,N36,N46,N76)</f>
        <v>145.68803746189056</v>
      </c>
      <c r="E2" s="7" t="s">
        <v>2</v>
      </c>
      <c r="F2" s="8">
        <f>F1/D1</f>
        <v>31.914993022444481</v>
      </c>
      <c r="G2" s="1" t="s">
        <v>157</v>
      </c>
      <c r="H2" s="90">
        <f>COUNT(H5:H76)</f>
        <v>14</v>
      </c>
      <c r="I2" s="652"/>
      <c r="J2" s="652"/>
      <c r="K2" s="652"/>
      <c r="L2" s="652"/>
      <c r="M2" s="652"/>
      <c r="N2" s="652"/>
      <c r="O2" s="652"/>
      <c r="P2" s="652"/>
      <c r="Q2" s="652"/>
      <c r="R2" s="652"/>
      <c r="S2" s="652"/>
      <c r="T2" s="652"/>
      <c r="U2" s="652"/>
      <c r="V2" s="652"/>
      <c r="W2" s="652"/>
      <c r="X2" s="652"/>
      <c r="Y2" s="652"/>
      <c r="Z2" s="652"/>
      <c r="AA2" s="653"/>
      <c r="AB2" s="653"/>
      <c r="AC2" s="653"/>
    </row>
    <row r="3" spans="1:29" ht="23.25" customHeight="1">
      <c r="A3" s="617" t="s">
        <v>3</v>
      </c>
      <c r="B3" s="617" t="s">
        <v>4</v>
      </c>
      <c r="C3" s="617" t="s">
        <v>5</v>
      </c>
      <c r="D3" s="617"/>
      <c r="E3" s="654" t="s">
        <v>6</v>
      </c>
      <c r="F3" s="617" t="s">
        <v>158</v>
      </c>
      <c r="G3" s="654" t="s">
        <v>8</v>
      </c>
      <c r="H3" s="646" t="s">
        <v>9</v>
      </c>
      <c r="I3" s="645" t="s">
        <v>10</v>
      </c>
      <c r="J3" s="649" t="s">
        <v>11</v>
      </c>
      <c r="K3" s="651" t="s">
        <v>159</v>
      </c>
      <c r="L3" s="645" t="s">
        <v>160</v>
      </c>
      <c r="M3" s="649" t="s">
        <v>11</v>
      </c>
      <c r="N3" s="651" t="s">
        <v>1</v>
      </c>
      <c r="O3" s="645" t="s">
        <v>10</v>
      </c>
      <c r="P3" s="651" t="s">
        <v>161</v>
      </c>
      <c r="Q3" s="650" t="s">
        <v>162</v>
      </c>
      <c r="R3" s="633" t="s">
        <v>163</v>
      </c>
      <c r="S3" s="656" t="s">
        <v>14</v>
      </c>
      <c r="T3" s="656"/>
      <c r="U3" s="646" t="s">
        <v>15</v>
      </c>
      <c r="V3" s="646" t="s">
        <v>164</v>
      </c>
      <c r="W3" s="617" t="s">
        <v>16</v>
      </c>
      <c r="X3" s="617"/>
      <c r="Y3" s="647" t="s">
        <v>17</v>
      </c>
      <c r="Z3" s="648"/>
      <c r="AA3" s="649" t="s">
        <v>165</v>
      </c>
      <c r="AB3" s="650" t="s">
        <v>12</v>
      </c>
      <c r="AC3" s="633" t="s">
        <v>13</v>
      </c>
    </row>
    <row r="4" spans="1:29">
      <c r="A4" s="617"/>
      <c r="B4" s="617"/>
      <c r="C4" s="617"/>
      <c r="D4" s="617"/>
      <c r="E4" s="655"/>
      <c r="F4" s="617"/>
      <c r="G4" s="655"/>
      <c r="H4" s="646"/>
      <c r="I4" s="645"/>
      <c r="J4" s="649"/>
      <c r="K4" s="651"/>
      <c r="L4" s="645"/>
      <c r="M4" s="649"/>
      <c r="N4" s="651"/>
      <c r="O4" s="645"/>
      <c r="P4" s="651"/>
      <c r="Q4" s="650"/>
      <c r="R4" s="633"/>
      <c r="S4" s="89" t="s">
        <v>18</v>
      </c>
      <c r="T4" s="89" t="s">
        <v>19</v>
      </c>
      <c r="U4" s="646"/>
      <c r="V4" s="646"/>
      <c r="W4" s="82" t="s">
        <v>20</v>
      </c>
      <c r="X4" s="82" t="s">
        <v>166</v>
      </c>
      <c r="Y4" s="648"/>
      <c r="Z4" s="648"/>
      <c r="AA4" s="649"/>
      <c r="AB4" s="650"/>
      <c r="AC4" s="633"/>
    </row>
    <row r="5" spans="1:29">
      <c r="A5" s="644" t="s">
        <v>167</v>
      </c>
      <c r="B5" s="26" t="s">
        <v>36</v>
      </c>
      <c r="C5" s="601" t="s">
        <v>37</v>
      </c>
      <c r="D5" s="601"/>
      <c r="E5" s="26">
        <v>46.93</v>
      </c>
      <c r="F5" s="89">
        <v>765</v>
      </c>
      <c r="G5" s="82">
        <f>E5*F5</f>
        <v>35901.449999999997</v>
      </c>
      <c r="H5" s="21" t="s">
        <v>35</v>
      </c>
      <c r="I5" s="87">
        <v>16</v>
      </c>
      <c r="J5" s="23">
        <v>2000</v>
      </c>
      <c r="K5" s="9">
        <f>J5/I5</f>
        <v>125</v>
      </c>
      <c r="L5" s="87">
        <v>16</v>
      </c>
      <c r="M5" s="10">
        <f>F5/V5*60</f>
        <v>1912.4999999999941</v>
      </c>
      <c r="N5" s="9">
        <f>M5/L5</f>
        <v>119.53124999999963</v>
      </c>
      <c r="O5" s="11">
        <f t="shared" ref="O5:O7" si="0">L5-I5</f>
        <v>0</v>
      </c>
      <c r="P5" s="12">
        <f t="shared" ref="P5:P7" si="1">N5-K5</f>
        <v>-5.4687500000003695</v>
      </c>
      <c r="Q5" s="83">
        <f>N5/K5</f>
        <v>0.95624999999999705</v>
      </c>
      <c r="R5" s="571">
        <f>Q8</f>
        <v>0.96253748370273751</v>
      </c>
      <c r="S5" s="24">
        <v>0.70833333333333337</v>
      </c>
      <c r="T5" s="24">
        <v>0.72500000000000009</v>
      </c>
      <c r="U5" s="82"/>
      <c r="V5" s="88">
        <f>(T5-S5)*24*60</f>
        <v>24.000000000000075</v>
      </c>
      <c r="W5" s="13"/>
      <c r="X5" s="14"/>
      <c r="Y5" s="617"/>
      <c r="Z5" s="617"/>
      <c r="AA5" s="11">
        <f t="shared" ref="AA5:AA68" si="2">M5-J5</f>
        <v>-87.500000000005912</v>
      </c>
      <c r="AB5" s="83">
        <f t="shared" ref="AB5:AB7" si="3">M5/J5</f>
        <v>0.95624999999999705</v>
      </c>
      <c r="AC5" s="571">
        <f>AB8</f>
        <v>0.96253748370273751</v>
      </c>
    </row>
    <row r="6" spans="1:29">
      <c r="A6" s="645" t="s">
        <v>167</v>
      </c>
      <c r="B6" s="26" t="s">
        <v>36</v>
      </c>
      <c r="C6" s="601" t="s">
        <v>38</v>
      </c>
      <c r="D6" s="601"/>
      <c r="E6" s="26">
        <v>50.49</v>
      </c>
      <c r="F6" s="89">
        <v>1899</v>
      </c>
      <c r="G6" s="82">
        <f t="shared" ref="G6:G7" si="4">E6*F6</f>
        <v>95880.510000000009</v>
      </c>
      <c r="H6" s="21" t="s">
        <v>35</v>
      </c>
      <c r="I6" s="87">
        <v>15</v>
      </c>
      <c r="J6" s="23">
        <v>2000</v>
      </c>
      <c r="K6" s="9">
        <f t="shared" ref="K6:K7" si="5">J6/I6</f>
        <v>133.33333333333334</v>
      </c>
      <c r="L6" s="87">
        <v>15</v>
      </c>
      <c r="M6" s="10">
        <f>F6/V6*60</f>
        <v>1931.186440677968</v>
      </c>
      <c r="N6" s="9">
        <f t="shared" ref="N6:N7" si="6">M6/L6</f>
        <v>128.74576271186453</v>
      </c>
      <c r="O6" s="11">
        <f t="shared" si="0"/>
        <v>0</v>
      </c>
      <c r="P6" s="12">
        <f t="shared" si="1"/>
        <v>-4.5875706214688137</v>
      </c>
      <c r="Q6" s="83">
        <f t="shared" ref="Q6:Q7" si="7">N6/K6</f>
        <v>0.96559322033898387</v>
      </c>
      <c r="R6" s="571"/>
      <c r="S6" s="24">
        <v>0.72916666666666674</v>
      </c>
      <c r="T6" s="24">
        <v>0.77013888888888893</v>
      </c>
      <c r="U6" s="82">
        <f>(S6-T5)*24*60</f>
        <v>5.9999999999999787</v>
      </c>
      <c r="V6" s="88">
        <f>(T6-S6)*24*60</f>
        <v>58.99999999999995</v>
      </c>
      <c r="W6" s="13"/>
      <c r="X6" s="13"/>
      <c r="Y6" s="617"/>
      <c r="Z6" s="617"/>
      <c r="AA6" s="11">
        <f t="shared" si="2"/>
        <v>-68.813559322032006</v>
      </c>
      <c r="AB6" s="83">
        <f t="shared" si="3"/>
        <v>0.96559322033898398</v>
      </c>
      <c r="AC6" s="571"/>
    </row>
    <row r="7" spans="1:29">
      <c r="A7" s="645" t="s">
        <v>21</v>
      </c>
      <c r="B7" s="26" t="s">
        <v>36</v>
      </c>
      <c r="C7" s="594" t="s">
        <v>39</v>
      </c>
      <c r="D7" s="595"/>
      <c r="E7" s="26">
        <v>50.67</v>
      </c>
      <c r="F7" s="89">
        <v>1674</v>
      </c>
      <c r="G7" s="82">
        <f t="shared" si="4"/>
        <v>84821.58</v>
      </c>
      <c r="H7" s="21" t="s">
        <v>35</v>
      </c>
      <c r="I7" s="87">
        <v>17</v>
      </c>
      <c r="J7" s="23">
        <v>2000</v>
      </c>
      <c r="K7" s="9">
        <f t="shared" si="5"/>
        <v>117.64705882352941</v>
      </c>
      <c r="L7" s="87">
        <v>17</v>
      </c>
      <c r="M7" s="10">
        <f t="shared" ref="M7" si="8">F7/V7*60</f>
        <v>1931.5384615384623</v>
      </c>
      <c r="N7" s="9">
        <f t="shared" si="6"/>
        <v>113.61990950226249</v>
      </c>
      <c r="O7" s="11">
        <f t="shared" si="0"/>
        <v>0</v>
      </c>
      <c r="P7" s="12">
        <f t="shared" si="1"/>
        <v>-4.0271493212669185</v>
      </c>
      <c r="Q7" s="83">
        <f t="shared" si="7"/>
        <v>0.96576923076923116</v>
      </c>
      <c r="R7" s="571"/>
      <c r="S7" s="24">
        <v>0.77430555555555558</v>
      </c>
      <c r="T7" s="24">
        <v>0.81041666666666667</v>
      </c>
      <c r="U7" s="82">
        <f t="shared" ref="U7" si="9">(S7-T6)*24*60</f>
        <v>5.9999999999999787</v>
      </c>
      <c r="V7" s="88">
        <f t="shared" ref="V7" si="10">(T7-S7)*24*60</f>
        <v>51.999999999999972</v>
      </c>
      <c r="W7" s="13"/>
      <c r="X7" s="13"/>
      <c r="Y7" s="621"/>
      <c r="Z7" s="622"/>
      <c r="AA7" s="11">
        <f t="shared" si="2"/>
        <v>-68.461538461537657</v>
      </c>
      <c r="AB7" s="83">
        <f t="shared" si="3"/>
        <v>0.96576923076923116</v>
      </c>
      <c r="AC7" s="571"/>
    </row>
    <row r="8" spans="1:29">
      <c r="A8" s="645" t="s">
        <v>21</v>
      </c>
      <c r="B8" s="26" t="s">
        <v>168</v>
      </c>
      <c r="C8" s="629"/>
      <c r="D8" s="629"/>
      <c r="E8" s="81"/>
      <c r="F8" s="27"/>
      <c r="G8" s="9"/>
      <c r="H8" s="89"/>
      <c r="I8" s="16">
        <v>16</v>
      </c>
      <c r="J8" s="23">
        <v>2000</v>
      </c>
      <c r="K8" s="9">
        <f>J8/I8</f>
        <v>125</v>
      </c>
      <c r="L8" s="16">
        <v>16</v>
      </c>
      <c r="M8" s="10">
        <f>AVERAGE(M5:M7)</f>
        <v>1925.074967405475</v>
      </c>
      <c r="N8" s="9">
        <f>M8/L8</f>
        <v>120.31718546284219</v>
      </c>
      <c r="O8" s="11">
        <f>L8-I8</f>
        <v>0</v>
      </c>
      <c r="P8" s="12">
        <f>N8-K8</f>
        <v>-4.6828145371578103</v>
      </c>
      <c r="Q8" s="83">
        <f>N8/K8</f>
        <v>0.96253748370273751</v>
      </c>
      <c r="R8" s="571"/>
      <c r="S8" s="24"/>
      <c r="T8" s="24"/>
      <c r="U8" s="82"/>
      <c r="V8" s="88"/>
      <c r="W8" s="9"/>
      <c r="X8" s="9"/>
      <c r="Y8" s="617"/>
      <c r="Z8" s="617"/>
      <c r="AA8" s="11">
        <f t="shared" si="2"/>
        <v>-74.925032594524964</v>
      </c>
      <c r="AB8" s="83">
        <f>M8/J8</f>
        <v>0.96253748370273751</v>
      </c>
      <c r="AC8" s="571"/>
    </row>
    <row r="9" spans="1:29" ht="15.75" customHeight="1">
      <c r="A9" s="643" t="s">
        <v>169</v>
      </c>
      <c r="B9" s="26" t="s">
        <v>40</v>
      </c>
      <c r="C9" s="594" t="s">
        <v>41</v>
      </c>
      <c r="D9" s="595"/>
      <c r="E9" s="26">
        <v>39.799999999999997</v>
      </c>
      <c r="F9" s="89">
        <v>4500</v>
      </c>
      <c r="G9" s="82">
        <f t="shared" ref="G9:G11" si="11">E9*F9</f>
        <v>179100</v>
      </c>
      <c r="H9" s="21">
        <v>2</v>
      </c>
      <c r="I9" s="87">
        <v>17</v>
      </c>
      <c r="J9" s="23">
        <v>1500</v>
      </c>
      <c r="K9" s="9">
        <f t="shared" ref="K9:K11" si="12">J9/I9</f>
        <v>88.235294117647058</v>
      </c>
      <c r="L9" s="87">
        <v>17</v>
      </c>
      <c r="M9" s="10">
        <f t="shared" ref="M9:M11" si="13">F9/V9*60</f>
        <v>1428.5714285714289</v>
      </c>
      <c r="N9" s="9">
        <f t="shared" ref="N9:N11" si="14">M9/L9</f>
        <v>84.033613445378165</v>
      </c>
      <c r="O9" s="11">
        <f t="shared" ref="O9:O11" si="15">L9-I9</f>
        <v>0</v>
      </c>
      <c r="P9" s="12">
        <f>N9-K9</f>
        <v>-4.2016806722688926</v>
      </c>
      <c r="Q9" s="83">
        <f>N9/K9</f>
        <v>0.95238095238095255</v>
      </c>
      <c r="R9" s="571">
        <f>Q12</f>
        <v>0.95517266448564198</v>
      </c>
      <c r="S9" s="24">
        <v>0.25</v>
      </c>
      <c r="T9" s="24">
        <v>0.38124999999999998</v>
      </c>
      <c r="U9" s="82"/>
      <c r="V9" s="88">
        <f t="shared" ref="V9:V11" si="16">(T9-S9)*24*60</f>
        <v>188.99999999999997</v>
      </c>
      <c r="W9" s="13"/>
      <c r="X9" s="13"/>
      <c r="Y9" s="617"/>
      <c r="Z9" s="617"/>
      <c r="AA9" s="11">
        <f t="shared" si="2"/>
        <v>-71.428571428571104</v>
      </c>
      <c r="AB9" s="83">
        <f>M9/J9</f>
        <v>0.95238095238095255</v>
      </c>
      <c r="AC9" s="571">
        <f>AB12</f>
        <v>0.95517266448564186</v>
      </c>
    </row>
    <row r="10" spans="1:29" ht="15.75" customHeight="1">
      <c r="A10" s="643" t="s">
        <v>23</v>
      </c>
      <c r="B10" s="26" t="s">
        <v>40</v>
      </c>
      <c r="C10" s="594" t="s">
        <v>42</v>
      </c>
      <c r="D10" s="595"/>
      <c r="E10" s="26">
        <v>39.36</v>
      </c>
      <c r="F10" s="89">
        <v>3134</v>
      </c>
      <c r="G10" s="82">
        <f t="shared" si="11"/>
        <v>123354.24000000001</v>
      </c>
      <c r="H10" s="21" t="s">
        <v>35</v>
      </c>
      <c r="I10" s="87">
        <v>20</v>
      </c>
      <c r="J10" s="23">
        <v>1500</v>
      </c>
      <c r="K10" s="9">
        <f t="shared" si="12"/>
        <v>75</v>
      </c>
      <c r="L10" s="87">
        <v>20</v>
      </c>
      <c r="M10" s="10">
        <f t="shared" si="13"/>
        <v>1435.4198473282443</v>
      </c>
      <c r="N10" s="9">
        <f t="shared" si="14"/>
        <v>71.770992366412216</v>
      </c>
      <c r="O10" s="11">
        <f t="shared" si="15"/>
        <v>0</v>
      </c>
      <c r="P10" s="12">
        <f t="shared" ref="P10:P11" si="17">N10-K10</f>
        <v>-3.2290076335877842</v>
      </c>
      <c r="Q10" s="83">
        <f t="shared" ref="Q10:Q11" si="18">N10/K10</f>
        <v>0.95694656488549623</v>
      </c>
      <c r="R10" s="571"/>
      <c r="S10" s="24">
        <v>0.38541666666666663</v>
      </c>
      <c r="T10" s="24">
        <v>0.47638888888888886</v>
      </c>
      <c r="U10" s="82">
        <f>(S10-T9)*24*60</f>
        <v>5.9999999999999787</v>
      </c>
      <c r="V10" s="88">
        <f t="shared" si="16"/>
        <v>131</v>
      </c>
      <c r="W10" s="13">
        <f>T10</f>
        <v>0.47638888888888886</v>
      </c>
      <c r="X10" s="13">
        <f>S11</f>
        <v>0.55694444444444435</v>
      </c>
      <c r="Y10" s="617"/>
      <c r="Z10" s="617"/>
      <c r="AA10" s="11">
        <f t="shared" si="2"/>
        <v>-64.580152671755741</v>
      </c>
      <c r="AB10" s="83">
        <f t="shared" ref="AB10:AB24" si="19">M10/J10</f>
        <v>0.95694656488549612</v>
      </c>
      <c r="AC10" s="571"/>
    </row>
    <row r="11" spans="1:29" ht="15.75" customHeight="1">
      <c r="A11" s="643" t="s">
        <v>170</v>
      </c>
      <c r="B11" s="26" t="s">
        <v>40</v>
      </c>
      <c r="C11" s="594" t="s">
        <v>41</v>
      </c>
      <c r="D11" s="595"/>
      <c r="E11" s="26">
        <v>39.799999999999997</v>
      </c>
      <c r="F11" s="89">
        <v>2510</v>
      </c>
      <c r="G11" s="82">
        <f t="shared" si="11"/>
        <v>99898</v>
      </c>
      <c r="H11" s="21" t="s">
        <v>35</v>
      </c>
      <c r="I11" s="87">
        <v>17</v>
      </c>
      <c r="J11" s="23">
        <v>1500</v>
      </c>
      <c r="K11" s="9">
        <f t="shared" si="12"/>
        <v>88.235294117647058</v>
      </c>
      <c r="L11" s="87">
        <v>17</v>
      </c>
      <c r="M11" s="10">
        <f t="shared" si="13"/>
        <v>1434.2857142857151</v>
      </c>
      <c r="N11" s="9">
        <f t="shared" si="14"/>
        <v>84.369747899159719</v>
      </c>
      <c r="O11" s="11">
        <f t="shared" si="15"/>
        <v>0</v>
      </c>
      <c r="P11" s="12">
        <f t="shared" si="17"/>
        <v>-3.8655462184873386</v>
      </c>
      <c r="Q11" s="83">
        <f t="shared" si="18"/>
        <v>0.95619047619047681</v>
      </c>
      <c r="R11" s="571"/>
      <c r="S11" s="24">
        <v>0.55694444444444435</v>
      </c>
      <c r="T11" s="24">
        <v>0.62986111111111098</v>
      </c>
      <c r="U11" s="82">
        <f t="shared" ref="U11" si="20">(S11-T10)*24*60</f>
        <v>115.99999999999991</v>
      </c>
      <c r="V11" s="88">
        <f t="shared" si="16"/>
        <v>104.99999999999994</v>
      </c>
      <c r="W11" s="13"/>
      <c r="X11" s="13"/>
      <c r="Y11" s="617"/>
      <c r="Z11" s="617"/>
      <c r="AA11" s="11">
        <f t="shared" si="2"/>
        <v>-65.71428571428487</v>
      </c>
      <c r="AB11" s="83">
        <f t="shared" si="19"/>
        <v>0.9561904761904767</v>
      </c>
      <c r="AC11" s="571"/>
    </row>
    <row r="12" spans="1:29" ht="16.5" customHeight="1">
      <c r="A12" s="643" t="s">
        <v>171</v>
      </c>
      <c r="B12" s="26" t="s">
        <v>22</v>
      </c>
      <c r="C12" s="629"/>
      <c r="D12" s="629"/>
      <c r="E12" s="81"/>
      <c r="F12" s="23"/>
      <c r="G12" s="10"/>
      <c r="H12" s="89"/>
      <c r="I12" s="16">
        <v>18</v>
      </c>
      <c r="J12" s="23">
        <v>1500</v>
      </c>
      <c r="K12" s="9">
        <f>J12/I12</f>
        <v>83.333333333333329</v>
      </c>
      <c r="L12" s="16">
        <v>18</v>
      </c>
      <c r="M12" s="10">
        <f>AVERAGE(M9:M11)</f>
        <v>1432.7589967284628</v>
      </c>
      <c r="N12" s="9">
        <f>M12/L12</f>
        <v>79.59772204047016</v>
      </c>
      <c r="O12" s="11">
        <f>L12-I12</f>
        <v>0</v>
      </c>
      <c r="P12" s="12">
        <f>N12-K12</f>
        <v>-3.7356112928631688</v>
      </c>
      <c r="Q12" s="83">
        <f>N12/K12</f>
        <v>0.95517266448564198</v>
      </c>
      <c r="R12" s="571"/>
      <c r="S12" s="24"/>
      <c r="T12" s="24"/>
      <c r="U12" s="9"/>
      <c r="V12" s="88"/>
      <c r="W12" s="9"/>
      <c r="X12" s="9"/>
      <c r="Y12" s="617"/>
      <c r="Z12" s="617"/>
      <c r="AA12" s="11">
        <f t="shared" si="2"/>
        <v>-67.241003271537238</v>
      </c>
      <c r="AB12" s="83">
        <f t="shared" si="19"/>
        <v>0.95517266448564186</v>
      </c>
      <c r="AC12" s="571"/>
    </row>
    <row r="13" spans="1:29" ht="16.5" customHeight="1">
      <c r="A13" s="641" t="s">
        <v>172</v>
      </c>
      <c r="B13" s="89" t="s">
        <v>43</v>
      </c>
      <c r="C13" s="636" t="s">
        <v>44</v>
      </c>
      <c r="D13" s="636"/>
      <c r="E13" s="26">
        <v>41</v>
      </c>
      <c r="F13" s="89">
        <v>1898</v>
      </c>
      <c r="G13" s="82">
        <f t="shared" ref="G13:G17" si="21">E13*F13</f>
        <v>77818</v>
      </c>
      <c r="H13" s="21" t="s">
        <v>35</v>
      </c>
      <c r="I13" s="87">
        <v>26</v>
      </c>
      <c r="J13" s="23">
        <v>1500</v>
      </c>
      <c r="K13" s="9">
        <f>J13/I13</f>
        <v>57.692307692307693</v>
      </c>
      <c r="L13" s="87">
        <v>26</v>
      </c>
      <c r="M13" s="10">
        <f>F13/V13*60</f>
        <v>1441.5189873417712</v>
      </c>
      <c r="N13" s="9">
        <f t="shared" ref="N13:N23" si="22">M13/L13</f>
        <v>55.443037974683506</v>
      </c>
      <c r="O13" s="11">
        <f t="shared" ref="O13" si="23">L13-I13</f>
        <v>0</v>
      </c>
      <c r="P13" s="12">
        <f t="shared" ref="P13" si="24">N13-K13</f>
        <v>-2.2492697176241876</v>
      </c>
      <c r="Q13" s="83">
        <f>N13/K13</f>
        <v>0.96101265822784743</v>
      </c>
      <c r="R13" s="571">
        <f>Q18</f>
        <v>0.95840296450598539</v>
      </c>
      <c r="S13" s="24">
        <v>0.25</v>
      </c>
      <c r="T13" s="24">
        <v>0.30486111111111114</v>
      </c>
      <c r="U13" s="82"/>
      <c r="V13" s="88">
        <f>(T13-S13)*24*60</f>
        <v>79.000000000000043</v>
      </c>
      <c r="W13" s="15"/>
      <c r="X13" s="15"/>
      <c r="Y13" s="617"/>
      <c r="Z13" s="617"/>
      <c r="AA13" s="11">
        <f t="shared" si="2"/>
        <v>-58.481012658228792</v>
      </c>
      <c r="AB13" s="83">
        <f t="shared" si="19"/>
        <v>0.96101265822784743</v>
      </c>
      <c r="AC13" s="571">
        <f>AB18</f>
        <v>0.95840296450598539</v>
      </c>
    </row>
    <row r="14" spans="1:29" ht="16.5" customHeight="1">
      <c r="A14" s="642" t="s">
        <v>24</v>
      </c>
      <c r="B14" s="89" t="s">
        <v>40</v>
      </c>
      <c r="C14" s="636" t="s">
        <v>45</v>
      </c>
      <c r="D14" s="636"/>
      <c r="E14" s="26">
        <v>39.619999999999997</v>
      </c>
      <c r="F14" s="89">
        <v>4693</v>
      </c>
      <c r="G14" s="82">
        <f t="shared" si="21"/>
        <v>185936.65999999997</v>
      </c>
      <c r="H14" s="21" t="s">
        <v>35</v>
      </c>
      <c r="I14" s="87">
        <v>19</v>
      </c>
      <c r="J14" s="23">
        <v>1500</v>
      </c>
      <c r="K14" s="9">
        <f>J14/I14</f>
        <v>78.94736842105263</v>
      </c>
      <c r="L14" s="87">
        <v>19</v>
      </c>
      <c r="M14" s="10">
        <f>F14/V14*60</f>
        <v>1429.340101522843</v>
      </c>
      <c r="N14" s="9">
        <f t="shared" si="22"/>
        <v>75.22842639593911</v>
      </c>
      <c r="O14" s="11">
        <f>L14-I14</f>
        <v>0</v>
      </c>
      <c r="P14" s="12">
        <f>N14-K14</f>
        <v>-3.7189420251135203</v>
      </c>
      <c r="Q14" s="83">
        <f>N14/K14</f>
        <v>0.95289340101522879</v>
      </c>
      <c r="R14" s="571"/>
      <c r="S14" s="24">
        <v>0.30902777777777779</v>
      </c>
      <c r="T14" s="24">
        <v>0.4458333333333333</v>
      </c>
      <c r="U14" s="82">
        <f>IF(S14=TIME(17,0,0),"",(S14-T13)*24*60)</f>
        <v>5.9999999999999787</v>
      </c>
      <c r="V14" s="88">
        <f>(T14-S14)*24*60</f>
        <v>196.99999999999994</v>
      </c>
      <c r="W14" s="13"/>
      <c r="X14" s="13"/>
      <c r="Y14" s="617"/>
      <c r="Z14" s="617"/>
      <c r="AA14" s="11">
        <f t="shared" si="2"/>
        <v>-70.659898477156958</v>
      </c>
      <c r="AB14" s="83">
        <f t="shared" si="19"/>
        <v>0.95289340101522868</v>
      </c>
      <c r="AC14" s="571"/>
    </row>
    <row r="15" spans="1:29" ht="16.5" customHeight="1">
      <c r="A15" s="642" t="s">
        <v>24</v>
      </c>
      <c r="B15" s="89" t="s">
        <v>46</v>
      </c>
      <c r="C15" s="636" t="s">
        <v>47</v>
      </c>
      <c r="D15" s="636"/>
      <c r="E15" s="26">
        <v>24.45</v>
      </c>
      <c r="F15" s="89">
        <v>2270</v>
      </c>
      <c r="G15" s="82">
        <f t="shared" si="21"/>
        <v>55501.5</v>
      </c>
      <c r="H15" s="21" t="s">
        <v>35</v>
      </c>
      <c r="I15" s="87">
        <v>20</v>
      </c>
      <c r="J15" s="23">
        <v>2400</v>
      </c>
      <c r="K15" s="9">
        <f t="shared" ref="K15:K17" si="25">J15/I15</f>
        <v>120</v>
      </c>
      <c r="L15" s="87">
        <v>20</v>
      </c>
      <c r="M15" s="10">
        <f t="shared" ref="M15:M17" si="26">F15/V15*60</f>
        <v>2308.4745762711855</v>
      </c>
      <c r="N15" s="9">
        <f t="shared" si="22"/>
        <v>115.42372881355928</v>
      </c>
      <c r="O15" s="11">
        <f t="shared" ref="O15:O17" si="27">L15-I15</f>
        <v>0</v>
      </c>
      <c r="P15" s="12">
        <f t="shared" ref="P15:P17" si="28">N15-K15</f>
        <v>-4.5762711864407208</v>
      </c>
      <c r="Q15" s="83">
        <f t="shared" ref="Q15:Q23" si="29">N15/K15</f>
        <v>0.96186440677966067</v>
      </c>
      <c r="R15" s="571"/>
      <c r="S15" s="24">
        <v>0.4506944444444444</v>
      </c>
      <c r="T15" s="24">
        <v>0.49166666666666664</v>
      </c>
      <c r="U15" s="82">
        <f t="shared" ref="U15:U17" si="30">IF(S15=TIME(17,0,0),"",(S15-T14)*24*60)</f>
        <v>6.9999999999999751</v>
      </c>
      <c r="V15" s="88">
        <f t="shared" ref="V15:V17" si="31">(T15-S15)*24*60</f>
        <v>59.000000000000028</v>
      </c>
      <c r="W15" s="13"/>
      <c r="X15" s="13"/>
      <c r="Y15" s="617"/>
      <c r="Z15" s="617"/>
      <c r="AA15" s="11">
        <f t="shared" si="2"/>
        <v>-91.52542372881453</v>
      </c>
      <c r="AB15" s="83">
        <f t="shared" si="19"/>
        <v>0.96186440677966056</v>
      </c>
      <c r="AC15" s="571"/>
    </row>
    <row r="16" spans="1:29" ht="16.5" customHeight="1">
      <c r="A16" s="642" t="s">
        <v>173</v>
      </c>
      <c r="B16" s="89" t="s">
        <v>36</v>
      </c>
      <c r="C16" s="636" t="s">
        <v>49</v>
      </c>
      <c r="D16" s="636"/>
      <c r="E16" s="26">
        <v>50.98</v>
      </c>
      <c r="F16" s="89">
        <v>2460</v>
      </c>
      <c r="G16" s="82">
        <f t="shared" si="21"/>
        <v>125410.79999999999</v>
      </c>
      <c r="H16" s="21" t="s">
        <v>35</v>
      </c>
      <c r="I16" s="87">
        <v>16</v>
      </c>
      <c r="J16" s="23">
        <v>2000</v>
      </c>
      <c r="K16" s="9">
        <f t="shared" si="25"/>
        <v>125</v>
      </c>
      <c r="L16" s="87">
        <v>16</v>
      </c>
      <c r="M16" s="10">
        <f t="shared" si="26"/>
        <v>1916.8831168831157</v>
      </c>
      <c r="N16" s="9">
        <f t="shared" si="22"/>
        <v>119.80519480519473</v>
      </c>
      <c r="O16" s="11">
        <f t="shared" si="27"/>
        <v>0</v>
      </c>
      <c r="P16" s="12">
        <f t="shared" si="28"/>
        <v>-5.1948051948052694</v>
      </c>
      <c r="Q16" s="83">
        <f t="shared" si="29"/>
        <v>0.95844155844155787</v>
      </c>
      <c r="R16" s="571"/>
      <c r="S16" s="24">
        <v>0.70833333333333337</v>
      </c>
      <c r="T16" s="24">
        <v>0.76180555555555562</v>
      </c>
      <c r="U16" s="82" t="str">
        <f t="shared" si="30"/>
        <v/>
      </c>
      <c r="V16" s="88">
        <f t="shared" si="31"/>
        <v>77.000000000000043</v>
      </c>
      <c r="W16" s="13"/>
      <c r="X16" s="13"/>
      <c r="Y16" s="617"/>
      <c r="Z16" s="617"/>
      <c r="AA16" s="11">
        <f t="shared" si="2"/>
        <v>-83.11688311688431</v>
      </c>
      <c r="AB16" s="83">
        <f t="shared" si="19"/>
        <v>0.95844155844155787</v>
      </c>
      <c r="AC16" s="571"/>
    </row>
    <row r="17" spans="1:29" ht="16.5" customHeight="1">
      <c r="A17" s="642" t="s">
        <v>173</v>
      </c>
      <c r="B17" s="89" t="s">
        <v>36</v>
      </c>
      <c r="C17" s="636" t="s">
        <v>50</v>
      </c>
      <c r="D17" s="636"/>
      <c r="E17" s="26">
        <v>50.92</v>
      </c>
      <c r="F17" s="89">
        <v>2646</v>
      </c>
      <c r="G17" s="82">
        <f t="shared" si="21"/>
        <v>134734.32</v>
      </c>
      <c r="H17" s="21" t="s">
        <v>35</v>
      </c>
      <c r="I17" s="87">
        <v>15</v>
      </c>
      <c r="J17" s="23">
        <v>2000</v>
      </c>
      <c r="K17" s="9">
        <f t="shared" si="25"/>
        <v>133.33333333333334</v>
      </c>
      <c r="L17" s="87">
        <v>15</v>
      </c>
      <c r="M17" s="10">
        <f t="shared" si="26"/>
        <v>1912.7710843373486</v>
      </c>
      <c r="N17" s="9">
        <f t="shared" si="22"/>
        <v>127.51807228915658</v>
      </c>
      <c r="O17" s="11">
        <f t="shared" si="27"/>
        <v>0</v>
      </c>
      <c r="P17" s="12">
        <f t="shared" si="28"/>
        <v>-5.8152610441767649</v>
      </c>
      <c r="Q17" s="83">
        <f t="shared" si="29"/>
        <v>0.95638554216867422</v>
      </c>
      <c r="R17" s="571"/>
      <c r="S17" s="24">
        <v>0.76666666666666672</v>
      </c>
      <c r="T17" s="24">
        <v>0.82430555555555562</v>
      </c>
      <c r="U17" s="82">
        <f t="shared" si="30"/>
        <v>6.9999999999999751</v>
      </c>
      <c r="V17" s="88">
        <f t="shared" si="31"/>
        <v>83.000000000000028</v>
      </c>
      <c r="W17" s="13"/>
      <c r="X17" s="13"/>
      <c r="Y17" s="617"/>
      <c r="Z17" s="617"/>
      <c r="AA17" s="11">
        <f t="shared" si="2"/>
        <v>-87.228915662651389</v>
      </c>
      <c r="AB17" s="83">
        <f t="shared" si="19"/>
        <v>0.95638554216867433</v>
      </c>
      <c r="AC17" s="571"/>
    </row>
    <row r="18" spans="1:29" ht="16.5" customHeight="1">
      <c r="A18" s="642" t="s">
        <v>174</v>
      </c>
      <c r="B18" s="26" t="s">
        <v>22</v>
      </c>
      <c r="C18" s="629"/>
      <c r="D18" s="629"/>
      <c r="E18" s="81"/>
      <c r="F18" s="27"/>
      <c r="G18" s="9"/>
      <c r="H18" s="89"/>
      <c r="I18" s="16">
        <v>19.2</v>
      </c>
      <c r="J18" s="23">
        <v>1880</v>
      </c>
      <c r="K18" s="9">
        <f>J18/I18</f>
        <v>97.916666666666671</v>
      </c>
      <c r="L18" s="16">
        <v>19.2</v>
      </c>
      <c r="M18" s="10">
        <f>AVERAGE(M13:M17)</f>
        <v>1801.7975732712525</v>
      </c>
      <c r="N18" s="9">
        <f t="shared" si="22"/>
        <v>93.843623607877745</v>
      </c>
      <c r="O18" s="11">
        <f>L18-I18</f>
        <v>0</v>
      </c>
      <c r="P18" s="12">
        <f>N18-K18</f>
        <v>-4.0730430587889259</v>
      </c>
      <c r="Q18" s="83">
        <f t="shared" si="29"/>
        <v>0.95840296450598539</v>
      </c>
      <c r="R18" s="571"/>
      <c r="S18" s="24"/>
      <c r="T18" s="24"/>
      <c r="U18" s="82"/>
      <c r="V18" s="88"/>
      <c r="W18" s="9"/>
      <c r="X18" s="9"/>
      <c r="Y18" s="617"/>
      <c r="Z18" s="617"/>
      <c r="AA18" s="11">
        <f t="shared" si="2"/>
        <v>-78.202426728747469</v>
      </c>
      <c r="AB18" s="83">
        <f t="shared" si="19"/>
        <v>0.95840296450598539</v>
      </c>
      <c r="AC18" s="571"/>
    </row>
    <row r="19" spans="1:29" ht="15.75" customHeight="1">
      <c r="A19" s="639" t="s">
        <v>175</v>
      </c>
      <c r="B19" s="26" t="s">
        <v>43</v>
      </c>
      <c r="C19" s="636" t="s">
        <v>51</v>
      </c>
      <c r="D19" s="636"/>
      <c r="E19" s="26">
        <v>43.14</v>
      </c>
      <c r="F19" s="89">
        <v>1281</v>
      </c>
      <c r="G19" s="82">
        <f t="shared" ref="G19:G23" si="32">E19*F19</f>
        <v>55262.340000000004</v>
      </c>
      <c r="H19" s="21" t="s">
        <v>35</v>
      </c>
      <c r="I19" s="87">
        <v>17</v>
      </c>
      <c r="J19" s="23">
        <v>2000</v>
      </c>
      <c r="K19" s="9">
        <f t="shared" ref="K19:K24" si="33">J19/I19</f>
        <v>117.64705882352941</v>
      </c>
      <c r="L19" s="87">
        <v>17</v>
      </c>
      <c r="M19" s="10">
        <f t="shared" ref="M19:M23" si="34">F19/V19*60</f>
        <v>1921.5000000000011</v>
      </c>
      <c r="N19" s="9">
        <f t="shared" si="22"/>
        <v>113.02941176470596</v>
      </c>
      <c r="O19" s="11">
        <f t="shared" ref="O19:O23" si="35">L19-I19</f>
        <v>0</v>
      </c>
      <c r="P19" s="12">
        <f t="shared" ref="P19:P23" si="36">N19-K19</f>
        <v>-4.6176470588234508</v>
      </c>
      <c r="Q19" s="83">
        <f t="shared" si="29"/>
        <v>0.96075000000000066</v>
      </c>
      <c r="R19" s="571">
        <f>Q24</f>
        <v>0.95598004172133</v>
      </c>
      <c r="S19" s="24">
        <v>0.20833333333333334</v>
      </c>
      <c r="T19" s="24">
        <v>0.2361111111111111</v>
      </c>
      <c r="U19" s="82"/>
      <c r="V19" s="88">
        <f>(T19-S19)*24*60</f>
        <v>39.999999999999979</v>
      </c>
      <c r="W19" s="15"/>
      <c r="X19" s="15"/>
      <c r="Y19" s="617"/>
      <c r="Z19" s="617"/>
      <c r="AA19" s="11">
        <f t="shared" si="2"/>
        <v>-78.499999999998863</v>
      </c>
      <c r="AB19" s="83">
        <f t="shared" si="19"/>
        <v>0.96075000000000055</v>
      </c>
      <c r="AC19" s="571">
        <f>AB24</f>
        <v>0.95598004172133</v>
      </c>
    </row>
    <row r="20" spans="1:29" ht="15.75" customHeight="1">
      <c r="A20" s="640" t="s">
        <v>176</v>
      </c>
      <c r="B20" s="26" t="s">
        <v>36</v>
      </c>
      <c r="C20" s="636" t="s">
        <v>52</v>
      </c>
      <c r="D20" s="636"/>
      <c r="E20" s="26">
        <v>57.73</v>
      </c>
      <c r="F20" s="89">
        <v>2525</v>
      </c>
      <c r="G20" s="82">
        <f t="shared" si="32"/>
        <v>145768.25</v>
      </c>
      <c r="H20" s="21" t="s">
        <v>35</v>
      </c>
      <c r="I20" s="87">
        <v>15</v>
      </c>
      <c r="J20" s="23">
        <v>2000</v>
      </c>
      <c r="K20" s="9">
        <f t="shared" si="33"/>
        <v>133.33333333333334</v>
      </c>
      <c r="L20" s="87">
        <v>15</v>
      </c>
      <c r="M20" s="10">
        <f t="shared" si="34"/>
        <v>1917.7215189873427</v>
      </c>
      <c r="N20" s="9">
        <f t="shared" si="22"/>
        <v>127.84810126582285</v>
      </c>
      <c r="O20" s="11">
        <f t="shared" si="35"/>
        <v>0</v>
      </c>
      <c r="P20" s="12">
        <f t="shared" si="36"/>
        <v>-5.4852320675104949</v>
      </c>
      <c r="Q20" s="83">
        <f t="shared" si="29"/>
        <v>0.95886075949367133</v>
      </c>
      <c r="R20" s="571"/>
      <c r="S20" s="24">
        <v>0.23958333333333331</v>
      </c>
      <c r="T20" s="24">
        <v>0.2944444444444444</v>
      </c>
      <c r="U20" s="82">
        <f>IF(S20=TIME(17,0,0),"",(S20-T19)*24*60)</f>
        <v>4.9999999999999822</v>
      </c>
      <c r="V20" s="88">
        <f t="shared" ref="V20:V23" si="37">(T20-S20)*24*60</f>
        <v>78.999999999999957</v>
      </c>
      <c r="W20" s="13"/>
      <c r="X20" s="82"/>
      <c r="Y20" s="617"/>
      <c r="Z20" s="617"/>
      <c r="AA20" s="11">
        <f t="shared" si="2"/>
        <v>-82.278481012657267</v>
      </c>
      <c r="AB20" s="83">
        <f t="shared" si="19"/>
        <v>0.95886075949367133</v>
      </c>
      <c r="AC20" s="571"/>
    </row>
    <row r="21" spans="1:29" ht="15.75" customHeight="1">
      <c r="A21" s="640" t="s">
        <v>176</v>
      </c>
      <c r="B21" s="26" t="s">
        <v>36</v>
      </c>
      <c r="C21" s="636" t="s">
        <v>53</v>
      </c>
      <c r="D21" s="636"/>
      <c r="E21" s="26">
        <v>53.68</v>
      </c>
      <c r="F21" s="89">
        <v>1714</v>
      </c>
      <c r="G21" s="82">
        <f t="shared" si="32"/>
        <v>92007.52</v>
      </c>
      <c r="H21" s="21" t="s">
        <v>35</v>
      </c>
      <c r="I21" s="87">
        <v>16</v>
      </c>
      <c r="J21" s="23">
        <v>2000</v>
      </c>
      <c r="K21" s="9">
        <f t="shared" si="33"/>
        <v>125</v>
      </c>
      <c r="L21" s="87">
        <v>16</v>
      </c>
      <c r="M21" s="10">
        <f t="shared" si="34"/>
        <v>1904.4444444444455</v>
      </c>
      <c r="N21" s="9">
        <f t="shared" si="22"/>
        <v>119.02777777777784</v>
      </c>
      <c r="O21" s="11">
        <f t="shared" si="35"/>
        <v>0</v>
      </c>
      <c r="P21" s="12">
        <f t="shared" si="36"/>
        <v>-5.9722222222221575</v>
      </c>
      <c r="Q21" s="83">
        <f t="shared" si="29"/>
        <v>0.95222222222222275</v>
      </c>
      <c r="R21" s="571"/>
      <c r="S21" s="24">
        <v>0.29791666666666661</v>
      </c>
      <c r="T21" s="24">
        <v>0.33541666666666659</v>
      </c>
      <c r="U21" s="82">
        <f t="shared" ref="U21:U23" si="38">IF(S21=TIME(17,0,0),"",(S21-T20)*24*60)</f>
        <v>4.9999999999999822</v>
      </c>
      <c r="V21" s="88">
        <f t="shared" si="37"/>
        <v>53.999999999999972</v>
      </c>
      <c r="W21" s="13"/>
      <c r="X21" s="82"/>
      <c r="Y21" s="617"/>
      <c r="Z21" s="617"/>
      <c r="AA21" s="11">
        <f t="shared" si="2"/>
        <v>-95.55555555555452</v>
      </c>
      <c r="AB21" s="83">
        <f t="shared" si="19"/>
        <v>0.95222222222222275</v>
      </c>
      <c r="AC21" s="571"/>
    </row>
    <row r="22" spans="1:29" ht="15.75" customHeight="1">
      <c r="A22" s="640" t="s">
        <v>26</v>
      </c>
      <c r="B22" s="26" t="s">
        <v>36</v>
      </c>
      <c r="C22" s="636" t="s">
        <v>54</v>
      </c>
      <c r="D22" s="636"/>
      <c r="E22" s="26">
        <v>53.27</v>
      </c>
      <c r="F22" s="89">
        <v>1619</v>
      </c>
      <c r="G22" s="82">
        <f t="shared" si="32"/>
        <v>86244.13</v>
      </c>
      <c r="H22" s="21" t="s">
        <v>35</v>
      </c>
      <c r="I22" s="87">
        <v>16</v>
      </c>
      <c r="J22" s="23">
        <v>2000</v>
      </c>
      <c r="K22" s="9">
        <f t="shared" si="33"/>
        <v>125</v>
      </c>
      <c r="L22" s="87">
        <v>16</v>
      </c>
      <c r="M22" s="10">
        <f t="shared" si="34"/>
        <v>1904.7058823529419</v>
      </c>
      <c r="N22" s="9">
        <f t="shared" si="22"/>
        <v>119.04411764705887</v>
      </c>
      <c r="O22" s="11">
        <f t="shared" si="35"/>
        <v>0</v>
      </c>
      <c r="P22" s="12">
        <f t="shared" si="36"/>
        <v>-5.9558823529411313</v>
      </c>
      <c r="Q22" s="83">
        <f t="shared" si="29"/>
        <v>0.95235294117647096</v>
      </c>
      <c r="R22" s="571"/>
      <c r="S22" s="24">
        <v>0.34027777777777768</v>
      </c>
      <c r="T22" s="24">
        <v>0.37569444444444433</v>
      </c>
      <c r="U22" s="82">
        <f t="shared" si="38"/>
        <v>6.9999999999999751</v>
      </c>
      <c r="V22" s="88">
        <f t="shared" si="37"/>
        <v>50.999999999999979</v>
      </c>
      <c r="W22" s="13"/>
      <c r="X22" s="82"/>
      <c r="Y22" s="617"/>
      <c r="Z22" s="617"/>
      <c r="AA22" s="11">
        <f t="shared" si="2"/>
        <v>-95.294117647058101</v>
      </c>
      <c r="AB22" s="83">
        <f t="shared" si="19"/>
        <v>0.95235294117647096</v>
      </c>
      <c r="AC22" s="571"/>
    </row>
    <row r="23" spans="1:29" ht="15.75" customHeight="1">
      <c r="A23" s="640" t="s">
        <v>26</v>
      </c>
      <c r="B23" s="26" t="s">
        <v>36</v>
      </c>
      <c r="C23" s="636" t="s">
        <v>55</v>
      </c>
      <c r="D23" s="636"/>
      <c r="E23" s="26">
        <v>54.09</v>
      </c>
      <c r="F23" s="89">
        <v>2230</v>
      </c>
      <c r="G23" s="82">
        <f t="shared" si="32"/>
        <v>120620.70000000001</v>
      </c>
      <c r="H23" s="21" t="s">
        <v>35</v>
      </c>
      <c r="I23" s="87">
        <v>19</v>
      </c>
      <c r="J23" s="23">
        <v>2000</v>
      </c>
      <c r="K23" s="9">
        <f t="shared" si="33"/>
        <v>105.26315789473684</v>
      </c>
      <c r="L23" s="87">
        <v>19</v>
      </c>
      <c r="M23" s="10">
        <f t="shared" si="34"/>
        <v>1911.4285714285695</v>
      </c>
      <c r="N23" s="9">
        <f t="shared" si="22"/>
        <v>100.6015037593984</v>
      </c>
      <c r="O23" s="11">
        <f t="shared" si="35"/>
        <v>0</v>
      </c>
      <c r="P23" s="12">
        <f t="shared" si="36"/>
        <v>-4.6616541353384378</v>
      </c>
      <c r="Q23" s="83">
        <f t="shared" si="29"/>
        <v>0.95571428571428485</v>
      </c>
      <c r="R23" s="571"/>
      <c r="S23" s="24">
        <v>0.70833333333333337</v>
      </c>
      <c r="T23" s="24">
        <v>0.75694444444444453</v>
      </c>
      <c r="U23" s="82" t="str">
        <f t="shared" si="38"/>
        <v/>
      </c>
      <c r="V23" s="88">
        <f t="shared" si="37"/>
        <v>70.000000000000071</v>
      </c>
      <c r="W23" s="13"/>
      <c r="X23" s="82"/>
      <c r="Y23" s="617"/>
      <c r="Z23" s="617"/>
      <c r="AA23" s="11">
        <f t="shared" si="2"/>
        <v>-88.571428571430488</v>
      </c>
      <c r="AB23" s="83">
        <f t="shared" si="19"/>
        <v>0.95571428571428474</v>
      </c>
      <c r="AC23" s="571"/>
    </row>
    <row r="24" spans="1:29" ht="15.75" customHeight="1">
      <c r="A24" s="640" t="s">
        <v>176</v>
      </c>
      <c r="B24" s="26" t="s">
        <v>177</v>
      </c>
      <c r="C24" s="629"/>
      <c r="D24" s="629"/>
      <c r="E24" s="81"/>
      <c r="F24" s="89"/>
      <c r="G24" s="82"/>
      <c r="H24" s="89"/>
      <c r="I24" s="16">
        <v>16.600000000000001</v>
      </c>
      <c r="J24" s="23">
        <v>2000</v>
      </c>
      <c r="K24" s="9">
        <f t="shared" si="33"/>
        <v>120.48192771084337</v>
      </c>
      <c r="L24" s="16">
        <v>16.600000000000001</v>
      </c>
      <c r="M24" s="10">
        <f>AVERAGE(M19:M23)</f>
        <v>1911.9600834426601</v>
      </c>
      <c r="N24" s="9">
        <f>M24/L24</f>
        <v>115.17831827967831</v>
      </c>
      <c r="O24" s="11">
        <f>L24-I24</f>
        <v>0</v>
      </c>
      <c r="P24" s="12">
        <f>N24-K24</f>
        <v>-5.3036094311650572</v>
      </c>
      <c r="Q24" s="83">
        <f>N24/K24</f>
        <v>0.95598004172133</v>
      </c>
      <c r="R24" s="571"/>
      <c r="S24" s="24"/>
      <c r="T24" s="24"/>
      <c r="U24" s="9"/>
      <c r="V24" s="88"/>
      <c r="W24" s="9"/>
      <c r="X24" s="9"/>
      <c r="Y24" s="617"/>
      <c r="Z24" s="617"/>
      <c r="AA24" s="11">
        <f t="shared" si="2"/>
        <v>-88.039916557339893</v>
      </c>
      <c r="AB24" s="83">
        <f t="shared" si="19"/>
        <v>0.95598004172133</v>
      </c>
      <c r="AC24" s="571"/>
    </row>
    <row r="25" spans="1:29" ht="15.75" customHeight="1">
      <c r="A25" s="635" t="s">
        <v>178</v>
      </c>
      <c r="B25" s="26" t="s">
        <v>46</v>
      </c>
      <c r="C25" s="636" t="s">
        <v>56</v>
      </c>
      <c r="D25" s="636"/>
      <c r="E25" s="26">
        <v>26.2</v>
      </c>
      <c r="F25" s="89">
        <v>3000</v>
      </c>
      <c r="G25" s="82">
        <f t="shared" ref="G25:G35" si="39">E25*F25</f>
        <v>78600</v>
      </c>
      <c r="H25" s="21">
        <v>2</v>
      </c>
      <c r="I25" s="87">
        <v>20</v>
      </c>
      <c r="J25" s="23">
        <v>2400</v>
      </c>
      <c r="K25" s="9">
        <f>J25/I25</f>
        <v>120</v>
      </c>
      <c r="L25" s="87">
        <v>20</v>
      </c>
      <c r="M25" s="10">
        <f t="shared" ref="M25:M35" si="40">F25/V25*60</f>
        <v>2307.6923076923076</v>
      </c>
      <c r="N25" s="9">
        <f t="shared" ref="N25:N35" si="41">M25/L25</f>
        <v>115.38461538461539</v>
      </c>
      <c r="O25" s="11">
        <f t="shared" ref="O25:O35" si="42">L25-I25</f>
        <v>0</v>
      </c>
      <c r="P25" s="12">
        <f t="shared" ref="P25:P35" si="43">N25-K25</f>
        <v>-4.6153846153846132</v>
      </c>
      <c r="Q25" s="83">
        <f t="shared" ref="Q25:Q30" si="44">N25/K25</f>
        <v>0.96153846153846156</v>
      </c>
      <c r="R25" s="571">
        <f>Q36</f>
        <v>0.96046050442067743</v>
      </c>
      <c r="S25" s="24">
        <v>0.125</v>
      </c>
      <c r="T25" s="24">
        <v>0.17916666666666667</v>
      </c>
      <c r="U25" s="82"/>
      <c r="V25" s="88">
        <f t="shared" ref="V25:V35" si="45">(T25-S25)*24*60</f>
        <v>78</v>
      </c>
      <c r="W25" s="13">
        <f>T25</f>
        <v>0.17916666666666667</v>
      </c>
      <c r="X25" s="13">
        <f>S26</f>
        <v>0.19791666666666669</v>
      </c>
      <c r="Y25" s="617"/>
      <c r="Z25" s="617"/>
      <c r="AA25" s="11">
        <f t="shared" si="2"/>
        <v>-92.307692307692378</v>
      </c>
      <c r="AB25" s="83">
        <f>M25/J25</f>
        <v>0.96153846153846156</v>
      </c>
      <c r="AC25" s="571">
        <f>AB36</f>
        <v>0.96046050442067721</v>
      </c>
    </row>
    <row r="26" spans="1:29" ht="15.75" customHeight="1">
      <c r="A26" s="635" t="s">
        <v>28</v>
      </c>
      <c r="B26" s="26" t="s">
        <v>46</v>
      </c>
      <c r="C26" s="636" t="s">
        <v>57</v>
      </c>
      <c r="D26" s="636"/>
      <c r="E26" s="26">
        <v>20.52</v>
      </c>
      <c r="F26" s="89">
        <v>3298</v>
      </c>
      <c r="G26" s="82">
        <f t="shared" si="39"/>
        <v>67674.959999999992</v>
      </c>
      <c r="H26" s="21" t="s">
        <v>35</v>
      </c>
      <c r="I26" s="87">
        <v>18</v>
      </c>
      <c r="J26" s="23">
        <v>2400</v>
      </c>
      <c r="K26" s="9">
        <f t="shared" ref="K26:K36" si="46">J26/I26</f>
        <v>133.33333333333334</v>
      </c>
      <c r="L26" s="87">
        <v>18</v>
      </c>
      <c r="M26" s="10">
        <f t="shared" si="40"/>
        <v>2300.9302325581389</v>
      </c>
      <c r="N26" s="9">
        <f t="shared" si="41"/>
        <v>127.82945736434105</v>
      </c>
      <c r="O26" s="11">
        <f t="shared" si="42"/>
        <v>0</v>
      </c>
      <c r="P26" s="12">
        <f t="shared" si="43"/>
        <v>-5.5038759689922898</v>
      </c>
      <c r="Q26" s="83">
        <f t="shared" si="44"/>
        <v>0.95872093023255778</v>
      </c>
      <c r="R26" s="571"/>
      <c r="S26" s="24">
        <v>0.19791666666666669</v>
      </c>
      <c r="T26" s="24">
        <v>0.25763888888888892</v>
      </c>
      <c r="U26" s="82">
        <f>(S26-T25)*24*60</f>
        <v>27.000000000000025</v>
      </c>
      <c r="V26" s="88">
        <f t="shared" si="45"/>
        <v>86.000000000000014</v>
      </c>
      <c r="W26" s="13"/>
      <c r="X26" s="13"/>
      <c r="Y26" s="617"/>
      <c r="Z26" s="617"/>
      <c r="AA26" s="11">
        <f t="shared" si="2"/>
        <v>-99.069767441861131</v>
      </c>
      <c r="AB26" s="83">
        <f t="shared" ref="AB26:AB35" si="47">M26/J26</f>
        <v>0.95872093023255789</v>
      </c>
      <c r="AC26" s="571"/>
    </row>
    <row r="27" spans="1:29" ht="15.75" customHeight="1">
      <c r="A27" s="635" t="s">
        <v>179</v>
      </c>
      <c r="B27" s="26" t="s">
        <v>46</v>
      </c>
      <c r="C27" s="636" t="s">
        <v>58</v>
      </c>
      <c r="D27" s="636"/>
      <c r="E27" s="26">
        <v>25.98</v>
      </c>
      <c r="F27" s="89">
        <v>1951</v>
      </c>
      <c r="G27" s="82">
        <f t="shared" si="39"/>
        <v>50686.98</v>
      </c>
      <c r="H27" s="21" t="s">
        <v>35</v>
      </c>
      <c r="I27" s="87">
        <v>17</v>
      </c>
      <c r="J27" s="23">
        <v>2400</v>
      </c>
      <c r="K27" s="9">
        <f t="shared" si="46"/>
        <v>141.1764705882353</v>
      </c>
      <c r="L27" s="87">
        <v>17</v>
      </c>
      <c r="M27" s="10">
        <f t="shared" si="40"/>
        <v>2295.2941176470599</v>
      </c>
      <c r="N27" s="9">
        <f t="shared" si="41"/>
        <v>135.01730103806236</v>
      </c>
      <c r="O27" s="11">
        <f t="shared" si="42"/>
        <v>0</v>
      </c>
      <c r="P27" s="12">
        <f t="shared" si="43"/>
        <v>-6.1591695501729475</v>
      </c>
      <c r="Q27" s="83">
        <f t="shared" si="44"/>
        <v>0.95637254901960833</v>
      </c>
      <c r="R27" s="571"/>
      <c r="S27" s="24">
        <v>0.26250000000000001</v>
      </c>
      <c r="T27" s="24">
        <v>0.29791666666666666</v>
      </c>
      <c r="U27" s="82">
        <f t="shared" ref="U27:U35" si="48">(S27-T26)*24*60</f>
        <v>6.9999999999999751</v>
      </c>
      <c r="V27" s="88">
        <f t="shared" si="45"/>
        <v>50.999999999999979</v>
      </c>
      <c r="W27" s="13"/>
      <c r="X27" s="13"/>
      <c r="Y27" s="617"/>
      <c r="Z27" s="617"/>
      <c r="AA27" s="11">
        <f t="shared" si="2"/>
        <v>-104.70588235294008</v>
      </c>
      <c r="AB27" s="83">
        <f t="shared" si="47"/>
        <v>0.95637254901960833</v>
      </c>
      <c r="AC27" s="571"/>
    </row>
    <row r="28" spans="1:29" ht="15.75" customHeight="1">
      <c r="A28" s="635" t="s">
        <v>179</v>
      </c>
      <c r="B28" s="26" t="s">
        <v>46</v>
      </c>
      <c r="C28" s="636" t="s">
        <v>59</v>
      </c>
      <c r="D28" s="636"/>
      <c r="E28" s="26">
        <v>26.18</v>
      </c>
      <c r="F28" s="89">
        <v>2700</v>
      </c>
      <c r="G28" s="82">
        <f t="shared" si="39"/>
        <v>70686</v>
      </c>
      <c r="H28" s="21">
        <v>2</v>
      </c>
      <c r="I28" s="87">
        <v>19</v>
      </c>
      <c r="J28" s="23">
        <v>2400</v>
      </c>
      <c r="K28" s="9">
        <f t="shared" si="46"/>
        <v>126.31578947368421</v>
      </c>
      <c r="L28" s="87">
        <v>19</v>
      </c>
      <c r="M28" s="10">
        <f t="shared" si="40"/>
        <v>2314.2857142857147</v>
      </c>
      <c r="N28" s="9">
        <f t="shared" si="41"/>
        <v>121.80451127819551</v>
      </c>
      <c r="O28" s="11">
        <f t="shared" si="42"/>
        <v>0</v>
      </c>
      <c r="P28" s="12">
        <f t="shared" si="43"/>
        <v>-4.5112781954886998</v>
      </c>
      <c r="Q28" s="83">
        <f t="shared" si="44"/>
        <v>0.96428571428571441</v>
      </c>
      <c r="R28" s="571"/>
      <c r="S28" s="24">
        <v>0.30138888888888887</v>
      </c>
      <c r="T28" s="24">
        <v>0.35</v>
      </c>
      <c r="U28" s="82">
        <f t="shared" si="48"/>
        <v>4.9999999999999822</v>
      </c>
      <c r="V28" s="88">
        <f t="shared" si="45"/>
        <v>69.999999999999986</v>
      </c>
      <c r="W28" s="13"/>
      <c r="X28" s="13"/>
      <c r="Y28" s="617"/>
      <c r="Z28" s="617"/>
      <c r="AA28" s="11">
        <f t="shared" si="2"/>
        <v>-85.714285714285325</v>
      </c>
      <c r="AB28" s="83">
        <f t="shared" si="47"/>
        <v>0.96428571428571441</v>
      </c>
      <c r="AC28" s="571"/>
    </row>
    <row r="29" spans="1:29" ht="15.75" customHeight="1">
      <c r="A29" s="635" t="s">
        <v>179</v>
      </c>
      <c r="B29" s="26" t="s">
        <v>46</v>
      </c>
      <c r="C29" s="636" t="s">
        <v>60</v>
      </c>
      <c r="D29" s="636"/>
      <c r="E29" s="26">
        <v>26.2</v>
      </c>
      <c r="F29" s="89">
        <v>3100</v>
      </c>
      <c r="G29" s="82">
        <f t="shared" si="39"/>
        <v>81220</v>
      </c>
      <c r="H29" s="21">
        <v>2</v>
      </c>
      <c r="I29" s="87">
        <v>19</v>
      </c>
      <c r="J29" s="23">
        <v>2400</v>
      </c>
      <c r="K29" s="9">
        <f t="shared" si="46"/>
        <v>126.31578947368421</v>
      </c>
      <c r="L29" s="87">
        <v>19</v>
      </c>
      <c r="M29" s="10">
        <f t="shared" si="40"/>
        <v>2296.2962962962956</v>
      </c>
      <c r="N29" s="9">
        <f t="shared" si="41"/>
        <v>120.85769980506819</v>
      </c>
      <c r="O29" s="11">
        <f t="shared" si="42"/>
        <v>0</v>
      </c>
      <c r="P29" s="12">
        <f t="shared" si="43"/>
        <v>-5.4580896686160116</v>
      </c>
      <c r="Q29" s="83">
        <f t="shared" si="44"/>
        <v>0.95679012345678993</v>
      </c>
      <c r="R29" s="571"/>
      <c r="S29" s="24">
        <v>0.35347222222222219</v>
      </c>
      <c r="T29" s="24">
        <v>0.40972222222222221</v>
      </c>
      <c r="U29" s="82">
        <f t="shared" si="48"/>
        <v>4.9999999999999822</v>
      </c>
      <c r="V29" s="88">
        <f t="shared" si="45"/>
        <v>81.000000000000028</v>
      </c>
      <c r="W29" s="13"/>
      <c r="X29" s="13"/>
      <c r="Y29" s="617"/>
      <c r="Z29" s="617"/>
      <c r="AA29" s="11">
        <f t="shared" si="2"/>
        <v>-103.70370370370438</v>
      </c>
      <c r="AB29" s="83">
        <f t="shared" si="47"/>
        <v>0.95679012345678982</v>
      </c>
      <c r="AC29" s="571"/>
    </row>
    <row r="30" spans="1:29" ht="15.75" customHeight="1">
      <c r="A30" s="635" t="s">
        <v>180</v>
      </c>
      <c r="B30" s="26" t="s">
        <v>46</v>
      </c>
      <c r="C30" s="636" t="s">
        <v>61</v>
      </c>
      <c r="D30" s="636"/>
      <c r="E30" s="26">
        <v>31.29</v>
      </c>
      <c r="F30" s="89">
        <v>4300</v>
      </c>
      <c r="G30" s="82">
        <f t="shared" si="39"/>
        <v>134547</v>
      </c>
      <c r="H30" s="21">
        <v>2</v>
      </c>
      <c r="I30" s="87">
        <v>18</v>
      </c>
      <c r="J30" s="23">
        <v>2400</v>
      </c>
      <c r="K30" s="9">
        <f t="shared" si="46"/>
        <v>133.33333333333334</v>
      </c>
      <c r="L30" s="87">
        <v>18</v>
      </c>
      <c r="M30" s="10">
        <f t="shared" si="40"/>
        <v>2283.1858407079644</v>
      </c>
      <c r="N30" s="9">
        <f t="shared" si="41"/>
        <v>126.84365781710913</v>
      </c>
      <c r="O30" s="11">
        <f t="shared" si="42"/>
        <v>0</v>
      </c>
      <c r="P30" s="12">
        <f t="shared" si="43"/>
        <v>-6.4896755162242101</v>
      </c>
      <c r="Q30" s="83">
        <f t="shared" si="44"/>
        <v>0.9513274336283184</v>
      </c>
      <c r="R30" s="571"/>
      <c r="S30" s="24">
        <v>0.41527777777777775</v>
      </c>
      <c r="T30" s="24">
        <v>0.49374999999999997</v>
      </c>
      <c r="U30" s="82">
        <f t="shared" si="48"/>
        <v>7.9999999999999716</v>
      </c>
      <c r="V30" s="88">
        <f t="shared" si="45"/>
        <v>113</v>
      </c>
      <c r="W30" s="13"/>
      <c r="X30" s="13"/>
      <c r="Y30" s="617"/>
      <c r="Z30" s="617"/>
      <c r="AA30" s="11">
        <f t="shared" si="2"/>
        <v>-116.81415929203558</v>
      </c>
      <c r="AB30" s="83">
        <f t="shared" si="47"/>
        <v>0.95132743362831851</v>
      </c>
      <c r="AC30" s="571"/>
    </row>
    <row r="31" spans="1:29" ht="15.75" customHeight="1">
      <c r="A31" s="635" t="s">
        <v>180</v>
      </c>
      <c r="B31" s="26" t="s">
        <v>46</v>
      </c>
      <c r="C31" s="636" t="s">
        <v>61</v>
      </c>
      <c r="D31" s="636"/>
      <c r="E31" s="26">
        <v>31.29</v>
      </c>
      <c r="F31" s="89">
        <v>5248</v>
      </c>
      <c r="G31" s="82">
        <f t="shared" si="39"/>
        <v>164209.91999999998</v>
      </c>
      <c r="H31" s="21" t="s">
        <v>35</v>
      </c>
      <c r="I31" s="87">
        <v>18</v>
      </c>
      <c r="J31" s="23">
        <v>2400</v>
      </c>
      <c r="K31" s="9">
        <f t="shared" si="46"/>
        <v>133.33333333333334</v>
      </c>
      <c r="L31" s="87">
        <v>18</v>
      </c>
      <c r="M31" s="10">
        <f t="shared" si="40"/>
        <v>2298.39416058394</v>
      </c>
      <c r="N31" s="9">
        <f t="shared" si="41"/>
        <v>127.68856447688556</v>
      </c>
      <c r="O31" s="11">
        <f t="shared" si="42"/>
        <v>0</v>
      </c>
      <c r="P31" s="12">
        <f t="shared" si="43"/>
        <v>-5.6447688564477829</v>
      </c>
      <c r="Q31" s="83">
        <f>N31/K31</f>
        <v>0.95766423357664165</v>
      </c>
      <c r="R31" s="571"/>
      <c r="S31" s="24">
        <v>0.49722222222222218</v>
      </c>
      <c r="T31" s="24">
        <v>0.59236111111111112</v>
      </c>
      <c r="U31" s="82">
        <f t="shared" si="48"/>
        <v>4.9999999999999822</v>
      </c>
      <c r="V31" s="88">
        <f t="shared" si="45"/>
        <v>137.00000000000009</v>
      </c>
      <c r="W31" s="13"/>
      <c r="X31" s="13"/>
      <c r="Y31" s="617"/>
      <c r="Z31" s="617"/>
      <c r="AA31" s="11">
        <f t="shared" si="2"/>
        <v>-101.60583941606001</v>
      </c>
      <c r="AB31" s="83">
        <f t="shared" si="47"/>
        <v>0.95766423357664165</v>
      </c>
      <c r="AC31" s="571"/>
    </row>
    <row r="32" spans="1:29" ht="15.75" customHeight="1">
      <c r="A32" s="635" t="s">
        <v>179</v>
      </c>
      <c r="B32" s="26" t="s">
        <v>46</v>
      </c>
      <c r="C32" s="636" t="s">
        <v>59</v>
      </c>
      <c r="D32" s="636"/>
      <c r="E32" s="26">
        <v>26.18</v>
      </c>
      <c r="F32" s="89">
        <v>1398</v>
      </c>
      <c r="G32" s="82">
        <f t="shared" si="39"/>
        <v>36599.64</v>
      </c>
      <c r="H32" s="21" t="s">
        <v>35</v>
      </c>
      <c r="I32" s="87">
        <v>19</v>
      </c>
      <c r="J32" s="23">
        <v>2400</v>
      </c>
      <c r="K32" s="9">
        <f t="shared" si="46"/>
        <v>126.31578947368421</v>
      </c>
      <c r="L32" s="87">
        <v>19</v>
      </c>
      <c r="M32" s="10">
        <f t="shared" si="40"/>
        <v>2329.9999999999982</v>
      </c>
      <c r="N32" s="9">
        <f t="shared" si="41"/>
        <v>122.63157894736833</v>
      </c>
      <c r="O32" s="11">
        <f t="shared" si="42"/>
        <v>0</v>
      </c>
      <c r="P32" s="12">
        <f t="shared" si="43"/>
        <v>-3.68421052631588</v>
      </c>
      <c r="Q32" s="83">
        <f>N32/K32</f>
        <v>0.97083333333333266</v>
      </c>
      <c r="R32" s="571"/>
      <c r="S32" s="24">
        <v>0.59652777777777777</v>
      </c>
      <c r="T32" s="24">
        <v>0.62152777777777779</v>
      </c>
      <c r="U32" s="82">
        <f t="shared" si="48"/>
        <v>5.9999999999999787</v>
      </c>
      <c r="V32" s="88">
        <f t="shared" si="45"/>
        <v>36.000000000000028</v>
      </c>
      <c r="W32" s="13"/>
      <c r="X32" s="13"/>
      <c r="Y32" s="617"/>
      <c r="Z32" s="617"/>
      <c r="AA32" s="11">
        <f t="shared" si="2"/>
        <v>-70.000000000001819</v>
      </c>
      <c r="AB32" s="83">
        <f t="shared" si="47"/>
        <v>0.97083333333333255</v>
      </c>
      <c r="AC32" s="571"/>
    </row>
    <row r="33" spans="1:29" ht="15.75" customHeight="1">
      <c r="A33" s="635" t="s">
        <v>179</v>
      </c>
      <c r="B33" s="26" t="s">
        <v>46</v>
      </c>
      <c r="C33" s="658" t="s">
        <v>56</v>
      </c>
      <c r="D33" s="659"/>
      <c r="E33" s="26">
        <v>26.2</v>
      </c>
      <c r="F33" s="89">
        <v>2121</v>
      </c>
      <c r="G33" s="82">
        <f t="shared" si="39"/>
        <v>55570.2</v>
      </c>
      <c r="H33" s="21" t="s">
        <v>35</v>
      </c>
      <c r="I33" s="87">
        <v>20</v>
      </c>
      <c r="J33" s="23">
        <v>2400</v>
      </c>
      <c r="K33" s="9">
        <f t="shared" si="46"/>
        <v>120</v>
      </c>
      <c r="L33" s="87">
        <v>20</v>
      </c>
      <c r="M33" s="10">
        <f t="shared" si="40"/>
        <v>2313.8181818181833</v>
      </c>
      <c r="N33" s="9">
        <f t="shared" si="41"/>
        <v>115.69090909090917</v>
      </c>
      <c r="O33" s="11">
        <f t="shared" si="42"/>
        <v>0</v>
      </c>
      <c r="P33" s="12">
        <f t="shared" si="43"/>
        <v>-4.3090909090908269</v>
      </c>
      <c r="Q33" s="83">
        <f t="shared" ref="Q33" si="49">N33/K33</f>
        <v>0.96409090909090978</v>
      </c>
      <c r="R33" s="571"/>
      <c r="S33" s="24">
        <v>0.62708333333333333</v>
      </c>
      <c r="T33" s="24">
        <v>0.66527777777777775</v>
      </c>
      <c r="U33" s="82">
        <f t="shared" si="48"/>
        <v>7.9999999999999716</v>
      </c>
      <c r="V33" s="88">
        <f t="shared" si="45"/>
        <v>54.999999999999964</v>
      </c>
      <c r="W33" s="13"/>
      <c r="X33" s="13"/>
      <c r="Y33" s="621"/>
      <c r="Z33" s="622"/>
      <c r="AA33" s="11">
        <f t="shared" si="2"/>
        <v>-86.181818181816652</v>
      </c>
      <c r="AB33" s="83">
        <f t="shared" si="47"/>
        <v>0.96409090909090978</v>
      </c>
      <c r="AC33" s="571"/>
    </row>
    <row r="34" spans="1:29" ht="15.75" customHeight="1">
      <c r="A34" s="635" t="s">
        <v>28</v>
      </c>
      <c r="B34" s="26" t="s">
        <v>46</v>
      </c>
      <c r="C34" s="658" t="s">
        <v>60</v>
      </c>
      <c r="D34" s="659"/>
      <c r="E34" s="26">
        <v>26.2</v>
      </c>
      <c r="F34" s="89">
        <v>1664</v>
      </c>
      <c r="G34" s="82">
        <f t="shared" si="39"/>
        <v>43596.799999999996</v>
      </c>
      <c r="H34" s="21" t="s">
        <v>35</v>
      </c>
      <c r="I34" s="87">
        <v>19</v>
      </c>
      <c r="J34" s="23">
        <v>2400</v>
      </c>
      <c r="K34" s="9">
        <f t="shared" si="46"/>
        <v>126.31578947368421</v>
      </c>
      <c r="L34" s="87">
        <v>19</v>
      </c>
      <c r="M34" s="10">
        <f t="shared" si="40"/>
        <v>2321.8604651162786</v>
      </c>
      <c r="N34" s="9">
        <f t="shared" si="41"/>
        <v>122.20318237454099</v>
      </c>
      <c r="O34" s="11">
        <f t="shared" si="42"/>
        <v>0</v>
      </c>
      <c r="P34" s="12">
        <f t="shared" si="43"/>
        <v>-4.1126070991432186</v>
      </c>
      <c r="Q34" s="83">
        <f>N34/K34</f>
        <v>0.96744186046511615</v>
      </c>
      <c r="R34" s="571"/>
      <c r="S34" s="24">
        <v>0.67013888888888884</v>
      </c>
      <c r="T34" s="24">
        <v>0.7</v>
      </c>
      <c r="U34" s="82">
        <f t="shared" si="48"/>
        <v>6.9999999999999751</v>
      </c>
      <c r="V34" s="88">
        <f t="shared" si="45"/>
        <v>43.000000000000007</v>
      </c>
      <c r="W34" s="13"/>
      <c r="X34" s="13"/>
      <c r="Y34" s="621"/>
      <c r="Z34" s="622"/>
      <c r="AA34" s="11">
        <f t="shared" si="2"/>
        <v>-78.139534883721353</v>
      </c>
      <c r="AB34" s="83">
        <f t="shared" si="47"/>
        <v>0.96744186046511615</v>
      </c>
      <c r="AC34" s="571"/>
    </row>
    <row r="35" spans="1:29" ht="15.75" customHeight="1">
      <c r="A35" s="635" t="s">
        <v>28</v>
      </c>
      <c r="B35" s="26" t="s">
        <v>46</v>
      </c>
      <c r="C35" s="658" t="s">
        <v>62</v>
      </c>
      <c r="D35" s="659"/>
      <c r="E35" s="26">
        <v>25</v>
      </c>
      <c r="F35" s="89">
        <v>1912</v>
      </c>
      <c r="G35" s="82">
        <f t="shared" si="39"/>
        <v>47800</v>
      </c>
      <c r="H35" s="21" t="s">
        <v>35</v>
      </c>
      <c r="I35" s="87">
        <v>15</v>
      </c>
      <c r="J35" s="23">
        <v>2400</v>
      </c>
      <c r="K35" s="9">
        <f t="shared" si="46"/>
        <v>160</v>
      </c>
      <c r="L35" s="87">
        <v>15</v>
      </c>
      <c r="M35" s="10">
        <f t="shared" si="40"/>
        <v>2294.4000000000005</v>
      </c>
      <c r="N35" s="9">
        <f t="shared" si="41"/>
        <v>152.96000000000004</v>
      </c>
      <c r="O35" s="11">
        <f t="shared" si="42"/>
        <v>0</v>
      </c>
      <c r="P35" s="12">
        <f t="shared" si="43"/>
        <v>-7.0399999999999636</v>
      </c>
      <c r="Q35" s="83">
        <f t="shared" ref="Q35" si="50">N35/K35</f>
        <v>0.95600000000000018</v>
      </c>
      <c r="R35" s="571"/>
      <c r="S35" s="24">
        <v>0.70486111111111105</v>
      </c>
      <c r="T35" s="24">
        <v>0.73958333333333326</v>
      </c>
      <c r="U35" s="82">
        <f t="shared" si="48"/>
        <v>6.9999999999999751</v>
      </c>
      <c r="V35" s="88">
        <f t="shared" si="45"/>
        <v>49.999999999999986</v>
      </c>
      <c r="W35" s="13"/>
      <c r="X35" s="13"/>
      <c r="Y35" s="621"/>
      <c r="Z35" s="622"/>
      <c r="AA35" s="11">
        <f t="shared" si="2"/>
        <v>-105.59999999999945</v>
      </c>
      <c r="AB35" s="83">
        <f t="shared" si="47"/>
        <v>0.95600000000000018</v>
      </c>
      <c r="AC35" s="571"/>
    </row>
    <row r="36" spans="1:29" ht="15.75" customHeight="1">
      <c r="A36" s="635" t="s">
        <v>28</v>
      </c>
      <c r="B36" s="26" t="s">
        <v>22</v>
      </c>
      <c r="C36" s="629"/>
      <c r="D36" s="629"/>
      <c r="E36" s="81"/>
      <c r="F36" s="89"/>
      <c r="G36" s="82"/>
      <c r="H36" s="89"/>
      <c r="I36" s="16">
        <v>18.363636363636363</v>
      </c>
      <c r="J36" s="23">
        <v>2400</v>
      </c>
      <c r="K36" s="9">
        <f t="shared" si="46"/>
        <v>130.69306930693068</v>
      </c>
      <c r="L36" s="16">
        <v>18.363636363636363</v>
      </c>
      <c r="M36" s="10">
        <f>AVERAGE(M25:M35)</f>
        <v>2305.1052106096254</v>
      </c>
      <c r="N36" s="9">
        <f>M36/L36</f>
        <v>125.52553127082119</v>
      </c>
      <c r="O36" s="11">
        <f>L36-I36</f>
        <v>0</v>
      </c>
      <c r="P36" s="12">
        <f>N36-K36</f>
        <v>-5.1675380361094909</v>
      </c>
      <c r="Q36" s="83">
        <f>N36/K36</f>
        <v>0.96046050442067743</v>
      </c>
      <c r="R36" s="571"/>
      <c r="S36" s="24"/>
      <c r="T36" s="24"/>
      <c r="U36" s="82"/>
      <c r="V36" s="88"/>
      <c r="W36" s="82"/>
      <c r="X36" s="82"/>
      <c r="Y36" s="617"/>
      <c r="Z36" s="617"/>
      <c r="AA36" s="11">
        <f t="shared" si="2"/>
        <v>-94.894789390374626</v>
      </c>
      <c r="AB36" s="83">
        <f>M36/J36</f>
        <v>0.96046050442067721</v>
      </c>
      <c r="AC36" s="571"/>
    </row>
    <row r="37" spans="1:29" ht="15.75" customHeight="1">
      <c r="A37" s="637" t="s">
        <v>181</v>
      </c>
      <c r="B37" s="26" t="s">
        <v>46</v>
      </c>
      <c r="C37" s="616" t="s">
        <v>63</v>
      </c>
      <c r="D37" s="616"/>
      <c r="E37" s="26">
        <v>26.2</v>
      </c>
      <c r="F37" s="89">
        <v>4300</v>
      </c>
      <c r="G37" s="82">
        <f t="shared" ref="G37:G45" si="51">E37*F37</f>
        <v>112660</v>
      </c>
      <c r="H37" s="21">
        <v>2</v>
      </c>
      <c r="I37" s="87">
        <v>18</v>
      </c>
      <c r="J37" s="23">
        <v>2400</v>
      </c>
      <c r="K37" s="9">
        <f>J37/I37</f>
        <v>133.33333333333334</v>
      </c>
      <c r="L37" s="87">
        <v>18</v>
      </c>
      <c r="M37" s="10">
        <f>F37/V37*60</f>
        <v>2303.5714285714289</v>
      </c>
      <c r="N37" s="9">
        <f>M37/L37</f>
        <v>127.9761904761905</v>
      </c>
      <c r="O37" s="11">
        <f t="shared" ref="O37:O45" si="52">L37-I37</f>
        <v>0</v>
      </c>
      <c r="P37" s="12">
        <f t="shared" ref="P37:P53" si="53">N37-K37</f>
        <v>-5.357142857142847</v>
      </c>
      <c r="Q37" s="83">
        <f t="shared" ref="Q37:Q50" si="54">N37/K37</f>
        <v>0.9598214285714286</v>
      </c>
      <c r="R37" s="571">
        <f>Q46</f>
        <v>0.95830996782486322</v>
      </c>
      <c r="S37" s="24">
        <v>0.125</v>
      </c>
      <c r="T37" s="24">
        <v>0.20277777777777778</v>
      </c>
      <c r="U37" s="82"/>
      <c r="V37" s="88">
        <f t="shared" ref="V37:V45" si="55">(T37-S37)*24*60</f>
        <v>112</v>
      </c>
      <c r="W37" s="15">
        <f>T37</f>
        <v>0.20277777777777778</v>
      </c>
      <c r="X37" s="15">
        <f>S38</f>
        <v>0.22222222222222224</v>
      </c>
      <c r="Y37" s="617"/>
      <c r="Z37" s="617"/>
      <c r="AA37" s="11">
        <f t="shared" si="2"/>
        <v>-96.428571428571104</v>
      </c>
      <c r="AB37" s="83">
        <f>M37/J37</f>
        <v>0.95982142857142871</v>
      </c>
      <c r="AC37" s="571">
        <f>AB46</f>
        <v>0.95830996782486311</v>
      </c>
    </row>
    <row r="38" spans="1:29" ht="15.75" customHeight="1">
      <c r="A38" s="637" t="s">
        <v>182</v>
      </c>
      <c r="B38" s="26" t="s">
        <v>46</v>
      </c>
      <c r="C38" s="616" t="s">
        <v>64</v>
      </c>
      <c r="D38" s="616"/>
      <c r="E38" s="26">
        <v>26.39</v>
      </c>
      <c r="F38" s="89">
        <v>4100</v>
      </c>
      <c r="G38" s="82">
        <f t="shared" si="51"/>
        <v>108199</v>
      </c>
      <c r="H38" s="21">
        <v>2</v>
      </c>
      <c r="I38" s="87">
        <v>19</v>
      </c>
      <c r="J38" s="23">
        <v>2400</v>
      </c>
      <c r="K38" s="9">
        <f t="shared" ref="K38:K52" si="56">J38/I38</f>
        <v>126.31578947368421</v>
      </c>
      <c r="L38" s="87">
        <v>19</v>
      </c>
      <c r="M38" s="10">
        <f t="shared" ref="M38:M45" si="57">F38/V38*60</f>
        <v>2299.065420560748</v>
      </c>
      <c r="N38" s="9">
        <f t="shared" ref="N38:N45" si="58">M38/L38</f>
        <v>121.00344318740778</v>
      </c>
      <c r="O38" s="11">
        <f t="shared" si="52"/>
        <v>0</v>
      </c>
      <c r="P38" s="12">
        <f t="shared" si="53"/>
        <v>-5.3123462862764228</v>
      </c>
      <c r="Q38" s="83">
        <f t="shared" si="54"/>
        <v>0.95794392523364502</v>
      </c>
      <c r="R38" s="571"/>
      <c r="S38" s="24">
        <v>0.22222222222222224</v>
      </c>
      <c r="T38" s="24">
        <v>0.29652777777777778</v>
      </c>
      <c r="U38" s="82">
        <f>(S38-T37)*24*60</f>
        <v>28.000000000000021</v>
      </c>
      <c r="V38" s="88">
        <f t="shared" si="55"/>
        <v>106.99999999999999</v>
      </c>
      <c r="W38" s="82"/>
      <c r="X38" s="82"/>
      <c r="Y38" s="617"/>
      <c r="Z38" s="617"/>
      <c r="AA38" s="11">
        <f t="shared" si="2"/>
        <v>-100.93457943925205</v>
      </c>
      <c r="AB38" s="83">
        <f t="shared" ref="AB38:AB66" si="59">M38/J38</f>
        <v>0.95794392523364502</v>
      </c>
      <c r="AC38" s="571"/>
    </row>
    <row r="39" spans="1:29">
      <c r="A39" s="638" t="s">
        <v>183</v>
      </c>
      <c r="B39" s="26" t="s">
        <v>46</v>
      </c>
      <c r="C39" s="616" t="s">
        <v>65</v>
      </c>
      <c r="D39" s="616"/>
      <c r="E39" s="26">
        <v>24.43</v>
      </c>
      <c r="F39" s="89">
        <v>5300</v>
      </c>
      <c r="G39" s="82">
        <f t="shared" si="51"/>
        <v>129479</v>
      </c>
      <c r="H39" s="21">
        <v>2</v>
      </c>
      <c r="I39" s="87">
        <v>15</v>
      </c>
      <c r="J39" s="23">
        <v>2400</v>
      </c>
      <c r="K39" s="9">
        <f t="shared" si="56"/>
        <v>160</v>
      </c>
      <c r="L39" s="87">
        <v>15</v>
      </c>
      <c r="M39" s="10">
        <f t="shared" si="57"/>
        <v>2287.7697841726617</v>
      </c>
      <c r="N39" s="9">
        <f t="shared" si="58"/>
        <v>152.5179856115108</v>
      </c>
      <c r="O39" s="11">
        <f t="shared" si="52"/>
        <v>0</v>
      </c>
      <c r="P39" s="12">
        <f t="shared" si="53"/>
        <v>-7.4820143884892047</v>
      </c>
      <c r="Q39" s="83">
        <f t="shared" si="54"/>
        <v>0.95323741007194251</v>
      </c>
      <c r="R39" s="571"/>
      <c r="S39" s="24">
        <v>0.3</v>
      </c>
      <c r="T39" s="24">
        <v>0.39652777777777776</v>
      </c>
      <c r="U39" s="82">
        <f t="shared" ref="U39:U45" si="60">(S39-T38)*24*60</f>
        <v>4.9999999999999822</v>
      </c>
      <c r="V39" s="88">
        <f t="shared" si="55"/>
        <v>139</v>
      </c>
      <c r="W39" s="82"/>
      <c r="X39" s="82"/>
      <c r="Y39" s="617"/>
      <c r="Z39" s="617"/>
      <c r="AA39" s="11">
        <f t="shared" si="2"/>
        <v>-112.23021582733827</v>
      </c>
      <c r="AB39" s="83">
        <f t="shared" si="59"/>
        <v>0.9532374100719424</v>
      </c>
      <c r="AC39" s="571"/>
    </row>
    <row r="40" spans="1:29">
      <c r="A40" s="638" t="s">
        <v>29</v>
      </c>
      <c r="B40" s="26" t="s">
        <v>46</v>
      </c>
      <c r="C40" s="616" t="s">
        <v>66</v>
      </c>
      <c r="D40" s="616"/>
      <c r="E40" s="26">
        <v>24.25</v>
      </c>
      <c r="F40" s="89">
        <v>4600</v>
      </c>
      <c r="G40" s="82">
        <f t="shared" si="51"/>
        <v>111550</v>
      </c>
      <c r="H40" s="21">
        <v>2</v>
      </c>
      <c r="I40" s="87">
        <v>14</v>
      </c>
      <c r="J40" s="23">
        <v>2400</v>
      </c>
      <c r="K40" s="9">
        <f t="shared" si="56"/>
        <v>171.42857142857142</v>
      </c>
      <c r="L40" s="87">
        <v>14</v>
      </c>
      <c r="M40" s="10">
        <f t="shared" si="57"/>
        <v>2300.0000000000005</v>
      </c>
      <c r="N40" s="9">
        <f t="shared" si="58"/>
        <v>164.28571428571431</v>
      </c>
      <c r="O40" s="11">
        <f t="shared" si="52"/>
        <v>0</v>
      </c>
      <c r="P40" s="12">
        <f t="shared" si="53"/>
        <v>-7.1428571428571104</v>
      </c>
      <c r="Q40" s="83">
        <f t="shared" si="54"/>
        <v>0.95833333333333348</v>
      </c>
      <c r="R40" s="571"/>
      <c r="S40" s="24">
        <v>0.39999999999999997</v>
      </c>
      <c r="T40" s="24">
        <v>0.48333333333333328</v>
      </c>
      <c r="U40" s="82">
        <f t="shared" si="60"/>
        <v>4.9999999999999822</v>
      </c>
      <c r="V40" s="88">
        <f t="shared" si="55"/>
        <v>119.99999999999997</v>
      </c>
      <c r="W40" s="13"/>
      <c r="X40" s="13"/>
      <c r="Y40" s="617"/>
      <c r="Z40" s="617"/>
      <c r="AA40" s="11">
        <f t="shared" si="2"/>
        <v>-99.999999999999545</v>
      </c>
      <c r="AB40" s="83">
        <f t="shared" si="59"/>
        <v>0.95833333333333348</v>
      </c>
      <c r="AC40" s="571"/>
    </row>
    <row r="41" spans="1:29">
      <c r="A41" s="638" t="s">
        <v>29</v>
      </c>
      <c r="B41" s="26" t="s">
        <v>46</v>
      </c>
      <c r="C41" s="616" t="s">
        <v>62</v>
      </c>
      <c r="D41" s="616"/>
      <c r="E41" s="26">
        <v>25</v>
      </c>
      <c r="F41" s="89">
        <v>2800</v>
      </c>
      <c r="G41" s="82">
        <f t="shared" si="51"/>
        <v>70000</v>
      </c>
      <c r="H41" s="21">
        <v>2</v>
      </c>
      <c r="I41" s="87">
        <v>15</v>
      </c>
      <c r="J41" s="23">
        <v>2400</v>
      </c>
      <c r="K41" s="9">
        <f t="shared" si="56"/>
        <v>160</v>
      </c>
      <c r="L41" s="87">
        <v>15</v>
      </c>
      <c r="M41" s="10">
        <f t="shared" si="57"/>
        <v>2301.3698630136969</v>
      </c>
      <c r="N41" s="9">
        <f t="shared" si="58"/>
        <v>153.42465753424645</v>
      </c>
      <c r="O41" s="11">
        <f t="shared" si="52"/>
        <v>0</v>
      </c>
      <c r="P41" s="12">
        <f t="shared" si="53"/>
        <v>-6.5753424657535504</v>
      </c>
      <c r="Q41" s="83">
        <f t="shared" si="54"/>
        <v>0.95890410958904027</v>
      </c>
      <c r="R41" s="571"/>
      <c r="S41" s="24">
        <v>0.48888888888888882</v>
      </c>
      <c r="T41" s="24">
        <v>0.5395833333333333</v>
      </c>
      <c r="U41" s="82">
        <f t="shared" si="60"/>
        <v>7.9999999999999716</v>
      </c>
      <c r="V41" s="88">
        <f t="shared" si="55"/>
        <v>73.000000000000057</v>
      </c>
      <c r="W41" s="13"/>
      <c r="X41" s="13"/>
      <c r="Y41" s="617"/>
      <c r="Z41" s="617"/>
      <c r="AA41" s="11">
        <f t="shared" si="2"/>
        <v>-98.630136986303114</v>
      </c>
      <c r="AB41" s="83">
        <f t="shared" si="59"/>
        <v>0.95890410958904038</v>
      </c>
      <c r="AC41" s="571"/>
    </row>
    <row r="42" spans="1:29">
      <c r="A42" s="638" t="s">
        <v>29</v>
      </c>
      <c r="B42" s="26" t="s">
        <v>46</v>
      </c>
      <c r="C42" s="616" t="s">
        <v>63</v>
      </c>
      <c r="D42" s="616"/>
      <c r="E42" s="26">
        <v>26.2</v>
      </c>
      <c r="F42" s="89">
        <v>2799</v>
      </c>
      <c r="G42" s="82">
        <f t="shared" si="51"/>
        <v>73333.8</v>
      </c>
      <c r="H42" s="21" t="s">
        <v>35</v>
      </c>
      <c r="I42" s="87">
        <v>18</v>
      </c>
      <c r="J42" s="23">
        <v>2400</v>
      </c>
      <c r="K42" s="9">
        <f t="shared" si="56"/>
        <v>133.33333333333334</v>
      </c>
      <c r="L42" s="87">
        <v>18</v>
      </c>
      <c r="M42" s="10">
        <f t="shared" si="57"/>
        <v>2300.5479452054774</v>
      </c>
      <c r="N42" s="9">
        <f t="shared" si="58"/>
        <v>127.80821917808208</v>
      </c>
      <c r="O42" s="11">
        <f t="shared" si="52"/>
        <v>0</v>
      </c>
      <c r="P42" s="12">
        <f t="shared" si="53"/>
        <v>-5.5251141552512593</v>
      </c>
      <c r="Q42" s="83">
        <f t="shared" si="54"/>
        <v>0.9585616438356156</v>
      </c>
      <c r="R42" s="571"/>
      <c r="S42" s="24">
        <v>0.54374999999999996</v>
      </c>
      <c r="T42" s="24">
        <v>0.59444444444444444</v>
      </c>
      <c r="U42" s="82">
        <f t="shared" si="60"/>
        <v>5.9999999999999787</v>
      </c>
      <c r="V42" s="88">
        <f t="shared" si="55"/>
        <v>73.000000000000057</v>
      </c>
      <c r="W42" s="13"/>
      <c r="X42" s="13"/>
      <c r="Y42" s="617"/>
      <c r="Z42" s="617"/>
      <c r="AA42" s="11">
        <f t="shared" si="2"/>
        <v>-99.45205479452261</v>
      </c>
      <c r="AB42" s="83">
        <f t="shared" si="59"/>
        <v>0.9585616438356156</v>
      </c>
      <c r="AC42" s="571"/>
    </row>
    <row r="43" spans="1:29">
      <c r="A43" s="638" t="s">
        <v>29</v>
      </c>
      <c r="B43" s="26" t="s">
        <v>46</v>
      </c>
      <c r="C43" s="616" t="s">
        <v>65</v>
      </c>
      <c r="D43" s="616"/>
      <c r="E43" s="26">
        <v>24.43</v>
      </c>
      <c r="F43" s="89">
        <v>3476</v>
      </c>
      <c r="G43" s="82">
        <f t="shared" si="51"/>
        <v>84918.68</v>
      </c>
      <c r="H43" s="21" t="s">
        <v>35</v>
      </c>
      <c r="I43" s="87">
        <v>15</v>
      </c>
      <c r="J43" s="23">
        <v>2400</v>
      </c>
      <c r="K43" s="9">
        <f t="shared" si="56"/>
        <v>160</v>
      </c>
      <c r="L43" s="87">
        <v>15</v>
      </c>
      <c r="M43" s="10">
        <f t="shared" si="57"/>
        <v>2291.868131868132</v>
      </c>
      <c r="N43" s="9">
        <f t="shared" si="58"/>
        <v>152.79120879120879</v>
      </c>
      <c r="O43" s="11">
        <f t="shared" si="52"/>
        <v>0</v>
      </c>
      <c r="P43" s="12">
        <f t="shared" si="53"/>
        <v>-7.2087912087912116</v>
      </c>
      <c r="Q43" s="83">
        <f t="shared" si="54"/>
        <v>0.95494505494505488</v>
      </c>
      <c r="R43" s="571"/>
      <c r="S43" s="24">
        <v>0.6</v>
      </c>
      <c r="T43" s="24">
        <v>0.66319444444444442</v>
      </c>
      <c r="U43" s="82">
        <f t="shared" si="60"/>
        <v>7.9999999999999716</v>
      </c>
      <c r="V43" s="88">
        <f t="shared" si="55"/>
        <v>91</v>
      </c>
      <c r="W43" s="13"/>
      <c r="X43" s="13"/>
      <c r="Y43" s="621"/>
      <c r="Z43" s="622"/>
      <c r="AA43" s="11">
        <f t="shared" si="2"/>
        <v>-108.13186813186803</v>
      </c>
      <c r="AB43" s="83">
        <f t="shared" si="59"/>
        <v>0.95494505494505499</v>
      </c>
      <c r="AC43" s="571"/>
    </row>
    <row r="44" spans="1:29">
      <c r="A44" s="638" t="s">
        <v>184</v>
      </c>
      <c r="B44" s="26" t="s">
        <v>46</v>
      </c>
      <c r="C44" s="616" t="s">
        <v>64</v>
      </c>
      <c r="D44" s="616"/>
      <c r="E44" s="26">
        <v>26.39</v>
      </c>
      <c r="F44" s="89">
        <v>2585</v>
      </c>
      <c r="G44" s="82">
        <f t="shared" si="51"/>
        <v>68218.150000000009</v>
      </c>
      <c r="H44" s="21" t="s">
        <v>35</v>
      </c>
      <c r="I44" s="87">
        <v>19</v>
      </c>
      <c r="J44" s="23">
        <v>2400</v>
      </c>
      <c r="K44" s="9">
        <f t="shared" si="56"/>
        <v>126.31578947368421</v>
      </c>
      <c r="L44" s="87">
        <v>19</v>
      </c>
      <c r="M44" s="10">
        <f t="shared" si="57"/>
        <v>2314.9253731343315</v>
      </c>
      <c r="N44" s="9">
        <f t="shared" si="58"/>
        <v>121.83817753338587</v>
      </c>
      <c r="O44" s="11">
        <f t="shared" si="52"/>
        <v>0</v>
      </c>
      <c r="P44" s="12">
        <f t="shared" si="53"/>
        <v>-4.4776119402983312</v>
      </c>
      <c r="Q44" s="83">
        <f t="shared" si="54"/>
        <v>0.96455223880597152</v>
      </c>
      <c r="R44" s="571"/>
      <c r="S44" s="24">
        <v>0.66874999999999996</v>
      </c>
      <c r="T44" s="24">
        <v>0.71527777777777768</v>
      </c>
      <c r="U44" s="82">
        <f t="shared" si="60"/>
        <v>7.9999999999999716</v>
      </c>
      <c r="V44" s="88">
        <f t="shared" si="55"/>
        <v>66.999999999999915</v>
      </c>
      <c r="W44" s="13"/>
      <c r="X44" s="13"/>
      <c r="Y44" s="621"/>
      <c r="Z44" s="622"/>
      <c r="AA44" s="11">
        <f t="shared" si="2"/>
        <v>-85.074626865668506</v>
      </c>
      <c r="AB44" s="83">
        <f t="shared" si="59"/>
        <v>0.96455223880597141</v>
      </c>
      <c r="AC44" s="571"/>
    </row>
    <row r="45" spans="1:29">
      <c r="A45" s="638" t="s">
        <v>182</v>
      </c>
      <c r="B45" s="26" t="s">
        <v>46</v>
      </c>
      <c r="C45" s="616" t="s">
        <v>66</v>
      </c>
      <c r="D45" s="616"/>
      <c r="E45" s="26">
        <v>24.25</v>
      </c>
      <c r="F45" s="89">
        <v>2032</v>
      </c>
      <c r="G45" s="82">
        <f t="shared" si="51"/>
        <v>49276</v>
      </c>
      <c r="H45" s="21" t="s">
        <v>35</v>
      </c>
      <c r="I45" s="87">
        <v>14</v>
      </c>
      <c r="J45" s="23">
        <v>2400</v>
      </c>
      <c r="K45" s="9">
        <f t="shared" si="56"/>
        <v>171.42857142857142</v>
      </c>
      <c r="L45" s="87">
        <v>14</v>
      </c>
      <c r="M45" s="10">
        <f t="shared" si="57"/>
        <v>2300.3773584905675</v>
      </c>
      <c r="N45" s="9">
        <f t="shared" si="58"/>
        <v>164.31266846361197</v>
      </c>
      <c r="O45" s="11">
        <f t="shared" si="52"/>
        <v>0</v>
      </c>
      <c r="P45" s="12">
        <f t="shared" si="53"/>
        <v>-7.1159029649594459</v>
      </c>
      <c r="Q45" s="83">
        <f t="shared" si="54"/>
        <v>0.95849056603773652</v>
      </c>
      <c r="R45" s="571"/>
      <c r="S45" s="24">
        <v>0.71944444444444433</v>
      </c>
      <c r="T45" s="24">
        <v>0.75624999999999987</v>
      </c>
      <c r="U45" s="82">
        <f t="shared" si="60"/>
        <v>5.9999999999999787</v>
      </c>
      <c r="V45" s="88">
        <f t="shared" si="55"/>
        <v>52.999999999999972</v>
      </c>
      <c r="W45" s="13"/>
      <c r="X45" s="13"/>
      <c r="Y45" s="621"/>
      <c r="Z45" s="622"/>
      <c r="AA45" s="11">
        <f t="shared" si="2"/>
        <v>-99.622641509432469</v>
      </c>
      <c r="AB45" s="83">
        <f t="shared" si="59"/>
        <v>0.95849056603773652</v>
      </c>
      <c r="AC45" s="571"/>
    </row>
    <row r="46" spans="1:29">
      <c r="A46" s="638" t="s">
        <v>29</v>
      </c>
      <c r="B46" s="27" t="s">
        <v>185</v>
      </c>
      <c r="C46" s="629"/>
      <c r="D46" s="629"/>
      <c r="E46" s="81"/>
      <c r="F46" s="27"/>
      <c r="G46" s="9"/>
      <c r="H46" s="89"/>
      <c r="I46" s="16">
        <v>16.333333333333332</v>
      </c>
      <c r="J46" s="23">
        <v>2400</v>
      </c>
      <c r="K46" s="9">
        <f t="shared" si="56"/>
        <v>146.9387755102041</v>
      </c>
      <c r="L46" s="16">
        <v>16.333333333333332</v>
      </c>
      <c r="M46" s="10">
        <f>AVERAGE(M37:M45)</f>
        <v>2299.9439227796715</v>
      </c>
      <c r="N46" s="9">
        <f>M46/L46</f>
        <v>140.81289323140848</v>
      </c>
      <c r="O46" s="11">
        <f>L46-I46</f>
        <v>0</v>
      </c>
      <c r="P46" s="12">
        <f t="shared" si="53"/>
        <v>-6.1258822787956149</v>
      </c>
      <c r="Q46" s="83">
        <f t="shared" si="54"/>
        <v>0.95830996782486322</v>
      </c>
      <c r="R46" s="571"/>
      <c r="S46" s="24"/>
      <c r="T46" s="24"/>
      <c r="U46" s="9"/>
      <c r="V46" s="88"/>
      <c r="W46" s="9"/>
      <c r="X46" s="9"/>
      <c r="Y46" s="617"/>
      <c r="Z46" s="617"/>
      <c r="AA46" s="11">
        <f t="shared" si="2"/>
        <v>-100.05607722032846</v>
      </c>
      <c r="AB46" s="83">
        <f t="shared" si="59"/>
        <v>0.95830996782486311</v>
      </c>
      <c r="AC46" s="571"/>
    </row>
    <row r="47" spans="1:29" ht="15.75" customHeight="1">
      <c r="A47" s="630" t="s">
        <v>30</v>
      </c>
      <c r="B47" s="26" t="s">
        <v>67</v>
      </c>
      <c r="C47" s="627" t="s">
        <v>68</v>
      </c>
      <c r="D47" s="628"/>
      <c r="E47" s="26">
        <v>21.13</v>
      </c>
      <c r="F47" s="89">
        <v>5017</v>
      </c>
      <c r="G47" s="82">
        <f t="shared" ref="G47:G52" si="61">E47*F47</f>
        <v>106009.20999999999</v>
      </c>
      <c r="H47" s="21" t="s">
        <v>35</v>
      </c>
      <c r="I47" s="87">
        <v>10</v>
      </c>
      <c r="J47" s="23">
        <v>3000</v>
      </c>
      <c r="K47" s="9">
        <f t="shared" si="56"/>
        <v>300</v>
      </c>
      <c r="L47" s="87">
        <v>10</v>
      </c>
      <c r="M47" s="10">
        <f t="shared" ref="M47:M48" si="62">F47/V47*60</f>
        <v>2866.8571428571431</v>
      </c>
      <c r="N47" s="10">
        <f t="shared" ref="N47:N53" si="63">M47/L47</f>
        <v>286.68571428571431</v>
      </c>
      <c r="O47" s="11">
        <f t="shared" ref="O47:O53" si="64">L47-I47</f>
        <v>0</v>
      </c>
      <c r="P47" s="12">
        <f t="shared" si="53"/>
        <v>-13.314285714285688</v>
      </c>
      <c r="Q47" s="83">
        <f t="shared" si="54"/>
        <v>0.9556190476190477</v>
      </c>
      <c r="R47" s="582">
        <f>Q53</f>
        <v>0.95789278868288641</v>
      </c>
      <c r="S47" s="24">
        <v>0.20833333333333334</v>
      </c>
      <c r="T47" s="24">
        <v>0.28125</v>
      </c>
      <c r="U47" s="15"/>
      <c r="V47" s="88">
        <f t="shared" ref="V47:V52" si="65">(T47-S47)*24*60</f>
        <v>104.99999999999999</v>
      </c>
      <c r="W47" s="13"/>
      <c r="X47" s="13"/>
      <c r="Y47" s="621"/>
      <c r="Z47" s="622"/>
      <c r="AA47" s="11">
        <f t="shared" si="2"/>
        <v>-133.14285714285688</v>
      </c>
      <c r="AB47" s="83">
        <f t="shared" si="59"/>
        <v>0.9556190476190477</v>
      </c>
      <c r="AC47" s="582">
        <f>AB53</f>
        <v>0.95789278868288652</v>
      </c>
    </row>
    <row r="48" spans="1:29" ht="15.75" customHeight="1">
      <c r="A48" s="631" t="s">
        <v>186</v>
      </c>
      <c r="B48" s="26" t="s">
        <v>67</v>
      </c>
      <c r="C48" s="627" t="s">
        <v>69</v>
      </c>
      <c r="D48" s="628"/>
      <c r="E48" s="26">
        <v>27.17</v>
      </c>
      <c r="F48" s="89">
        <v>3500</v>
      </c>
      <c r="G48" s="82">
        <f t="shared" si="61"/>
        <v>95095</v>
      </c>
      <c r="H48" s="21">
        <v>2</v>
      </c>
      <c r="I48" s="87">
        <v>10</v>
      </c>
      <c r="J48" s="23">
        <v>3000</v>
      </c>
      <c r="K48" s="9">
        <f t="shared" si="56"/>
        <v>300</v>
      </c>
      <c r="L48" s="87">
        <v>10</v>
      </c>
      <c r="M48" s="10">
        <f t="shared" si="62"/>
        <v>2876.7123287671238</v>
      </c>
      <c r="N48" s="10">
        <f t="shared" si="63"/>
        <v>287.67123287671239</v>
      </c>
      <c r="O48" s="11">
        <f t="shared" si="64"/>
        <v>0</v>
      </c>
      <c r="P48" s="12">
        <f t="shared" si="53"/>
        <v>-12.328767123287605</v>
      </c>
      <c r="Q48" s="83">
        <f t="shared" si="54"/>
        <v>0.95890410958904126</v>
      </c>
      <c r="R48" s="583"/>
      <c r="S48" s="24">
        <v>0.28472222222222221</v>
      </c>
      <c r="T48" s="24">
        <v>0.33541666666666664</v>
      </c>
      <c r="U48" s="82">
        <f>(S48-T47)*24*60</f>
        <v>4.9999999999999822</v>
      </c>
      <c r="V48" s="88">
        <f t="shared" si="65"/>
        <v>72.999999999999986</v>
      </c>
      <c r="W48" s="13"/>
      <c r="X48" s="13"/>
      <c r="Y48" s="621"/>
      <c r="Z48" s="622"/>
      <c r="AA48" s="11">
        <f t="shared" si="2"/>
        <v>-123.28767123287616</v>
      </c>
      <c r="AB48" s="83">
        <f t="shared" si="59"/>
        <v>0.95890410958904126</v>
      </c>
      <c r="AC48" s="583"/>
    </row>
    <row r="49" spans="1:29" ht="15.75" customHeight="1">
      <c r="A49" s="631" t="s">
        <v>186</v>
      </c>
      <c r="B49" s="26" t="s">
        <v>67</v>
      </c>
      <c r="C49" s="627" t="s">
        <v>70</v>
      </c>
      <c r="D49" s="628"/>
      <c r="E49" s="26">
        <v>35.119999999999997</v>
      </c>
      <c r="F49" s="89">
        <v>4547</v>
      </c>
      <c r="G49" s="82">
        <f t="shared" si="61"/>
        <v>159690.63999999998</v>
      </c>
      <c r="H49" s="21" t="s">
        <v>35</v>
      </c>
      <c r="I49" s="87">
        <v>10</v>
      </c>
      <c r="J49" s="23">
        <v>3000</v>
      </c>
      <c r="K49" s="9">
        <f t="shared" si="56"/>
        <v>300</v>
      </c>
      <c r="L49" s="87">
        <v>10</v>
      </c>
      <c r="M49" s="10">
        <f>F49/V49*60</f>
        <v>2871.7894736842109</v>
      </c>
      <c r="N49" s="10">
        <f t="shared" si="63"/>
        <v>287.17894736842106</v>
      </c>
      <c r="O49" s="11">
        <f t="shared" si="64"/>
        <v>0</v>
      </c>
      <c r="P49" s="12">
        <f t="shared" si="53"/>
        <v>-12.821052631578937</v>
      </c>
      <c r="Q49" s="83">
        <f t="shared" si="54"/>
        <v>0.95726315789473693</v>
      </c>
      <c r="R49" s="583"/>
      <c r="S49" s="24">
        <v>0.33888888888888885</v>
      </c>
      <c r="T49" s="24">
        <v>0.40486111111111106</v>
      </c>
      <c r="U49" s="82">
        <f t="shared" ref="U49:U52" si="66">(S49-T48)*24*60</f>
        <v>4.9999999999999822</v>
      </c>
      <c r="V49" s="88">
        <f t="shared" si="65"/>
        <v>94.999999999999986</v>
      </c>
      <c r="W49" s="13"/>
      <c r="X49" s="13"/>
      <c r="Y49" s="621"/>
      <c r="Z49" s="622"/>
      <c r="AA49" s="11">
        <f t="shared" si="2"/>
        <v>-128.21052631578914</v>
      </c>
      <c r="AB49" s="83">
        <f t="shared" si="59"/>
        <v>0.95726315789473693</v>
      </c>
      <c r="AC49" s="583"/>
    </row>
    <row r="50" spans="1:29" ht="15.75" customHeight="1">
      <c r="A50" s="631" t="s">
        <v>187</v>
      </c>
      <c r="B50" s="26" t="s">
        <v>67</v>
      </c>
      <c r="C50" s="627" t="s">
        <v>71</v>
      </c>
      <c r="D50" s="628"/>
      <c r="E50" s="26">
        <v>35.869999999999997</v>
      </c>
      <c r="F50" s="89">
        <v>2957</v>
      </c>
      <c r="G50" s="82">
        <f t="shared" si="61"/>
        <v>106067.59</v>
      </c>
      <c r="H50" s="21" t="s">
        <v>35</v>
      </c>
      <c r="I50" s="87">
        <v>10</v>
      </c>
      <c r="J50" s="23">
        <v>3000</v>
      </c>
      <c r="K50" s="9">
        <f t="shared" si="56"/>
        <v>300</v>
      </c>
      <c r="L50" s="87">
        <v>10</v>
      </c>
      <c r="M50" s="10">
        <f t="shared" ref="M50:M52" si="67">F50/V50*60</f>
        <v>2861.6129032258054</v>
      </c>
      <c r="N50" s="10">
        <f t="shared" si="63"/>
        <v>286.16129032258056</v>
      </c>
      <c r="O50" s="11">
        <f t="shared" si="64"/>
        <v>0</v>
      </c>
      <c r="P50" s="12">
        <f t="shared" si="53"/>
        <v>-13.838709677419445</v>
      </c>
      <c r="Q50" s="83">
        <f t="shared" si="54"/>
        <v>0.95387096774193514</v>
      </c>
      <c r="R50" s="583"/>
      <c r="S50" s="24">
        <v>0.40833333333333327</v>
      </c>
      <c r="T50" s="24">
        <v>0.45138888888888884</v>
      </c>
      <c r="U50" s="82">
        <f t="shared" si="66"/>
        <v>4.9999999999999822</v>
      </c>
      <c r="V50" s="88">
        <f t="shared" si="65"/>
        <v>62.000000000000021</v>
      </c>
      <c r="W50" s="13"/>
      <c r="X50" s="13"/>
      <c r="Y50" s="621"/>
      <c r="Z50" s="622"/>
      <c r="AA50" s="11">
        <f t="shared" si="2"/>
        <v>-138.38709677419456</v>
      </c>
      <c r="AB50" s="83">
        <f t="shared" si="59"/>
        <v>0.95387096774193514</v>
      </c>
      <c r="AC50" s="583"/>
    </row>
    <row r="51" spans="1:29" ht="15.75" customHeight="1">
      <c r="A51" s="631" t="s">
        <v>186</v>
      </c>
      <c r="B51" s="26" t="s">
        <v>67</v>
      </c>
      <c r="C51" s="627" t="s">
        <v>72</v>
      </c>
      <c r="D51" s="628"/>
      <c r="E51" s="26">
        <v>36.14</v>
      </c>
      <c r="F51" s="89">
        <v>1990</v>
      </c>
      <c r="G51" s="82">
        <f t="shared" si="61"/>
        <v>71918.600000000006</v>
      </c>
      <c r="H51" s="21" t="s">
        <v>35</v>
      </c>
      <c r="I51" s="87">
        <v>8</v>
      </c>
      <c r="J51" s="23">
        <v>3000</v>
      </c>
      <c r="K51" s="9">
        <f t="shared" si="56"/>
        <v>375</v>
      </c>
      <c r="L51" s="87">
        <v>8</v>
      </c>
      <c r="M51" s="10">
        <f t="shared" si="67"/>
        <v>2912.1951219512184</v>
      </c>
      <c r="N51" s="10">
        <f t="shared" si="63"/>
        <v>364.0243902439023</v>
      </c>
      <c r="O51" s="11">
        <f t="shared" si="64"/>
        <v>0</v>
      </c>
      <c r="P51" s="12">
        <f t="shared" si="53"/>
        <v>-10.975609756097697</v>
      </c>
      <c r="Q51" s="83">
        <f>N51/K51</f>
        <v>0.97073170731707281</v>
      </c>
      <c r="R51" s="583"/>
      <c r="S51" s="24">
        <v>0.45624999999999993</v>
      </c>
      <c r="T51" s="24">
        <v>0.48472222222222217</v>
      </c>
      <c r="U51" s="82">
        <f t="shared" si="66"/>
        <v>6.9999999999999751</v>
      </c>
      <c r="V51" s="88">
        <f t="shared" si="65"/>
        <v>41.000000000000014</v>
      </c>
      <c r="W51" s="13">
        <f>T51</f>
        <v>0.48472222222222217</v>
      </c>
      <c r="X51" s="13">
        <f>S52</f>
        <v>0.52499999999999991</v>
      </c>
      <c r="Y51" s="621"/>
      <c r="Z51" s="622"/>
      <c r="AA51" s="11">
        <f t="shared" si="2"/>
        <v>-87.804878048781575</v>
      </c>
      <c r="AB51" s="83">
        <f t="shared" si="59"/>
        <v>0.97073170731707281</v>
      </c>
      <c r="AC51" s="583"/>
    </row>
    <row r="52" spans="1:29" ht="15.75" customHeight="1">
      <c r="A52" s="631" t="s">
        <v>30</v>
      </c>
      <c r="B52" s="26" t="s">
        <v>67</v>
      </c>
      <c r="C52" s="627" t="s">
        <v>69</v>
      </c>
      <c r="D52" s="628"/>
      <c r="E52" s="26">
        <v>27.17</v>
      </c>
      <c r="F52" s="89">
        <v>2948</v>
      </c>
      <c r="G52" s="82">
        <f t="shared" si="61"/>
        <v>80097.16</v>
      </c>
      <c r="H52" s="21" t="s">
        <v>35</v>
      </c>
      <c r="I52" s="87">
        <v>10</v>
      </c>
      <c r="J52" s="23">
        <v>3000</v>
      </c>
      <c r="K52" s="9">
        <f t="shared" si="56"/>
        <v>300</v>
      </c>
      <c r="L52" s="87">
        <v>10</v>
      </c>
      <c r="M52" s="10">
        <f t="shared" si="67"/>
        <v>2852.903225806454</v>
      </c>
      <c r="N52" s="10">
        <f t="shared" si="63"/>
        <v>285.29032258064541</v>
      </c>
      <c r="O52" s="11">
        <f t="shared" si="64"/>
        <v>0</v>
      </c>
      <c r="P52" s="12">
        <f t="shared" si="53"/>
        <v>-14.709677419354591</v>
      </c>
      <c r="Q52" s="83">
        <f t="shared" ref="Q52:Q53" si="68">N52/K52</f>
        <v>0.95096774193548472</v>
      </c>
      <c r="R52" s="583"/>
      <c r="S52" s="24">
        <v>0.52499999999999991</v>
      </c>
      <c r="T52" s="24">
        <v>0.56805555555555542</v>
      </c>
      <c r="U52" s="82">
        <f t="shared" si="66"/>
        <v>57.999999999999957</v>
      </c>
      <c r="V52" s="88">
        <f t="shared" si="65"/>
        <v>61.999999999999943</v>
      </c>
      <c r="W52" s="13"/>
      <c r="X52" s="13"/>
      <c r="Y52" s="621"/>
      <c r="Z52" s="622"/>
      <c r="AA52" s="11">
        <f t="shared" si="2"/>
        <v>-147.09677419354603</v>
      </c>
      <c r="AB52" s="83">
        <f t="shared" si="59"/>
        <v>0.95096774193548461</v>
      </c>
      <c r="AC52" s="583"/>
    </row>
    <row r="53" spans="1:29" ht="15.75" customHeight="1">
      <c r="A53" s="632" t="s">
        <v>30</v>
      </c>
      <c r="B53" s="26" t="s">
        <v>22</v>
      </c>
      <c r="C53" s="625"/>
      <c r="D53" s="626"/>
      <c r="E53" s="86"/>
      <c r="F53" s="89"/>
      <c r="G53" s="82"/>
      <c r="H53" s="89"/>
      <c r="I53" s="16">
        <v>9.6666666666666661</v>
      </c>
      <c r="J53" s="23">
        <v>3000</v>
      </c>
      <c r="K53" s="9">
        <f>J53/I53</f>
        <v>310.34482758620692</v>
      </c>
      <c r="L53" s="16">
        <v>9.6666666666666661</v>
      </c>
      <c r="M53" s="10">
        <f>AVERAGE(M47:M52)</f>
        <v>2873.6783660486594</v>
      </c>
      <c r="N53" s="9">
        <f t="shared" si="63"/>
        <v>297.27707234986133</v>
      </c>
      <c r="O53" s="11">
        <f t="shared" si="64"/>
        <v>0</v>
      </c>
      <c r="P53" s="12">
        <f t="shared" si="53"/>
        <v>-13.06775523634559</v>
      </c>
      <c r="Q53" s="83">
        <f t="shared" si="68"/>
        <v>0.95789278868288641</v>
      </c>
      <c r="R53" s="584"/>
      <c r="S53" s="24"/>
      <c r="T53" s="24"/>
      <c r="U53" s="82"/>
      <c r="V53" s="88"/>
      <c r="W53" s="13"/>
      <c r="X53" s="13"/>
      <c r="Y53" s="621"/>
      <c r="Z53" s="622"/>
      <c r="AA53" s="11">
        <f t="shared" si="2"/>
        <v>-126.32163395134057</v>
      </c>
      <c r="AB53" s="83">
        <f t="shared" si="59"/>
        <v>0.95789278868288652</v>
      </c>
      <c r="AC53" s="584"/>
    </row>
    <row r="54" spans="1:29" ht="15.75" customHeight="1">
      <c r="A54" s="633" t="s">
        <v>31</v>
      </c>
      <c r="B54" s="26" t="s">
        <v>40</v>
      </c>
      <c r="C54" s="616" t="s">
        <v>73</v>
      </c>
      <c r="D54" s="616"/>
      <c r="E54" s="26">
        <v>46</v>
      </c>
      <c r="F54" s="28">
        <v>3128</v>
      </c>
      <c r="G54" s="82">
        <f t="shared" ref="G54:G59" si="69">E54*F54</f>
        <v>143888</v>
      </c>
      <c r="H54" s="21" t="s">
        <v>35</v>
      </c>
      <c r="I54" s="87">
        <v>17</v>
      </c>
      <c r="J54" s="23">
        <v>2000</v>
      </c>
      <c r="K54" s="9">
        <f t="shared" ref="K54:K59" si="70">J54/I54</f>
        <v>117.64705882352941</v>
      </c>
      <c r="L54" s="87">
        <v>17</v>
      </c>
      <c r="M54" s="10">
        <f t="shared" ref="M54:M59" si="71">F54/V54*60</f>
        <v>1915.1020408163261</v>
      </c>
      <c r="N54" s="10">
        <f>M54/L54</f>
        <v>112.65306122448976</v>
      </c>
      <c r="O54" s="11">
        <f>L54-I54</f>
        <v>0</v>
      </c>
      <c r="P54" s="12">
        <f>N54-K54</f>
        <v>-4.9939975990396448</v>
      </c>
      <c r="Q54" s="83">
        <f>N54/K54</f>
        <v>0.95755102040816298</v>
      </c>
      <c r="R54" s="571">
        <f>Q60</f>
        <v>0.95962207780517272</v>
      </c>
      <c r="S54" s="24">
        <v>0.20833333333333334</v>
      </c>
      <c r="T54" s="24">
        <v>0.27638888888888891</v>
      </c>
      <c r="U54" s="15"/>
      <c r="V54" s="88">
        <f t="shared" ref="V54:V59" si="72">(T54-S54)*24*60</f>
        <v>98.000000000000014</v>
      </c>
      <c r="W54" s="15"/>
      <c r="X54" s="15"/>
      <c r="Y54" s="617"/>
      <c r="Z54" s="617"/>
      <c r="AA54" s="11">
        <f t="shared" si="2"/>
        <v>-84.897959183673947</v>
      </c>
      <c r="AB54" s="83">
        <f t="shared" si="59"/>
        <v>0.95755102040816298</v>
      </c>
      <c r="AC54" s="571">
        <f>AB60</f>
        <v>0.95962207780517272</v>
      </c>
    </row>
    <row r="55" spans="1:29" ht="15.75" customHeight="1">
      <c r="A55" s="633" t="s">
        <v>31</v>
      </c>
      <c r="B55" s="26" t="s">
        <v>40</v>
      </c>
      <c r="C55" s="616" t="s">
        <v>74</v>
      </c>
      <c r="D55" s="616"/>
      <c r="E55" s="26">
        <v>46</v>
      </c>
      <c r="F55" s="28">
        <v>3166</v>
      </c>
      <c r="G55" s="82">
        <f t="shared" si="69"/>
        <v>145636</v>
      </c>
      <c r="H55" s="21" t="s">
        <v>35</v>
      </c>
      <c r="I55" s="87">
        <v>17</v>
      </c>
      <c r="J55" s="23">
        <v>2000</v>
      </c>
      <c r="K55" s="9">
        <f t="shared" si="70"/>
        <v>117.64705882352941</v>
      </c>
      <c r="L55" s="87">
        <v>17</v>
      </c>
      <c r="M55" s="10">
        <f t="shared" si="71"/>
        <v>1918.7878787878794</v>
      </c>
      <c r="N55" s="10">
        <f t="shared" ref="N55:N59" si="73">M55/L55</f>
        <v>112.86987522281643</v>
      </c>
      <c r="O55" s="11">
        <f t="shared" ref="O55:O59" si="74">L55-I55</f>
        <v>0</v>
      </c>
      <c r="P55" s="12">
        <f t="shared" ref="P55:P59" si="75">N55-K55</f>
        <v>-4.7771836007129735</v>
      </c>
      <c r="Q55" s="83">
        <f t="shared" ref="Q55:Q59" si="76">N55/K55</f>
        <v>0.95939393939393969</v>
      </c>
      <c r="R55" s="571"/>
      <c r="S55" s="24">
        <v>0.27986111111111112</v>
      </c>
      <c r="T55" s="24">
        <v>0.34861111111111109</v>
      </c>
      <c r="U55" s="82">
        <f>IF(S55=TIME(17,0,0),"",(S55-T54)*24*60)</f>
        <v>4.9999999999999822</v>
      </c>
      <c r="V55" s="88">
        <f t="shared" si="72"/>
        <v>98.999999999999972</v>
      </c>
      <c r="W55" s="13"/>
      <c r="X55" s="13"/>
      <c r="Y55" s="617"/>
      <c r="Z55" s="617"/>
      <c r="AA55" s="11">
        <f t="shared" si="2"/>
        <v>-81.212121212120564</v>
      </c>
      <c r="AB55" s="83">
        <f t="shared" si="59"/>
        <v>0.95939393939393969</v>
      </c>
      <c r="AC55" s="571"/>
    </row>
    <row r="56" spans="1:29" ht="15.75" customHeight="1">
      <c r="A56" s="633" t="s">
        <v>188</v>
      </c>
      <c r="B56" s="26" t="s">
        <v>36</v>
      </c>
      <c r="C56" s="627" t="s">
        <v>75</v>
      </c>
      <c r="D56" s="628"/>
      <c r="E56" s="26">
        <v>54.09</v>
      </c>
      <c r="F56" s="28">
        <v>1361</v>
      </c>
      <c r="G56" s="82">
        <f t="shared" si="69"/>
        <v>73616.490000000005</v>
      </c>
      <c r="H56" s="21" t="s">
        <v>35</v>
      </c>
      <c r="I56" s="87">
        <v>16</v>
      </c>
      <c r="J56" s="23">
        <v>2000</v>
      </c>
      <c r="K56" s="9">
        <f t="shared" si="70"/>
        <v>125</v>
      </c>
      <c r="L56" s="87">
        <v>16</v>
      </c>
      <c r="M56" s="10">
        <f t="shared" si="71"/>
        <v>1944.2857142857135</v>
      </c>
      <c r="N56" s="10">
        <f t="shared" si="73"/>
        <v>121.5178571428571</v>
      </c>
      <c r="O56" s="11">
        <f t="shared" si="74"/>
        <v>0</v>
      </c>
      <c r="P56" s="12">
        <f t="shared" si="75"/>
        <v>-3.4821428571429038</v>
      </c>
      <c r="Q56" s="83">
        <f t="shared" si="76"/>
        <v>0.97214285714285675</v>
      </c>
      <c r="R56" s="571"/>
      <c r="S56" s="24">
        <v>0.35277777777777775</v>
      </c>
      <c r="T56" s="24">
        <v>0.38194444444444442</v>
      </c>
      <c r="U56" s="82">
        <f t="shared" ref="U56:U59" si="77">IF(S56=TIME(17,0,0),"",(S56-T55)*24*60)</f>
        <v>5.9999999999999787</v>
      </c>
      <c r="V56" s="88">
        <f t="shared" si="72"/>
        <v>42.000000000000014</v>
      </c>
      <c r="W56" s="13"/>
      <c r="X56" s="13"/>
      <c r="Y56" s="79"/>
      <c r="Z56" s="80"/>
      <c r="AA56" s="11">
        <f t="shared" si="2"/>
        <v>-55.714285714286461</v>
      </c>
      <c r="AB56" s="83">
        <f t="shared" si="59"/>
        <v>0.97214285714285675</v>
      </c>
      <c r="AC56" s="571"/>
    </row>
    <row r="57" spans="1:29" ht="15.75" customHeight="1">
      <c r="A57" s="633" t="s">
        <v>188</v>
      </c>
      <c r="B57" s="26" t="s">
        <v>36</v>
      </c>
      <c r="C57" s="84" t="s">
        <v>76</v>
      </c>
      <c r="D57" s="85"/>
      <c r="E57" s="26">
        <v>55.56</v>
      </c>
      <c r="F57" s="28">
        <v>1904</v>
      </c>
      <c r="G57" s="82">
        <f t="shared" si="69"/>
        <v>105786.24000000001</v>
      </c>
      <c r="H57" s="21" t="s">
        <v>35</v>
      </c>
      <c r="I57" s="87">
        <v>17</v>
      </c>
      <c r="J57" s="23">
        <v>2000</v>
      </c>
      <c r="K57" s="9">
        <f t="shared" si="70"/>
        <v>117.64705882352941</v>
      </c>
      <c r="L57" s="87">
        <v>17</v>
      </c>
      <c r="M57" s="10">
        <f t="shared" si="71"/>
        <v>1904.0000000000018</v>
      </c>
      <c r="N57" s="10">
        <f t="shared" si="73"/>
        <v>112.00000000000011</v>
      </c>
      <c r="O57" s="11">
        <f t="shared" si="74"/>
        <v>0</v>
      </c>
      <c r="P57" s="12">
        <f t="shared" si="75"/>
        <v>-5.6470588235292922</v>
      </c>
      <c r="Q57" s="83">
        <f t="shared" si="76"/>
        <v>0.95200000000000107</v>
      </c>
      <c r="R57" s="571"/>
      <c r="S57" s="24">
        <v>0.70833333333333337</v>
      </c>
      <c r="T57" s="24">
        <v>0.75</v>
      </c>
      <c r="U57" s="82" t="str">
        <f t="shared" si="77"/>
        <v/>
      </c>
      <c r="V57" s="88">
        <f t="shared" si="72"/>
        <v>59.999999999999943</v>
      </c>
      <c r="W57" s="13"/>
      <c r="X57" s="13"/>
      <c r="Y57" s="79"/>
      <c r="Z57" s="80"/>
      <c r="AA57" s="11">
        <f t="shared" si="2"/>
        <v>-95.999999999998181</v>
      </c>
      <c r="AB57" s="83">
        <f t="shared" si="59"/>
        <v>0.95200000000000096</v>
      </c>
      <c r="AC57" s="571"/>
    </row>
    <row r="58" spans="1:29" ht="15.75" customHeight="1">
      <c r="A58" s="633" t="s">
        <v>188</v>
      </c>
      <c r="B58" s="26" t="s">
        <v>36</v>
      </c>
      <c r="C58" s="84" t="s">
        <v>77</v>
      </c>
      <c r="D58" s="85"/>
      <c r="E58" s="26">
        <v>55.32</v>
      </c>
      <c r="F58" s="28">
        <v>1467</v>
      </c>
      <c r="G58" s="82">
        <f t="shared" si="69"/>
        <v>81154.44</v>
      </c>
      <c r="H58" s="21" t="s">
        <v>35</v>
      </c>
      <c r="I58" s="87">
        <v>15</v>
      </c>
      <c r="J58" s="23">
        <v>2000</v>
      </c>
      <c r="K58" s="9">
        <f t="shared" si="70"/>
        <v>133.33333333333334</v>
      </c>
      <c r="L58" s="87">
        <v>15</v>
      </c>
      <c r="M58" s="10">
        <f t="shared" si="71"/>
        <v>1913.4782608695652</v>
      </c>
      <c r="N58" s="10">
        <f t="shared" si="73"/>
        <v>127.56521739130434</v>
      </c>
      <c r="O58" s="11">
        <f t="shared" si="74"/>
        <v>0</v>
      </c>
      <c r="P58" s="12">
        <f t="shared" si="75"/>
        <v>-5.7681159420289987</v>
      </c>
      <c r="Q58" s="83">
        <f t="shared" si="76"/>
        <v>0.95673913043478254</v>
      </c>
      <c r="R58" s="571"/>
      <c r="S58" s="24">
        <v>0.75555555555555554</v>
      </c>
      <c r="T58" s="24">
        <v>0.78749999999999998</v>
      </c>
      <c r="U58" s="82">
        <f t="shared" si="77"/>
        <v>7.9999999999999716</v>
      </c>
      <c r="V58" s="88">
        <f t="shared" si="72"/>
        <v>46</v>
      </c>
      <c r="W58" s="13"/>
      <c r="X58" s="13"/>
      <c r="Y58" s="79"/>
      <c r="Z58" s="80"/>
      <c r="AA58" s="11">
        <f t="shared" si="2"/>
        <v>-86.521739130434753</v>
      </c>
      <c r="AB58" s="83">
        <f t="shared" si="59"/>
        <v>0.95673913043478265</v>
      </c>
      <c r="AC58" s="571"/>
    </row>
    <row r="59" spans="1:29" ht="15.75" customHeight="1">
      <c r="A59" s="633" t="s">
        <v>188</v>
      </c>
      <c r="B59" s="26" t="s">
        <v>36</v>
      </c>
      <c r="C59" s="627" t="s">
        <v>78</v>
      </c>
      <c r="D59" s="628"/>
      <c r="E59" s="26">
        <v>57.73</v>
      </c>
      <c r="F59" s="28">
        <v>1128</v>
      </c>
      <c r="G59" s="82">
        <f t="shared" si="69"/>
        <v>65119.439999999995</v>
      </c>
      <c r="H59" s="21" t="s">
        <v>35</v>
      </c>
      <c r="I59" s="87">
        <v>16</v>
      </c>
      <c r="J59" s="23">
        <v>1500</v>
      </c>
      <c r="K59" s="9">
        <f t="shared" si="70"/>
        <v>93.75</v>
      </c>
      <c r="L59" s="87">
        <v>16</v>
      </c>
      <c r="M59" s="10">
        <f t="shared" si="71"/>
        <v>1440.0000000000002</v>
      </c>
      <c r="N59" s="10">
        <f t="shared" si="73"/>
        <v>90.000000000000014</v>
      </c>
      <c r="O59" s="11">
        <f t="shared" si="74"/>
        <v>0</v>
      </c>
      <c r="P59" s="12">
        <f t="shared" si="75"/>
        <v>-3.7499999999999858</v>
      </c>
      <c r="Q59" s="83">
        <f t="shared" si="76"/>
        <v>0.96000000000000019</v>
      </c>
      <c r="R59" s="571"/>
      <c r="S59" s="24">
        <v>0.79236111111111107</v>
      </c>
      <c r="T59" s="24">
        <v>0.82499999999999996</v>
      </c>
      <c r="U59" s="82">
        <f t="shared" si="77"/>
        <v>6.9999999999999751</v>
      </c>
      <c r="V59" s="88">
        <f t="shared" si="72"/>
        <v>46.999999999999993</v>
      </c>
      <c r="W59" s="13"/>
      <c r="X59" s="13"/>
      <c r="Y59" s="621"/>
      <c r="Z59" s="622"/>
      <c r="AA59" s="11">
        <f t="shared" si="2"/>
        <v>-59.999999999999773</v>
      </c>
      <c r="AB59" s="83">
        <f t="shared" si="59"/>
        <v>0.96000000000000019</v>
      </c>
      <c r="AC59" s="571"/>
    </row>
    <row r="60" spans="1:29">
      <c r="A60" s="634" t="s">
        <v>31</v>
      </c>
      <c r="B60" s="26" t="s">
        <v>189</v>
      </c>
      <c r="C60" s="629"/>
      <c r="D60" s="629"/>
      <c r="E60" s="81"/>
      <c r="F60" s="27"/>
      <c r="G60" s="9"/>
      <c r="H60" s="89"/>
      <c r="I60" s="16">
        <v>16.333333333333332</v>
      </c>
      <c r="J60" s="23">
        <v>1916.6666666666667</v>
      </c>
      <c r="K60" s="9">
        <f>J60/I60</f>
        <v>117.34693877551021</v>
      </c>
      <c r="L60" s="16">
        <v>16.333333333333332</v>
      </c>
      <c r="M60" s="10">
        <f>AVERAGE(M54:M59)</f>
        <v>1839.2756491265811</v>
      </c>
      <c r="N60" s="9">
        <f>M60/L60</f>
        <v>112.6087132118315</v>
      </c>
      <c r="O60" s="11">
        <f>L60-I60</f>
        <v>0</v>
      </c>
      <c r="P60" s="12">
        <f>N60-K60</f>
        <v>-4.7382255636787107</v>
      </c>
      <c r="Q60" s="83">
        <f>N60/K60</f>
        <v>0.95962207780517272</v>
      </c>
      <c r="R60" s="571"/>
      <c r="S60" s="25"/>
      <c r="T60" s="24"/>
      <c r="U60" s="9"/>
      <c r="V60" s="88"/>
      <c r="W60" s="9"/>
      <c r="X60" s="9"/>
      <c r="Y60" s="617"/>
      <c r="Z60" s="617"/>
      <c r="AA60" s="11">
        <f t="shared" si="2"/>
        <v>-77.391017540085613</v>
      </c>
      <c r="AB60" s="83">
        <f t="shared" si="59"/>
        <v>0.95962207780517272</v>
      </c>
      <c r="AC60" s="571"/>
    </row>
    <row r="61" spans="1:29" ht="15.75" customHeight="1">
      <c r="A61" s="623" t="s">
        <v>190</v>
      </c>
      <c r="B61" s="89" t="s">
        <v>67</v>
      </c>
      <c r="C61" s="616" t="s">
        <v>79</v>
      </c>
      <c r="D61" s="616"/>
      <c r="E61" s="26">
        <v>26.78</v>
      </c>
      <c r="F61" s="28">
        <v>2776</v>
      </c>
      <c r="G61" s="82">
        <f t="shared" ref="G61:G65" si="78">E61*F61</f>
        <v>74341.279999999999</v>
      </c>
      <c r="H61" s="21" t="s">
        <v>35</v>
      </c>
      <c r="I61" s="87">
        <v>10</v>
      </c>
      <c r="J61" s="23">
        <v>3000</v>
      </c>
      <c r="K61" s="9">
        <f t="shared" ref="K61:K65" si="79">J61/I61</f>
        <v>300</v>
      </c>
      <c r="L61" s="16">
        <v>10</v>
      </c>
      <c r="M61" s="10">
        <f t="shared" ref="M61:M65" si="80">F61/V61*60</f>
        <v>2871.7241379310349</v>
      </c>
      <c r="N61" s="9">
        <f>M61/L61</f>
        <v>287.17241379310349</v>
      </c>
      <c r="O61" s="11">
        <f t="shared" ref="O61:O65" si="81">L61-I61</f>
        <v>0</v>
      </c>
      <c r="P61" s="12">
        <f t="shared" ref="P61:P65" si="82">N61-K61</f>
        <v>-12.827586206896513</v>
      </c>
      <c r="Q61" s="83">
        <f>N61/K61</f>
        <v>0.95724137931034492</v>
      </c>
      <c r="R61" s="571">
        <f>Q66</f>
        <v>0.96492644805548156</v>
      </c>
      <c r="S61" s="24">
        <v>0.20833333333333334</v>
      </c>
      <c r="T61" s="24">
        <v>0.24861111111111112</v>
      </c>
      <c r="U61" s="82"/>
      <c r="V61" s="88">
        <f t="shared" ref="V61:V65" si="83">(T61-S61)*24*60</f>
        <v>57.999999999999993</v>
      </c>
      <c r="W61" s="15"/>
      <c r="X61" s="15"/>
      <c r="Y61" s="617"/>
      <c r="Z61" s="617"/>
      <c r="AA61" s="11">
        <f t="shared" si="2"/>
        <v>-128.27586206896513</v>
      </c>
      <c r="AB61" s="83">
        <f t="shared" si="59"/>
        <v>0.95724137931034492</v>
      </c>
      <c r="AC61" s="571">
        <f>AB66</f>
        <v>0.96492644805548156</v>
      </c>
    </row>
    <row r="62" spans="1:29" ht="15.75" customHeight="1">
      <c r="A62" s="623" t="s">
        <v>191</v>
      </c>
      <c r="B62" s="89" t="s">
        <v>67</v>
      </c>
      <c r="C62" s="616" t="s">
        <v>80</v>
      </c>
      <c r="D62" s="616"/>
      <c r="E62" s="26">
        <v>35.119999999999997</v>
      </c>
      <c r="F62" s="28">
        <v>1313</v>
      </c>
      <c r="G62" s="82">
        <f t="shared" si="78"/>
        <v>46112.56</v>
      </c>
      <c r="H62" s="21" t="s">
        <v>35</v>
      </c>
      <c r="I62" s="87">
        <v>13</v>
      </c>
      <c r="J62" s="23">
        <v>2000</v>
      </c>
      <c r="K62" s="9">
        <f t="shared" si="79"/>
        <v>153.84615384615384</v>
      </c>
      <c r="L62" s="16">
        <v>13</v>
      </c>
      <c r="M62" s="10">
        <f t="shared" si="80"/>
        <v>1921.4634146341459</v>
      </c>
      <c r="N62" s="9">
        <f t="shared" ref="N62:N65" si="84">M62/L62</f>
        <v>147.80487804878047</v>
      </c>
      <c r="O62" s="11">
        <f t="shared" si="81"/>
        <v>0</v>
      </c>
      <c r="P62" s="12">
        <f t="shared" si="82"/>
        <v>-6.0412757973733733</v>
      </c>
      <c r="Q62" s="83">
        <f t="shared" ref="Q62:Q65" si="85">N62/K62</f>
        <v>0.96073170731707302</v>
      </c>
      <c r="R62" s="571"/>
      <c r="S62" s="24">
        <v>0.25277777777777777</v>
      </c>
      <c r="T62" s="24">
        <v>0.28125</v>
      </c>
      <c r="U62" s="82">
        <f>(S62-T61)*24*60</f>
        <v>5.9999999999999787</v>
      </c>
      <c r="V62" s="88">
        <f t="shared" si="83"/>
        <v>41.000000000000014</v>
      </c>
      <c r="W62" s="82"/>
      <c r="X62" s="82"/>
      <c r="Y62" s="617"/>
      <c r="Z62" s="617"/>
      <c r="AA62" s="11">
        <f t="shared" si="2"/>
        <v>-78.53658536585408</v>
      </c>
      <c r="AB62" s="83">
        <f t="shared" si="59"/>
        <v>0.96073170731707291</v>
      </c>
      <c r="AC62" s="571"/>
    </row>
    <row r="63" spans="1:29" ht="15.75" customHeight="1">
      <c r="A63" s="623" t="s">
        <v>191</v>
      </c>
      <c r="B63" s="89" t="s">
        <v>67</v>
      </c>
      <c r="C63" s="616" t="s">
        <v>81</v>
      </c>
      <c r="D63" s="616"/>
      <c r="E63" s="26">
        <v>35.869999999999997</v>
      </c>
      <c r="F63" s="28">
        <v>2187</v>
      </c>
      <c r="G63" s="82">
        <f t="shared" si="78"/>
        <v>78447.689999999988</v>
      </c>
      <c r="H63" s="21" t="s">
        <v>35</v>
      </c>
      <c r="I63" s="87">
        <v>10</v>
      </c>
      <c r="J63" s="23">
        <v>3000</v>
      </c>
      <c r="K63" s="9">
        <f t="shared" si="79"/>
        <v>300</v>
      </c>
      <c r="L63" s="16">
        <v>10</v>
      </c>
      <c r="M63" s="10">
        <f t="shared" si="80"/>
        <v>2916</v>
      </c>
      <c r="N63" s="9">
        <f t="shared" si="84"/>
        <v>291.60000000000002</v>
      </c>
      <c r="O63" s="11">
        <f t="shared" si="81"/>
        <v>0</v>
      </c>
      <c r="P63" s="12">
        <f t="shared" si="82"/>
        <v>-8.3999999999999773</v>
      </c>
      <c r="Q63" s="83">
        <f t="shared" si="85"/>
        <v>0.97200000000000009</v>
      </c>
      <c r="R63" s="571"/>
      <c r="S63" s="24">
        <v>0.28472222222222221</v>
      </c>
      <c r="T63" s="24">
        <v>0.31597222222222221</v>
      </c>
      <c r="U63" s="82">
        <f t="shared" ref="U63:U65" si="86">(S63-T62)*24*60</f>
        <v>4.9999999999999822</v>
      </c>
      <c r="V63" s="88">
        <f t="shared" si="83"/>
        <v>45</v>
      </c>
      <c r="W63" s="82"/>
      <c r="X63" s="82"/>
      <c r="Y63" s="617"/>
      <c r="Z63" s="617"/>
      <c r="AA63" s="11">
        <f t="shared" si="2"/>
        <v>-84</v>
      </c>
      <c r="AB63" s="83">
        <f t="shared" si="59"/>
        <v>0.97199999999999998</v>
      </c>
      <c r="AC63" s="571"/>
    </row>
    <row r="64" spans="1:29" ht="15.75" customHeight="1">
      <c r="A64" s="623" t="s">
        <v>32</v>
      </c>
      <c r="B64" s="89" t="s">
        <v>40</v>
      </c>
      <c r="C64" s="616" t="s">
        <v>82</v>
      </c>
      <c r="D64" s="616"/>
      <c r="E64" s="26">
        <v>26.97</v>
      </c>
      <c r="F64" s="28">
        <v>3255</v>
      </c>
      <c r="G64" s="82">
        <f t="shared" si="78"/>
        <v>87787.349999999991</v>
      </c>
      <c r="H64" s="21" t="s">
        <v>35</v>
      </c>
      <c r="I64" s="87">
        <v>8</v>
      </c>
      <c r="J64" s="23">
        <v>1500</v>
      </c>
      <c r="K64" s="9">
        <f t="shared" si="79"/>
        <v>187.5</v>
      </c>
      <c r="L64" s="16">
        <v>8</v>
      </c>
      <c r="M64" s="10">
        <f t="shared" si="80"/>
        <v>1436.0294117647059</v>
      </c>
      <c r="N64" s="9">
        <f t="shared" si="84"/>
        <v>179.50367647058823</v>
      </c>
      <c r="O64" s="11">
        <f t="shared" si="81"/>
        <v>0</v>
      </c>
      <c r="P64" s="12">
        <f t="shared" si="82"/>
        <v>-7.996323529411768</v>
      </c>
      <c r="Q64" s="83">
        <f t="shared" si="85"/>
        <v>0.95735294117647052</v>
      </c>
      <c r="R64" s="571"/>
      <c r="S64" s="24">
        <v>0.32152777777777775</v>
      </c>
      <c r="T64" s="24">
        <v>0.41597222222222219</v>
      </c>
      <c r="U64" s="82">
        <f t="shared" si="86"/>
        <v>7.9999999999999716</v>
      </c>
      <c r="V64" s="88">
        <f t="shared" si="83"/>
        <v>136</v>
      </c>
      <c r="W64" s="82"/>
      <c r="X64" s="82"/>
      <c r="Y64" s="617"/>
      <c r="Z64" s="617"/>
      <c r="AA64" s="11">
        <f t="shared" si="2"/>
        <v>-63.970588235294144</v>
      </c>
      <c r="AB64" s="83">
        <f t="shared" si="59"/>
        <v>0.95735294117647052</v>
      </c>
      <c r="AC64" s="571"/>
    </row>
    <row r="65" spans="1:29">
      <c r="A65" s="624" t="s">
        <v>32</v>
      </c>
      <c r="B65" s="89" t="s">
        <v>67</v>
      </c>
      <c r="C65" s="616" t="s">
        <v>83</v>
      </c>
      <c r="D65" s="616"/>
      <c r="E65" s="26">
        <v>35.369999999999997</v>
      </c>
      <c r="F65" s="28">
        <v>1604</v>
      </c>
      <c r="G65" s="82">
        <f t="shared" si="78"/>
        <v>56733.479999999996</v>
      </c>
      <c r="H65" s="21" t="s">
        <v>35</v>
      </c>
      <c r="I65" s="87">
        <v>10</v>
      </c>
      <c r="J65" s="23">
        <v>3000</v>
      </c>
      <c r="K65" s="9">
        <f t="shared" si="79"/>
        <v>300</v>
      </c>
      <c r="L65" s="16">
        <v>10</v>
      </c>
      <c r="M65" s="10">
        <f t="shared" si="80"/>
        <v>2916.3636363636328</v>
      </c>
      <c r="N65" s="9">
        <f t="shared" si="84"/>
        <v>291.63636363636328</v>
      </c>
      <c r="O65" s="11">
        <f t="shared" si="81"/>
        <v>0</v>
      </c>
      <c r="P65" s="12">
        <f t="shared" si="82"/>
        <v>-8.363636363636715</v>
      </c>
      <c r="Q65" s="83">
        <f t="shared" si="85"/>
        <v>0.97212121212121094</v>
      </c>
      <c r="R65" s="571"/>
      <c r="S65" s="24">
        <v>0.42152777777777772</v>
      </c>
      <c r="T65" s="24">
        <v>0.44444444444444442</v>
      </c>
      <c r="U65" s="82">
        <f t="shared" si="86"/>
        <v>7.9999999999999716</v>
      </c>
      <c r="V65" s="88">
        <f t="shared" si="83"/>
        <v>33.000000000000043</v>
      </c>
      <c r="W65" s="13"/>
      <c r="X65" s="13"/>
      <c r="Y65" s="617"/>
      <c r="Z65" s="617"/>
      <c r="AA65" s="11">
        <f t="shared" si="2"/>
        <v>-83.63636363636715</v>
      </c>
      <c r="AB65" s="83">
        <f t="shared" si="59"/>
        <v>0.97212121212121094</v>
      </c>
      <c r="AC65" s="571"/>
    </row>
    <row r="66" spans="1:29">
      <c r="A66" s="624" t="s">
        <v>32</v>
      </c>
      <c r="B66" s="26" t="s">
        <v>192</v>
      </c>
      <c r="C66" s="629"/>
      <c r="D66" s="629"/>
      <c r="E66" s="81"/>
      <c r="F66" s="27"/>
      <c r="G66" s="9"/>
      <c r="H66" s="89"/>
      <c r="I66" s="16">
        <v>10.199999999999999</v>
      </c>
      <c r="J66" s="23">
        <v>2500</v>
      </c>
      <c r="K66" s="9">
        <f>J66/I66</f>
        <v>245.0980392156863</v>
      </c>
      <c r="L66" s="16">
        <v>10.199999999999999</v>
      </c>
      <c r="M66" s="10">
        <f>AVERAGE(M61:M65)</f>
        <v>2412.3161201387038</v>
      </c>
      <c r="N66" s="9">
        <f>M66/L66</f>
        <v>236.50158040575531</v>
      </c>
      <c r="O66" s="11">
        <f>L66-I66</f>
        <v>0</v>
      </c>
      <c r="P66" s="12">
        <f>N66-K66</f>
        <v>-8.5964588099309935</v>
      </c>
      <c r="Q66" s="83">
        <f>N66/K66</f>
        <v>0.96492644805548156</v>
      </c>
      <c r="R66" s="571"/>
      <c r="S66" s="24"/>
      <c r="T66" s="24"/>
      <c r="U66" s="9"/>
      <c r="V66" s="88"/>
      <c r="W66" s="9"/>
      <c r="X66" s="9"/>
      <c r="Y66" s="617"/>
      <c r="Z66" s="617"/>
      <c r="AA66" s="11">
        <f t="shared" si="2"/>
        <v>-87.683879861296191</v>
      </c>
      <c r="AB66" s="83">
        <f t="shared" si="59"/>
        <v>0.96492644805548156</v>
      </c>
      <c r="AC66" s="571"/>
    </row>
    <row r="67" spans="1:29" ht="15.75" customHeight="1">
      <c r="A67" s="643" t="s">
        <v>33</v>
      </c>
      <c r="B67" s="89" t="s">
        <v>46</v>
      </c>
      <c r="C67" s="616" t="s">
        <v>84</v>
      </c>
      <c r="D67" s="616"/>
      <c r="E67" s="26">
        <v>20.2</v>
      </c>
      <c r="F67" s="89">
        <v>2510</v>
      </c>
      <c r="G67" s="82">
        <f t="shared" ref="G67:G75" si="87">E67*F67</f>
        <v>50702</v>
      </c>
      <c r="H67" s="21" t="s">
        <v>35</v>
      </c>
      <c r="I67" s="87">
        <v>19</v>
      </c>
      <c r="J67" s="23">
        <v>2400</v>
      </c>
      <c r="K67" s="9">
        <f t="shared" ref="K67:K69" si="88">J67/I67</f>
        <v>126.31578947368421</v>
      </c>
      <c r="L67" s="16">
        <v>19</v>
      </c>
      <c r="M67" s="10">
        <f>F67/V67*60</f>
        <v>2281.818181818182</v>
      </c>
      <c r="N67" s="9">
        <f t="shared" ref="N67:N75" si="89">M67/L67</f>
        <v>120.09569377990431</v>
      </c>
      <c r="O67" s="11">
        <f t="shared" ref="O67:O75" si="90">L67-I67</f>
        <v>0</v>
      </c>
      <c r="P67" s="12">
        <f t="shared" ref="P67:P75" si="91">N67-K67</f>
        <v>-6.2200956937798964</v>
      </c>
      <c r="Q67" s="83">
        <f>N67/K67</f>
        <v>0.9507575757575758</v>
      </c>
      <c r="R67" s="571">
        <f>Q76</f>
        <v>0.95779228787171378</v>
      </c>
      <c r="S67" s="24">
        <v>0.125</v>
      </c>
      <c r="T67" s="24">
        <v>0.17083333333333334</v>
      </c>
      <c r="U67" s="15"/>
      <c r="V67" s="88">
        <f t="shared" ref="V67:V75" si="92">(T67-S67)*24*60</f>
        <v>66</v>
      </c>
      <c r="W67" s="13">
        <f>T67</f>
        <v>0.17083333333333334</v>
      </c>
      <c r="X67" s="13">
        <f>S68</f>
        <v>0.19097222222222224</v>
      </c>
      <c r="Y67" s="617"/>
      <c r="Z67" s="617"/>
      <c r="AA67" s="11">
        <f t="shared" si="2"/>
        <v>-118.18181818181802</v>
      </c>
      <c r="AB67" s="83">
        <f>M67/J67</f>
        <v>0.9507575757575758</v>
      </c>
      <c r="AC67" s="571">
        <f>AB76</f>
        <v>0.95779228787171389</v>
      </c>
    </row>
    <row r="68" spans="1:29" ht="15.75" customHeight="1">
      <c r="A68" s="643" t="s">
        <v>193</v>
      </c>
      <c r="B68" s="89" t="s">
        <v>46</v>
      </c>
      <c r="C68" s="616" t="s">
        <v>85</v>
      </c>
      <c r="D68" s="616"/>
      <c r="E68" s="26">
        <v>19.02</v>
      </c>
      <c r="F68" s="89">
        <v>4500</v>
      </c>
      <c r="G68" s="82">
        <f t="shared" si="87"/>
        <v>85590</v>
      </c>
      <c r="H68" s="21">
        <v>2</v>
      </c>
      <c r="I68" s="87">
        <v>15</v>
      </c>
      <c r="J68" s="23">
        <v>2400</v>
      </c>
      <c r="K68" s="9">
        <f t="shared" si="88"/>
        <v>160</v>
      </c>
      <c r="L68" s="16">
        <v>15</v>
      </c>
      <c r="M68" s="10">
        <f t="shared" ref="M68:M75" si="93">F68/V68*60</f>
        <v>2288.1355932203387</v>
      </c>
      <c r="N68" s="9">
        <f t="shared" si="89"/>
        <v>152.5423728813559</v>
      </c>
      <c r="O68" s="11">
        <f t="shared" si="90"/>
        <v>0</v>
      </c>
      <c r="P68" s="12">
        <f t="shared" si="91"/>
        <v>-7.4576271186440977</v>
      </c>
      <c r="Q68" s="83">
        <f t="shared" ref="Q68:Q76" si="94">N68/K68</f>
        <v>0.95338983050847437</v>
      </c>
      <c r="R68" s="571"/>
      <c r="S68" s="24">
        <v>0.19097222222222224</v>
      </c>
      <c r="T68" s="24">
        <v>0.2729166666666667</v>
      </c>
      <c r="U68" s="82">
        <f>(S68-T67)*24*60</f>
        <v>29.000000000000018</v>
      </c>
      <c r="V68" s="88">
        <f t="shared" si="92"/>
        <v>118.00000000000001</v>
      </c>
      <c r="W68" s="13"/>
      <c r="X68" s="13"/>
      <c r="Y68" s="617"/>
      <c r="Z68" s="617"/>
      <c r="AA68" s="11">
        <f t="shared" si="2"/>
        <v>-111.86440677966129</v>
      </c>
      <c r="AB68" s="83">
        <f t="shared" ref="AB68:AB76" si="95">M68/J68</f>
        <v>0.95338983050847448</v>
      </c>
      <c r="AC68" s="571"/>
    </row>
    <row r="69" spans="1:29" ht="15.75" customHeight="1">
      <c r="A69" s="643" t="s">
        <v>33</v>
      </c>
      <c r="B69" s="89" t="s">
        <v>46</v>
      </c>
      <c r="C69" s="616" t="s">
        <v>86</v>
      </c>
      <c r="D69" s="616"/>
      <c r="E69" s="26">
        <v>24.25</v>
      </c>
      <c r="F69" s="89">
        <v>3035</v>
      </c>
      <c r="G69" s="82">
        <f t="shared" si="87"/>
        <v>73598.75</v>
      </c>
      <c r="H69" s="21" t="s">
        <v>35</v>
      </c>
      <c r="I69" s="87">
        <v>18</v>
      </c>
      <c r="J69" s="23">
        <v>2400</v>
      </c>
      <c r="K69" s="9">
        <f t="shared" si="88"/>
        <v>133.33333333333334</v>
      </c>
      <c r="L69" s="16">
        <v>18</v>
      </c>
      <c r="M69" s="10">
        <f t="shared" si="93"/>
        <v>2305.0632911392395</v>
      </c>
      <c r="N69" s="9">
        <f t="shared" si="89"/>
        <v>128.05907172995774</v>
      </c>
      <c r="O69" s="11">
        <f t="shared" si="90"/>
        <v>0</v>
      </c>
      <c r="P69" s="12">
        <f t="shared" si="91"/>
        <v>-5.2742616033756065</v>
      </c>
      <c r="Q69" s="83">
        <f t="shared" si="94"/>
        <v>0.960443037974683</v>
      </c>
      <c r="R69" s="571"/>
      <c r="S69" s="24">
        <v>0.27777777777777779</v>
      </c>
      <c r="T69" s="24">
        <v>0.33263888888888893</v>
      </c>
      <c r="U69" s="82">
        <f t="shared" ref="U69:U75" si="96">(S69-T68)*24*60</f>
        <v>6.9999999999999751</v>
      </c>
      <c r="V69" s="88">
        <f t="shared" si="92"/>
        <v>79.000000000000043</v>
      </c>
      <c r="W69" s="13"/>
      <c r="X69" s="13"/>
      <c r="Y69" s="617"/>
      <c r="Z69" s="617"/>
      <c r="AA69" s="11">
        <f t="shared" ref="AA69:AA76" si="97">M69-J69</f>
        <v>-94.936708860760518</v>
      </c>
      <c r="AB69" s="83">
        <f t="shared" si="95"/>
        <v>0.96044303797468311</v>
      </c>
      <c r="AC69" s="571"/>
    </row>
    <row r="70" spans="1:29" ht="15.75" customHeight="1">
      <c r="A70" s="643" t="s">
        <v>33</v>
      </c>
      <c r="B70" s="89" t="s">
        <v>46</v>
      </c>
      <c r="C70" s="616" t="s">
        <v>87</v>
      </c>
      <c r="D70" s="616"/>
      <c r="E70" s="26">
        <v>20.52</v>
      </c>
      <c r="F70" s="89">
        <v>3200</v>
      </c>
      <c r="G70" s="82">
        <f t="shared" si="87"/>
        <v>65664</v>
      </c>
      <c r="H70" s="21">
        <v>2</v>
      </c>
      <c r="I70" s="87">
        <v>18</v>
      </c>
      <c r="J70" s="23">
        <v>2400</v>
      </c>
      <c r="K70" s="9">
        <f>J70/I70</f>
        <v>133.33333333333334</v>
      </c>
      <c r="L70" s="16">
        <v>18</v>
      </c>
      <c r="M70" s="10">
        <f t="shared" si="93"/>
        <v>2285.7142857142849</v>
      </c>
      <c r="N70" s="9">
        <f t="shared" si="89"/>
        <v>126.98412698412693</v>
      </c>
      <c r="O70" s="11">
        <f t="shared" si="90"/>
        <v>0</v>
      </c>
      <c r="P70" s="12">
        <f t="shared" si="91"/>
        <v>-6.3492063492064119</v>
      </c>
      <c r="Q70" s="83">
        <f t="shared" si="94"/>
        <v>0.95238095238095188</v>
      </c>
      <c r="R70" s="571"/>
      <c r="S70" s="24">
        <v>0.33611111111111114</v>
      </c>
      <c r="T70" s="24">
        <v>0.39444444444444449</v>
      </c>
      <c r="U70" s="82">
        <f t="shared" si="96"/>
        <v>4.9999999999999822</v>
      </c>
      <c r="V70" s="88">
        <f t="shared" si="92"/>
        <v>84.000000000000028</v>
      </c>
      <c r="W70" s="13"/>
      <c r="X70" s="13"/>
      <c r="Y70" s="617"/>
      <c r="Z70" s="617"/>
      <c r="AA70" s="11">
        <f t="shared" si="97"/>
        <v>-114.28571428571513</v>
      </c>
      <c r="AB70" s="83">
        <f t="shared" si="95"/>
        <v>0.952380952380952</v>
      </c>
      <c r="AC70" s="571"/>
    </row>
    <row r="71" spans="1:29" ht="15.75" customHeight="1">
      <c r="A71" s="643" t="s">
        <v>194</v>
      </c>
      <c r="B71" s="89" t="s">
        <v>46</v>
      </c>
      <c r="C71" s="616" t="s">
        <v>88</v>
      </c>
      <c r="D71" s="616"/>
      <c r="E71" s="26">
        <v>24.25</v>
      </c>
      <c r="F71" s="89">
        <v>2800</v>
      </c>
      <c r="G71" s="82">
        <f t="shared" si="87"/>
        <v>67900</v>
      </c>
      <c r="H71" s="21">
        <v>2</v>
      </c>
      <c r="I71" s="87">
        <v>17</v>
      </c>
      <c r="J71" s="23">
        <v>2400</v>
      </c>
      <c r="K71" s="9">
        <f t="shared" ref="K71:K76" si="98">J71/I71</f>
        <v>141.1764705882353</v>
      </c>
      <c r="L71" s="16">
        <v>17</v>
      </c>
      <c r="M71" s="10">
        <f t="shared" si="93"/>
        <v>2301.3698630136987</v>
      </c>
      <c r="N71" s="9">
        <f t="shared" si="89"/>
        <v>135.37469782433521</v>
      </c>
      <c r="O71" s="11">
        <f t="shared" si="90"/>
        <v>0</v>
      </c>
      <c r="P71" s="12">
        <f t="shared" si="91"/>
        <v>-5.8017727639000896</v>
      </c>
      <c r="Q71" s="83">
        <f t="shared" si="94"/>
        <v>0.95890410958904104</v>
      </c>
      <c r="R71" s="571"/>
      <c r="S71" s="24">
        <v>0.3979166666666667</v>
      </c>
      <c r="T71" s="24">
        <v>0.44861111111111113</v>
      </c>
      <c r="U71" s="82">
        <f t="shared" si="96"/>
        <v>4.9999999999999822</v>
      </c>
      <c r="V71" s="88">
        <f t="shared" si="92"/>
        <v>72.999999999999986</v>
      </c>
      <c r="W71" s="13"/>
      <c r="X71" s="13"/>
      <c r="Y71" s="617"/>
      <c r="Z71" s="617"/>
      <c r="AA71" s="11">
        <f t="shared" si="97"/>
        <v>-98.630136986301295</v>
      </c>
      <c r="AB71" s="83">
        <f t="shared" si="95"/>
        <v>0.95890410958904115</v>
      </c>
      <c r="AC71" s="571"/>
    </row>
    <row r="72" spans="1:29" ht="15.75" customHeight="1">
      <c r="A72" s="643" t="s">
        <v>195</v>
      </c>
      <c r="B72" s="89" t="s">
        <v>46</v>
      </c>
      <c r="C72" s="616" t="s">
        <v>48</v>
      </c>
      <c r="D72" s="616"/>
      <c r="E72" s="26">
        <v>22.35</v>
      </c>
      <c r="F72" s="89">
        <v>1899</v>
      </c>
      <c r="G72" s="82">
        <f t="shared" si="87"/>
        <v>42442.65</v>
      </c>
      <c r="H72" s="21" t="s">
        <v>35</v>
      </c>
      <c r="I72" s="87">
        <v>16</v>
      </c>
      <c r="J72" s="23">
        <v>2400</v>
      </c>
      <c r="K72" s="9">
        <f t="shared" si="98"/>
        <v>150</v>
      </c>
      <c r="L72" s="16">
        <v>16</v>
      </c>
      <c r="M72" s="10">
        <f t="shared" si="93"/>
        <v>2325.3061224489802</v>
      </c>
      <c r="N72" s="9">
        <f t="shared" si="89"/>
        <v>145.33163265306126</v>
      </c>
      <c r="O72" s="11">
        <f t="shared" si="90"/>
        <v>0</v>
      </c>
      <c r="P72" s="12">
        <f t="shared" si="91"/>
        <v>-4.6683673469387372</v>
      </c>
      <c r="Q72" s="83">
        <f t="shared" si="94"/>
        <v>0.9688775510204084</v>
      </c>
      <c r="R72" s="571"/>
      <c r="S72" s="24">
        <v>0.45347222222222222</v>
      </c>
      <c r="T72" s="24">
        <v>0.48749999999999999</v>
      </c>
      <c r="U72" s="82">
        <f t="shared" si="96"/>
        <v>6.9999999999999751</v>
      </c>
      <c r="V72" s="88">
        <f t="shared" si="92"/>
        <v>48.999999999999986</v>
      </c>
      <c r="W72" s="13">
        <f>T72</f>
        <v>0.48749999999999999</v>
      </c>
      <c r="X72" s="13">
        <f>S73</f>
        <v>0.57013888888888886</v>
      </c>
      <c r="Y72" s="617"/>
      <c r="Z72" s="617"/>
      <c r="AA72" s="11">
        <f t="shared" si="97"/>
        <v>-74.693877551019796</v>
      </c>
      <c r="AB72" s="83">
        <f t="shared" si="95"/>
        <v>0.9688775510204084</v>
      </c>
      <c r="AC72" s="571"/>
    </row>
    <row r="73" spans="1:29" ht="15.75" customHeight="1">
      <c r="A73" s="643" t="s">
        <v>33</v>
      </c>
      <c r="B73" s="89" t="s">
        <v>46</v>
      </c>
      <c r="C73" s="627" t="s">
        <v>85</v>
      </c>
      <c r="D73" s="628"/>
      <c r="E73" s="26">
        <v>19.02</v>
      </c>
      <c r="F73" s="89">
        <v>5746</v>
      </c>
      <c r="G73" s="82">
        <f t="shared" si="87"/>
        <v>109288.92</v>
      </c>
      <c r="H73" s="21" t="s">
        <v>35</v>
      </c>
      <c r="I73" s="87">
        <v>15</v>
      </c>
      <c r="J73" s="23">
        <v>2400</v>
      </c>
      <c r="K73" s="9">
        <f t="shared" si="98"/>
        <v>160</v>
      </c>
      <c r="L73" s="16">
        <v>15</v>
      </c>
      <c r="M73" s="10">
        <f t="shared" si="93"/>
        <v>2283.1788079470207</v>
      </c>
      <c r="N73" s="9">
        <f t="shared" si="89"/>
        <v>152.21192052980138</v>
      </c>
      <c r="O73" s="11">
        <f t="shared" si="90"/>
        <v>0</v>
      </c>
      <c r="P73" s="12">
        <f t="shared" si="91"/>
        <v>-7.7880794701986247</v>
      </c>
      <c r="Q73" s="83">
        <f t="shared" si="94"/>
        <v>0.95132450331125862</v>
      </c>
      <c r="R73" s="571"/>
      <c r="S73" s="24">
        <v>0.57013888888888886</v>
      </c>
      <c r="T73" s="24">
        <v>0.67499999999999993</v>
      </c>
      <c r="U73" s="82">
        <f t="shared" si="96"/>
        <v>118.99999999999997</v>
      </c>
      <c r="V73" s="88">
        <f t="shared" si="92"/>
        <v>150.99999999999994</v>
      </c>
      <c r="W73" s="13"/>
      <c r="X73" s="13"/>
      <c r="Y73" s="621"/>
      <c r="Z73" s="622"/>
      <c r="AA73" s="11">
        <f t="shared" si="97"/>
        <v>-116.82119205297931</v>
      </c>
      <c r="AB73" s="83">
        <f t="shared" si="95"/>
        <v>0.95132450331125862</v>
      </c>
      <c r="AC73" s="571"/>
    </row>
    <row r="74" spans="1:29" ht="15.75" customHeight="1">
      <c r="A74" s="643" t="s">
        <v>196</v>
      </c>
      <c r="B74" s="89" t="s">
        <v>46</v>
      </c>
      <c r="C74" s="627" t="s">
        <v>88</v>
      </c>
      <c r="D74" s="628"/>
      <c r="E74" s="26">
        <v>24.25</v>
      </c>
      <c r="F74" s="89">
        <v>1696</v>
      </c>
      <c r="G74" s="82">
        <f t="shared" si="87"/>
        <v>41128</v>
      </c>
      <c r="H74" s="21" t="s">
        <v>35</v>
      </c>
      <c r="I74" s="87">
        <v>17</v>
      </c>
      <c r="J74" s="23">
        <v>2400</v>
      </c>
      <c r="K74" s="9">
        <f t="shared" si="98"/>
        <v>141.1764705882353</v>
      </c>
      <c r="L74" s="16">
        <v>17</v>
      </c>
      <c r="M74" s="10">
        <f t="shared" si="93"/>
        <v>2312.727272727273</v>
      </c>
      <c r="N74" s="9">
        <f t="shared" si="89"/>
        <v>136.04278074866312</v>
      </c>
      <c r="O74" s="11">
        <f t="shared" si="90"/>
        <v>0</v>
      </c>
      <c r="P74" s="12">
        <f t="shared" si="91"/>
        <v>-5.1336898395721846</v>
      </c>
      <c r="Q74" s="83">
        <f t="shared" si="94"/>
        <v>0.96363636363636374</v>
      </c>
      <c r="R74" s="571"/>
      <c r="S74" s="24">
        <v>0.68055555555555547</v>
      </c>
      <c r="T74" s="24">
        <v>0.71111111111111103</v>
      </c>
      <c r="U74" s="82">
        <f t="shared" si="96"/>
        <v>7.9999999999999716</v>
      </c>
      <c r="V74" s="88">
        <f t="shared" si="92"/>
        <v>44</v>
      </c>
      <c r="W74" s="13"/>
      <c r="X74" s="13"/>
      <c r="Y74" s="621"/>
      <c r="Z74" s="622"/>
      <c r="AA74" s="11">
        <f t="shared" si="97"/>
        <v>-87.272727272727025</v>
      </c>
      <c r="AB74" s="83">
        <f t="shared" si="95"/>
        <v>0.96363636363636374</v>
      </c>
      <c r="AC74" s="571"/>
    </row>
    <row r="75" spans="1:29" ht="15.75" customHeight="1">
      <c r="A75" s="643" t="s">
        <v>197</v>
      </c>
      <c r="B75" s="89" t="s">
        <v>46</v>
      </c>
      <c r="C75" s="627" t="s">
        <v>87</v>
      </c>
      <c r="D75" s="628"/>
      <c r="E75" s="26">
        <v>20.52</v>
      </c>
      <c r="F75" s="89">
        <v>1844</v>
      </c>
      <c r="G75" s="82">
        <f t="shared" si="87"/>
        <v>37838.879999999997</v>
      </c>
      <c r="H75" s="21" t="s">
        <v>35</v>
      </c>
      <c r="I75" s="87">
        <v>18</v>
      </c>
      <c r="J75" s="23">
        <v>2400</v>
      </c>
      <c r="K75" s="9">
        <f t="shared" si="98"/>
        <v>133.33333333333334</v>
      </c>
      <c r="L75" s="16">
        <v>18</v>
      </c>
      <c r="M75" s="10">
        <f t="shared" si="93"/>
        <v>2305.0000000000009</v>
      </c>
      <c r="N75" s="9">
        <f t="shared" si="89"/>
        <v>128.0555555555556</v>
      </c>
      <c r="O75" s="11">
        <f t="shared" si="90"/>
        <v>0</v>
      </c>
      <c r="P75" s="12">
        <f t="shared" si="91"/>
        <v>-5.277777777777743</v>
      </c>
      <c r="Q75" s="83">
        <f t="shared" si="94"/>
        <v>0.96041666666666692</v>
      </c>
      <c r="R75" s="571"/>
      <c r="S75" s="24">
        <v>0.71458333333333324</v>
      </c>
      <c r="T75" s="24">
        <v>0.74791666666666656</v>
      </c>
      <c r="U75" s="82">
        <f t="shared" si="96"/>
        <v>4.9999999999999822</v>
      </c>
      <c r="V75" s="88">
        <f t="shared" si="92"/>
        <v>47.999999999999986</v>
      </c>
      <c r="W75" s="13"/>
      <c r="X75" s="13"/>
      <c r="Y75" s="621"/>
      <c r="Z75" s="622"/>
      <c r="AA75" s="11">
        <f t="shared" si="97"/>
        <v>-94.999999999999091</v>
      </c>
      <c r="AB75" s="83">
        <f t="shared" si="95"/>
        <v>0.96041666666666703</v>
      </c>
      <c r="AC75" s="571"/>
    </row>
    <row r="76" spans="1:29" ht="16.5" customHeight="1">
      <c r="A76" s="660" t="s">
        <v>33</v>
      </c>
      <c r="B76" s="26" t="s">
        <v>198</v>
      </c>
      <c r="C76" s="629"/>
      <c r="D76" s="629"/>
      <c r="E76" s="81"/>
      <c r="F76" s="27"/>
      <c r="G76" s="9"/>
      <c r="H76" s="89"/>
      <c r="I76" s="16">
        <v>17</v>
      </c>
      <c r="J76" s="23">
        <v>2400</v>
      </c>
      <c r="K76" s="9">
        <f t="shared" si="98"/>
        <v>141.1764705882353</v>
      </c>
      <c r="L76" s="16">
        <v>17</v>
      </c>
      <c r="M76" s="10">
        <f>AVERAGE(M67:M75)</f>
        <v>2298.7014908921133</v>
      </c>
      <c r="N76" s="9">
        <f>M76/L76</f>
        <v>135.2177347583596</v>
      </c>
      <c r="O76" s="11">
        <f>L76-I76</f>
        <v>0</v>
      </c>
      <c r="P76" s="12">
        <f>N76-K76</f>
        <v>-5.9587358298757067</v>
      </c>
      <c r="Q76" s="83">
        <f t="shared" si="94"/>
        <v>0.95779228787171378</v>
      </c>
      <c r="R76" s="571"/>
      <c r="S76" s="24"/>
      <c r="T76" s="24"/>
      <c r="U76" s="9"/>
      <c r="V76" s="88"/>
      <c r="W76" s="9"/>
      <c r="X76" s="9"/>
      <c r="Y76" s="617"/>
      <c r="Z76" s="617"/>
      <c r="AA76" s="11">
        <f t="shared" si="97"/>
        <v>-101.29850910788673</v>
      </c>
      <c r="AB76" s="83">
        <f t="shared" si="95"/>
        <v>0.95779228787171389</v>
      </c>
      <c r="AC76" s="571"/>
    </row>
    <row r="77" spans="1:29">
      <c r="D77" s="17"/>
      <c r="E77" s="17"/>
    </row>
  </sheetData>
  <mergeCells count="200">
    <mergeCell ref="A67:A76"/>
    <mergeCell ref="C67:D67"/>
    <mergeCell ref="R67:R76"/>
    <mergeCell ref="Y67:Z67"/>
    <mergeCell ref="AC67:AC76"/>
    <mergeCell ref="C68:D68"/>
    <mergeCell ref="Y68:Z68"/>
    <mergeCell ref="C69:D69"/>
    <mergeCell ref="Y69:Z69"/>
    <mergeCell ref="C70:D70"/>
    <mergeCell ref="C74:D74"/>
    <mergeCell ref="Y74:Z74"/>
    <mergeCell ref="C75:D75"/>
    <mergeCell ref="Y75:Z75"/>
    <mergeCell ref="C76:D76"/>
    <mergeCell ref="Y76:Z76"/>
    <mergeCell ref="Y70:Z70"/>
    <mergeCell ref="C71:D71"/>
    <mergeCell ref="Y71:Z71"/>
    <mergeCell ref="C72:D72"/>
    <mergeCell ref="Y72:Z72"/>
    <mergeCell ref="C73:D73"/>
    <mergeCell ref="Y73:Z73"/>
    <mergeCell ref="AC61:AC66"/>
    <mergeCell ref="C62:D62"/>
    <mergeCell ref="Y62:Z62"/>
    <mergeCell ref="C63:D63"/>
    <mergeCell ref="Y63:Z63"/>
    <mergeCell ref="C64:D64"/>
    <mergeCell ref="Y64:Z64"/>
    <mergeCell ref="C65:D65"/>
    <mergeCell ref="Y65:Z65"/>
    <mergeCell ref="C66:D66"/>
    <mergeCell ref="A61:A66"/>
    <mergeCell ref="C61:D61"/>
    <mergeCell ref="R61:R66"/>
    <mergeCell ref="Y61:Z61"/>
    <mergeCell ref="Y66:Z66"/>
    <mergeCell ref="A54:A60"/>
    <mergeCell ref="C54:D54"/>
    <mergeCell ref="R54:R60"/>
    <mergeCell ref="Y54:Z54"/>
    <mergeCell ref="AC54:AC60"/>
    <mergeCell ref="C55:D55"/>
    <mergeCell ref="Y55:Z55"/>
    <mergeCell ref="C56:D56"/>
    <mergeCell ref="C59:D59"/>
    <mergeCell ref="Y59:Z59"/>
    <mergeCell ref="Y50:Z50"/>
    <mergeCell ref="C51:D51"/>
    <mergeCell ref="Y51:Z51"/>
    <mergeCell ref="C52:D52"/>
    <mergeCell ref="Y52:Z52"/>
    <mergeCell ref="C53:D53"/>
    <mergeCell ref="Y53:Z53"/>
    <mergeCell ref="C60:D60"/>
    <mergeCell ref="Y60:Z60"/>
    <mergeCell ref="A47:A53"/>
    <mergeCell ref="C47:D47"/>
    <mergeCell ref="R47:R53"/>
    <mergeCell ref="Y47:Z47"/>
    <mergeCell ref="AC47:AC53"/>
    <mergeCell ref="C48:D48"/>
    <mergeCell ref="Y48:Z48"/>
    <mergeCell ref="C49:D49"/>
    <mergeCell ref="Y49:Z49"/>
    <mergeCell ref="C50:D50"/>
    <mergeCell ref="AC37:AC46"/>
    <mergeCell ref="C38:D38"/>
    <mergeCell ref="Y38:Z38"/>
    <mergeCell ref="C39:D39"/>
    <mergeCell ref="Y39:Z39"/>
    <mergeCell ref="C40:D40"/>
    <mergeCell ref="Y40:Z40"/>
    <mergeCell ref="C41:D41"/>
    <mergeCell ref="Y41:Z41"/>
    <mergeCell ref="C42:D42"/>
    <mergeCell ref="A37:A46"/>
    <mergeCell ref="C37:D37"/>
    <mergeCell ref="R37:R46"/>
    <mergeCell ref="Y37:Z37"/>
    <mergeCell ref="Y42:Z42"/>
    <mergeCell ref="C43:D43"/>
    <mergeCell ref="A25:A36"/>
    <mergeCell ref="C25:D25"/>
    <mergeCell ref="Y43:Z43"/>
    <mergeCell ref="C44:D44"/>
    <mergeCell ref="Y44:Z44"/>
    <mergeCell ref="C45:D45"/>
    <mergeCell ref="Y45:Z45"/>
    <mergeCell ref="C46:D46"/>
    <mergeCell ref="Y46:Z46"/>
    <mergeCell ref="Y29:Z29"/>
    <mergeCell ref="C30:D30"/>
    <mergeCell ref="Y30:Z30"/>
    <mergeCell ref="C31:D31"/>
    <mergeCell ref="Y31:Z31"/>
    <mergeCell ref="R25:R36"/>
    <mergeCell ref="Y25:Z25"/>
    <mergeCell ref="C35:D35"/>
    <mergeCell ref="Y35:Z35"/>
    <mergeCell ref="C36:D36"/>
    <mergeCell ref="Y36:Z36"/>
    <mergeCell ref="AC25:AC36"/>
    <mergeCell ref="C26:D26"/>
    <mergeCell ref="Y26:Z26"/>
    <mergeCell ref="C27:D27"/>
    <mergeCell ref="Y27:Z27"/>
    <mergeCell ref="C28:D28"/>
    <mergeCell ref="AC19:AC24"/>
    <mergeCell ref="C20:D20"/>
    <mergeCell ref="Y20:Z20"/>
    <mergeCell ref="C21:D21"/>
    <mergeCell ref="Y21:Z21"/>
    <mergeCell ref="C22:D22"/>
    <mergeCell ref="Y22:Z22"/>
    <mergeCell ref="C23:D23"/>
    <mergeCell ref="Y23:Z23"/>
    <mergeCell ref="C24:D24"/>
    <mergeCell ref="C32:D32"/>
    <mergeCell ref="Y32:Z32"/>
    <mergeCell ref="C33:D33"/>
    <mergeCell ref="Y33:Z33"/>
    <mergeCell ref="C34:D34"/>
    <mergeCell ref="Y34:Z34"/>
    <mergeCell ref="Y28:Z28"/>
    <mergeCell ref="C29:D29"/>
    <mergeCell ref="A19:A24"/>
    <mergeCell ref="C19:D19"/>
    <mergeCell ref="R19:R24"/>
    <mergeCell ref="Y19:Z19"/>
    <mergeCell ref="Y24:Z24"/>
    <mergeCell ref="A13:A18"/>
    <mergeCell ref="C13:D13"/>
    <mergeCell ref="R13:R18"/>
    <mergeCell ref="Y13:Z13"/>
    <mergeCell ref="AC13:AC18"/>
    <mergeCell ref="C14:D14"/>
    <mergeCell ref="Y14:Z14"/>
    <mergeCell ref="C15:D15"/>
    <mergeCell ref="Y15:Z15"/>
    <mergeCell ref="C16:D16"/>
    <mergeCell ref="AC9:AC12"/>
    <mergeCell ref="C10:D10"/>
    <mergeCell ref="Y10:Z10"/>
    <mergeCell ref="C11:D11"/>
    <mergeCell ref="Y11:Z11"/>
    <mergeCell ref="C12:D12"/>
    <mergeCell ref="Y12:Z12"/>
    <mergeCell ref="Y16:Z16"/>
    <mergeCell ref="C17:D17"/>
    <mergeCell ref="Y17:Z17"/>
    <mergeCell ref="C18:D18"/>
    <mergeCell ref="Y18:Z18"/>
    <mergeCell ref="C8:D8"/>
    <mergeCell ref="Y8:Z8"/>
    <mergeCell ref="A9:A12"/>
    <mergeCell ref="C9:D9"/>
    <mergeCell ref="R9:R12"/>
    <mergeCell ref="Y9:Z9"/>
    <mergeCell ref="AC3:AC4"/>
    <mergeCell ref="A5:A8"/>
    <mergeCell ref="C5:D5"/>
    <mergeCell ref="R5:R8"/>
    <mergeCell ref="Y5:Z5"/>
    <mergeCell ref="AC5:AC8"/>
    <mergeCell ref="C6:D6"/>
    <mergeCell ref="Y6:Z6"/>
    <mergeCell ref="C7:D7"/>
    <mergeCell ref="Y7:Z7"/>
    <mergeCell ref="U3:U4"/>
    <mergeCell ref="V3:V4"/>
    <mergeCell ref="W3:X3"/>
    <mergeCell ref="Y3:Z4"/>
    <mergeCell ref="AA3:AA4"/>
    <mergeCell ref="AB3:AB4"/>
    <mergeCell ref="N3:N4"/>
    <mergeCell ref="O3:O4"/>
    <mergeCell ref="S1:X2"/>
    <mergeCell ref="Y1:Z2"/>
    <mergeCell ref="AA1:AC2"/>
    <mergeCell ref="A3:A4"/>
    <mergeCell ref="B3:B4"/>
    <mergeCell ref="C3:D4"/>
    <mergeCell ref="E3:E4"/>
    <mergeCell ref="F3:F4"/>
    <mergeCell ref="G3:G4"/>
    <mergeCell ref="I1:K2"/>
    <mergeCell ref="L1:N2"/>
    <mergeCell ref="O1:R2"/>
    <mergeCell ref="P3:P4"/>
    <mergeCell ref="Q3:Q4"/>
    <mergeCell ref="R3:R4"/>
    <mergeCell ref="S3:T3"/>
    <mergeCell ref="H3:H4"/>
    <mergeCell ref="I3:I4"/>
    <mergeCell ref="J3:J4"/>
    <mergeCell ref="K3:K4"/>
    <mergeCell ref="L3:L4"/>
    <mergeCell ref="M3:M4"/>
  </mergeCells>
  <phoneticPr fontId="3" type="noConversion"/>
  <conditionalFormatting sqref="O64:O72 O76 O5:O9 O12:O14 O18:O32 O36:O61">
    <cfRule type="cellIs" dxfId="163" priority="68" operator="greaterThan">
      <formula>0</formula>
    </cfRule>
  </conditionalFormatting>
  <conditionalFormatting sqref="P5:P7 P64:P65 AA64:AA65 P67:P72 P25:P32 P61 P9 P12:P14 P19:P23 P54:P59 P37:P52 AA5:AA61 AA67:AA76">
    <cfRule type="cellIs" dxfId="162" priority="72" operator="lessThan">
      <formula>0</formula>
    </cfRule>
  </conditionalFormatting>
  <conditionalFormatting sqref="AB64:AB65 Q64:Q72 Q76 Q5:Q9 Q12:Q14 Q18:Q32 Q36:Q61 AB5:AB61 AB67:AB76">
    <cfRule type="cellIs" dxfId="161" priority="69" operator="greaterThan">
      <formula>1</formula>
    </cfRule>
    <cfRule type="cellIs" dxfId="160" priority="70" operator="lessThan">
      <formula>0.8</formula>
    </cfRule>
  </conditionalFormatting>
  <conditionalFormatting sqref="AC13:AC14 R13:R14 AC64 R64:R72 AC18:AC32 R18:R32 R36:R44 AC36:AC44 R76 AC5:AC9 R5:R9 AC46:AC61 R46:R61">
    <cfRule type="cellIs" dxfId="159" priority="74" operator="lessThan">
      <formula>0.8</formula>
    </cfRule>
  </conditionalFormatting>
  <conditionalFormatting sqref="AC47">
    <cfRule type="cellIs" dxfId="158" priority="76" operator="lessThan">
      <formula>0.8</formula>
    </cfRule>
  </conditionalFormatting>
  <conditionalFormatting sqref="AC19:AC23">
    <cfRule type="cellIs" dxfId="157" priority="73" operator="lessThan">
      <formula>0.8</formula>
    </cfRule>
  </conditionalFormatting>
  <conditionalFormatting sqref="AC25">
    <cfRule type="cellIs" dxfId="156" priority="75" operator="lessThan">
      <formula>0.8</formula>
    </cfRule>
  </conditionalFormatting>
  <conditionalFormatting sqref="AC37:AC44">
    <cfRule type="cellIs" dxfId="155" priority="71" operator="lessThan">
      <formula>0.8</formula>
    </cfRule>
  </conditionalFormatting>
  <conditionalFormatting sqref="AA66">
    <cfRule type="cellIs" dxfId="154" priority="67" operator="lessThan">
      <formula>0</formula>
    </cfRule>
  </conditionalFormatting>
  <conditionalFormatting sqref="AB66">
    <cfRule type="cellIs" dxfId="153" priority="65" operator="greaterThan">
      <formula>1</formula>
    </cfRule>
    <cfRule type="cellIs" dxfId="152" priority="66" operator="lessThan">
      <formula>0.8</formula>
    </cfRule>
  </conditionalFormatting>
  <conditionalFormatting sqref="O15:O16">
    <cfRule type="cellIs" dxfId="151" priority="60" operator="greaterThan">
      <formula>0</formula>
    </cfRule>
  </conditionalFormatting>
  <conditionalFormatting sqref="P15:P16">
    <cfRule type="cellIs" dxfId="150" priority="63" operator="lessThan">
      <formula>0</formula>
    </cfRule>
  </conditionalFormatting>
  <conditionalFormatting sqref="Q15:Q16">
    <cfRule type="cellIs" dxfId="149" priority="61" operator="greaterThan">
      <formula>1</formula>
    </cfRule>
    <cfRule type="cellIs" dxfId="148" priority="62" operator="lessThan">
      <formula>0.8</formula>
    </cfRule>
  </conditionalFormatting>
  <conditionalFormatting sqref="R15:R16 AC15:AC16">
    <cfRule type="cellIs" dxfId="147" priority="64" operator="lessThan">
      <formula>0.8</formula>
    </cfRule>
  </conditionalFormatting>
  <conditionalFormatting sqref="O10:O11">
    <cfRule type="cellIs" dxfId="146" priority="56" operator="greaterThan">
      <formula>0</formula>
    </cfRule>
  </conditionalFormatting>
  <conditionalFormatting sqref="P10:P11">
    <cfRule type="cellIs" dxfId="145" priority="59" operator="lessThan">
      <formula>0</formula>
    </cfRule>
  </conditionalFormatting>
  <conditionalFormatting sqref="Q10:Q11">
    <cfRule type="cellIs" dxfId="144" priority="57" operator="greaterThan">
      <formula>1</formula>
    </cfRule>
    <cfRule type="cellIs" dxfId="143" priority="58" operator="lessThan">
      <formula>0.8</formula>
    </cfRule>
  </conditionalFormatting>
  <conditionalFormatting sqref="R45 AC45">
    <cfRule type="cellIs" dxfId="142" priority="55" operator="lessThan">
      <formula>0.8</formula>
    </cfRule>
  </conditionalFormatting>
  <conditionalFormatting sqref="AC45">
    <cfRule type="cellIs" dxfId="141" priority="54" operator="lessThan">
      <formula>0.8</formula>
    </cfRule>
  </conditionalFormatting>
  <conditionalFormatting sqref="O63">
    <cfRule type="cellIs" dxfId="140" priority="49" operator="greaterThan">
      <formula>0</formula>
    </cfRule>
  </conditionalFormatting>
  <conditionalFormatting sqref="P63 AA63">
    <cfRule type="cellIs" dxfId="139" priority="52" operator="lessThan">
      <formula>0</formula>
    </cfRule>
  </conditionalFormatting>
  <conditionalFormatting sqref="Q63 AB63">
    <cfRule type="cellIs" dxfId="138" priority="50" operator="greaterThan">
      <formula>1</formula>
    </cfRule>
    <cfRule type="cellIs" dxfId="137" priority="51" operator="lessThan">
      <formula>0.8</formula>
    </cfRule>
  </conditionalFormatting>
  <conditionalFormatting sqref="R63 AC63">
    <cfRule type="cellIs" dxfId="136" priority="53" operator="lessThan">
      <formula>0.8</formula>
    </cfRule>
  </conditionalFormatting>
  <conditionalFormatting sqref="O33">
    <cfRule type="cellIs" dxfId="135" priority="44" operator="greaterThan">
      <formula>0</formula>
    </cfRule>
  </conditionalFormatting>
  <conditionalFormatting sqref="P33">
    <cfRule type="cellIs" dxfId="134" priority="47" operator="lessThan">
      <formula>0</formula>
    </cfRule>
  </conditionalFormatting>
  <conditionalFormatting sqref="Q33">
    <cfRule type="cellIs" dxfId="133" priority="45" operator="greaterThan">
      <formula>1</formula>
    </cfRule>
    <cfRule type="cellIs" dxfId="132" priority="46" operator="lessThan">
      <formula>0.8</formula>
    </cfRule>
  </conditionalFormatting>
  <conditionalFormatting sqref="R33 AC33">
    <cfRule type="cellIs" dxfId="131" priority="48" operator="lessThan">
      <formula>0.8</formula>
    </cfRule>
  </conditionalFormatting>
  <conditionalFormatting sqref="O73">
    <cfRule type="cellIs" dxfId="130" priority="39" operator="greaterThan">
      <formula>0</formula>
    </cfRule>
  </conditionalFormatting>
  <conditionalFormatting sqref="P73">
    <cfRule type="cellIs" dxfId="129" priority="42" operator="lessThan">
      <formula>0</formula>
    </cfRule>
  </conditionalFormatting>
  <conditionalFormatting sqref="Q73">
    <cfRule type="cellIs" dxfId="128" priority="40" operator="greaterThan">
      <formula>1</formula>
    </cfRule>
    <cfRule type="cellIs" dxfId="127" priority="41" operator="lessThan">
      <formula>0.8</formula>
    </cfRule>
  </conditionalFormatting>
  <conditionalFormatting sqref="R73">
    <cfRule type="cellIs" dxfId="126" priority="43" operator="lessThan">
      <formula>0.8</formula>
    </cfRule>
  </conditionalFormatting>
  <conditionalFormatting sqref="O17">
    <cfRule type="cellIs" dxfId="125" priority="34" operator="greaterThan">
      <formula>0</formula>
    </cfRule>
  </conditionalFormatting>
  <conditionalFormatting sqref="P17">
    <cfRule type="cellIs" dxfId="124" priority="37" operator="lessThan">
      <formula>0</formula>
    </cfRule>
  </conditionalFormatting>
  <conditionalFormatting sqref="Q17">
    <cfRule type="cellIs" dxfId="123" priority="35" operator="greaterThan">
      <formula>1</formula>
    </cfRule>
    <cfRule type="cellIs" dxfId="122" priority="36" operator="lessThan">
      <formula>0.8</formula>
    </cfRule>
  </conditionalFormatting>
  <conditionalFormatting sqref="R17 AC17">
    <cfRule type="cellIs" dxfId="121" priority="38" operator="lessThan">
      <formula>0.8</formula>
    </cfRule>
  </conditionalFormatting>
  <conditionalFormatting sqref="O34">
    <cfRule type="cellIs" dxfId="120" priority="29" operator="greaterThan">
      <formula>0</formula>
    </cfRule>
  </conditionalFormatting>
  <conditionalFormatting sqref="P34">
    <cfRule type="cellIs" dxfId="119" priority="32" operator="lessThan">
      <formula>0</formula>
    </cfRule>
  </conditionalFormatting>
  <conditionalFormatting sqref="Q34">
    <cfRule type="cellIs" dxfId="118" priority="30" operator="greaterThan">
      <formula>1</formula>
    </cfRule>
    <cfRule type="cellIs" dxfId="117" priority="31" operator="lessThan">
      <formula>0.8</formula>
    </cfRule>
  </conditionalFormatting>
  <conditionalFormatting sqref="R34 AC34">
    <cfRule type="cellIs" dxfId="116" priority="33" operator="lessThan">
      <formula>0.8</formula>
    </cfRule>
  </conditionalFormatting>
  <conditionalFormatting sqref="O62">
    <cfRule type="cellIs" dxfId="115" priority="24" operator="greaterThan">
      <formula>0</formula>
    </cfRule>
  </conditionalFormatting>
  <conditionalFormatting sqref="P62 AA62">
    <cfRule type="cellIs" dxfId="114" priority="27" operator="lessThan">
      <formula>0</formula>
    </cfRule>
  </conditionalFormatting>
  <conditionalFormatting sqref="Q62 AB62">
    <cfRule type="cellIs" dxfId="113" priority="25" operator="greaterThan">
      <formula>1</formula>
    </cfRule>
    <cfRule type="cellIs" dxfId="112" priority="26" operator="lessThan">
      <formula>0.8</formula>
    </cfRule>
  </conditionalFormatting>
  <conditionalFormatting sqref="R62 AC62">
    <cfRule type="cellIs" dxfId="111" priority="28" operator="lessThan">
      <formula>0.8</formula>
    </cfRule>
  </conditionalFormatting>
  <conditionalFormatting sqref="P8">
    <cfRule type="cellIs" dxfId="110" priority="23" operator="lessThan">
      <formula>0</formula>
    </cfRule>
  </conditionalFormatting>
  <conditionalFormatting sqref="P18">
    <cfRule type="cellIs" dxfId="109" priority="22" operator="lessThan">
      <formula>0</formula>
    </cfRule>
  </conditionalFormatting>
  <conditionalFormatting sqref="P24">
    <cfRule type="cellIs" dxfId="108" priority="21" operator="lessThan">
      <formula>0</formula>
    </cfRule>
  </conditionalFormatting>
  <conditionalFormatting sqref="P36">
    <cfRule type="cellIs" dxfId="107" priority="20" operator="lessThan">
      <formula>0</formula>
    </cfRule>
  </conditionalFormatting>
  <conditionalFormatting sqref="P53">
    <cfRule type="cellIs" dxfId="106" priority="19" operator="lessThan">
      <formula>0</formula>
    </cfRule>
  </conditionalFormatting>
  <conditionalFormatting sqref="P60">
    <cfRule type="cellIs" dxfId="105" priority="18" operator="lessThan">
      <formula>0</formula>
    </cfRule>
  </conditionalFormatting>
  <conditionalFormatting sqref="P66">
    <cfRule type="cellIs" dxfId="104" priority="17" operator="lessThan">
      <formula>0</formula>
    </cfRule>
  </conditionalFormatting>
  <conditionalFormatting sqref="P76">
    <cfRule type="cellIs" dxfId="103" priority="16" operator="lessThan">
      <formula>0</formula>
    </cfRule>
  </conditionalFormatting>
  <conditionalFormatting sqref="O35">
    <cfRule type="cellIs" dxfId="102" priority="11" operator="greaterThan">
      <formula>0</formula>
    </cfRule>
  </conditionalFormatting>
  <conditionalFormatting sqref="P35">
    <cfRule type="cellIs" dxfId="101" priority="14" operator="lessThan">
      <formula>0</formula>
    </cfRule>
  </conditionalFormatting>
  <conditionalFormatting sqref="Q35">
    <cfRule type="cellIs" dxfId="100" priority="12" operator="greaterThan">
      <formula>1</formula>
    </cfRule>
    <cfRule type="cellIs" dxfId="99" priority="13" operator="lessThan">
      <formula>0.8</formula>
    </cfRule>
  </conditionalFormatting>
  <conditionalFormatting sqref="R35 AC35">
    <cfRule type="cellIs" dxfId="98" priority="15" operator="lessThan">
      <formula>0.8</formula>
    </cfRule>
  </conditionalFormatting>
  <conditionalFormatting sqref="O74">
    <cfRule type="cellIs" dxfId="97" priority="6" operator="greaterThan">
      <formula>0</formula>
    </cfRule>
  </conditionalFormatting>
  <conditionalFormatting sqref="P74">
    <cfRule type="cellIs" dxfId="96" priority="9" operator="lessThan">
      <formula>0</formula>
    </cfRule>
  </conditionalFormatting>
  <conditionalFormatting sqref="Q74">
    <cfRule type="cellIs" dxfId="95" priority="7" operator="greaterThan">
      <formula>1</formula>
    </cfRule>
    <cfRule type="cellIs" dxfId="94" priority="8" operator="lessThan">
      <formula>0.8</formula>
    </cfRule>
  </conditionalFormatting>
  <conditionalFormatting sqref="R74">
    <cfRule type="cellIs" dxfId="93" priority="10" operator="lessThan">
      <formula>0.8</formula>
    </cfRule>
  </conditionalFormatting>
  <conditionalFormatting sqref="O75">
    <cfRule type="cellIs" dxfId="92" priority="1" operator="greaterThan">
      <formula>0</formula>
    </cfRule>
  </conditionalFormatting>
  <conditionalFormatting sqref="P75">
    <cfRule type="cellIs" dxfId="91" priority="4" operator="lessThan">
      <formula>0</formula>
    </cfRule>
  </conditionalFormatting>
  <conditionalFormatting sqref="Q75">
    <cfRule type="cellIs" dxfId="90" priority="2" operator="greaterThan">
      <formula>1</formula>
    </cfRule>
    <cfRule type="cellIs" dxfId="89" priority="3" operator="lessThan">
      <formula>0.8</formula>
    </cfRule>
  </conditionalFormatting>
  <conditionalFormatting sqref="R75">
    <cfRule type="cellIs" dxfId="88" priority="5" operator="lessThan">
      <formula>0.8</formula>
    </cfRule>
  </conditionalFormatting>
  <dataValidations count="1">
    <dataValidation type="list" allowBlank="1" showInputMessage="1" showErrorMessage="1" sqref="Z8 Z65 Y5:Z7 Y8:Y65 Z10:Z61 Y66:Z76">
      <formula1>#REF!</formula1>
    </dataValidation>
  </dataValidations>
  <pageMargins left="0" right="0" top="0" bottom="0" header="0" footer="0"/>
  <pageSetup paperSize="9" scale="11" orientation="landscape" horizontalDpi="300" verticalDpi="300" r:id="rId1"/>
</worksheet>
</file>

<file path=xl/worksheets/sheet6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工作表48"/>
  <dimension ref="B1:Q28"/>
  <sheetViews>
    <sheetView topLeftCell="A7" zoomScale="85" zoomScaleNormal="85" workbookViewId="0">
      <selection activeCell="D13" sqref="D13"/>
    </sheetView>
  </sheetViews>
  <sheetFormatPr defaultColWidth="8.75" defaultRowHeight="15.75"/>
  <cols>
    <col min="1" max="1" width="8.75" style="30"/>
    <col min="2" max="2" width="17.875" style="30" customWidth="1"/>
    <col min="3" max="3" width="9.25" style="37" customWidth="1"/>
    <col min="4" max="13" width="12.625" style="30" customWidth="1"/>
    <col min="14" max="14" width="11" style="30" bestFit="1" customWidth="1"/>
    <col min="15" max="15" width="17.75" style="30" bestFit="1" customWidth="1"/>
    <col min="16" max="16" width="12.25" style="30" bestFit="1" customWidth="1"/>
    <col min="17" max="22" width="9.25" style="30" customWidth="1"/>
    <col min="23" max="23" width="10.75" style="30" customWidth="1"/>
    <col min="24" max="24" width="11" style="30" customWidth="1"/>
    <col min="25" max="16384" width="8.75" style="30"/>
  </cols>
  <sheetData>
    <row r="1" spans="2:17" ht="27.75" customHeight="1">
      <c r="B1" s="552" t="s">
        <v>199</v>
      </c>
      <c r="C1" s="552"/>
      <c r="D1" s="552"/>
      <c r="E1" s="552"/>
      <c r="F1" s="552"/>
      <c r="G1" s="552"/>
      <c r="H1" s="552"/>
      <c r="I1" s="552"/>
      <c r="J1" s="552"/>
      <c r="K1" s="29"/>
      <c r="L1" s="29"/>
      <c r="M1" s="29"/>
      <c r="N1" s="29"/>
      <c r="O1" s="29"/>
      <c r="P1" s="29"/>
    </row>
    <row r="2" spans="2:17" ht="27.75" customHeight="1">
      <c r="B2" s="553"/>
      <c r="C2" s="553"/>
      <c r="D2" s="553"/>
      <c r="E2" s="553"/>
      <c r="F2" s="553"/>
      <c r="G2" s="553"/>
      <c r="H2" s="553"/>
      <c r="I2" s="553"/>
      <c r="J2" s="553"/>
      <c r="K2" s="31"/>
      <c r="L2" s="31"/>
      <c r="M2" s="31"/>
      <c r="N2" s="29"/>
      <c r="O2" s="29"/>
      <c r="P2" s="29"/>
    </row>
    <row r="3" spans="2:17" ht="46.5" customHeight="1">
      <c r="B3" s="32" t="s">
        <v>200</v>
      </c>
      <c r="C3" s="554" t="str">
        <f>TEXT('1001 4度C'!A2,"yyyy.mm.ddaaaa")</f>
        <v>2025.10.01星期三</v>
      </c>
      <c r="D3" s="555"/>
      <c r="E3" s="32" t="s">
        <v>201</v>
      </c>
      <c r="F3" s="556">
        <f>'1001 4度C'!D1</f>
        <v>186725</v>
      </c>
      <c r="G3" s="557"/>
      <c r="H3" s="32" t="s">
        <v>202</v>
      </c>
      <c r="I3" s="558">
        <f>'1001 4度C'!F1</f>
        <v>5968684.4199999981</v>
      </c>
      <c r="J3" s="559"/>
      <c r="K3" s="33"/>
      <c r="L3" s="34"/>
      <c r="M3" s="35"/>
      <c r="N3" s="35"/>
    </row>
    <row r="4" spans="2:17" ht="28.5" customHeight="1">
      <c r="B4" s="560" t="s">
        <v>203</v>
      </c>
      <c r="C4" s="542" t="s">
        <v>204</v>
      </c>
      <c r="D4" s="543"/>
      <c r="E4" s="563" t="s">
        <v>205</v>
      </c>
      <c r="F4" s="564"/>
      <c r="G4" s="563" t="s">
        <v>206</v>
      </c>
      <c r="H4" s="564"/>
      <c r="I4" s="563" t="s">
        <v>207</v>
      </c>
      <c r="J4" s="564"/>
      <c r="L4" s="35"/>
      <c r="M4" s="35"/>
      <c r="N4" s="35"/>
    </row>
    <row r="5" spans="2:17" ht="28.5" customHeight="1">
      <c r="B5" s="561"/>
      <c r="C5" s="542" t="s">
        <v>208</v>
      </c>
      <c r="D5" s="543"/>
      <c r="E5" s="542" t="s">
        <v>209</v>
      </c>
      <c r="F5" s="543"/>
      <c r="G5" s="544" t="s">
        <v>210</v>
      </c>
      <c r="H5" s="545"/>
      <c r="I5" s="546" t="s">
        <v>211</v>
      </c>
      <c r="J5" s="547"/>
      <c r="K5" s="35"/>
      <c r="L5" s="35"/>
      <c r="M5" s="35"/>
      <c r="N5" s="35"/>
    </row>
    <row r="6" spans="2:17" ht="28.5" customHeight="1">
      <c r="B6" s="561"/>
      <c r="C6" s="542" t="s">
        <v>92</v>
      </c>
      <c r="D6" s="543"/>
      <c r="E6" s="548">
        <f>AVERAGE(D13:M13)</f>
        <v>152.41237855286187</v>
      </c>
      <c r="F6" s="549">
        <f>AVERAGE(D27:O27,D13:J13)</f>
        <v>158.04942218714626</v>
      </c>
      <c r="G6" s="550">
        <f>AVERAGE(D13:J13)</f>
        <v>158.04942218714626</v>
      </c>
      <c r="H6" s="551"/>
      <c r="I6" s="550">
        <f>AVERAGE(K13:M13)</f>
        <v>139.25927673953154</v>
      </c>
      <c r="J6" s="551"/>
      <c r="K6" s="35"/>
      <c r="L6" s="35"/>
      <c r="M6" s="35"/>
      <c r="N6" s="35"/>
    </row>
    <row r="7" spans="2:17" ht="28.5" customHeight="1">
      <c r="B7" s="561"/>
      <c r="C7" s="532" t="s">
        <v>93</v>
      </c>
      <c r="D7" s="533"/>
      <c r="E7" s="534">
        <f>AVERAGE(D14:M14)</f>
        <v>146.01001256339489</v>
      </c>
      <c r="F7" s="535">
        <f>AVERAGE(D28:O28,D14:J14)</f>
        <v>151.49879060036542</v>
      </c>
      <c r="G7" s="536">
        <f>AVERAGE(D14:J14)</f>
        <v>151.49879060036542</v>
      </c>
      <c r="H7" s="537"/>
      <c r="I7" s="536">
        <f>AVERAGE(K14:M14)</f>
        <v>133.20286381046367</v>
      </c>
      <c r="J7" s="537"/>
      <c r="K7" s="35"/>
      <c r="L7" s="35"/>
      <c r="M7" s="35"/>
      <c r="N7" s="35"/>
    </row>
    <row r="8" spans="2:17" ht="28.5" customHeight="1">
      <c r="B8" s="562"/>
      <c r="C8" s="532" t="s">
        <v>94</v>
      </c>
      <c r="D8" s="533"/>
      <c r="E8" s="538">
        <f>AVERAGE(D15:M15)</f>
        <v>0.95794407033332407</v>
      </c>
      <c r="F8" s="539">
        <f>AVERAGE(D15:J15,D29:O29)</f>
        <v>0.95856384783331305</v>
      </c>
      <c r="G8" s="540">
        <f>AVERAGE(D15:J15)</f>
        <v>0.95856384783331305</v>
      </c>
      <c r="H8" s="541"/>
      <c r="I8" s="540">
        <f>AVERAGE(K15:M15)</f>
        <v>0.95649792283334978</v>
      </c>
      <c r="J8" s="541"/>
      <c r="K8" s="36" t="s">
        <v>212</v>
      </c>
      <c r="L8" s="35"/>
      <c r="M8" s="35"/>
      <c r="N8" s="35"/>
    </row>
    <row r="9" spans="2:17" ht="28.5" customHeight="1" thickBot="1">
      <c r="H9" s="38"/>
      <c r="N9" s="35"/>
      <c r="O9" s="35"/>
      <c r="P9" s="35"/>
      <c r="Q9" s="35"/>
    </row>
    <row r="10" spans="2:17" ht="30" customHeight="1">
      <c r="B10" s="515" t="s">
        <v>213</v>
      </c>
      <c r="C10" s="516"/>
      <c r="D10" s="517" t="s">
        <v>95</v>
      </c>
      <c r="E10" s="518"/>
      <c r="F10" s="518"/>
      <c r="G10" s="518"/>
      <c r="H10" s="518"/>
      <c r="I10" s="518"/>
      <c r="J10" s="519"/>
      <c r="K10" s="520" t="s">
        <v>214</v>
      </c>
      <c r="L10" s="521"/>
      <c r="M10" s="522"/>
      <c r="P10" s="39"/>
      <c r="Q10" s="39"/>
    </row>
    <row r="11" spans="2:17" ht="17.25" customHeight="1">
      <c r="B11" s="523" t="s">
        <v>215</v>
      </c>
      <c r="C11" s="524"/>
      <c r="D11" s="40">
        <v>1</v>
      </c>
      <c r="E11" s="41">
        <v>2</v>
      </c>
      <c r="F11" s="41">
        <v>3</v>
      </c>
      <c r="G11" s="41">
        <v>4</v>
      </c>
      <c r="H11" s="41">
        <v>5</v>
      </c>
      <c r="I11" s="41">
        <v>6</v>
      </c>
      <c r="J11" s="42">
        <v>7</v>
      </c>
      <c r="K11" s="40">
        <v>1</v>
      </c>
      <c r="L11" s="41">
        <v>2</v>
      </c>
      <c r="M11" s="42">
        <v>3</v>
      </c>
      <c r="P11" s="39"/>
      <c r="Q11" s="39"/>
    </row>
    <row r="12" spans="2:17" ht="34.15" customHeight="1">
      <c r="B12" s="525"/>
      <c r="C12" s="526"/>
      <c r="D12" s="43" t="s">
        <v>96</v>
      </c>
      <c r="E12" s="44" t="s">
        <v>97</v>
      </c>
      <c r="F12" s="44" t="s">
        <v>98</v>
      </c>
      <c r="G12" s="44" t="s">
        <v>99</v>
      </c>
      <c r="H12" s="44" t="s">
        <v>100</v>
      </c>
      <c r="I12" s="44" t="s">
        <v>101</v>
      </c>
      <c r="J12" s="45" t="s">
        <v>102</v>
      </c>
      <c r="K12" s="43" t="s">
        <v>103</v>
      </c>
      <c r="L12" s="44" t="s">
        <v>104</v>
      </c>
      <c r="M12" s="45" t="s">
        <v>105</v>
      </c>
    </row>
    <row r="13" spans="2:17" ht="40.15" customHeight="1">
      <c r="B13" s="527" t="s">
        <v>216</v>
      </c>
      <c r="C13" s="46" t="s">
        <v>217</v>
      </c>
      <c r="D13" s="47">
        <f>SUMIFS('1001 4度C'!$K:$K,'1001 4度C'!$A:$A,"新豐6線",'1001 4度C'!$B:$B,"平均")</f>
        <v>125</v>
      </c>
      <c r="E13" s="48">
        <f>SUMIFS('1001 4度C'!$K:$K,'1001 4度C'!$A:$A,"新豐2線",'1001 4度C'!$B:$B,"平均")</f>
        <v>83.333333333333329</v>
      </c>
      <c r="F13" s="49">
        <f>SUMIFS('1001 4度C'!$K:$K,'1001 4度C'!$A:$A,"新豐5線",'1001 4度C'!$B:$B,"平均")</f>
        <v>107.57575757575758</v>
      </c>
      <c r="G13" s="49">
        <f>SUMIFS('1001 4度C'!$K:$K,'1001 4度C'!$A:$A,"新豐7線",'1001 4度C'!$B:$B,"平均")</f>
        <v>117.64705882352941</v>
      </c>
      <c r="H13" s="49">
        <f>SUMIFS('1001 4度C'!$K:$K,'1001 4度C'!$A:$A,"新豐3線",'1001 4度C'!$B:$B,"平均")</f>
        <v>310.34482758620692</v>
      </c>
      <c r="I13" s="49">
        <f>SUMIFS('1001 4度C'!$K:$K,'1001 4度C'!$A:$A,"新豐1線",'1001 4度C'!$B:$B,"平均")</f>
        <v>117.34693877551021</v>
      </c>
      <c r="J13" s="50">
        <f>SUMIFS('1001 4度C'!$K:$K,'1001 4度C'!$A:$A,"新豐10線",'1001 4度C'!$B:$B,"平均")</f>
        <v>245.0980392156863</v>
      </c>
      <c r="K13" s="51">
        <f>SUMIFS('1001 4度C'!$K:$K,'1001 4度C'!$A:$A,"新豐8線",'1001 4度C'!$B:$B,"平均")</f>
        <v>130.69306930693068</v>
      </c>
      <c r="L13" s="52">
        <f>SUMIFS('1001 4度C'!$K:$K,'1001 4度C'!$A:$A,"新豐9線",'1001 4度C'!$B:$B,"平均")</f>
        <v>146.9387755102041</v>
      </c>
      <c r="M13" s="50">
        <f>SUMIFS('1001 4度C'!$K:$K,'1001 4度C'!$A:$A,"新豐4線",'1001 4度C'!$B:$B,"平均")</f>
        <v>140.14598540145985</v>
      </c>
    </row>
    <row r="14" spans="2:17" ht="39.6" customHeight="1">
      <c r="B14" s="528"/>
      <c r="C14" s="53" t="s">
        <v>218</v>
      </c>
      <c r="D14" s="54">
        <f>SUMIFS('1001 4度C'!$N:$N,'1001 4度C'!$A:$A,"新豐6線",'1001 4度C'!$B:$B,"平均")</f>
        <v>119.59226190476183</v>
      </c>
      <c r="E14" s="55">
        <f>SUMIFS('1001 4度C'!$N:$N,'1001 4度C'!$A:$A,"新豐2線",'1001 4度C'!$B:$B,"平均")</f>
        <v>79.915089154797002</v>
      </c>
      <c r="F14" s="55">
        <f>SUMIFS('1001 4度C'!$N:$N,'1001 4度C'!$A:$A,"新豐5線",'1001 4度C'!$B:$B,"平均")</f>
        <v>103.16098827510294</v>
      </c>
      <c r="G14" s="55">
        <f>SUMIFS('1001 4度C'!$N:$N,'1001 4度C'!$A:$A,"新豐7線",'1001 4度C'!$B:$B,"平均")</f>
        <v>112.87582834151181</v>
      </c>
      <c r="H14" s="55">
        <f>SUMIFS('1001 4度C'!$N:$N,'1001 4度C'!$A:$A,"新豐3線",'1001 4度C'!$B:$B,"平均")</f>
        <v>297.06491784445024</v>
      </c>
      <c r="I14" s="55">
        <f>SUMIFS('1001 4度C'!$N:$N,'1001 4度C'!$A:$A,"新豐1線",'1001 4度C'!$B:$B,"平均")</f>
        <v>112.40019829435901</v>
      </c>
      <c r="J14" s="56">
        <f>SUMIFS('1001 4度C'!$N:$N,'1001 4度C'!$A:$A,"新豐10線",'1001 4度C'!$B:$B,"平均")</f>
        <v>235.48225038757496</v>
      </c>
      <c r="K14" s="57">
        <f>SUMIFS('1001 4度C'!$N:$N,'1001 4度C'!$A:$A,"新豐8線",'1001 4度C'!$B:$B,"平均")</f>
        <v>125.05345342372111</v>
      </c>
      <c r="L14" s="58">
        <f>SUMIFS('1001 4度C'!$N:$N,'1001 4度C'!$A:$A,"新豐9線",'1001 4度C'!$B:$B,"平均")</f>
        <v>140.72569095332227</v>
      </c>
      <c r="M14" s="56">
        <f>SUMIFS('1001 4度C'!$N:$N,'1001 4度C'!$A:$A,"新豐4線",'1001 4度C'!$B:$B,"平均")</f>
        <v>133.82944705434764</v>
      </c>
    </row>
    <row r="15" spans="2:17" ht="40.15" customHeight="1">
      <c r="B15" s="529"/>
      <c r="C15" s="59" t="s">
        <v>219</v>
      </c>
      <c r="D15" s="60">
        <f t="shared" ref="D15:M15" si="0">D14/D13</f>
        <v>0.95673809523809461</v>
      </c>
      <c r="E15" s="61">
        <f t="shared" si="0"/>
        <v>0.95898106985756404</v>
      </c>
      <c r="F15" s="61">
        <f t="shared" si="0"/>
        <v>0.95896129945870334</v>
      </c>
      <c r="G15" s="61">
        <f t="shared" si="0"/>
        <v>0.95944454090285036</v>
      </c>
      <c r="H15" s="61">
        <f t="shared" si="0"/>
        <v>0.95720917972100628</v>
      </c>
      <c r="I15" s="61">
        <f t="shared" si="0"/>
        <v>0.95784516807366804</v>
      </c>
      <c r="J15" s="62">
        <f t="shared" si="0"/>
        <v>0.96076758158130571</v>
      </c>
      <c r="K15" s="60">
        <f t="shared" si="0"/>
        <v>0.95684839362089646</v>
      </c>
      <c r="L15" s="61">
        <f t="shared" si="0"/>
        <v>0.95771650787677642</v>
      </c>
      <c r="M15" s="62">
        <f t="shared" si="0"/>
        <v>0.95492886700237634</v>
      </c>
    </row>
    <row r="16" spans="2:17" ht="17.25" customHeight="1">
      <c r="B16" s="530" t="s">
        <v>220</v>
      </c>
      <c r="C16" s="63" t="s">
        <v>221</v>
      </c>
      <c r="D16" s="64">
        <f>VLOOKUP("新豐6線",'1001 4度C'!$A:$T,19,0)</f>
        <v>0.70833333333333337</v>
      </c>
      <c r="E16" s="24">
        <f>VLOOKUP("新豐2線",'1001 4度C'!$A:$T,19,0)</f>
        <v>0.20833333333333334</v>
      </c>
      <c r="F16" s="24">
        <f>VLOOKUP("新豐5線",'1001 4度C'!$A:$T,19,0)</f>
        <v>0.25</v>
      </c>
      <c r="G16" s="24">
        <f>VLOOKUP("新豐7線",'1001 4度C'!$A:$T,19,0)</f>
        <v>0.20833333333333334</v>
      </c>
      <c r="H16" s="24">
        <f>VLOOKUP("新豐3線",'1001 4度C'!$A:$T,19,0)</f>
        <v>0.20833333333333334</v>
      </c>
      <c r="I16" s="24">
        <f>VLOOKUP("新豐1線",'1001 4度C'!$A:$T,19,0)</f>
        <v>0.20833333333333334</v>
      </c>
      <c r="J16" s="65">
        <f>VLOOKUP("新豐10線",'1001 4度C'!$A:$T,19,0)</f>
        <v>0.20833333333333334</v>
      </c>
      <c r="K16" s="66">
        <f>VLOOKUP("新豐8線",'1001 4度C'!$A:$T,19,0)</f>
        <v>0.125</v>
      </c>
      <c r="L16" s="67">
        <f>VLOOKUP("新豐9線",'1001 4度C'!$A:$T,19,0)</f>
        <v>0.125</v>
      </c>
      <c r="M16" s="68">
        <f>VLOOKUP("新豐4線",'1001 4度C'!$A:$T,19,0)</f>
        <v>0.125</v>
      </c>
    </row>
    <row r="17" spans="2:13" ht="17.25" customHeight="1">
      <c r="B17" s="531"/>
      <c r="C17" s="63" t="s">
        <v>222</v>
      </c>
      <c r="D17" s="66">
        <f>LOOKUP(2,1/(('1001 4度C'!$A:$A="新豐6線")*('1001 4度C'!$T:$T&lt;&gt;"")),'1001 4度C'!$T:$T)</f>
        <v>0.82847222222222228</v>
      </c>
      <c r="E17" s="24">
        <f>LOOKUP(2,1/(('1001 4度C'!$A:$A="新豐2線")*('1001 4度C'!$T:$T&lt;&gt;"")),'1001 4度C'!$T:$T)</f>
        <v>0.61736111111111103</v>
      </c>
      <c r="F17" s="24">
        <f>LOOKUP(2,1/(('1001 4度C'!$A:$A="新豐5線")*('1001 4度C'!$T:$T&lt;&gt;"")),'1001 4度C'!$T:$T)</f>
        <v>0.82430555555555562</v>
      </c>
      <c r="G17" s="24">
        <f>LOOKUP(2,1/(('1001 4度C'!$A:$A="新豐7線")*('1001 4度C'!$T:$T&lt;&gt;"")),'1001 4度C'!$T:$T)</f>
        <v>0.76666666666666672</v>
      </c>
      <c r="H17" s="24">
        <f>LOOKUP(2,1/(('1001 4度C'!$A:$A="新豐3線")*('1001 4度C'!$T:$T&lt;&gt;"")),'1001 4度C'!$T:$T)</f>
        <v>0.58958333333333335</v>
      </c>
      <c r="I17" s="24">
        <f>LOOKUP(2,1/(('1001 4度C'!$A:$A="新豐1線")*('1001 4度C'!$T:$T&lt;&gt;"")),'1001 4度C'!$T:$T)</f>
        <v>0.84166666666666667</v>
      </c>
      <c r="J17" s="65">
        <f>LOOKUP(2,1/(('1001 4度C'!$A:$A="新豐10線")*('1001 4度C'!$T:$T&lt;&gt;"")),'1001 4度C'!$T:$T)</f>
        <v>0.45555555555555549</v>
      </c>
      <c r="K17" s="64">
        <f>LOOKUP(2,1/(('1001 4度C'!$A:$A="新豐8線")*('1001 4度C'!$T:$T&lt;&gt;"")),'1001 4度C'!$T:$T)</f>
        <v>0.79027777777777752</v>
      </c>
      <c r="L17" s="24">
        <f>LOOKUP(2,1/(('1001 4度C'!$A:$A="新豐9線")*('1001 4度C'!$T:$T&lt;&gt;"")),'1001 4度C'!$T:$T)</f>
        <v>0.78888888888888875</v>
      </c>
      <c r="M17" s="65">
        <f>LOOKUP(2,1/(('1001 4度C'!$A:$A="新豐4線")*('1001 4度C'!$T:$T&lt;&gt;"")),'1001 4度C'!$T:$T)</f>
        <v>0.7319444444444444</v>
      </c>
    </row>
    <row r="18" spans="2:13" ht="17.25" customHeight="1">
      <c r="B18" s="509" t="s">
        <v>223</v>
      </c>
      <c r="C18" s="510"/>
      <c r="D18" s="69">
        <f>SUMIFS('1001 4度C'!$I:$I,'1001 4度C'!$A:$A,"新豐6線",'1001 4度C'!$B:$B,"平均")</f>
        <v>16</v>
      </c>
      <c r="E18" s="70">
        <f>SUMIFS('1001 4度C'!$I:$I,'1001 4度C'!$A:$A,"新豐2線",'1001 4度C'!$B:$B,"平均")</f>
        <v>18</v>
      </c>
      <c r="F18" s="70">
        <f>SUMIFS('1001 4度C'!$I:$I,'1001 4度C'!$A:$A,"新豐5線",'1001 4度C'!$B:$B,"平均")</f>
        <v>18.857142857142858</v>
      </c>
      <c r="G18" s="70">
        <f>SUMIFS('1001 4度C'!$I:$I,'1001 4度C'!$A:$A,"新豐7線",'1001 4度C'!$B:$B,"平均")</f>
        <v>17</v>
      </c>
      <c r="H18" s="70">
        <f>SUMIFS('1001 4度C'!$I:$I,'1001 4度C'!$A:$A,"新豐3線",'1001 4度C'!$B:$B,"平均")</f>
        <v>9.6666666666666661</v>
      </c>
      <c r="I18" s="70">
        <f>SUMIFS('1001 4度C'!$I:$I,'1001 4度C'!$A:$A,"新豐1線",'1001 4度C'!$B:$B,"平均")</f>
        <v>16.333333333333332</v>
      </c>
      <c r="J18" s="71">
        <f>SUMIFS('1001 4度C'!$I:$I,'1001 4度C'!$A:$A,"新豐10線",'1001 4度C'!$B:$B,"平均")</f>
        <v>10.199999999999999</v>
      </c>
      <c r="K18" s="69">
        <f>SUMIFS('1001 4度C'!$I:$I,'1001 4度C'!$A:$A,"新豐8線",'1001 4度C'!$B:$B,"平均")</f>
        <v>18.363636363636363</v>
      </c>
      <c r="L18" s="70">
        <f>SUMIFS('1001 4度C'!$I:$I,'1001 4度C'!$A:$A,"新豐9線",'1001 4度C'!$B:$B,"平均")</f>
        <v>16.333333333333332</v>
      </c>
      <c r="M18" s="71">
        <f>SUMIFS('1001 4度C'!$I:$I,'1001 4度C'!$A:$A,"新豐4線",'1001 4度C'!$B:$B,"平均")</f>
        <v>17.125</v>
      </c>
    </row>
    <row r="19" spans="2:13" ht="17.25" customHeight="1">
      <c r="B19" s="509" t="s">
        <v>224</v>
      </c>
      <c r="C19" s="510"/>
      <c r="D19" s="72" t="s">
        <v>109</v>
      </c>
      <c r="E19" s="73" t="s">
        <v>110</v>
      </c>
      <c r="F19" s="73" t="s">
        <v>225</v>
      </c>
      <c r="G19" s="73" t="s">
        <v>225</v>
      </c>
      <c r="H19" s="73" t="s">
        <v>111</v>
      </c>
      <c r="I19" s="73" t="s">
        <v>109</v>
      </c>
      <c r="J19" s="74" t="s">
        <v>111</v>
      </c>
      <c r="K19" s="72" t="s">
        <v>226</v>
      </c>
      <c r="L19" s="73" t="s">
        <v>226</v>
      </c>
      <c r="M19" s="74" t="s">
        <v>226</v>
      </c>
    </row>
    <row r="20" spans="2:13" ht="17.25" customHeight="1">
      <c r="B20" s="509" t="s">
        <v>227</v>
      </c>
      <c r="C20" s="510"/>
      <c r="D20" s="72"/>
      <c r="E20" s="73"/>
      <c r="F20" s="73" t="s">
        <v>228</v>
      </c>
      <c r="G20" s="73" t="s">
        <v>109</v>
      </c>
      <c r="H20" s="73"/>
      <c r="I20" s="73"/>
      <c r="J20" s="74"/>
      <c r="K20" s="72"/>
      <c r="L20" s="73"/>
      <c r="M20" s="74"/>
    </row>
    <row r="21" spans="2:13" ht="17.25" customHeight="1" thickBot="1">
      <c r="B21" s="511" t="s">
        <v>229</v>
      </c>
      <c r="C21" s="512"/>
      <c r="D21" s="75"/>
      <c r="E21" s="76" t="s">
        <v>230</v>
      </c>
      <c r="F21" s="513" t="s">
        <v>231</v>
      </c>
      <c r="G21" s="514"/>
      <c r="H21" s="76" t="s">
        <v>232</v>
      </c>
      <c r="I21" s="76" t="s">
        <v>233</v>
      </c>
      <c r="J21" s="77" t="s">
        <v>232</v>
      </c>
      <c r="K21" s="78"/>
      <c r="L21" s="76"/>
      <c r="M21" s="77"/>
    </row>
    <row r="22" spans="2:13" ht="17.25" customHeight="1"/>
    <row r="23" spans="2:13" ht="17.25" customHeight="1"/>
    <row r="24" spans="2:13" ht="17.25" customHeight="1"/>
    <row r="25" spans="2:13" ht="37.5" customHeight="1"/>
    <row r="26" spans="2:13" ht="35.25" customHeight="1"/>
    <row r="27" spans="2:13" ht="35.25" customHeight="1"/>
    <row r="28" spans="2:13" ht="39.75" customHeight="1"/>
  </sheetData>
  <mergeCells count="36">
    <mergeCell ref="B1:J2"/>
    <mergeCell ref="C3:D3"/>
    <mergeCell ref="F3:G3"/>
    <mergeCell ref="I3:J3"/>
    <mergeCell ref="B4:B8"/>
    <mergeCell ref="C4:D4"/>
    <mergeCell ref="E4:F4"/>
    <mergeCell ref="G4:H4"/>
    <mergeCell ref="I4:J4"/>
    <mergeCell ref="C5:D5"/>
    <mergeCell ref="E5:F5"/>
    <mergeCell ref="G5:H5"/>
    <mergeCell ref="I5:J5"/>
    <mergeCell ref="C6:D6"/>
    <mergeCell ref="E6:F6"/>
    <mergeCell ref="G6:H6"/>
    <mergeCell ref="I6:J6"/>
    <mergeCell ref="B16:B17"/>
    <mergeCell ref="C7:D7"/>
    <mergeCell ref="E7:F7"/>
    <mergeCell ref="G7:H7"/>
    <mergeCell ref="I7:J7"/>
    <mergeCell ref="C8:D8"/>
    <mergeCell ref="E8:F8"/>
    <mergeCell ref="G8:H8"/>
    <mergeCell ref="I8:J8"/>
    <mergeCell ref="B10:C10"/>
    <mergeCell ref="D10:J10"/>
    <mergeCell ref="B20:C20"/>
    <mergeCell ref="B21:C21"/>
    <mergeCell ref="F21:G21"/>
    <mergeCell ref="K10:M10"/>
    <mergeCell ref="B11:C12"/>
    <mergeCell ref="B13:B15"/>
    <mergeCell ref="B18:C18"/>
    <mergeCell ref="B19:C19"/>
  </mergeCells>
  <phoneticPr fontId="3" type="noConversion"/>
  <conditionalFormatting sqref="D15:M15">
    <cfRule type="cellIs" dxfId="87" priority="1" operator="lessThan">
      <formula>0.8</formula>
    </cfRule>
  </conditionalFormatting>
  <pageMargins left="0.7" right="0.7" top="0.75" bottom="0.75" header="0.3" footer="0.3"/>
  <pageSetup paperSize="9" orientation="portrait" horizontalDpi="300" verticalDpi="300" r:id="rId1"/>
</worksheet>
</file>

<file path=xl/worksheets/sheet6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工作表49">
    <pageSetUpPr fitToPage="1"/>
  </sheetPr>
  <dimension ref="A1:AC78"/>
  <sheetViews>
    <sheetView zoomScale="80" zoomScaleNormal="80" workbookViewId="0">
      <pane ySplit="4" topLeftCell="A11" activePane="bottomLeft" state="frozen"/>
      <selection activeCell="I5" sqref="I5:J5"/>
      <selection pane="bottomLeft" activeCell="C23" sqref="C23:D23"/>
    </sheetView>
  </sheetViews>
  <sheetFormatPr defaultColWidth="8" defaultRowHeight="15.75"/>
  <cols>
    <col min="1" max="1" width="15.125" style="5" customWidth="1"/>
    <col min="2" max="2" width="19.375" style="5" customWidth="1"/>
    <col min="3" max="3" width="15.25" style="5" customWidth="1"/>
    <col min="4" max="4" width="17.5" style="5" customWidth="1"/>
    <col min="5" max="5" width="7.5" style="5" bestFit="1" customWidth="1"/>
    <col min="6" max="6" width="14.375" style="5" bestFit="1" customWidth="1"/>
    <col min="7" max="7" width="14.375" style="5" customWidth="1"/>
    <col min="8" max="8" width="8" style="22" customWidth="1"/>
    <col min="9" max="9" width="5.875" style="5" customWidth="1"/>
    <col min="10" max="10" width="10.625" style="5" customWidth="1"/>
    <col min="11" max="11" width="14.625" style="5" customWidth="1"/>
    <col min="12" max="12" width="7.25" style="5" bestFit="1" customWidth="1"/>
    <col min="13" max="13" width="8" style="5" customWidth="1"/>
    <col min="14" max="14" width="12" style="5" customWidth="1"/>
    <col min="15" max="15" width="6" style="5" customWidth="1"/>
    <col min="16" max="16" width="9.25" style="5" customWidth="1"/>
    <col min="17" max="17" width="11.5" style="5" customWidth="1"/>
    <col min="18" max="18" width="8.5" style="5" customWidth="1"/>
    <col min="19" max="19" width="10.125" style="22" bestFit="1" customWidth="1"/>
    <col min="20" max="20" width="7.625" style="22" bestFit="1" customWidth="1"/>
    <col min="21" max="21" width="10.25" style="5" bestFit="1" customWidth="1"/>
    <col min="22" max="22" width="8.75" style="18" customWidth="1"/>
    <col min="23" max="23" width="7.375" style="5" customWidth="1"/>
    <col min="24" max="24" width="6.875" style="5" bestFit="1" customWidth="1"/>
    <col min="25" max="25" width="12.75" style="5" customWidth="1"/>
    <col min="26" max="26" width="18.875" style="5" customWidth="1"/>
    <col min="27" max="27" width="13.125" style="5" bestFit="1" customWidth="1"/>
    <col min="28" max="28" width="10.375" style="5" customWidth="1"/>
    <col min="29" max="29" width="9.375" style="5" customWidth="1"/>
    <col min="30" max="30" width="8" style="5"/>
    <col min="31" max="31" width="24.625" style="5" bestFit="1" customWidth="1"/>
    <col min="32" max="16384" width="8" style="5"/>
  </cols>
  <sheetData>
    <row r="1" spans="1:29" ht="26.25" customHeight="1">
      <c r="A1" s="1" t="s">
        <v>234</v>
      </c>
      <c r="B1" s="1"/>
      <c r="C1" s="2" t="s">
        <v>235</v>
      </c>
      <c r="D1" s="3">
        <f>SUM(F5:F77)</f>
        <v>186725</v>
      </c>
      <c r="E1" s="92" t="s">
        <v>236</v>
      </c>
      <c r="F1" s="1">
        <f>SUM(G5:G77)</f>
        <v>5968684.4199999981</v>
      </c>
      <c r="G1" s="1" t="s">
        <v>237</v>
      </c>
      <c r="H1" s="4">
        <f>L8+L12+L55+L62+L20+L68+L38+L48+L26+L77</f>
        <v>157.87911255411257</v>
      </c>
      <c r="I1" s="652" t="s">
        <v>238</v>
      </c>
      <c r="J1" s="652"/>
      <c r="K1" s="652"/>
      <c r="L1" s="652" t="s">
        <v>239</v>
      </c>
      <c r="M1" s="652"/>
      <c r="N1" s="652"/>
      <c r="O1" s="652" t="s">
        <v>240</v>
      </c>
      <c r="P1" s="652"/>
      <c r="Q1" s="652"/>
      <c r="R1" s="652"/>
      <c r="S1" s="652" t="s">
        <v>241</v>
      </c>
      <c r="T1" s="652"/>
      <c r="U1" s="652"/>
      <c r="V1" s="652"/>
      <c r="W1" s="652"/>
      <c r="X1" s="652"/>
      <c r="Y1" s="652" t="s">
        <v>242</v>
      </c>
      <c r="Z1" s="652"/>
      <c r="AA1" s="652" t="s">
        <v>243</v>
      </c>
      <c r="AB1" s="653"/>
      <c r="AC1" s="653"/>
    </row>
    <row r="2" spans="1:29" ht="26.25" customHeight="1">
      <c r="A2" s="19">
        <v>45931</v>
      </c>
      <c r="B2" s="20" t="s">
        <v>34</v>
      </c>
      <c r="C2" s="2" t="s">
        <v>216</v>
      </c>
      <c r="D2" s="6">
        <f>AVERAGE(N8,N12,N55,N62,N20,N68,N26,N38,N48,N77)</f>
        <v>146.01001256339489</v>
      </c>
      <c r="E2" s="7" t="s">
        <v>2</v>
      </c>
      <c r="F2" s="8">
        <f>F1/D1</f>
        <v>31.965106011514248</v>
      </c>
      <c r="G2" s="1" t="s">
        <v>244</v>
      </c>
      <c r="H2" s="91">
        <f>COUNT(H5:H77)</f>
        <v>15</v>
      </c>
      <c r="I2" s="652"/>
      <c r="J2" s="652"/>
      <c r="K2" s="652"/>
      <c r="L2" s="652"/>
      <c r="M2" s="652"/>
      <c r="N2" s="652"/>
      <c r="O2" s="652"/>
      <c r="P2" s="652"/>
      <c r="Q2" s="652"/>
      <c r="R2" s="652"/>
      <c r="S2" s="652"/>
      <c r="T2" s="652"/>
      <c r="U2" s="652"/>
      <c r="V2" s="652"/>
      <c r="W2" s="652"/>
      <c r="X2" s="652"/>
      <c r="Y2" s="652"/>
      <c r="Z2" s="652"/>
      <c r="AA2" s="653"/>
      <c r="AB2" s="653"/>
      <c r="AC2" s="653"/>
    </row>
    <row r="3" spans="1:29" ht="23.25" customHeight="1">
      <c r="A3" s="617" t="s">
        <v>3</v>
      </c>
      <c r="B3" s="617" t="s">
        <v>4</v>
      </c>
      <c r="C3" s="617" t="s">
        <v>245</v>
      </c>
      <c r="D3" s="617"/>
      <c r="E3" s="654" t="s">
        <v>246</v>
      </c>
      <c r="F3" s="617" t="s">
        <v>7</v>
      </c>
      <c r="G3" s="654" t="s">
        <v>8</v>
      </c>
      <c r="H3" s="646" t="s">
        <v>247</v>
      </c>
      <c r="I3" s="645" t="s">
        <v>248</v>
      </c>
      <c r="J3" s="649" t="s">
        <v>249</v>
      </c>
      <c r="K3" s="651" t="s">
        <v>106</v>
      </c>
      <c r="L3" s="645" t="s">
        <v>248</v>
      </c>
      <c r="M3" s="649" t="s">
        <v>249</v>
      </c>
      <c r="N3" s="651" t="s">
        <v>216</v>
      </c>
      <c r="O3" s="645" t="s">
        <v>248</v>
      </c>
      <c r="P3" s="651" t="s">
        <v>216</v>
      </c>
      <c r="Q3" s="650" t="s">
        <v>162</v>
      </c>
      <c r="R3" s="633" t="s">
        <v>163</v>
      </c>
      <c r="S3" s="656" t="s">
        <v>14</v>
      </c>
      <c r="T3" s="656"/>
      <c r="U3" s="646" t="s">
        <v>15</v>
      </c>
      <c r="V3" s="646" t="s">
        <v>250</v>
      </c>
      <c r="W3" s="617" t="s">
        <v>251</v>
      </c>
      <c r="X3" s="617"/>
      <c r="Y3" s="647" t="s">
        <v>252</v>
      </c>
      <c r="Z3" s="648"/>
      <c r="AA3" s="649" t="s">
        <v>249</v>
      </c>
      <c r="AB3" s="650" t="s">
        <v>253</v>
      </c>
      <c r="AC3" s="633" t="s">
        <v>254</v>
      </c>
    </row>
    <row r="4" spans="1:29">
      <c r="A4" s="617"/>
      <c r="B4" s="617"/>
      <c r="C4" s="617"/>
      <c r="D4" s="617"/>
      <c r="E4" s="655"/>
      <c r="F4" s="617"/>
      <c r="G4" s="655"/>
      <c r="H4" s="646"/>
      <c r="I4" s="645"/>
      <c r="J4" s="649"/>
      <c r="K4" s="651"/>
      <c r="L4" s="645"/>
      <c r="M4" s="649"/>
      <c r="N4" s="651"/>
      <c r="O4" s="645"/>
      <c r="P4" s="651"/>
      <c r="Q4" s="650"/>
      <c r="R4" s="633"/>
      <c r="S4" s="93" t="s">
        <v>18</v>
      </c>
      <c r="T4" s="93" t="s">
        <v>19</v>
      </c>
      <c r="U4" s="646"/>
      <c r="V4" s="646"/>
      <c r="W4" s="92" t="s">
        <v>255</v>
      </c>
      <c r="X4" s="92" t="s">
        <v>256</v>
      </c>
      <c r="Y4" s="648"/>
      <c r="Z4" s="648"/>
      <c r="AA4" s="649"/>
      <c r="AB4" s="650"/>
      <c r="AC4" s="633"/>
    </row>
    <row r="5" spans="1:29">
      <c r="A5" s="644" t="s">
        <v>257</v>
      </c>
      <c r="B5" s="26" t="s">
        <v>36</v>
      </c>
      <c r="C5" s="601" t="s">
        <v>37</v>
      </c>
      <c r="D5" s="601"/>
      <c r="E5" s="26">
        <v>46.93</v>
      </c>
      <c r="F5" s="93">
        <v>952</v>
      </c>
      <c r="G5" s="92">
        <f>E5*F5</f>
        <v>44677.36</v>
      </c>
      <c r="H5" s="21" t="s">
        <v>35</v>
      </c>
      <c r="I5" s="95">
        <v>16</v>
      </c>
      <c r="J5" s="23">
        <v>2000</v>
      </c>
      <c r="K5" s="9">
        <f>J5/I5</f>
        <v>125</v>
      </c>
      <c r="L5" s="95">
        <v>16</v>
      </c>
      <c r="M5" s="10">
        <f>F5/V5*60</f>
        <v>1903.9999999999966</v>
      </c>
      <c r="N5" s="9">
        <f>M5/L5</f>
        <v>118.99999999999979</v>
      </c>
      <c r="O5" s="11">
        <f t="shared" ref="O5:O7" si="0">L5-I5</f>
        <v>0</v>
      </c>
      <c r="P5" s="12">
        <f t="shared" ref="P5:P7" si="1">N5-K5</f>
        <v>-6.0000000000002132</v>
      </c>
      <c r="Q5" s="97">
        <f>N5/K5</f>
        <v>0.95199999999999829</v>
      </c>
      <c r="R5" s="571">
        <f>Q8</f>
        <v>0.95673809523809461</v>
      </c>
      <c r="S5" s="24">
        <v>0.70833333333333337</v>
      </c>
      <c r="T5" s="24">
        <v>0.72916666666666674</v>
      </c>
      <c r="U5" s="92"/>
      <c r="V5" s="94">
        <f>(T5-S5)*24*60</f>
        <v>30.000000000000053</v>
      </c>
      <c r="W5" s="13"/>
      <c r="X5" s="14"/>
      <c r="Y5" s="617"/>
      <c r="Z5" s="617"/>
      <c r="AA5" s="11">
        <f t="shared" ref="AA5:AA68" si="2">M5-J5</f>
        <v>-96.000000000003411</v>
      </c>
      <c r="AB5" s="97">
        <f t="shared" ref="AB5:AB7" si="3">M5/J5</f>
        <v>0.95199999999999829</v>
      </c>
      <c r="AC5" s="571">
        <f>AB8</f>
        <v>0.95673809523809461</v>
      </c>
    </row>
    <row r="6" spans="1:29">
      <c r="A6" s="645" t="s">
        <v>258</v>
      </c>
      <c r="B6" s="26" t="s">
        <v>36</v>
      </c>
      <c r="C6" s="601" t="s">
        <v>38</v>
      </c>
      <c r="D6" s="601"/>
      <c r="E6" s="26">
        <v>50.49</v>
      </c>
      <c r="F6" s="93">
        <v>2230</v>
      </c>
      <c r="G6" s="92">
        <f t="shared" ref="G6:G7" si="4">E6*F6</f>
        <v>112592.70000000001</v>
      </c>
      <c r="H6" s="21" t="s">
        <v>35</v>
      </c>
      <c r="I6" s="95">
        <v>15</v>
      </c>
      <c r="J6" s="23">
        <v>2000</v>
      </c>
      <c r="K6" s="9">
        <f t="shared" ref="K6:K7" si="5">J6/I6</f>
        <v>133.33333333333334</v>
      </c>
      <c r="L6" s="95">
        <v>15</v>
      </c>
      <c r="M6" s="10">
        <f>F6/V6*60</f>
        <v>1911.4285714285695</v>
      </c>
      <c r="N6" s="9">
        <f t="shared" ref="N6:N7" si="6">M6/L6</f>
        <v>127.4285714285713</v>
      </c>
      <c r="O6" s="11">
        <f t="shared" si="0"/>
        <v>0</v>
      </c>
      <c r="P6" s="12">
        <f t="shared" si="1"/>
        <v>-5.9047619047620401</v>
      </c>
      <c r="Q6" s="97">
        <f t="shared" ref="Q6:Q7" si="7">N6/K6</f>
        <v>0.95571428571428474</v>
      </c>
      <c r="R6" s="571"/>
      <c r="S6" s="24">
        <v>0.73472222222222228</v>
      </c>
      <c r="T6" s="24">
        <v>0.78333333333333344</v>
      </c>
      <c r="U6" s="92">
        <f>(S6-T5)*24*60</f>
        <v>7.9999999999999716</v>
      </c>
      <c r="V6" s="94">
        <f>(T6-S6)*24*60</f>
        <v>70.000000000000071</v>
      </c>
      <c r="W6" s="13"/>
      <c r="X6" s="13"/>
      <c r="Y6" s="617"/>
      <c r="Z6" s="617"/>
      <c r="AA6" s="11">
        <f t="shared" si="2"/>
        <v>-88.571428571430488</v>
      </c>
      <c r="AB6" s="97">
        <f t="shared" si="3"/>
        <v>0.95571428571428474</v>
      </c>
      <c r="AC6" s="571"/>
    </row>
    <row r="7" spans="1:29">
      <c r="A7" s="645" t="s">
        <v>167</v>
      </c>
      <c r="B7" s="26" t="s">
        <v>36</v>
      </c>
      <c r="C7" s="594" t="s">
        <v>39</v>
      </c>
      <c r="D7" s="595"/>
      <c r="E7" s="26">
        <v>50.67</v>
      </c>
      <c r="F7" s="93">
        <v>1925</v>
      </c>
      <c r="G7" s="92">
        <f t="shared" si="4"/>
        <v>97539.75</v>
      </c>
      <c r="H7" s="21" t="s">
        <v>35</v>
      </c>
      <c r="I7" s="95">
        <v>17</v>
      </c>
      <c r="J7" s="23">
        <v>2000</v>
      </c>
      <c r="K7" s="9">
        <f t="shared" si="5"/>
        <v>117.64705882352941</v>
      </c>
      <c r="L7" s="95">
        <v>17</v>
      </c>
      <c r="M7" s="10">
        <f t="shared" ref="M7" si="8">F7/V7*60</f>
        <v>1925.0000000000018</v>
      </c>
      <c r="N7" s="9">
        <f t="shared" si="6"/>
        <v>113.23529411764717</v>
      </c>
      <c r="O7" s="11">
        <f t="shared" si="0"/>
        <v>0</v>
      </c>
      <c r="P7" s="12">
        <f t="shared" si="1"/>
        <v>-4.4117647058822342</v>
      </c>
      <c r="Q7" s="97">
        <f t="shared" si="7"/>
        <v>0.96250000000000102</v>
      </c>
      <c r="R7" s="571"/>
      <c r="S7" s="24">
        <v>0.78680555555555565</v>
      </c>
      <c r="T7" s="24">
        <v>0.82847222222222228</v>
      </c>
      <c r="U7" s="92">
        <f t="shared" ref="U7" si="9">(S7-T6)*24*60</f>
        <v>4.9999999999999822</v>
      </c>
      <c r="V7" s="94">
        <f t="shared" ref="V7" si="10">(T7-S7)*24*60</f>
        <v>59.999999999999943</v>
      </c>
      <c r="W7" s="13"/>
      <c r="X7" s="13"/>
      <c r="Y7" s="621"/>
      <c r="Z7" s="622"/>
      <c r="AA7" s="11">
        <f t="shared" si="2"/>
        <v>-74.999999999998181</v>
      </c>
      <c r="AB7" s="97">
        <f t="shared" si="3"/>
        <v>0.96250000000000091</v>
      </c>
      <c r="AC7" s="571"/>
    </row>
    <row r="8" spans="1:29">
      <c r="A8" s="645" t="s">
        <v>259</v>
      </c>
      <c r="B8" s="26" t="s">
        <v>25</v>
      </c>
      <c r="C8" s="629"/>
      <c r="D8" s="629"/>
      <c r="E8" s="96"/>
      <c r="F8" s="27"/>
      <c r="G8" s="9"/>
      <c r="H8" s="93"/>
      <c r="I8" s="16">
        <v>16</v>
      </c>
      <c r="J8" s="23">
        <v>2000</v>
      </c>
      <c r="K8" s="9">
        <f>J8/I8</f>
        <v>125</v>
      </c>
      <c r="L8" s="16">
        <v>16</v>
      </c>
      <c r="M8" s="10">
        <f>AVERAGE(M5:M7)</f>
        <v>1913.4761904761892</v>
      </c>
      <c r="N8" s="9">
        <f>M8/L8</f>
        <v>119.59226190476183</v>
      </c>
      <c r="O8" s="11">
        <f>L8-I8</f>
        <v>0</v>
      </c>
      <c r="P8" s="12">
        <f>N8-K8</f>
        <v>-5.4077380952381731</v>
      </c>
      <c r="Q8" s="97">
        <f>N8/K8</f>
        <v>0.95673809523809461</v>
      </c>
      <c r="R8" s="571"/>
      <c r="S8" s="24"/>
      <c r="T8" s="24"/>
      <c r="U8" s="92"/>
      <c r="V8" s="94"/>
      <c r="W8" s="9"/>
      <c r="X8" s="9"/>
      <c r="Y8" s="617"/>
      <c r="Z8" s="617"/>
      <c r="AA8" s="11">
        <f t="shared" si="2"/>
        <v>-86.523809523810769</v>
      </c>
      <c r="AB8" s="97">
        <f>M8/J8</f>
        <v>0.95673809523809461</v>
      </c>
      <c r="AC8" s="571"/>
    </row>
    <row r="9" spans="1:29" ht="15.75" customHeight="1">
      <c r="A9" s="643" t="s">
        <v>260</v>
      </c>
      <c r="B9" s="26" t="s">
        <v>40</v>
      </c>
      <c r="C9" s="594" t="s">
        <v>41</v>
      </c>
      <c r="D9" s="595"/>
      <c r="E9" s="26">
        <v>39.799999999999997</v>
      </c>
      <c r="F9" s="93">
        <v>6000</v>
      </c>
      <c r="G9" s="92">
        <f t="shared" ref="G9:G11" si="11">E9*F9</f>
        <v>238799.99999999997</v>
      </c>
      <c r="H9" s="21">
        <v>2</v>
      </c>
      <c r="I9" s="95">
        <v>17</v>
      </c>
      <c r="J9" s="23">
        <v>1500</v>
      </c>
      <c r="K9" s="9">
        <f t="shared" ref="K9:K11" si="12">J9/I9</f>
        <v>88.235294117647058</v>
      </c>
      <c r="L9" s="95">
        <v>17</v>
      </c>
      <c r="M9" s="10">
        <f t="shared" ref="M9:M19" si="13">F9/V9*60</f>
        <v>1434.2629482071713</v>
      </c>
      <c r="N9" s="9">
        <f t="shared" ref="N9:N11" si="14">M9/L9</f>
        <v>84.368408718068906</v>
      </c>
      <c r="O9" s="11">
        <f t="shared" ref="O9:O11" si="15">L9-I9</f>
        <v>0</v>
      </c>
      <c r="P9" s="12">
        <f>N9-K9</f>
        <v>-3.8668853995781518</v>
      </c>
      <c r="Q9" s="97">
        <f>N9/K9</f>
        <v>0.95617529880478092</v>
      </c>
      <c r="R9" s="571">
        <f>Q12</f>
        <v>0.95898106985756404</v>
      </c>
      <c r="S9" s="24">
        <v>0.20833333333333334</v>
      </c>
      <c r="T9" s="24">
        <v>0.38263888888888892</v>
      </c>
      <c r="U9" s="92"/>
      <c r="V9" s="94">
        <f t="shared" ref="V9:V11" si="16">(T9-S9)*24*60</f>
        <v>251</v>
      </c>
      <c r="W9" s="13"/>
      <c r="X9" s="13"/>
      <c r="Y9" s="617"/>
      <c r="Z9" s="617"/>
      <c r="AA9" s="11">
        <f t="shared" si="2"/>
        <v>-65.737051792828652</v>
      </c>
      <c r="AB9" s="97">
        <f>M9/J9</f>
        <v>0.95617529880478092</v>
      </c>
      <c r="AC9" s="571">
        <f>AB12</f>
        <v>0.95898106985756404</v>
      </c>
    </row>
    <row r="10" spans="1:29" ht="15.75" customHeight="1">
      <c r="A10" s="643" t="s">
        <v>23</v>
      </c>
      <c r="B10" s="26" t="s">
        <v>40</v>
      </c>
      <c r="C10" s="594" t="s">
        <v>42</v>
      </c>
      <c r="D10" s="595"/>
      <c r="E10" s="26">
        <v>39.36</v>
      </c>
      <c r="F10" s="93">
        <v>3529</v>
      </c>
      <c r="G10" s="92">
        <f t="shared" si="11"/>
        <v>138901.44</v>
      </c>
      <c r="H10" s="21" t="s">
        <v>35</v>
      </c>
      <c r="I10" s="95">
        <v>20</v>
      </c>
      <c r="J10" s="23">
        <v>1500</v>
      </c>
      <c r="K10" s="9">
        <f t="shared" si="12"/>
        <v>75</v>
      </c>
      <c r="L10" s="95">
        <v>20</v>
      </c>
      <c r="M10" s="10">
        <f t="shared" si="13"/>
        <v>1430.6756756756754</v>
      </c>
      <c r="N10" s="9">
        <f t="shared" si="14"/>
        <v>71.533783783783775</v>
      </c>
      <c r="O10" s="11">
        <f t="shared" si="15"/>
        <v>0</v>
      </c>
      <c r="P10" s="12">
        <f t="shared" ref="P10:P11" si="17">N10-K10</f>
        <v>-3.4662162162162247</v>
      </c>
      <c r="Q10" s="97">
        <f t="shared" ref="Q10:Q11" si="18">N10/K10</f>
        <v>0.9537837837837837</v>
      </c>
      <c r="R10" s="571"/>
      <c r="S10" s="24">
        <v>0.38750000000000001</v>
      </c>
      <c r="T10" s="24">
        <v>0.49027777777777781</v>
      </c>
      <c r="U10" s="92">
        <f>(S10-T9)*24*60</f>
        <v>6.9999999999999751</v>
      </c>
      <c r="V10" s="94">
        <f t="shared" si="16"/>
        <v>148.00000000000003</v>
      </c>
      <c r="W10" s="13">
        <f>T10</f>
        <v>0.49027777777777781</v>
      </c>
      <c r="X10" s="13">
        <f>S11</f>
        <v>0.57361111111111107</v>
      </c>
      <c r="Y10" s="617"/>
      <c r="Z10" s="617"/>
      <c r="AA10" s="11">
        <f t="shared" si="2"/>
        <v>-69.324324324324607</v>
      </c>
      <c r="AB10" s="97">
        <f t="shared" ref="AB10:AB26" si="19">M10/J10</f>
        <v>0.95378378378378359</v>
      </c>
      <c r="AC10" s="571"/>
    </row>
    <row r="11" spans="1:29" ht="15.75" customHeight="1">
      <c r="A11" s="643" t="s">
        <v>260</v>
      </c>
      <c r="B11" s="26" t="s">
        <v>40</v>
      </c>
      <c r="C11" s="594" t="s">
        <v>41</v>
      </c>
      <c r="D11" s="595"/>
      <c r="E11" s="26">
        <v>39.799999999999997</v>
      </c>
      <c r="F11" s="93">
        <v>1523</v>
      </c>
      <c r="G11" s="92">
        <f t="shared" si="11"/>
        <v>60615.399999999994</v>
      </c>
      <c r="H11" s="21" t="s">
        <v>35</v>
      </c>
      <c r="I11" s="95">
        <v>17</v>
      </c>
      <c r="J11" s="23">
        <v>1500</v>
      </c>
      <c r="K11" s="9">
        <f t="shared" si="12"/>
        <v>88.235294117647058</v>
      </c>
      <c r="L11" s="95">
        <v>17</v>
      </c>
      <c r="M11" s="10">
        <f t="shared" si="13"/>
        <v>1450.476190476192</v>
      </c>
      <c r="N11" s="9">
        <f t="shared" si="14"/>
        <v>85.322128851540697</v>
      </c>
      <c r="O11" s="11">
        <f t="shared" si="15"/>
        <v>0</v>
      </c>
      <c r="P11" s="12">
        <f t="shared" si="17"/>
        <v>-2.9131652661063612</v>
      </c>
      <c r="Q11" s="97">
        <f t="shared" si="18"/>
        <v>0.96698412698412795</v>
      </c>
      <c r="R11" s="571"/>
      <c r="S11" s="24">
        <v>0.57361111111111107</v>
      </c>
      <c r="T11" s="24">
        <v>0.61736111111111103</v>
      </c>
      <c r="U11" s="92">
        <f t="shared" ref="U11" si="20">(S11-T10)*24*60</f>
        <v>119.99999999999989</v>
      </c>
      <c r="V11" s="94">
        <f t="shared" si="16"/>
        <v>62.999999999999936</v>
      </c>
      <c r="W11" s="13"/>
      <c r="X11" s="13"/>
      <c r="Y11" s="617"/>
      <c r="Z11" s="617"/>
      <c r="AA11" s="11">
        <f t="shared" si="2"/>
        <v>-49.52380952380804</v>
      </c>
      <c r="AB11" s="97">
        <f t="shared" si="19"/>
        <v>0.96698412698412795</v>
      </c>
      <c r="AC11" s="571"/>
    </row>
    <row r="12" spans="1:29" ht="16.5" customHeight="1">
      <c r="A12" s="643" t="s">
        <v>260</v>
      </c>
      <c r="B12" s="26" t="s">
        <v>25</v>
      </c>
      <c r="C12" s="629"/>
      <c r="D12" s="629"/>
      <c r="E12" s="96"/>
      <c r="F12" s="23"/>
      <c r="G12" s="10"/>
      <c r="H12" s="93"/>
      <c r="I12" s="16">
        <v>18</v>
      </c>
      <c r="J12" s="23">
        <v>1500</v>
      </c>
      <c r="K12" s="9">
        <f>J12/I12</f>
        <v>83.333333333333329</v>
      </c>
      <c r="L12" s="16">
        <v>18</v>
      </c>
      <c r="M12" s="10">
        <f>AVERAGE(M9:M11)</f>
        <v>1438.471604786346</v>
      </c>
      <c r="N12" s="9">
        <f>M12/L12</f>
        <v>79.915089154797002</v>
      </c>
      <c r="O12" s="11">
        <f>L12-I12</f>
        <v>0</v>
      </c>
      <c r="P12" s="12">
        <f>N12-K12</f>
        <v>-3.4182441785363267</v>
      </c>
      <c r="Q12" s="97">
        <f>N12/K12</f>
        <v>0.95898106985756404</v>
      </c>
      <c r="R12" s="571"/>
      <c r="S12" s="24"/>
      <c r="T12" s="24"/>
      <c r="U12" s="9"/>
      <c r="V12" s="94"/>
      <c r="W12" s="9"/>
      <c r="X12" s="9"/>
      <c r="Y12" s="617"/>
      <c r="Z12" s="617"/>
      <c r="AA12" s="11">
        <f t="shared" si="2"/>
        <v>-61.528395213653994</v>
      </c>
      <c r="AB12" s="97">
        <f t="shared" si="19"/>
        <v>0.95898106985756404</v>
      </c>
      <c r="AC12" s="571"/>
    </row>
    <row r="13" spans="1:29" ht="16.5" customHeight="1">
      <c r="A13" s="641" t="s">
        <v>261</v>
      </c>
      <c r="B13" s="93" t="s">
        <v>43</v>
      </c>
      <c r="C13" s="636" t="s">
        <v>44</v>
      </c>
      <c r="D13" s="636"/>
      <c r="E13" s="26">
        <v>41</v>
      </c>
      <c r="F13" s="93">
        <v>1984</v>
      </c>
      <c r="G13" s="93">
        <f t="shared" ref="G13:G19" si="21">E13*F13</f>
        <v>81344</v>
      </c>
      <c r="H13" s="21" t="s">
        <v>35</v>
      </c>
      <c r="I13" s="16">
        <v>26</v>
      </c>
      <c r="J13" s="23">
        <v>1500</v>
      </c>
      <c r="K13" s="27">
        <f>J13/I13</f>
        <v>57.692307692307693</v>
      </c>
      <c r="L13" s="16">
        <v>26</v>
      </c>
      <c r="M13" s="23">
        <f t="shared" si="13"/>
        <v>1434.2168674698789</v>
      </c>
      <c r="N13" s="27">
        <f t="shared" ref="N13:N25" si="22">M13/L13</f>
        <v>55.162187210379962</v>
      </c>
      <c r="O13" s="105">
        <f t="shared" ref="O13" si="23">L13-I13</f>
        <v>0</v>
      </c>
      <c r="P13" s="106">
        <f t="shared" ref="P13" si="24">N13-K13</f>
        <v>-2.5301204819277316</v>
      </c>
      <c r="Q13" s="107">
        <f>N13/K13</f>
        <v>0.95614457831325261</v>
      </c>
      <c r="R13" s="661">
        <f>Q20</f>
        <v>0.95896129945870334</v>
      </c>
      <c r="S13" s="24">
        <v>0.25</v>
      </c>
      <c r="T13" s="24">
        <v>0.30763888888888891</v>
      </c>
      <c r="U13" s="93"/>
      <c r="V13" s="21">
        <v>83.000000000000028</v>
      </c>
      <c r="W13" s="24"/>
      <c r="X13" s="24"/>
      <c r="Y13" s="656"/>
      <c r="Z13" s="656"/>
      <c r="AA13" s="105">
        <f t="shared" si="2"/>
        <v>-65.783132530121065</v>
      </c>
      <c r="AB13" s="107">
        <f t="shared" si="19"/>
        <v>0.95614457831325261</v>
      </c>
      <c r="AC13" s="661">
        <f>AB20</f>
        <v>0.95896129945870334</v>
      </c>
    </row>
    <row r="14" spans="1:29" ht="16.5" customHeight="1">
      <c r="A14" s="642" t="s">
        <v>261</v>
      </c>
      <c r="B14" s="93" t="s">
        <v>40</v>
      </c>
      <c r="C14" s="636" t="s">
        <v>45</v>
      </c>
      <c r="D14" s="636"/>
      <c r="E14" s="26">
        <v>39.619999999999997</v>
      </c>
      <c r="F14" s="93">
        <v>5020</v>
      </c>
      <c r="G14" s="93">
        <f t="shared" si="21"/>
        <v>198892.4</v>
      </c>
      <c r="H14" s="21" t="s">
        <v>35</v>
      </c>
      <c r="I14" s="16">
        <v>19</v>
      </c>
      <c r="J14" s="23">
        <v>1500</v>
      </c>
      <c r="K14" s="27">
        <f t="shared" ref="K14:K19" si="25">J14/I14</f>
        <v>78.94736842105263</v>
      </c>
      <c r="L14" s="16">
        <v>19</v>
      </c>
      <c r="M14" s="23">
        <f t="shared" si="13"/>
        <v>1427.4881516587673</v>
      </c>
      <c r="N14" s="27">
        <f t="shared" si="22"/>
        <v>75.130955350461434</v>
      </c>
      <c r="O14" s="105">
        <f>L14-I14</f>
        <v>0</v>
      </c>
      <c r="P14" s="106">
        <f>N14-K14</f>
        <v>-3.8164130705911958</v>
      </c>
      <c r="Q14" s="107">
        <f>N14/K14</f>
        <v>0.95165876777251157</v>
      </c>
      <c r="R14" s="661"/>
      <c r="S14" s="24">
        <v>0.3125</v>
      </c>
      <c r="T14" s="24">
        <v>0.45902777777777781</v>
      </c>
      <c r="U14" s="93">
        <f>(S14-T13)*24*60</f>
        <v>6.9999999999999751</v>
      </c>
      <c r="V14" s="21">
        <v>211.00000000000006</v>
      </c>
      <c r="W14" s="108"/>
      <c r="X14" s="108"/>
      <c r="Y14" s="656"/>
      <c r="Z14" s="656"/>
      <c r="AA14" s="105">
        <f t="shared" si="2"/>
        <v>-72.511848341232735</v>
      </c>
      <c r="AB14" s="107">
        <f t="shared" si="19"/>
        <v>0.95165876777251146</v>
      </c>
      <c r="AC14" s="661"/>
    </row>
    <row r="15" spans="1:29" ht="16.5" customHeight="1">
      <c r="A15" s="642" t="s">
        <v>261</v>
      </c>
      <c r="B15" s="93" t="s">
        <v>46</v>
      </c>
      <c r="C15" s="636" t="s">
        <v>47</v>
      </c>
      <c r="D15" s="636"/>
      <c r="E15" s="26">
        <v>24.45</v>
      </c>
      <c r="F15" s="93">
        <v>1300</v>
      </c>
      <c r="G15" s="93">
        <f t="shared" si="21"/>
        <v>31785</v>
      </c>
      <c r="H15" s="21">
        <v>2</v>
      </c>
      <c r="I15" s="16">
        <v>20</v>
      </c>
      <c r="J15" s="23">
        <v>2400</v>
      </c>
      <c r="K15" s="27">
        <f t="shared" si="25"/>
        <v>120</v>
      </c>
      <c r="L15" s="16">
        <v>20</v>
      </c>
      <c r="M15" s="23">
        <f t="shared" si="13"/>
        <v>2294.1176470588207</v>
      </c>
      <c r="N15" s="27">
        <f t="shared" si="22"/>
        <v>114.70588235294103</v>
      </c>
      <c r="O15" s="105">
        <f t="shared" ref="O15:O19" si="26">L15-I15</f>
        <v>0</v>
      </c>
      <c r="P15" s="106">
        <f t="shared" ref="P15:P19" si="27">N15-K15</f>
        <v>-5.2941176470589681</v>
      </c>
      <c r="Q15" s="107">
        <f t="shared" ref="Q15:Q25" si="28">N15/K15</f>
        <v>0.9558823529411753</v>
      </c>
      <c r="R15" s="661"/>
      <c r="S15" s="24">
        <v>0.46250000000000002</v>
      </c>
      <c r="T15" s="24">
        <v>0.48611111111111116</v>
      </c>
      <c r="U15" s="93">
        <f t="shared" ref="U15:U19" si="29">(S15-T14)*24*60</f>
        <v>4.9999999999999822</v>
      </c>
      <c r="V15" s="21">
        <f t="shared" ref="V15:V19" si="30">(T15-S15)*24*60</f>
        <v>34.000000000000043</v>
      </c>
      <c r="W15" s="108"/>
      <c r="X15" s="108"/>
      <c r="Y15" s="656"/>
      <c r="Z15" s="656"/>
      <c r="AA15" s="105">
        <f t="shared" si="2"/>
        <v>-105.88235294117931</v>
      </c>
      <c r="AB15" s="107">
        <f t="shared" si="19"/>
        <v>0.9558823529411753</v>
      </c>
      <c r="AC15" s="661"/>
    </row>
    <row r="16" spans="1:29" ht="16.5" customHeight="1">
      <c r="A16" s="642" t="s">
        <v>261</v>
      </c>
      <c r="B16" s="93" t="s">
        <v>46</v>
      </c>
      <c r="C16" s="636" t="s">
        <v>48</v>
      </c>
      <c r="D16" s="636"/>
      <c r="E16" s="26">
        <v>22.35</v>
      </c>
      <c r="F16" s="93">
        <v>2035</v>
      </c>
      <c r="G16" s="93">
        <f t="shared" si="21"/>
        <v>45482.25</v>
      </c>
      <c r="H16" s="21" t="s">
        <v>35</v>
      </c>
      <c r="I16" s="16">
        <v>16</v>
      </c>
      <c r="J16" s="23">
        <v>2400</v>
      </c>
      <c r="K16" s="27">
        <f t="shared" si="25"/>
        <v>150</v>
      </c>
      <c r="L16" s="16">
        <v>16</v>
      </c>
      <c r="M16" s="23">
        <f t="shared" si="13"/>
        <v>2303.7735849056617</v>
      </c>
      <c r="N16" s="27">
        <f t="shared" si="22"/>
        <v>143.98584905660385</v>
      </c>
      <c r="O16" s="105">
        <f t="shared" si="26"/>
        <v>0</v>
      </c>
      <c r="P16" s="106">
        <f t="shared" si="27"/>
        <v>-6.014150943396146</v>
      </c>
      <c r="Q16" s="107">
        <f t="shared" si="28"/>
        <v>0.95990566037735903</v>
      </c>
      <c r="R16" s="661"/>
      <c r="S16" s="24">
        <v>0.49097222222222225</v>
      </c>
      <c r="T16" s="24">
        <v>0.52777777777777779</v>
      </c>
      <c r="U16" s="93">
        <f t="shared" si="29"/>
        <v>6.9999999999999751</v>
      </c>
      <c r="V16" s="21">
        <f t="shared" si="30"/>
        <v>52.999999999999972</v>
      </c>
      <c r="W16" s="108">
        <f>T16</f>
        <v>0.52777777777777779</v>
      </c>
      <c r="X16" s="108">
        <f>S17</f>
        <v>0.60972222222222217</v>
      </c>
      <c r="Y16" s="656"/>
      <c r="Z16" s="656"/>
      <c r="AA16" s="105">
        <f t="shared" si="2"/>
        <v>-96.226415094338336</v>
      </c>
      <c r="AB16" s="107">
        <f t="shared" si="19"/>
        <v>0.95990566037735903</v>
      </c>
      <c r="AC16" s="661"/>
    </row>
    <row r="17" spans="1:29" ht="16.5" customHeight="1">
      <c r="A17" s="642" t="s">
        <v>262</v>
      </c>
      <c r="B17" s="93" t="s">
        <v>46</v>
      </c>
      <c r="C17" s="658" t="s">
        <v>47</v>
      </c>
      <c r="D17" s="659"/>
      <c r="E17" s="26">
        <v>24.45</v>
      </c>
      <c r="F17" s="93">
        <v>1164</v>
      </c>
      <c r="G17" s="93">
        <f t="shared" si="21"/>
        <v>28459.8</v>
      </c>
      <c r="H17" s="21" t="s">
        <v>35</v>
      </c>
      <c r="I17" s="16">
        <v>20</v>
      </c>
      <c r="J17" s="23">
        <v>2400</v>
      </c>
      <c r="K17" s="27">
        <f t="shared" si="25"/>
        <v>120</v>
      </c>
      <c r="L17" s="16">
        <v>20</v>
      </c>
      <c r="M17" s="23">
        <f t="shared" si="13"/>
        <v>2327.9999999999959</v>
      </c>
      <c r="N17" s="27">
        <f t="shared" si="22"/>
        <v>116.39999999999979</v>
      </c>
      <c r="O17" s="105">
        <f t="shared" si="26"/>
        <v>0</v>
      </c>
      <c r="P17" s="106">
        <f t="shared" si="27"/>
        <v>-3.6000000000002075</v>
      </c>
      <c r="Q17" s="107">
        <f t="shared" si="28"/>
        <v>0.96999999999999831</v>
      </c>
      <c r="R17" s="661"/>
      <c r="S17" s="24">
        <v>0.60972222222222217</v>
      </c>
      <c r="T17" s="24">
        <v>0.63055555555555554</v>
      </c>
      <c r="U17" s="93">
        <f t="shared" si="29"/>
        <v>117.9999999999999</v>
      </c>
      <c r="V17" s="21">
        <f t="shared" si="30"/>
        <v>30.000000000000053</v>
      </c>
      <c r="W17" s="108"/>
      <c r="X17" s="108"/>
      <c r="Y17" s="662"/>
      <c r="Z17" s="663"/>
      <c r="AA17" s="105">
        <f t="shared" si="2"/>
        <v>-72.000000000004093</v>
      </c>
      <c r="AB17" s="107">
        <f t="shared" si="19"/>
        <v>0.96999999999999831</v>
      </c>
      <c r="AC17" s="661"/>
    </row>
    <row r="18" spans="1:29" ht="16.5" customHeight="1">
      <c r="A18" s="642" t="s">
        <v>261</v>
      </c>
      <c r="B18" s="93" t="s">
        <v>36</v>
      </c>
      <c r="C18" s="100" t="s">
        <v>49</v>
      </c>
      <c r="D18" s="101"/>
      <c r="E18" s="26">
        <v>50.98</v>
      </c>
      <c r="F18" s="93">
        <v>2460</v>
      </c>
      <c r="G18" s="93">
        <f t="shared" si="21"/>
        <v>125410.79999999999</v>
      </c>
      <c r="H18" s="21" t="s">
        <v>35</v>
      </c>
      <c r="I18" s="16">
        <v>16</v>
      </c>
      <c r="J18" s="23">
        <v>2000</v>
      </c>
      <c r="K18" s="27">
        <f t="shared" si="25"/>
        <v>125</v>
      </c>
      <c r="L18" s="16">
        <v>16</v>
      </c>
      <c r="M18" s="23">
        <f t="shared" si="13"/>
        <v>1916.8831168831157</v>
      </c>
      <c r="N18" s="27">
        <f t="shared" si="22"/>
        <v>119.80519480519473</v>
      </c>
      <c r="O18" s="105">
        <f t="shared" si="26"/>
        <v>0</v>
      </c>
      <c r="P18" s="106">
        <f t="shared" si="27"/>
        <v>-5.1948051948052694</v>
      </c>
      <c r="Q18" s="107">
        <f t="shared" si="28"/>
        <v>0.95844155844155787</v>
      </c>
      <c r="R18" s="661"/>
      <c r="S18" s="24">
        <v>0.70833333333333337</v>
      </c>
      <c r="T18" s="24">
        <v>0.76180555555555562</v>
      </c>
      <c r="U18" s="93"/>
      <c r="V18" s="21">
        <f t="shared" si="30"/>
        <v>77.000000000000043</v>
      </c>
      <c r="W18" s="108"/>
      <c r="X18" s="108"/>
      <c r="Y18" s="662"/>
      <c r="Z18" s="663"/>
      <c r="AA18" s="105">
        <f t="shared" si="2"/>
        <v>-83.11688311688431</v>
      </c>
      <c r="AB18" s="107">
        <f t="shared" si="19"/>
        <v>0.95844155844155787</v>
      </c>
      <c r="AC18" s="661"/>
    </row>
    <row r="19" spans="1:29" ht="16.5" customHeight="1">
      <c r="A19" s="642" t="s">
        <v>261</v>
      </c>
      <c r="B19" s="93" t="s">
        <v>36</v>
      </c>
      <c r="C19" s="100" t="s">
        <v>50</v>
      </c>
      <c r="D19" s="101"/>
      <c r="E19" s="26">
        <v>50.92</v>
      </c>
      <c r="F19" s="93">
        <v>2646</v>
      </c>
      <c r="G19" s="93">
        <f t="shared" si="21"/>
        <v>134734.32</v>
      </c>
      <c r="H19" s="21" t="s">
        <v>35</v>
      </c>
      <c r="I19" s="16">
        <v>15</v>
      </c>
      <c r="J19" s="23">
        <v>2000</v>
      </c>
      <c r="K19" s="27">
        <f t="shared" si="25"/>
        <v>133.33333333333334</v>
      </c>
      <c r="L19" s="16">
        <v>15</v>
      </c>
      <c r="M19" s="23">
        <f t="shared" si="13"/>
        <v>1912.7710843373486</v>
      </c>
      <c r="N19" s="27">
        <f t="shared" si="22"/>
        <v>127.51807228915658</v>
      </c>
      <c r="O19" s="105">
        <f t="shared" si="26"/>
        <v>0</v>
      </c>
      <c r="P19" s="106">
        <f t="shared" si="27"/>
        <v>-5.8152610441767649</v>
      </c>
      <c r="Q19" s="107">
        <f t="shared" si="28"/>
        <v>0.95638554216867422</v>
      </c>
      <c r="R19" s="661"/>
      <c r="S19" s="24">
        <v>0.76666666666666672</v>
      </c>
      <c r="T19" s="24">
        <v>0.82430555555555562</v>
      </c>
      <c r="U19" s="93">
        <f t="shared" si="29"/>
        <v>6.9999999999999751</v>
      </c>
      <c r="V19" s="21">
        <f t="shared" si="30"/>
        <v>83.000000000000028</v>
      </c>
      <c r="W19" s="108"/>
      <c r="X19" s="108"/>
      <c r="Y19" s="662"/>
      <c r="Z19" s="663"/>
      <c r="AA19" s="105">
        <f t="shared" si="2"/>
        <v>-87.228915662651389</v>
      </c>
      <c r="AB19" s="107">
        <f t="shared" si="19"/>
        <v>0.95638554216867433</v>
      </c>
      <c r="AC19" s="661"/>
    </row>
    <row r="20" spans="1:29" ht="16.5" customHeight="1">
      <c r="A20" s="642" t="s">
        <v>261</v>
      </c>
      <c r="B20" s="26" t="s">
        <v>263</v>
      </c>
      <c r="C20" s="629"/>
      <c r="D20" s="629"/>
      <c r="E20" s="96"/>
      <c r="F20" s="27"/>
      <c r="G20" s="27"/>
      <c r="H20" s="93"/>
      <c r="I20" s="16">
        <f>AVERAGE(I13:I19)</f>
        <v>18.857142857142858</v>
      </c>
      <c r="J20" s="23">
        <f>AVERAGE(J13:J19)</f>
        <v>2028.5714285714287</v>
      </c>
      <c r="K20" s="27">
        <f>J20/I20</f>
        <v>107.57575757575758</v>
      </c>
      <c r="L20" s="16">
        <f>AVERAGE(L13:L19)</f>
        <v>18.857142857142858</v>
      </c>
      <c r="M20" s="23">
        <f>AVERAGE(M13:M19)</f>
        <v>1945.3214931876555</v>
      </c>
      <c r="N20" s="27">
        <f t="shared" si="22"/>
        <v>103.16098827510294</v>
      </c>
      <c r="O20" s="105">
        <f>L20-I20</f>
        <v>0</v>
      </c>
      <c r="P20" s="106">
        <f>N20-K20</f>
        <v>-4.4147693006546405</v>
      </c>
      <c r="Q20" s="107">
        <f t="shared" si="28"/>
        <v>0.95896129945870334</v>
      </c>
      <c r="R20" s="661"/>
      <c r="S20" s="24"/>
      <c r="T20" s="24"/>
      <c r="U20" s="93"/>
      <c r="V20" s="21"/>
      <c r="W20" s="27"/>
      <c r="X20" s="27"/>
      <c r="Y20" s="656"/>
      <c r="Z20" s="656"/>
      <c r="AA20" s="105">
        <f t="shared" si="2"/>
        <v>-83.249935383773163</v>
      </c>
      <c r="AB20" s="107">
        <f t="shared" si="19"/>
        <v>0.95896129945870334</v>
      </c>
      <c r="AC20" s="661"/>
    </row>
    <row r="21" spans="1:29" ht="15.75" customHeight="1">
      <c r="A21" s="639" t="s">
        <v>264</v>
      </c>
      <c r="B21" s="26" t="s">
        <v>43</v>
      </c>
      <c r="C21" s="636" t="s">
        <v>51</v>
      </c>
      <c r="D21" s="636"/>
      <c r="E21" s="26">
        <v>43.14</v>
      </c>
      <c r="F21" s="93">
        <v>1349</v>
      </c>
      <c r="G21" s="92">
        <f t="shared" ref="G21:G25" si="31">E21*F21</f>
        <v>58195.86</v>
      </c>
      <c r="H21" s="21" t="s">
        <v>35</v>
      </c>
      <c r="I21" s="16">
        <v>17</v>
      </c>
      <c r="J21" s="23">
        <v>2000</v>
      </c>
      <c r="K21" s="9">
        <f t="shared" ref="K21:K26" si="32">J21/I21</f>
        <v>117.64705882352941</v>
      </c>
      <c r="L21" s="16">
        <v>17</v>
      </c>
      <c r="M21" s="10">
        <f t="shared" ref="M21:M25" si="33">F21/V21*60</f>
        <v>1927.1428571428564</v>
      </c>
      <c r="N21" s="9">
        <f t="shared" si="22"/>
        <v>113.36134453781509</v>
      </c>
      <c r="O21" s="11">
        <f t="shared" ref="O21:O25" si="34">L21-I21</f>
        <v>0</v>
      </c>
      <c r="P21" s="12">
        <f t="shared" ref="P21:P25" si="35">N21-K21</f>
        <v>-4.2857142857143202</v>
      </c>
      <c r="Q21" s="97">
        <f t="shared" si="28"/>
        <v>0.9635714285714283</v>
      </c>
      <c r="R21" s="571">
        <f>Q26</f>
        <v>0.95944454090285036</v>
      </c>
      <c r="S21" s="24">
        <v>0.20833333333333334</v>
      </c>
      <c r="T21" s="24">
        <v>0.23750000000000002</v>
      </c>
      <c r="U21" s="92"/>
      <c r="V21" s="94">
        <f>(T21-S21)*24*60</f>
        <v>42.000000000000014</v>
      </c>
      <c r="W21" s="15"/>
      <c r="X21" s="15"/>
      <c r="Y21" s="617"/>
      <c r="Z21" s="617"/>
      <c r="AA21" s="11">
        <f t="shared" si="2"/>
        <v>-72.857142857143572</v>
      </c>
      <c r="AB21" s="97">
        <f t="shared" si="19"/>
        <v>0.96357142857142819</v>
      </c>
      <c r="AC21" s="571">
        <f>AB26</f>
        <v>0.95944454090285036</v>
      </c>
    </row>
    <row r="22" spans="1:29" ht="15.75" customHeight="1">
      <c r="A22" s="640" t="s">
        <v>264</v>
      </c>
      <c r="B22" s="26" t="s">
        <v>36</v>
      </c>
      <c r="C22" s="636" t="s">
        <v>52</v>
      </c>
      <c r="D22" s="636"/>
      <c r="E22" s="26">
        <v>57.73</v>
      </c>
      <c r="F22" s="93">
        <v>2805</v>
      </c>
      <c r="G22" s="92">
        <f t="shared" si="31"/>
        <v>161932.65</v>
      </c>
      <c r="H22" s="21" t="s">
        <v>35</v>
      </c>
      <c r="I22" s="95">
        <v>15</v>
      </c>
      <c r="J22" s="23">
        <v>2000</v>
      </c>
      <c r="K22" s="9">
        <f t="shared" si="32"/>
        <v>133.33333333333334</v>
      </c>
      <c r="L22" s="95">
        <v>15</v>
      </c>
      <c r="M22" s="10">
        <f t="shared" si="33"/>
        <v>1912.5</v>
      </c>
      <c r="N22" s="9">
        <f t="shared" si="22"/>
        <v>127.5</v>
      </c>
      <c r="O22" s="11">
        <f t="shared" si="34"/>
        <v>0</v>
      </c>
      <c r="P22" s="12">
        <f t="shared" si="35"/>
        <v>-5.8333333333333428</v>
      </c>
      <c r="Q22" s="97">
        <f t="shared" si="28"/>
        <v>0.95624999999999993</v>
      </c>
      <c r="R22" s="571"/>
      <c r="S22" s="24">
        <v>0.2416666666666667</v>
      </c>
      <c r="T22" s="24">
        <v>0.30277777777777781</v>
      </c>
      <c r="U22" s="92">
        <f>IF(S22=TIME(17,0,0),"",(S22-T21)*24*60)</f>
        <v>6.0000000000000187</v>
      </c>
      <c r="V22" s="94">
        <f t="shared" ref="V22:V25" si="36">(T22-S22)*24*60</f>
        <v>88</v>
      </c>
      <c r="W22" s="13"/>
      <c r="X22" s="92"/>
      <c r="Y22" s="617"/>
      <c r="Z22" s="617"/>
      <c r="AA22" s="11">
        <f t="shared" si="2"/>
        <v>-87.5</v>
      </c>
      <c r="AB22" s="97">
        <f t="shared" si="19"/>
        <v>0.95625000000000004</v>
      </c>
      <c r="AC22" s="571"/>
    </row>
    <row r="23" spans="1:29" ht="15.75" customHeight="1">
      <c r="A23" s="640" t="s">
        <v>27</v>
      </c>
      <c r="B23" s="26" t="s">
        <v>36</v>
      </c>
      <c r="C23" s="636" t="s">
        <v>53</v>
      </c>
      <c r="D23" s="636"/>
      <c r="E23" s="26">
        <v>53.68</v>
      </c>
      <c r="F23" s="93">
        <v>1868</v>
      </c>
      <c r="G23" s="92">
        <f t="shared" si="31"/>
        <v>100274.24000000001</v>
      </c>
      <c r="H23" s="21" t="s">
        <v>35</v>
      </c>
      <c r="I23" s="95">
        <v>16</v>
      </c>
      <c r="J23" s="23">
        <v>2000</v>
      </c>
      <c r="K23" s="9">
        <f t="shared" si="32"/>
        <v>125</v>
      </c>
      <c r="L23" s="95">
        <v>16</v>
      </c>
      <c r="M23" s="10">
        <f t="shared" si="33"/>
        <v>1932.4137931034472</v>
      </c>
      <c r="N23" s="9">
        <f t="shared" si="22"/>
        <v>120.77586206896545</v>
      </c>
      <c r="O23" s="11">
        <f t="shared" si="34"/>
        <v>0</v>
      </c>
      <c r="P23" s="12">
        <f t="shared" si="35"/>
        <v>-4.2241379310345479</v>
      </c>
      <c r="Q23" s="97">
        <f t="shared" si="28"/>
        <v>0.96620689655172365</v>
      </c>
      <c r="R23" s="571"/>
      <c r="S23" s="24">
        <v>0.30625000000000002</v>
      </c>
      <c r="T23" s="24">
        <v>0.34652777777777782</v>
      </c>
      <c r="U23" s="92">
        <f t="shared" ref="U23:U25" si="37">IF(S23=TIME(17,0,0),"",(S23-T22)*24*60)</f>
        <v>4.9999999999999822</v>
      </c>
      <c r="V23" s="94">
        <f t="shared" si="36"/>
        <v>58.000000000000036</v>
      </c>
      <c r="W23" s="13"/>
      <c r="X23" s="92"/>
      <c r="Y23" s="617"/>
      <c r="Z23" s="617"/>
      <c r="AA23" s="11">
        <f t="shared" si="2"/>
        <v>-67.586206896552767</v>
      </c>
      <c r="AB23" s="97">
        <f t="shared" si="19"/>
        <v>0.96620689655172365</v>
      </c>
      <c r="AC23" s="571"/>
    </row>
    <row r="24" spans="1:29" ht="15.75" customHeight="1">
      <c r="A24" s="640" t="s">
        <v>264</v>
      </c>
      <c r="B24" s="26" t="s">
        <v>36</v>
      </c>
      <c r="C24" s="636" t="s">
        <v>54</v>
      </c>
      <c r="D24" s="636"/>
      <c r="E24" s="26">
        <v>53.27</v>
      </c>
      <c r="F24" s="93">
        <v>1937</v>
      </c>
      <c r="G24" s="92">
        <f t="shared" si="31"/>
        <v>103183.99</v>
      </c>
      <c r="H24" s="21" t="s">
        <v>35</v>
      </c>
      <c r="I24" s="95">
        <v>16</v>
      </c>
      <c r="J24" s="23">
        <v>2000</v>
      </c>
      <c r="K24" s="9">
        <f t="shared" si="32"/>
        <v>125</v>
      </c>
      <c r="L24" s="95">
        <v>16</v>
      </c>
      <c r="M24" s="10">
        <f t="shared" si="33"/>
        <v>1905.2459016393436</v>
      </c>
      <c r="N24" s="9">
        <f t="shared" si="22"/>
        <v>119.07786885245898</v>
      </c>
      <c r="O24" s="11">
        <f t="shared" si="34"/>
        <v>0</v>
      </c>
      <c r="P24" s="12">
        <f t="shared" si="35"/>
        <v>-5.9221311475410232</v>
      </c>
      <c r="Q24" s="97">
        <f t="shared" si="28"/>
        <v>0.95262295081967185</v>
      </c>
      <c r="R24" s="571"/>
      <c r="S24" s="24">
        <v>0.35000000000000003</v>
      </c>
      <c r="T24" s="24">
        <v>0.39236111111111116</v>
      </c>
      <c r="U24" s="92">
        <f t="shared" si="37"/>
        <v>4.9999999999999822</v>
      </c>
      <c r="V24" s="94">
        <f t="shared" si="36"/>
        <v>61.000000000000021</v>
      </c>
      <c r="W24" s="13"/>
      <c r="X24" s="92"/>
      <c r="Y24" s="617"/>
      <c r="Z24" s="617"/>
      <c r="AA24" s="11">
        <f t="shared" si="2"/>
        <v>-94.754098360656371</v>
      </c>
      <c r="AB24" s="97">
        <f t="shared" si="19"/>
        <v>0.95262295081967185</v>
      </c>
      <c r="AC24" s="571"/>
    </row>
    <row r="25" spans="1:29" ht="15.75" customHeight="1">
      <c r="A25" s="640" t="s">
        <v>264</v>
      </c>
      <c r="B25" s="26" t="s">
        <v>36</v>
      </c>
      <c r="C25" s="636" t="s">
        <v>55</v>
      </c>
      <c r="D25" s="636"/>
      <c r="E25" s="26">
        <v>54.09</v>
      </c>
      <c r="F25" s="93">
        <v>2684</v>
      </c>
      <c r="G25" s="92">
        <f t="shared" si="31"/>
        <v>145177.56</v>
      </c>
      <c r="H25" s="21" t="s">
        <v>35</v>
      </c>
      <c r="I25" s="95">
        <v>19</v>
      </c>
      <c r="J25" s="23">
        <v>2000</v>
      </c>
      <c r="K25" s="9">
        <f t="shared" si="32"/>
        <v>105.26315789473684</v>
      </c>
      <c r="L25" s="95">
        <v>19</v>
      </c>
      <c r="M25" s="10">
        <f t="shared" si="33"/>
        <v>1917.1428571428564</v>
      </c>
      <c r="N25" s="9">
        <f t="shared" si="22"/>
        <v>100.9022556390977</v>
      </c>
      <c r="O25" s="11">
        <f t="shared" si="34"/>
        <v>0</v>
      </c>
      <c r="P25" s="12">
        <f t="shared" si="35"/>
        <v>-4.3609022556391324</v>
      </c>
      <c r="Q25" s="97">
        <f t="shared" si="28"/>
        <v>0.95857142857142819</v>
      </c>
      <c r="R25" s="571"/>
      <c r="S25" s="24">
        <v>0.70833333333333337</v>
      </c>
      <c r="T25" s="24">
        <v>0.76666666666666672</v>
      </c>
      <c r="U25" s="92" t="str">
        <f t="shared" si="37"/>
        <v/>
      </c>
      <c r="V25" s="94">
        <f t="shared" si="36"/>
        <v>84.000000000000028</v>
      </c>
      <c r="W25" s="13"/>
      <c r="X25" s="92"/>
      <c r="Y25" s="617"/>
      <c r="Z25" s="617"/>
      <c r="AA25" s="11">
        <f t="shared" si="2"/>
        <v>-82.857142857143572</v>
      </c>
      <c r="AB25" s="97">
        <f t="shared" si="19"/>
        <v>0.95857142857142819</v>
      </c>
      <c r="AC25" s="571"/>
    </row>
    <row r="26" spans="1:29" ht="15.75" customHeight="1">
      <c r="A26" s="640" t="s">
        <v>264</v>
      </c>
      <c r="B26" s="26" t="s">
        <v>265</v>
      </c>
      <c r="C26" s="629"/>
      <c r="D26" s="629"/>
      <c r="E26" s="96"/>
      <c r="F26" s="93"/>
      <c r="G26" s="92"/>
      <c r="H26" s="93"/>
      <c r="I26" s="16">
        <v>17</v>
      </c>
      <c r="J26" s="23">
        <v>2000</v>
      </c>
      <c r="K26" s="9">
        <f t="shared" si="32"/>
        <v>117.64705882352941</v>
      </c>
      <c r="L26" s="16">
        <v>17</v>
      </c>
      <c r="M26" s="10">
        <f>AVERAGE(M21:M25)</f>
        <v>1918.8890818057007</v>
      </c>
      <c r="N26" s="9">
        <f>M26/L26</f>
        <v>112.87582834151181</v>
      </c>
      <c r="O26" s="11">
        <f>L26-I26</f>
        <v>0</v>
      </c>
      <c r="P26" s="12">
        <f>N26-K26</f>
        <v>-4.7712304820176001</v>
      </c>
      <c r="Q26" s="97">
        <f>N26/K26</f>
        <v>0.95944454090285036</v>
      </c>
      <c r="R26" s="571"/>
      <c r="S26" s="24"/>
      <c r="T26" s="24"/>
      <c r="U26" s="9"/>
      <c r="V26" s="94"/>
      <c r="W26" s="9"/>
      <c r="X26" s="9"/>
      <c r="Y26" s="617"/>
      <c r="Z26" s="617"/>
      <c r="AA26" s="11">
        <f t="shared" si="2"/>
        <v>-81.110918194299302</v>
      </c>
      <c r="AB26" s="97">
        <f t="shared" si="19"/>
        <v>0.95944454090285036</v>
      </c>
      <c r="AC26" s="571"/>
    </row>
    <row r="27" spans="1:29" ht="15.75" customHeight="1">
      <c r="A27" s="635" t="s">
        <v>266</v>
      </c>
      <c r="B27" s="26" t="s">
        <v>46</v>
      </c>
      <c r="C27" s="636" t="s">
        <v>56</v>
      </c>
      <c r="D27" s="636"/>
      <c r="E27" s="26">
        <v>26.2</v>
      </c>
      <c r="F27" s="93">
        <v>3000</v>
      </c>
      <c r="G27" s="92">
        <f t="shared" ref="G27:G37" si="38">E27*F27</f>
        <v>78600</v>
      </c>
      <c r="H27" s="21">
        <v>2</v>
      </c>
      <c r="I27" s="95">
        <v>20</v>
      </c>
      <c r="J27" s="23">
        <v>2400</v>
      </c>
      <c r="K27" s="9">
        <f>J27/I27</f>
        <v>120</v>
      </c>
      <c r="L27" s="95">
        <v>20</v>
      </c>
      <c r="M27" s="10">
        <f t="shared" ref="M27:M37" si="39">F27/V27*60</f>
        <v>2307.6923076923076</v>
      </c>
      <c r="N27" s="9">
        <f t="shared" ref="N27:N37" si="40">M27/L27</f>
        <v>115.38461538461539</v>
      </c>
      <c r="O27" s="11">
        <f t="shared" ref="O27:O37" si="41">L27-I27</f>
        <v>0</v>
      </c>
      <c r="P27" s="12">
        <f t="shared" ref="P27:P37" si="42">N27-K27</f>
        <v>-4.6153846153846132</v>
      </c>
      <c r="Q27" s="97">
        <f t="shared" ref="Q27:Q32" si="43">N27/K27</f>
        <v>0.96153846153846156</v>
      </c>
      <c r="R27" s="571">
        <f>Q38</f>
        <v>0.95684839362089646</v>
      </c>
      <c r="S27" s="24">
        <v>0.125</v>
      </c>
      <c r="T27" s="24">
        <v>0.17916666666666667</v>
      </c>
      <c r="U27" s="92"/>
      <c r="V27" s="94">
        <v>78</v>
      </c>
      <c r="W27" s="13">
        <v>0.17916666666666667</v>
      </c>
      <c r="X27" s="13">
        <v>0.19652777777777775</v>
      </c>
      <c r="Y27" s="617"/>
      <c r="Z27" s="617"/>
      <c r="AA27" s="11">
        <f t="shared" si="2"/>
        <v>-92.307692307692378</v>
      </c>
      <c r="AB27" s="97">
        <f>M27/J27</f>
        <v>0.96153846153846156</v>
      </c>
      <c r="AC27" s="571">
        <f>AB38</f>
        <v>0.95684839362089635</v>
      </c>
    </row>
    <row r="28" spans="1:29" ht="15.75" customHeight="1">
      <c r="A28" s="635" t="s">
        <v>266</v>
      </c>
      <c r="B28" s="26" t="s">
        <v>46</v>
      </c>
      <c r="C28" s="636" t="s">
        <v>57</v>
      </c>
      <c r="D28" s="636"/>
      <c r="E28" s="26">
        <v>20.52</v>
      </c>
      <c r="F28" s="93">
        <v>3572</v>
      </c>
      <c r="G28" s="92">
        <f t="shared" si="38"/>
        <v>73297.440000000002</v>
      </c>
      <c r="H28" s="21" t="s">
        <v>35</v>
      </c>
      <c r="I28" s="95">
        <v>18</v>
      </c>
      <c r="J28" s="23">
        <v>2400</v>
      </c>
      <c r="K28" s="9">
        <f t="shared" ref="K28:K38" si="44">J28/I28</f>
        <v>133.33333333333334</v>
      </c>
      <c r="L28" s="95">
        <v>18</v>
      </c>
      <c r="M28" s="10">
        <f t="shared" si="39"/>
        <v>2304.5161290322585</v>
      </c>
      <c r="N28" s="9">
        <f t="shared" si="40"/>
        <v>128.02867383512546</v>
      </c>
      <c r="O28" s="11">
        <f t="shared" si="41"/>
        <v>0</v>
      </c>
      <c r="P28" s="12">
        <f t="shared" si="42"/>
        <v>-5.304659498207883</v>
      </c>
      <c r="Q28" s="97">
        <f t="shared" si="43"/>
        <v>0.96021505376344085</v>
      </c>
      <c r="R28" s="571"/>
      <c r="S28" s="24">
        <v>0.19652777777777775</v>
      </c>
      <c r="T28" s="24">
        <v>0.26111111111111107</v>
      </c>
      <c r="U28" s="92">
        <v>24.99999999999995</v>
      </c>
      <c r="V28" s="94">
        <v>92.999999999999986</v>
      </c>
      <c r="W28" s="13"/>
      <c r="X28" s="13"/>
      <c r="Y28" s="617"/>
      <c r="Z28" s="617"/>
      <c r="AA28" s="11">
        <f t="shared" si="2"/>
        <v>-95.483870967741495</v>
      </c>
      <c r="AB28" s="97">
        <f t="shared" ref="AB28:AB37" si="45">M28/J28</f>
        <v>0.96021505376344107</v>
      </c>
      <c r="AC28" s="571"/>
    </row>
    <row r="29" spans="1:29" ht="15.75" customHeight="1">
      <c r="A29" s="635" t="s">
        <v>178</v>
      </c>
      <c r="B29" s="26" t="s">
        <v>46</v>
      </c>
      <c r="C29" s="636" t="s">
        <v>58</v>
      </c>
      <c r="D29" s="636"/>
      <c r="E29" s="26">
        <v>25.98</v>
      </c>
      <c r="F29" s="93">
        <v>2264</v>
      </c>
      <c r="G29" s="92">
        <f t="shared" si="38"/>
        <v>58818.720000000001</v>
      </c>
      <c r="H29" s="21" t="s">
        <v>35</v>
      </c>
      <c r="I29" s="95">
        <v>17</v>
      </c>
      <c r="J29" s="23">
        <v>2400</v>
      </c>
      <c r="K29" s="9">
        <f t="shared" si="44"/>
        <v>141.1764705882353</v>
      </c>
      <c r="L29" s="95">
        <v>17</v>
      </c>
      <c r="M29" s="10">
        <f t="shared" si="39"/>
        <v>2302.372881355931</v>
      </c>
      <c r="N29" s="9">
        <f t="shared" si="40"/>
        <v>135.43369890329006</v>
      </c>
      <c r="O29" s="11">
        <f t="shared" si="41"/>
        <v>0</v>
      </c>
      <c r="P29" s="12">
        <f t="shared" si="42"/>
        <v>-5.7427716849452395</v>
      </c>
      <c r="Q29" s="97">
        <f t="shared" si="43"/>
        <v>0.9593220338983045</v>
      </c>
      <c r="R29" s="571"/>
      <c r="S29" s="24">
        <v>0.26527777777777772</v>
      </c>
      <c r="T29" s="24">
        <v>0.30624999999999997</v>
      </c>
      <c r="U29" s="92">
        <v>5.9999999999999787</v>
      </c>
      <c r="V29" s="94">
        <v>59.000000000000028</v>
      </c>
      <c r="W29" s="13"/>
      <c r="X29" s="13"/>
      <c r="Y29" s="617"/>
      <c r="Z29" s="617"/>
      <c r="AA29" s="11">
        <f t="shared" si="2"/>
        <v>-97.627118644069014</v>
      </c>
      <c r="AB29" s="97">
        <f t="shared" si="45"/>
        <v>0.95932203389830462</v>
      </c>
      <c r="AC29" s="571"/>
    </row>
    <row r="30" spans="1:29" ht="15.75" customHeight="1">
      <c r="A30" s="635" t="s">
        <v>266</v>
      </c>
      <c r="B30" s="26" t="s">
        <v>46</v>
      </c>
      <c r="C30" s="636" t="s">
        <v>59</v>
      </c>
      <c r="D30" s="636"/>
      <c r="E30" s="26">
        <v>26.18</v>
      </c>
      <c r="F30" s="93">
        <v>2700</v>
      </c>
      <c r="G30" s="92">
        <f t="shared" si="38"/>
        <v>70686</v>
      </c>
      <c r="H30" s="21">
        <v>2</v>
      </c>
      <c r="I30" s="95">
        <v>19</v>
      </c>
      <c r="J30" s="23">
        <v>2400</v>
      </c>
      <c r="K30" s="9">
        <f t="shared" si="44"/>
        <v>126.31578947368421</v>
      </c>
      <c r="L30" s="95">
        <v>19</v>
      </c>
      <c r="M30" s="10">
        <f t="shared" si="39"/>
        <v>2281.6901408450708</v>
      </c>
      <c r="N30" s="9">
        <f t="shared" si="40"/>
        <v>120.08895478131952</v>
      </c>
      <c r="O30" s="11">
        <f t="shared" si="41"/>
        <v>0</v>
      </c>
      <c r="P30" s="12">
        <f t="shared" si="42"/>
        <v>-6.2268346923646902</v>
      </c>
      <c r="Q30" s="97">
        <f t="shared" si="43"/>
        <v>0.95070422535211285</v>
      </c>
      <c r="R30" s="571"/>
      <c r="S30" s="24">
        <v>0.30972222222222218</v>
      </c>
      <c r="T30" s="24">
        <v>0.35902777777777772</v>
      </c>
      <c r="U30" s="92">
        <v>4.9999999999999822</v>
      </c>
      <c r="V30" s="94">
        <v>70.999999999999986</v>
      </c>
      <c r="W30" s="13"/>
      <c r="X30" s="13"/>
      <c r="Y30" s="617"/>
      <c r="Z30" s="617"/>
      <c r="AA30" s="11">
        <f t="shared" si="2"/>
        <v>-118.3098591549292</v>
      </c>
      <c r="AB30" s="97">
        <f t="shared" si="45"/>
        <v>0.95070422535211285</v>
      </c>
      <c r="AC30" s="571"/>
    </row>
    <row r="31" spans="1:29" ht="15.75" customHeight="1">
      <c r="A31" s="635" t="s">
        <v>266</v>
      </c>
      <c r="B31" s="26" t="s">
        <v>46</v>
      </c>
      <c r="C31" s="636" t="s">
        <v>60</v>
      </c>
      <c r="D31" s="636"/>
      <c r="E31" s="26">
        <v>26.2</v>
      </c>
      <c r="F31" s="93">
        <v>3100</v>
      </c>
      <c r="G31" s="92">
        <f t="shared" si="38"/>
        <v>81220</v>
      </c>
      <c r="H31" s="21">
        <v>2</v>
      </c>
      <c r="I31" s="95">
        <v>19</v>
      </c>
      <c r="J31" s="23">
        <v>2400</v>
      </c>
      <c r="K31" s="9">
        <f t="shared" si="44"/>
        <v>126.31578947368421</v>
      </c>
      <c r="L31" s="95">
        <v>19</v>
      </c>
      <c r="M31" s="10">
        <f t="shared" si="39"/>
        <v>2296.2962962962956</v>
      </c>
      <c r="N31" s="9">
        <f t="shared" si="40"/>
        <v>120.85769980506819</v>
      </c>
      <c r="O31" s="11">
        <f t="shared" si="41"/>
        <v>0</v>
      </c>
      <c r="P31" s="12">
        <f t="shared" si="42"/>
        <v>-5.4580896686160116</v>
      </c>
      <c r="Q31" s="97">
        <f t="shared" si="43"/>
        <v>0.95679012345678993</v>
      </c>
      <c r="R31" s="571"/>
      <c r="S31" s="24">
        <v>0.36249999999999993</v>
      </c>
      <c r="T31" s="24">
        <v>0.41874999999999996</v>
      </c>
      <c r="U31" s="92">
        <v>4.9999999999999822</v>
      </c>
      <c r="V31" s="94">
        <v>81.000000000000028</v>
      </c>
      <c r="W31" s="13"/>
      <c r="X31" s="13"/>
      <c r="Y31" s="617"/>
      <c r="Z31" s="617"/>
      <c r="AA31" s="11">
        <f t="shared" si="2"/>
        <v>-103.70370370370438</v>
      </c>
      <c r="AB31" s="97">
        <f t="shared" si="45"/>
        <v>0.95679012345678982</v>
      </c>
      <c r="AC31" s="571"/>
    </row>
    <row r="32" spans="1:29" ht="15.75" customHeight="1">
      <c r="A32" s="635" t="s">
        <v>266</v>
      </c>
      <c r="B32" s="26" t="s">
        <v>46</v>
      </c>
      <c r="C32" s="636" t="s">
        <v>61</v>
      </c>
      <c r="D32" s="636"/>
      <c r="E32" s="26">
        <v>31.29</v>
      </c>
      <c r="F32" s="93">
        <v>4300</v>
      </c>
      <c r="G32" s="92">
        <f t="shared" si="38"/>
        <v>134547</v>
      </c>
      <c r="H32" s="21">
        <v>2</v>
      </c>
      <c r="I32" s="95">
        <v>18</v>
      </c>
      <c r="J32" s="23">
        <v>2400</v>
      </c>
      <c r="K32" s="9">
        <f t="shared" si="44"/>
        <v>133.33333333333334</v>
      </c>
      <c r="L32" s="95">
        <v>18</v>
      </c>
      <c r="M32" s="10">
        <f t="shared" si="39"/>
        <v>2283.1858407079662</v>
      </c>
      <c r="N32" s="9">
        <f t="shared" si="40"/>
        <v>126.84365781710923</v>
      </c>
      <c r="O32" s="11">
        <f t="shared" si="41"/>
        <v>0</v>
      </c>
      <c r="P32" s="12">
        <f t="shared" si="42"/>
        <v>-6.4896755162241107</v>
      </c>
      <c r="Q32" s="97">
        <f t="shared" si="43"/>
        <v>0.95132743362831917</v>
      </c>
      <c r="R32" s="571"/>
      <c r="S32" s="24">
        <v>0.42361111111111105</v>
      </c>
      <c r="T32" s="24">
        <v>0.50208333333333321</v>
      </c>
      <c r="U32" s="92">
        <v>6.9999999999999751</v>
      </c>
      <c r="V32" s="94">
        <v>112.99999999999991</v>
      </c>
      <c r="W32" s="13"/>
      <c r="X32" s="13"/>
      <c r="Y32" s="617"/>
      <c r="Z32" s="617"/>
      <c r="AA32" s="11">
        <f t="shared" si="2"/>
        <v>-116.81415929203376</v>
      </c>
      <c r="AB32" s="97">
        <f t="shared" si="45"/>
        <v>0.95132743362831929</v>
      </c>
      <c r="AC32" s="571"/>
    </row>
    <row r="33" spans="1:29" ht="15.75" customHeight="1">
      <c r="A33" s="635" t="s">
        <v>266</v>
      </c>
      <c r="B33" s="26" t="s">
        <v>46</v>
      </c>
      <c r="C33" s="636" t="s">
        <v>61</v>
      </c>
      <c r="D33" s="636"/>
      <c r="E33" s="26">
        <v>31.29</v>
      </c>
      <c r="F33" s="93">
        <v>6029</v>
      </c>
      <c r="G33" s="92">
        <f t="shared" si="38"/>
        <v>188647.41</v>
      </c>
      <c r="H33" s="21" t="s">
        <v>35</v>
      </c>
      <c r="I33" s="95">
        <v>18</v>
      </c>
      <c r="J33" s="23">
        <v>2400</v>
      </c>
      <c r="K33" s="9">
        <f t="shared" si="44"/>
        <v>133.33333333333334</v>
      </c>
      <c r="L33" s="95">
        <v>18</v>
      </c>
      <c r="M33" s="10">
        <f t="shared" si="39"/>
        <v>2289.4936708860751</v>
      </c>
      <c r="N33" s="9">
        <f t="shared" si="40"/>
        <v>127.19409282700417</v>
      </c>
      <c r="O33" s="11">
        <f t="shared" si="41"/>
        <v>0</v>
      </c>
      <c r="P33" s="12">
        <f t="shared" si="42"/>
        <v>-6.1392405063291733</v>
      </c>
      <c r="Q33" s="97">
        <f>N33/K33</f>
        <v>0.95395569620253118</v>
      </c>
      <c r="R33" s="571"/>
      <c r="S33" s="24">
        <v>0.50624999999999987</v>
      </c>
      <c r="T33" s="24">
        <v>0.61597222222222214</v>
      </c>
      <c r="U33" s="92">
        <v>5.9999999999999787</v>
      </c>
      <c r="V33" s="94">
        <v>158.00000000000009</v>
      </c>
      <c r="W33" s="13"/>
      <c r="X33" s="13"/>
      <c r="Y33" s="617"/>
      <c r="Z33" s="617"/>
      <c r="AA33" s="11">
        <f t="shared" si="2"/>
        <v>-110.50632911392495</v>
      </c>
      <c r="AB33" s="97">
        <f t="shared" si="45"/>
        <v>0.95395569620253129</v>
      </c>
      <c r="AC33" s="571"/>
    </row>
    <row r="34" spans="1:29" ht="15.75" customHeight="1">
      <c r="A34" s="635" t="s">
        <v>266</v>
      </c>
      <c r="B34" s="26" t="s">
        <v>46</v>
      </c>
      <c r="C34" s="636" t="s">
        <v>59</v>
      </c>
      <c r="D34" s="636"/>
      <c r="E34" s="26">
        <v>26.18</v>
      </c>
      <c r="F34" s="93">
        <v>1912</v>
      </c>
      <c r="G34" s="92">
        <f t="shared" si="38"/>
        <v>50056.159999999996</v>
      </c>
      <c r="H34" s="21" t="s">
        <v>35</v>
      </c>
      <c r="I34" s="95">
        <v>19</v>
      </c>
      <c r="J34" s="23">
        <v>2400</v>
      </c>
      <c r="K34" s="9">
        <f t="shared" si="44"/>
        <v>126.31578947368421</v>
      </c>
      <c r="L34" s="95">
        <v>19</v>
      </c>
      <c r="M34" s="10">
        <f t="shared" si="39"/>
        <v>2294.4000000000005</v>
      </c>
      <c r="N34" s="9">
        <f t="shared" si="40"/>
        <v>120.75789473684213</v>
      </c>
      <c r="O34" s="11">
        <f t="shared" si="41"/>
        <v>0</v>
      </c>
      <c r="P34" s="12">
        <f t="shared" si="42"/>
        <v>-5.5578947368420728</v>
      </c>
      <c r="Q34" s="97">
        <f>N34/K34</f>
        <v>0.95600000000000029</v>
      </c>
      <c r="R34" s="571"/>
      <c r="S34" s="24">
        <v>0.62083333333333324</v>
      </c>
      <c r="T34" s="24">
        <v>0.65555555555555545</v>
      </c>
      <c r="U34" s="92">
        <v>6.9999999999999751</v>
      </c>
      <c r="V34" s="94">
        <v>49.999999999999986</v>
      </c>
      <c r="W34" s="13"/>
      <c r="X34" s="13"/>
      <c r="Y34" s="617"/>
      <c r="Z34" s="617"/>
      <c r="AA34" s="11">
        <f t="shared" si="2"/>
        <v>-105.59999999999945</v>
      </c>
      <c r="AB34" s="97">
        <f t="shared" si="45"/>
        <v>0.95600000000000018</v>
      </c>
      <c r="AC34" s="571"/>
    </row>
    <row r="35" spans="1:29" ht="15.75" customHeight="1">
      <c r="A35" s="635" t="s">
        <v>266</v>
      </c>
      <c r="B35" s="26" t="s">
        <v>46</v>
      </c>
      <c r="C35" s="658" t="s">
        <v>56</v>
      </c>
      <c r="D35" s="659"/>
      <c r="E35" s="26">
        <v>26.2</v>
      </c>
      <c r="F35" s="93">
        <v>2323</v>
      </c>
      <c r="G35" s="92">
        <f t="shared" si="38"/>
        <v>60862.6</v>
      </c>
      <c r="H35" s="21" t="s">
        <v>35</v>
      </c>
      <c r="I35" s="95">
        <v>20</v>
      </c>
      <c r="J35" s="23">
        <v>2400</v>
      </c>
      <c r="K35" s="9">
        <f t="shared" si="44"/>
        <v>120</v>
      </c>
      <c r="L35" s="95">
        <v>20</v>
      </c>
      <c r="M35" s="10">
        <f t="shared" si="39"/>
        <v>2323.0000000000023</v>
      </c>
      <c r="N35" s="9">
        <f t="shared" si="40"/>
        <v>116.15000000000012</v>
      </c>
      <c r="O35" s="11">
        <f t="shared" si="41"/>
        <v>0</v>
      </c>
      <c r="P35" s="12">
        <f t="shared" si="42"/>
        <v>-3.8499999999998806</v>
      </c>
      <c r="Q35" s="97">
        <f t="shared" ref="Q35" si="46">N35/K35</f>
        <v>0.96791666666666765</v>
      </c>
      <c r="R35" s="571"/>
      <c r="S35" s="24">
        <v>0.65902777777777766</v>
      </c>
      <c r="T35" s="24">
        <v>0.70069444444444429</v>
      </c>
      <c r="U35" s="92">
        <v>4.9999999999999822</v>
      </c>
      <c r="V35" s="94">
        <v>59.999999999999943</v>
      </c>
      <c r="W35" s="13"/>
      <c r="X35" s="13"/>
      <c r="Y35" s="621"/>
      <c r="Z35" s="622"/>
      <c r="AA35" s="11">
        <f t="shared" si="2"/>
        <v>-76.999999999997726</v>
      </c>
      <c r="AB35" s="97">
        <f t="shared" si="45"/>
        <v>0.96791666666666765</v>
      </c>
      <c r="AC35" s="571"/>
    </row>
    <row r="36" spans="1:29" ht="15.75" customHeight="1">
      <c r="A36" s="635" t="s">
        <v>266</v>
      </c>
      <c r="B36" s="26" t="s">
        <v>46</v>
      </c>
      <c r="C36" s="658" t="s">
        <v>60</v>
      </c>
      <c r="D36" s="659"/>
      <c r="E36" s="26">
        <v>26.2</v>
      </c>
      <c r="F36" s="93">
        <v>2017</v>
      </c>
      <c r="G36" s="92">
        <f t="shared" si="38"/>
        <v>52845.4</v>
      </c>
      <c r="H36" s="21" t="s">
        <v>35</v>
      </c>
      <c r="I36" s="95">
        <v>19</v>
      </c>
      <c r="J36" s="23">
        <v>2400</v>
      </c>
      <c r="K36" s="9">
        <f t="shared" si="44"/>
        <v>126.31578947368421</v>
      </c>
      <c r="L36" s="95">
        <v>19</v>
      </c>
      <c r="M36" s="10">
        <f t="shared" si="39"/>
        <v>2283.3962264150955</v>
      </c>
      <c r="N36" s="9">
        <f t="shared" si="40"/>
        <v>120.17874875868924</v>
      </c>
      <c r="O36" s="11">
        <f t="shared" si="41"/>
        <v>0</v>
      </c>
      <c r="P36" s="12">
        <f t="shared" si="42"/>
        <v>-6.1370407149949671</v>
      </c>
      <c r="Q36" s="97">
        <f>N36/K36</f>
        <v>0.95141509433962312</v>
      </c>
      <c r="R36" s="571"/>
      <c r="S36" s="24">
        <v>0.70555555555555538</v>
      </c>
      <c r="T36" s="24">
        <v>0.74236111111111092</v>
      </c>
      <c r="U36" s="92">
        <v>6.9999999999999751</v>
      </c>
      <c r="V36" s="94">
        <v>52.999999999999972</v>
      </c>
      <c r="W36" s="13"/>
      <c r="X36" s="13"/>
      <c r="Y36" s="621"/>
      <c r="Z36" s="622"/>
      <c r="AA36" s="11">
        <f t="shared" si="2"/>
        <v>-116.6037735849045</v>
      </c>
      <c r="AB36" s="97">
        <f t="shared" si="45"/>
        <v>0.95141509433962312</v>
      </c>
      <c r="AC36" s="571"/>
    </row>
    <row r="37" spans="1:29" ht="15.75" customHeight="1">
      <c r="A37" s="635" t="s">
        <v>178</v>
      </c>
      <c r="B37" s="26" t="s">
        <v>46</v>
      </c>
      <c r="C37" s="658" t="s">
        <v>62</v>
      </c>
      <c r="D37" s="659"/>
      <c r="E37" s="26">
        <v>25</v>
      </c>
      <c r="F37" s="93">
        <v>2333</v>
      </c>
      <c r="G37" s="92">
        <f t="shared" si="38"/>
        <v>58325</v>
      </c>
      <c r="H37" s="21" t="s">
        <v>35</v>
      </c>
      <c r="I37" s="95">
        <v>15</v>
      </c>
      <c r="J37" s="23">
        <v>2400</v>
      </c>
      <c r="K37" s="9">
        <f t="shared" si="44"/>
        <v>160</v>
      </c>
      <c r="L37" s="95">
        <v>15</v>
      </c>
      <c r="M37" s="10">
        <f t="shared" si="39"/>
        <v>2294.7540983606577</v>
      </c>
      <c r="N37" s="9">
        <f t="shared" si="40"/>
        <v>152.98360655737719</v>
      </c>
      <c r="O37" s="11">
        <f t="shared" si="41"/>
        <v>0</v>
      </c>
      <c r="P37" s="12">
        <f t="shared" si="42"/>
        <v>-7.0163934426228138</v>
      </c>
      <c r="Q37" s="97">
        <f t="shared" ref="Q37" si="47">N37/K37</f>
        <v>0.95614754098360744</v>
      </c>
      <c r="R37" s="571"/>
      <c r="S37" s="24">
        <v>0.74791666666666645</v>
      </c>
      <c r="T37" s="24">
        <v>0.79027777777777752</v>
      </c>
      <c r="U37" s="92">
        <v>7.9999999999999716</v>
      </c>
      <c r="V37" s="94">
        <v>60.999999999999943</v>
      </c>
      <c r="W37" s="13"/>
      <c r="X37" s="13"/>
      <c r="Y37" s="621"/>
      <c r="Z37" s="622"/>
      <c r="AA37" s="11">
        <f t="shared" si="2"/>
        <v>-105.24590163934226</v>
      </c>
      <c r="AB37" s="97">
        <f t="shared" si="45"/>
        <v>0.95614754098360744</v>
      </c>
      <c r="AC37" s="571"/>
    </row>
    <row r="38" spans="1:29" ht="15.75" customHeight="1">
      <c r="A38" s="635" t="s">
        <v>266</v>
      </c>
      <c r="B38" s="26" t="s">
        <v>265</v>
      </c>
      <c r="C38" s="629"/>
      <c r="D38" s="629"/>
      <c r="E38" s="96"/>
      <c r="F38" s="93"/>
      <c r="G38" s="92"/>
      <c r="H38" s="93"/>
      <c r="I38" s="16">
        <v>18.363636363636363</v>
      </c>
      <c r="J38" s="23">
        <v>2400</v>
      </c>
      <c r="K38" s="9">
        <f t="shared" si="44"/>
        <v>130.69306930693068</v>
      </c>
      <c r="L38" s="16">
        <v>18.363636363636363</v>
      </c>
      <c r="M38" s="10">
        <f>AVERAGE(M27:M37)</f>
        <v>2296.4361446901512</v>
      </c>
      <c r="N38" s="9">
        <f>M38/L38</f>
        <v>125.05345342372111</v>
      </c>
      <c r="O38" s="11">
        <f>L38-I38</f>
        <v>0</v>
      </c>
      <c r="P38" s="12">
        <f>N38-K38</f>
        <v>-5.6396158832095722</v>
      </c>
      <c r="Q38" s="97">
        <f>N38/K38</f>
        <v>0.95684839362089646</v>
      </c>
      <c r="R38" s="571"/>
      <c r="S38" s="24"/>
      <c r="T38" s="24"/>
      <c r="U38" s="92"/>
      <c r="V38" s="94"/>
      <c r="W38" s="92"/>
      <c r="X38" s="92"/>
      <c r="Y38" s="617"/>
      <c r="Z38" s="617"/>
      <c r="AA38" s="11">
        <f t="shared" si="2"/>
        <v>-103.5638553098488</v>
      </c>
      <c r="AB38" s="97">
        <f>M38/J38</f>
        <v>0.95684839362089635</v>
      </c>
      <c r="AC38" s="571"/>
    </row>
    <row r="39" spans="1:29" ht="15.75" customHeight="1">
      <c r="A39" s="637" t="s">
        <v>267</v>
      </c>
      <c r="B39" s="26" t="s">
        <v>46</v>
      </c>
      <c r="C39" s="616" t="s">
        <v>63</v>
      </c>
      <c r="D39" s="616"/>
      <c r="E39" s="26">
        <v>26.2</v>
      </c>
      <c r="F39" s="93">
        <v>4300</v>
      </c>
      <c r="G39" s="92">
        <f t="shared" ref="G39:G47" si="48">E39*F39</f>
        <v>112660</v>
      </c>
      <c r="H39" s="21">
        <v>2</v>
      </c>
      <c r="I39" s="95">
        <v>18</v>
      </c>
      <c r="J39" s="23">
        <v>2400</v>
      </c>
      <c r="K39" s="9">
        <f>J39/I39</f>
        <v>133.33333333333334</v>
      </c>
      <c r="L39" s="95">
        <v>18</v>
      </c>
      <c r="M39" s="10">
        <f>F39/V39*60</f>
        <v>2303.5714285714289</v>
      </c>
      <c r="N39" s="9">
        <f>M39/L39</f>
        <v>127.9761904761905</v>
      </c>
      <c r="O39" s="11">
        <f t="shared" ref="O39:O47" si="49">L39-I39</f>
        <v>0</v>
      </c>
      <c r="P39" s="12">
        <f t="shared" ref="P39:P55" si="50">N39-K39</f>
        <v>-5.357142857142847</v>
      </c>
      <c r="Q39" s="97">
        <f t="shared" ref="Q39:Q52" si="51">N39/K39</f>
        <v>0.9598214285714286</v>
      </c>
      <c r="R39" s="571">
        <f>Q48</f>
        <v>0.95771650787677642</v>
      </c>
      <c r="S39" s="24">
        <v>0.125</v>
      </c>
      <c r="T39" s="24">
        <v>0.20277777777777778</v>
      </c>
      <c r="U39" s="92"/>
      <c r="V39" s="94">
        <f t="shared" ref="V39:V47" si="52">(T39-S39)*24*60</f>
        <v>112</v>
      </c>
      <c r="W39" s="15">
        <f>T39</f>
        <v>0.20277777777777778</v>
      </c>
      <c r="X39" s="15">
        <f>S40</f>
        <v>0.2215277777777778</v>
      </c>
      <c r="Y39" s="617"/>
      <c r="Z39" s="617"/>
      <c r="AA39" s="11">
        <f t="shared" si="2"/>
        <v>-96.428571428571104</v>
      </c>
      <c r="AB39" s="97">
        <f>M39/J39</f>
        <v>0.95982142857142871</v>
      </c>
      <c r="AC39" s="571">
        <f>AB48</f>
        <v>0.95771650787677653</v>
      </c>
    </row>
    <row r="40" spans="1:29" ht="15.75" customHeight="1">
      <c r="A40" s="637" t="s">
        <v>267</v>
      </c>
      <c r="B40" s="26" t="s">
        <v>46</v>
      </c>
      <c r="C40" s="616" t="s">
        <v>64</v>
      </c>
      <c r="D40" s="616"/>
      <c r="E40" s="26">
        <v>26.39</v>
      </c>
      <c r="F40" s="93">
        <v>4100</v>
      </c>
      <c r="G40" s="92">
        <f t="shared" si="48"/>
        <v>108199</v>
      </c>
      <c r="H40" s="21">
        <v>2</v>
      </c>
      <c r="I40" s="95">
        <v>19</v>
      </c>
      <c r="J40" s="23">
        <v>2400</v>
      </c>
      <c r="K40" s="9">
        <f t="shared" ref="K40:K54" si="53">J40/I40</f>
        <v>126.31578947368421</v>
      </c>
      <c r="L40" s="95">
        <v>19</v>
      </c>
      <c r="M40" s="10">
        <f t="shared" ref="M40:M47" si="54">F40/V40*60</f>
        <v>2299.065420560748</v>
      </c>
      <c r="N40" s="9">
        <f t="shared" ref="N40:N47" si="55">M40/L40</f>
        <v>121.00344318740778</v>
      </c>
      <c r="O40" s="11">
        <f t="shared" si="49"/>
        <v>0</v>
      </c>
      <c r="P40" s="12">
        <f t="shared" si="50"/>
        <v>-5.3123462862764228</v>
      </c>
      <c r="Q40" s="97">
        <f t="shared" si="51"/>
        <v>0.95794392523364502</v>
      </c>
      <c r="R40" s="571"/>
      <c r="S40" s="24">
        <v>0.2215277777777778</v>
      </c>
      <c r="T40" s="24">
        <v>0.29583333333333334</v>
      </c>
      <c r="U40" s="92">
        <f>(S40-T39)*24*60</f>
        <v>27.000000000000025</v>
      </c>
      <c r="V40" s="94">
        <f t="shared" si="52"/>
        <v>106.99999999999999</v>
      </c>
      <c r="W40" s="92"/>
      <c r="X40" s="92"/>
      <c r="Y40" s="617"/>
      <c r="Z40" s="617"/>
      <c r="AA40" s="11">
        <f t="shared" si="2"/>
        <v>-100.93457943925205</v>
      </c>
      <c r="AB40" s="97">
        <f t="shared" ref="AB40:AB68" si="56">M40/J40</f>
        <v>0.95794392523364502</v>
      </c>
      <c r="AC40" s="571"/>
    </row>
    <row r="41" spans="1:29">
      <c r="A41" s="638" t="s">
        <v>267</v>
      </c>
      <c r="B41" s="26" t="s">
        <v>46</v>
      </c>
      <c r="C41" s="616" t="s">
        <v>65</v>
      </c>
      <c r="D41" s="616"/>
      <c r="E41" s="26">
        <v>24.43</v>
      </c>
      <c r="F41" s="93">
        <v>5300</v>
      </c>
      <c r="G41" s="92">
        <f t="shared" si="48"/>
        <v>129479</v>
      </c>
      <c r="H41" s="21">
        <v>2</v>
      </c>
      <c r="I41" s="95">
        <v>15</v>
      </c>
      <c r="J41" s="23">
        <v>2400</v>
      </c>
      <c r="K41" s="9">
        <f t="shared" si="53"/>
        <v>160</v>
      </c>
      <c r="L41" s="95">
        <v>15</v>
      </c>
      <c r="M41" s="10">
        <f t="shared" si="54"/>
        <v>2287.7697841726617</v>
      </c>
      <c r="N41" s="9">
        <f t="shared" si="55"/>
        <v>152.5179856115108</v>
      </c>
      <c r="O41" s="11">
        <f t="shared" si="49"/>
        <v>0</v>
      </c>
      <c r="P41" s="12">
        <f t="shared" si="50"/>
        <v>-7.4820143884892047</v>
      </c>
      <c r="Q41" s="97">
        <f t="shared" si="51"/>
        <v>0.95323741007194251</v>
      </c>
      <c r="R41" s="571"/>
      <c r="S41" s="24">
        <v>0.30138888888888887</v>
      </c>
      <c r="T41" s="24">
        <v>0.39791666666666664</v>
      </c>
      <c r="U41" s="92">
        <f t="shared" ref="U41:U47" si="57">(S41-T40)*24*60</f>
        <v>7.9999999999999716</v>
      </c>
      <c r="V41" s="94">
        <f t="shared" si="52"/>
        <v>139</v>
      </c>
      <c r="W41" s="92"/>
      <c r="X41" s="92"/>
      <c r="Y41" s="617"/>
      <c r="Z41" s="617"/>
      <c r="AA41" s="11">
        <f t="shared" si="2"/>
        <v>-112.23021582733827</v>
      </c>
      <c r="AB41" s="97">
        <f t="shared" si="56"/>
        <v>0.9532374100719424</v>
      </c>
      <c r="AC41" s="571"/>
    </row>
    <row r="42" spans="1:29">
      <c r="A42" s="638" t="s">
        <v>267</v>
      </c>
      <c r="B42" s="26" t="s">
        <v>46</v>
      </c>
      <c r="C42" s="616" t="s">
        <v>66</v>
      </c>
      <c r="D42" s="616"/>
      <c r="E42" s="26">
        <v>24.25</v>
      </c>
      <c r="F42" s="93">
        <v>4600</v>
      </c>
      <c r="G42" s="92">
        <f t="shared" si="48"/>
        <v>111550</v>
      </c>
      <c r="H42" s="21">
        <v>2</v>
      </c>
      <c r="I42" s="95">
        <v>14</v>
      </c>
      <c r="J42" s="23">
        <v>2400</v>
      </c>
      <c r="K42" s="9">
        <f t="shared" si="53"/>
        <v>171.42857142857142</v>
      </c>
      <c r="L42" s="95">
        <v>14</v>
      </c>
      <c r="M42" s="10">
        <f t="shared" si="54"/>
        <v>2300.0000000000005</v>
      </c>
      <c r="N42" s="9">
        <f t="shared" si="55"/>
        <v>164.28571428571431</v>
      </c>
      <c r="O42" s="11">
        <f t="shared" si="49"/>
        <v>0</v>
      </c>
      <c r="P42" s="12">
        <f t="shared" si="50"/>
        <v>-7.1428571428571104</v>
      </c>
      <c r="Q42" s="97">
        <f t="shared" si="51"/>
        <v>0.95833333333333348</v>
      </c>
      <c r="R42" s="571"/>
      <c r="S42" s="24">
        <v>0.40208333333333329</v>
      </c>
      <c r="T42" s="24">
        <v>0.48541666666666661</v>
      </c>
      <c r="U42" s="92">
        <f t="shared" si="57"/>
        <v>5.9999999999999787</v>
      </c>
      <c r="V42" s="94">
        <f t="shared" si="52"/>
        <v>119.99999999999997</v>
      </c>
      <c r="W42" s="13"/>
      <c r="X42" s="13"/>
      <c r="Y42" s="617"/>
      <c r="Z42" s="617"/>
      <c r="AA42" s="11">
        <f t="shared" si="2"/>
        <v>-99.999999999999545</v>
      </c>
      <c r="AB42" s="97">
        <f t="shared" si="56"/>
        <v>0.95833333333333348</v>
      </c>
      <c r="AC42" s="571"/>
    </row>
    <row r="43" spans="1:29">
      <c r="A43" s="638" t="s">
        <v>267</v>
      </c>
      <c r="B43" s="26" t="s">
        <v>46</v>
      </c>
      <c r="C43" s="616" t="s">
        <v>62</v>
      </c>
      <c r="D43" s="616"/>
      <c r="E43" s="26">
        <v>25</v>
      </c>
      <c r="F43" s="93">
        <v>2800</v>
      </c>
      <c r="G43" s="92">
        <f t="shared" si="48"/>
        <v>70000</v>
      </c>
      <c r="H43" s="21">
        <v>2</v>
      </c>
      <c r="I43" s="95">
        <v>15</v>
      </c>
      <c r="J43" s="23">
        <v>2400</v>
      </c>
      <c r="K43" s="9">
        <f t="shared" si="53"/>
        <v>160</v>
      </c>
      <c r="L43" s="95">
        <v>15</v>
      </c>
      <c r="M43" s="10">
        <f t="shared" si="54"/>
        <v>2301.3698630136969</v>
      </c>
      <c r="N43" s="9">
        <f t="shared" si="55"/>
        <v>153.42465753424645</v>
      </c>
      <c r="O43" s="11">
        <f t="shared" si="49"/>
        <v>0</v>
      </c>
      <c r="P43" s="12">
        <f t="shared" si="50"/>
        <v>-6.5753424657535504</v>
      </c>
      <c r="Q43" s="97">
        <f t="shared" si="51"/>
        <v>0.95890410958904027</v>
      </c>
      <c r="R43" s="571"/>
      <c r="S43" s="24">
        <v>0.48958333333333326</v>
      </c>
      <c r="T43" s="24">
        <v>0.54027777777777775</v>
      </c>
      <c r="U43" s="92">
        <f t="shared" si="57"/>
        <v>5.9999999999999787</v>
      </c>
      <c r="V43" s="94">
        <f t="shared" si="52"/>
        <v>73.000000000000057</v>
      </c>
      <c r="W43" s="13"/>
      <c r="X43" s="13"/>
      <c r="Y43" s="617"/>
      <c r="Z43" s="617"/>
      <c r="AA43" s="11">
        <f t="shared" si="2"/>
        <v>-98.630136986303114</v>
      </c>
      <c r="AB43" s="97">
        <f t="shared" si="56"/>
        <v>0.95890410958904038</v>
      </c>
      <c r="AC43" s="571"/>
    </row>
    <row r="44" spans="1:29">
      <c r="A44" s="638" t="s">
        <v>267</v>
      </c>
      <c r="B44" s="26" t="s">
        <v>46</v>
      </c>
      <c r="C44" s="616" t="s">
        <v>63</v>
      </c>
      <c r="D44" s="616"/>
      <c r="E44" s="26">
        <v>26.2</v>
      </c>
      <c r="F44" s="93">
        <v>3287</v>
      </c>
      <c r="G44" s="92">
        <f t="shared" si="48"/>
        <v>86119.4</v>
      </c>
      <c r="H44" s="21" t="s">
        <v>35</v>
      </c>
      <c r="I44" s="95">
        <v>18</v>
      </c>
      <c r="J44" s="23">
        <v>2400</v>
      </c>
      <c r="K44" s="9">
        <f t="shared" si="53"/>
        <v>133.33333333333334</v>
      </c>
      <c r="L44" s="95">
        <v>18</v>
      </c>
      <c r="M44" s="10">
        <f t="shared" si="54"/>
        <v>2293.2558139534881</v>
      </c>
      <c r="N44" s="9">
        <f t="shared" si="55"/>
        <v>127.40310077519378</v>
      </c>
      <c r="O44" s="11">
        <f t="shared" si="49"/>
        <v>0</v>
      </c>
      <c r="P44" s="12">
        <f t="shared" si="50"/>
        <v>-5.930232558139565</v>
      </c>
      <c r="Q44" s="97">
        <f t="shared" si="51"/>
        <v>0.95552325581395325</v>
      </c>
      <c r="R44" s="571"/>
      <c r="S44" s="24">
        <v>0.54583333333333328</v>
      </c>
      <c r="T44" s="24">
        <v>0.60555555555555551</v>
      </c>
      <c r="U44" s="92">
        <f t="shared" si="57"/>
        <v>7.9999999999999716</v>
      </c>
      <c r="V44" s="94">
        <f t="shared" si="52"/>
        <v>86.000000000000014</v>
      </c>
      <c r="W44" s="13"/>
      <c r="X44" s="13"/>
      <c r="Y44" s="617"/>
      <c r="Z44" s="617"/>
      <c r="AA44" s="11">
        <f t="shared" si="2"/>
        <v>-106.74418604651191</v>
      </c>
      <c r="AB44" s="97">
        <f t="shared" si="56"/>
        <v>0.95552325581395336</v>
      </c>
      <c r="AC44" s="571"/>
    </row>
    <row r="45" spans="1:29">
      <c r="A45" s="638" t="s">
        <v>267</v>
      </c>
      <c r="B45" s="26" t="s">
        <v>46</v>
      </c>
      <c r="C45" s="616" t="s">
        <v>65</v>
      </c>
      <c r="D45" s="616"/>
      <c r="E45" s="26">
        <v>24.43</v>
      </c>
      <c r="F45" s="93">
        <v>3933</v>
      </c>
      <c r="G45" s="92">
        <f t="shared" si="48"/>
        <v>96083.19</v>
      </c>
      <c r="H45" s="21" t="s">
        <v>35</v>
      </c>
      <c r="I45" s="95">
        <v>15</v>
      </c>
      <c r="J45" s="23">
        <v>2400</v>
      </c>
      <c r="K45" s="9">
        <f t="shared" si="53"/>
        <v>160</v>
      </c>
      <c r="L45" s="95">
        <v>15</v>
      </c>
      <c r="M45" s="10">
        <f t="shared" si="54"/>
        <v>2291.0679611650494</v>
      </c>
      <c r="N45" s="9">
        <f t="shared" si="55"/>
        <v>152.73786407766997</v>
      </c>
      <c r="O45" s="11">
        <f t="shared" si="49"/>
        <v>0</v>
      </c>
      <c r="P45" s="12">
        <f t="shared" si="50"/>
        <v>-7.2621359223300317</v>
      </c>
      <c r="Q45" s="97">
        <f t="shared" si="51"/>
        <v>0.95461165048543728</v>
      </c>
      <c r="R45" s="571"/>
      <c r="S45" s="24">
        <v>0.60972222222222217</v>
      </c>
      <c r="T45" s="24">
        <v>0.68124999999999991</v>
      </c>
      <c r="U45" s="92">
        <f t="shared" si="57"/>
        <v>5.9999999999999787</v>
      </c>
      <c r="V45" s="94">
        <f t="shared" si="52"/>
        <v>102.99999999999996</v>
      </c>
      <c r="W45" s="13"/>
      <c r="X45" s="13"/>
      <c r="Y45" s="621"/>
      <c r="Z45" s="622"/>
      <c r="AA45" s="11">
        <f t="shared" si="2"/>
        <v>-108.93203883495062</v>
      </c>
      <c r="AB45" s="97">
        <f t="shared" si="56"/>
        <v>0.95461165048543728</v>
      </c>
      <c r="AC45" s="571"/>
    </row>
    <row r="46" spans="1:29">
      <c r="A46" s="638" t="s">
        <v>267</v>
      </c>
      <c r="B46" s="26" t="s">
        <v>46</v>
      </c>
      <c r="C46" s="616" t="s">
        <v>64</v>
      </c>
      <c r="D46" s="616"/>
      <c r="E46" s="26">
        <v>26.39</v>
      </c>
      <c r="F46" s="93">
        <v>2950</v>
      </c>
      <c r="G46" s="92">
        <f t="shared" si="48"/>
        <v>77850.5</v>
      </c>
      <c r="H46" s="21" t="s">
        <v>35</v>
      </c>
      <c r="I46" s="95">
        <v>19</v>
      </c>
      <c r="J46" s="23">
        <v>2400</v>
      </c>
      <c r="K46" s="9">
        <f t="shared" si="53"/>
        <v>126.31578947368421</v>
      </c>
      <c r="L46" s="95">
        <v>19</v>
      </c>
      <c r="M46" s="10">
        <f t="shared" si="54"/>
        <v>2298.7012987012977</v>
      </c>
      <c r="N46" s="9">
        <f t="shared" si="55"/>
        <v>120.98427887901566</v>
      </c>
      <c r="O46" s="11">
        <f t="shared" si="49"/>
        <v>0</v>
      </c>
      <c r="P46" s="12">
        <f t="shared" si="50"/>
        <v>-5.3315105946685435</v>
      </c>
      <c r="Q46" s="97">
        <f t="shared" si="51"/>
        <v>0.95779220779220742</v>
      </c>
      <c r="R46" s="571"/>
      <c r="S46" s="24">
        <v>0.68611111111111101</v>
      </c>
      <c r="T46" s="24">
        <v>0.73958333333333326</v>
      </c>
      <c r="U46" s="92">
        <f t="shared" si="57"/>
        <v>6.9999999999999751</v>
      </c>
      <c r="V46" s="94">
        <f t="shared" si="52"/>
        <v>77.000000000000043</v>
      </c>
      <c r="W46" s="13"/>
      <c r="X46" s="13"/>
      <c r="Y46" s="621"/>
      <c r="Z46" s="622"/>
      <c r="AA46" s="11">
        <f t="shared" si="2"/>
        <v>-101.29870129870233</v>
      </c>
      <c r="AB46" s="97">
        <f t="shared" si="56"/>
        <v>0.95779220779220742</v>
      </c>
      <c r="AC46" s="571"/>
    </row>
    <row r="47" spans="1:29">
      <c r="A47" s="638" t="s">
        <v>267</v>
      </c>
      <c r="B47" s="26" t="s">
        <v>46</v>
      </c>
      <c r="C47" s="616" t="s">
        <v>66</v>
      </c>
      <c r="D47" s="616"/>
      <c r="E47" s="26">
        <v>24.25</v>
      </c>
      <c r="F47" s="93">
        <v>2466</v>
      </c>
      <c r="G47" s="92">
        <f t="shared" si="48"/>
        <v>59800.5</v>
      </c>
      <c r="H47" s="21" t="s">
        <v>35</v>
      </c>
      <c r="I47" s="95">
        <v>14</v>
      </c>
      <c r="J47" s="23">
        <v>2400</v>
      </c>
      <c r="K47" s="9">
        <f t="shared" si="53"/>
        <v>171.42857142857142</v>
      </c>
      <c r="L47" s="95">
        <v>14</v>
      </c>
      <c r="M47" s="10">
        <f t="shared" si="54"/>
        <v>2311.8750000000027</v>
      </c>
      <c r="N47" s="9">
        <f t="shared" si="55"/>
        <v>165.13392857142875</v>
      </c>
      <c r="O47" s="11">
        <f t="shared" si="49"/>
        <v>0</v>
      </c>
      <c r="P47" s="12">
        <f t="shared" si="50"/>
        <v>-6.2946428571426623</v>
      </c>
      <c r="Q47" s="97">
        <f t="shared" si="51"/>
        <v>0.96328125000000109</v>
      </c>
      <c r="R47" s="571"/>
      <c r="S47" s="24">
        <v>0.74444444444444435</v>
      </c>
      <c r="T47" s="24">
        <v>0.78888888888888875</v>
      </c>
      <c r="U47" s="92">
        <f t="shared" si="57"/>
        <v>6.9999999999999751</v>
      </c>
      <c r="V47" s="94">
        <f t="shared" si="52"/>
        <v>63.999999999999929</v>
      </c>
      <c r="W47" s="13"/>
      <c r="X47" s="13"/>
      <c r="Y47" s="621"/>
      <c r="Z47" s="622"/>
      <c r="AA47" s="11">
        <f t="shared" si="2"/>
        <v>-88.124999999997272</v>
      </c>
      <c r="AB47" s="97">
        <f t="shared" si="56"/>
        <v>0.96328125000000109</v>
      </c>
      <c r="AC47" s="571"/>
    </row>
    <row r="48" spans="1:29">
      <c r="A48" s="638" t="s">
        <v>267</v>
      </c>
      <c r="B48" s="27" t="s">
        <v>265</v>
      </c>
      <c r="C48" s="629"/>
      <c r="D48" s="629"/>
      <c r="E48" s="96"/>
      <c r="F48" s="27"/>
      <c r="G48" s="9"/>
      <c r="H48" s="93"/>
      <c r="I48" s="16">
        <v>16.333333333333332</v>
      </c>
      <c r="J48" s="23">
        <v>2400</v>
      </c>
      <c r="K48" s="9">
        <f t="shared" si="53"/>
        <v>146.9387755102041</v>
      </c>
      <c r="L48" s="16">
        <v>16.333333333333332</v>
      </c>
      <c r="M48" s="10">
        <f>AVERAGE(M39:M47)</f>
        <v>2298.5196189042636</v>
      </c>
      <c r="N48" s="9">
        <f>M48/L48</f>
        <v>140.72569095332227</v>
      </c>
      <c r="O48" s="11">
        <f>L48-I48</f>
        <v>0</v>
      </c>
      <c r="P48" s="12">
        <f t="shared" si="50"/>
        <v>-6.2130845568818245</v>
      </c>
      <c r="Q48" s="97">
        <f t="shared" si="51"/>
        <v>0.95771650787677642</v>
      </c>
      <c r="R48" s="571"/>
      <c r="S48" s="24"/>
      <c r="T48" s="24"/>
      <c r="U48" s="9"/>
      <c r="V48" s="94"/>
      <c r="W48" s="9"/>
      <c r="X48" s="9"/>
      <c r="Y48" s="617"/>
      <c r="Z48" s="617"/>
      <c r="AA48" s="11">
        <f t="shared" si="2"/>
        <v>-101.48038109573645</v>
      </c>
      <c r="AB48" s="97">
        <f t="shared" si="56"/>
        <v>0.95771650787677653</v>
      </c>
      <c r="AC48" s="571"/>
    </row>
    <row r="49" spans="1:29" ht="15.75" customHeight="1">
      <c r="A49" s="630" t="s">
        <v>30</v>
      </c>
      <c r="B49" s="26" t="s">
        <v>67</v>
      </c>
      <c r="C49" s="627" t="s">
        <v>68</v>
      </c>
      <c r="D49" s="628"/>
      <c r="E49" s="26">
        <v>21.13</v>
      </c>
      <c r="F49" s="93">
        <v>5456</v>
      </c>
      <c r="G49" s="92">
        <f t="shared" ref="G49:G54" si="58">E49*F49</f>
        <v>115285.28</v>
      </c>
      <c r="H49" s="21" t="s">
        <v>35</v>
      </c>
      <c r="I49" s="95">
        <v>10</v>
      </c>
      <c r="J49" s="23">
        <v>3000</v>
      </c>
      <c r="K49" s="9">
        <f t="shared" si="53"/>
        <v>300</v>
      </c>
      <c r="L49" s="95">
        <v>10</v>
      </c>
      <c r="M49" s="10">
        <f t="shared" ref="M49:M50" si="59">F49/V49*60</f>
        <v>2871.5789473684222</v>
      </c>
      <c r="N49" s="10">
        <f t="shared" ref="N49:N55" si="60">M49/L49</f>
        <v>287.1578947368422</v>
      </c>
      <c r="O49" s="11">
        <f t="shared" ref="O49:O55" si="61">L49-I49</f>
        <v>0</v>
      </c>
      <c r="P49" s="12">
        <f t="shared" si="50"/>
        <v>-12.842105263157805</v>
      </c>
      <c r="Q49" s="97">
        <f t="shared" si="51"/>
        <v>0.9571929824561406</v>
      </c>
      <c r="R49" s="582">
        <f>Q55</f>
        <v>0.95720917972100628</v>
      </c>
      <c r="S49" s="24">
        <v>0.20833333333333334</v>
      </c>
      <c r="T49" s="24">
        <v>0.28749999999999998</v>
      </c>
      <c r="U49" s="15"/>
      <c r="V49" s="94">
        <f t="shared" ref="V49:V54" si="62">(T49-S49)*24*60</f>
        <v>113.99999999999996</v>
      </c>
      <c r="W49" s="13"/>
      <c r="X49" s="13"/>
      <c r="Y49" s="621"/>
      <c r="Z49" s="622"/>
      <c r="AA49" s="11">
        <f t="shared" si="2"/>
        <v>-128.42105263157782</v>
      </c>
      <c r="AB49" s="97">
        <f t="shared" si="56"/>
        <v>0.95719298245614071</v>
      </c>
      <c r="AC49" s="582">
        <f>AB55</f>
        <v>0.95720917972100628</v>
      </c>
    </row>
    <row r="50" spans="1:29" ht="15.75" customHeight="1">
      <c r="A50" s="631" t="s">
        <v>268</v>
      </c>
      <c r="B50" s="26" t="s">
        <v>67</v>
      </c>
      <c r="C50" s="627" t="s">
        <v>69</v>
      </c>
      <c r="D50" s="628"/>
      <c r="E50" s="26">
        <v>27.17</v>
      </c>
      <c r="F50" s="93">
        <v>3500</v>
      </c>
      <c r="G50" s="92">
        <f t="shared" si="58"/>
        <v>95095</v>
      </c>
      <c r="H50" s="21">
        <v>2</v>
      </c>
      <c r="I50" s="95">
        <v>10</v>
      </c>
      <c r="J50" s="23">
        <v>3000</v>
      </c>
      <c r="K50" s="9">
        <f t="shared" si="53"/>
        <v>300</v>
      </c>
      <c r="L50" s="95">
        <v>10</v>
      </c>
      <c r="M50" s="10">
        <f t="shared" si="59"/>
        <v>2876.7123287671238</v>
      </c>
      <c r="N50" s="10">
        <f t="shared" si="60"/>
        <v>287.67123287671239</v>
      </c>
      <c r="O50" s="11">
        <f t="shared" si="61"/>
        <v>0</v>
      </c>
      <c r="P50" s="12">
        <f t="shared" si="50"/>
        <v>-12.328767123287605</v>
      </c>
      <c r="Q50" s="97">
        <f t="shared" si="51"/>
        <v>0.95890410958904126</v>
      </c>
      <c r="R50" s="583"/>
      <c r="S50" s="24">
        <v>0.29097222222222219</v>
      </c>
      <c r="T50" s="24">
        <v>0.34166666666666662</v>
      </c>
      <c r="U50" s="92">
        <f>(S50-T49)*24*60</f>
        <v>4.9999999999999822</v>
      </c>
      <c r="V50" s="94">
        <f t="shared" si="62"/>
        <v>72.999999999999986</v>
      </c>
      <c r="W50" s="13"/>
      <c r="X50" s="13"/>
      <c r="Y50" s="621"/>
      <c r="Z50" s="622"/>
      <c r="AA50" s="11">
        <f t="shared" si="2"/>
        <v>-123.28767123287616</v>
      </c>
      <c r="AB50" s="97">
        <f t="shared" si="56"/>
        <v>0.95890410958904126</v>
      </c>
      <c r="AC50" s="583"/>
    </row>
    <row r="51" spans="1:29" ht="15.75" customHeight="1">
      <c r="A51" s="631" t="s">
        <v>268</v>
      </c>
      <c r="B51" s="26" t="s">
        <v>67</v>
      </c>
      <c r="C51" s="627" t="s">
        <v>70</v>
      </c>
      <c r="D51" s="628"/>
      <c r="E51" s="26">
        <v>35.119999999999997</v>
      </c>
      <c r="F51" s="93">
        <v>4886</v>
      </c>
      <c r="G51" s="92">
        <f t="shared" si="58"/>
        <v>171596.31999999998</v>
      </c>
      <c r="H51" s="21" t="s">
        <v>35</v>
      </c>
      <c r="I51" s="95">
        <v>10</v>
      </c>
      <c r="J51" s="23">
        <v>3000</v>
      </c>
      <c r="K51" s="9">
        <f t="shared" si="53"/>
        <v>300</v>
      </c>
      <c r="L51" s="95">
        <v>10</v>
      </c>
      <c r="M51" s="10">
        <f>F51/V51*60</f>
        <v>2874.1176470588225</v>
      </c>
      <c r="N51" s="10">
        <f t="shared" si="60"/>
        <v>287.41176470588226</v>
      </c>
      <c r="O51" s="11">
        <f t="shared" si="61"/>
        <v>0</v>
      </c>
      <c r="P51" s="12">
        <f t="shared" si="50"/>
        <v>-12.588235294117737</v>
      </c>
      <c r="Q51" s="97">
        <f t="shared" si="51"/>
        <v>0.95803921568627426</v>
      </c>
      <c r="R51" s="583"/>
      <c r="S51" s="24">
        <v>0.34652777777777771</v>
      </c>
      <c r="T51" s="24">
        <v>0.41736111111111107</v>
      </c>
      <c r="U51" s="92">
        <f t="shared" ref="U51:U54" si="63">(S51-T50)*24*60</f>
        <v>6.9999999999999751</v>
      </c>
      <c r="V51" s="94">
        <f t="shared" si="62"/>
        <v>102.00000000000004</v>
      </c>
      <c r="W51" s="13"/>
      <c r="X51" s="13"/>
      <c r="Y51" s="621"/>
      <c r="Z51" s="622"/>
      <c r="AA51" s="11">
        <f t="shared" si="2"/>
        <v>-125.88235294117749</v>
      </c>
      <c r="AB51" s="97">
        <f t="shared" si="56"/>
        <v>0.95803921568627415</v>
      </c>
      <c r="AC51" s="583"/>
    </row>
    <row r="52" spans="1:29" ht="15.75" customHeight="1">
      <c r="A52" s="631" t="s">
        <v>268</v>
      </c>
      <c r="B52" s="26" t="s">
        <v>67</v>
      </c>
      <c r="C52" s="627" t="s">
        <v>71</v>
      </c>
      <c r="D52" s="628"/>
      <c r="E52" s="26">
        <v>35.869999999999997</v>
      </c>
      <c r="F52" s="93">
        <v>3036</v>
      </c>
      <c r="G52" s="92">
        <f t="shared" si="58"/>
        <v>108901.31999999999</v>
      </c>
      <c r="H52" s="21" t="s">
        <v>35</v>
      </c>
      <c r="I52" s="95">
        <v>10</v>
      </c>
      <c r="J52" s="23">
        <v>3000</v>
      </c>
      <c r="K52" s="9">
        <f t="shared" si="53"/>
        <v>300</v>
      </c>
      <c r="L52" s="95">
        <v>10</v>
      </c>
      <c r="M52" s="10">
        <f t="shared" ref="M52:M54" si="64">F52/V52*60</f>
        <v>2891.4285714285711</v>
      </c>
      <c r="N52" s="10">
        <f t="shared" si="60"/>
        <v>289.14285714285711</v>
      </c>
      <c r="O52" s="11">
        <f t="shared" si="61"/>
        <v>0</v>
      </c>
      <c r="P52" s="12">
        <f t="shared" si="50"/>
        <v>-10.85714285714289</v>
      </c>
      <c r="Q52" s="97">
        <f t="shared" si="51"/>
        <v>0.96380952380952367</v>
      </c>
      <c r="R52" s="583"/>
      <c r="S52" s="24">
        <v>0.42083333333333328</v>
      </c>
      <c r="T52" s="24">
        <v>0.46458333333333329</v>
      </c>
      <c r="U52" s="92">
        <f t="shared" si="63"/>
        <v>4.9999999999999822</v>
      </c>
      <c r="V52" s="94">
        <f t="shared" si="62"/>
        <v>63.000000000000014</v>
      </c>
      <c r="W52" s="13"/>
      <c r="X52" s="13"/>
      <c r="Y52" s="621"/>
      <c r="Z52" s="622"/>
      <c r="AA52" s="11">
        <f t="shared" si="2"/>
        <v>-108.5714285714289</v>
      </c>
      <c r="AB52" s="97">
        <f t="shared" si="56"/>
        <v>0.96380952380952367</v>
      </c>
      <c r="AC52" s="583"/>
    </row>
    <row r="53" spans="1:29" ht="15.75" customHeight="1">
      <c r="A53" s="631" t="s">
        <v>268</v>
      </c>
      <c r="B53" s="26" t="s">
        <v>67</v>
      </c>
      <c r="C53" s="627" t="s">
        <v>72</v>
      </c>
      <c r="D53" s="628"/>
      <c r="E53" s="26">
        <v>36.14</v>
      </c>
      <c r="F53" s="93">
        <v>2193</v>
      </c>
      <c r="G53" s="92">
        <f t="shared" si="58"/>
        <v>79255.02</v>
      </c>
      <c r="H53" s="21" t="s">
        <v>35</v>
      </c>
      <c r="I53" s="95">
        <v>8</v>
      </c>
      <c r="J53" s="23">
        <v>3000</v>
      </c>
      <c r="K53" s="9">
        <f t="shared" si="53"/>
        <v>375</v>
      </c>
      <c r="L53" s="95">
        <v>8</v>
      </c>
      <c r="M53" s="10">
        <f t="shared" si="64"/>
        <v>2860.4347826086955</v>
      </c>
      <c r="N53" s="10">
        <f t="shared" si="60"/>
        <v>357.55434782608694</v>
      </c>
      <c r="O53" s="11">
        <f t="shared" si="61"/>
        <v>0</v>
      </c>
      <c r="P53" s="12">
        <f t="shared" si="50"/>
        <v>-17.445652173913061</v>
      </c>
      <c r="Q53" s="97">
        <f>N53/K53</f>
        <v>0.95347826086956522</v>
      </c>
      <c r="R53" s="583"/>
      <c r="S53" s="24">
        <v>0.4680555555555555</v>
      </c>
      <c r="T53" s="24">
        <v>0.49999999999999994</v>
      </c>
      <c r="U53" s="92">
        <f t="shared" si="63"/>
        <v>4.9999999999999822</v>
      </c>
      <c r="V53" s="94">
        <f t="shared" si="62"/>
        <v>46</v>
      </c>
      <c r="W53" s="13">
        <f>T53</f>
        <v>0.49999999999999994</v>
      </c>
      <c r="X53" s="13">
        <f>S54</f>
        <v>0.54027777777777775</v>
      </c>
      <c r="Y53" s="621"/>
      <c r="Z53" s="622"/>
      <c r="AA53" s="11">
        <f t="shared" si="2"/>
        <v>-139.56521739130449</v>
      </c>
      <c r="AB53" s="97">
        <f t="shared" si="56"/>
        <v>0.95347826086956522</v>
      </c>
      <c r="AC53" s="583"/>
    </row>
    <row r="54" spans="1:29" ht="15.75" customHeight="1">
      <c r="A54" s="631" t="s">
        <v>268</v>
      </c>
      <c r="B54" s="26" t="s">
        <v>67</v>
      </c>
      <c r="C54" s="627" t="s">
        <v>69</v>
      </c>
      <c r="D54" s="628"/>
      <c r="E54" s="26">
        <v>27.17</v>
      </c>
      <c r="F54" s="93">
        <v>3379</v>
      </c>
      <c r="G54" s="92">
        <f t="shared" si="58"/>
        <v>91807.430000000008</v>
      </c>
      <c r="H54" s="21" t="s">
        <v>35</v>
      </c>
      <c r="I54" s="95">
        <v>10</v>
      </c>
      <c r="J54" s="23">
        <v>3000</v>
      </c>
      <c r="K54" s="9">
        <f t="shared" si="53"/>
        <v>300</v>
      </c>
      <c r="L54" s="95">
        <v>10</v>
      </c>
      <c r="M54" s="10">
        <f t="shared" si="64"/>
        <v>2855.4929577464759</v>
      </c>
      <c r="N54" s="10">
        <f t="shared" si="60"/>
        <v>285.54929577464759</v>
      </c>
      <c r="O54" s="11">
        <f t="shared" si="61"/>
        <v>0</v>
      </c>
      <c r="P54" s="12">
        <f t="shared" si="50"/>
        <v>-14.450704225352411</v>
      </c>
      <c r="Q54" s="97">
        <f t="shared" ref="Q54:Q55" si="65">N54/K54</f>
        <v>0.95183098591549198</v>
      </c>
      <c r="R54" s="583"/>
      <c r="S54" s="24">
        <v>0.54027777777777775</v>
      </c>
      <c r="T54" s="24">
        <v>0.58958333333333335</v>
      </c>
      <c r="U54" s="92">
        <f t="shared" si="63"/>
        <v>58.000000000000036</v>
      </c>
      <c r="V54" s="94">
        <f t="shared" si="62"/>
        <v>71.000000000000071</v>
      </c>
      <c r="W54" s="13"/>
      <c r="X54" s="13"/>
      <c r="Y54" s="621"/>
      <c r="Z54" s="622"/>
      <c r="AA54" s="11">
        <f t="shared" si="2"/>
        <v>-144.50704225352411</v>
      </c>
      <c r="AB54" s="97">
        <f t="shared" si="56"/>
        <v>0.95183098591549198</v>
      </c>
      <c r="AC54" s="583"/>
    </row>
    <row r="55" spans="1:29" ht="15.75" customHeight="1">
      <c r="A55" s="632" t="s">
        <v>268</v>
      </c>
      <c r="B55" s="26" t="s">
        <v>265</v>
      </c>
      <c r="C55" s="625"/>
      <c r="D55" s="626"/>
      <c r="E55" s="104"/>
      <c r="F55" s="93"/>
      <c r="G55" s="92"/>
      <c r="H55" s="93"/>
      <c r="I55" s="16">
        <v>9.6666666666666661</v>
      </c>
      <c r="J55" s="23">
        <v>3000</v>
      </c>
      <c r="K55" s="9">
        <f>J55/I55</f>
        <v>310.34482758620692</v>
      </c>
      <c r="L55" s="16">
        <v>9.6666666666666661</v>
      </c>
      <c r="M55" s="10">
        <f>AVERAGE(M49:M54)</f>
        <v>2871.6275391630188</v>
      </c>
      <c r="N55" s="9">
        <f t="shared" si="60"/>
        <v>297.06491784445024</v>
      </c>
      <c r="O55" s="11">
        <f t="shared" si="61"/>
        <v>0</v>
      </c>
      <c r="P55" s="12">
        <f t="shared" si="50"/>
        <v>-13.279909741756683</v>
      </c>
      <c r="Q55" s="97">
        <f t="shared" si="65"/>
        <v>0.95720917972100628</v>
      </c>
      <c r="R55" s="584"/>
      <c r="S55" s="24"/>
      <c r="T55" s="24"/>
      <c r="U55" s="92"/>
      <c r="V55" s="94"/>
      <c r="W55" s="13"/>
      <c r="X55" s="13"/>
      <c r="Y55" s="621"/>
      <c r="Z55" s="622"/>
      <c r="AA55" s="11">
        <f t="shared" si="2"/>
        <v>-128.37246083698119</v>
      </c>
      <c r="AB55" s="97">
        <f t="shared" si="56"/>
        <v>0.95720917972100628</v>
      </c>
      <c r="AC55" s="584"/>
    </row>
    <row r="56" spans="1:29" ht="15.75" customHeight="1">
      <c r="A56" s="633" t="s">
        <v>269</v>
      </c>
      <c r="B56" s="26" t="s">
        <v>40</v>
      </c>
      <c r="C56" s="616" t="s">
        <v>73</v>
      </c>
      <c r="D56" s="616"/>
      <c r="E56" s="26">
        <v>46</v>
      </c>
      <c r="F56" s="28">
        <v>3282</v>
      </c>
      <c r="G56" s="92">
        <f t="shared" ref="G56:G61" si="66">E56*F56</f>
        <v>150972</v>
      </c>
      <c r="H56" s="21" t="s">
        <v>35</v>
      </c>
      <c r="I56" s="95">
        <v>17</v>
      </c>
      <c r="J56" s="23">
        <v>2000</v>
      </c>
      <c r="K56" s="9">
        <f t="shared" ref="K56:K61" si="67">J56/I56</f>
        <v>117.64705882352941</v>
      </c>
      <c r="L56" s="95">
        <v>17</v>
      </c>
      <c r="M56" s="10">
        <f t="shared" ref="M56:M61" si="68">F56/V56*60</f>
        <v>1911.8446601941746</v>
      </c>
      <c r="N56" s="10">
        <f>M56/L56</f>
        <v>112.46145059965733</v>
      </c>
      <c r="O56" s="11">
        <f>L56-I56</f>
        <v>0</v>
      </c>
      <c r="P56" s="12">
        <f>N56-K56</f>
        <v>-5.1856082238720802</v>
      </c>
      <c r="Q56" s="97">
        <f>N56/K56</f>
        <v>0.95592233009708727</v>
      </c>
      <c r="R56" s="571">
        <f>Q62</f>
        <v>0.95784516807366804</v>
      </c>
      <c r="S56" s="24">
        <v>0.20833333333333334</v>
      </c>
      <c r="T56" s="24">
        <v>0.27986111111111112</v>
      </c>
      <c r="U56" s="15"/>
      <c r="V56" s="94">
        <f t="shared" ref="V56:V61" si="69">(T56-S56)*24*60</f>
        <v>103</v>
      </c>
      <c r="W56" s="15"/>
      <c r="X56" s="15"/>
      <c r="Y56" s="617"/>
      <c r="Z56" s="617"/>
      <c r="AA56" s="11">
        <f t="shared" si="2"/>
        <v>-88.155339805825406</v>
      </c>
      <c r="AB56" s="97">
        <f t="shared" si="56"/>
        <v>0.95592233009708727</v>
      </c>
      <c r="AC56" s="571">
        <f>AB62</f>
        <v>0.95784516807366804</v>
      </c>
    </row>
    <row r="57" spans="1:29" ht="15.75" customHeight="1">
      <c r="A57" s="633" t="s">
        <v>269</v>
      </c>
      <c r="B57" s="26" t="s">
        <v>40</v>
      </c>
      <c r="C57" s="616" t="s">
        <v>74</v>
      </c>
      <c r="D57" s="616"/>
      <c r="E57" s="26">
        <v>46</v>
      </c>
      <c r="F57" s="28">
        <v>3251</v>
      </c>
      <c r="G57" s="92">
        <f t="shared" si="66"/>
        <v>149546</v>
      </c>
      <c r="H57" s="21" t="s">
        <v>35</v>
      </c>
      <c r="I57" s="95">
        <v>17</v>
      </c>
      <c r="J57" s="23">
        <v>2000</v>
      </c>
      <c r="K57" s="9">
        <f t="shared" si="67"/>
        <v>117.64705882352941</v>
      </c>
      <c r="L57" s="95">
        <v>17</v>
      </c>
      <c r="M57" s="10">
        <f t="shared" si="68"/>
        <v>1912.3529411764714</v>
      </c>
      <c r="N57" s="10">
        <f t="shared" ref="N57:N61" si="70">M57/L57</f>
        <v>112.49134948096891</v>
      </c>
      <c r="O57" s="11">
        <f t="shared" ref="O57:O61" si="71">L57-I57</f>
        <v>0</v>
      </c>
      <c r="P57" s="12">
        <f t="shared" ref="P57:P61" si="72">N57-K57</f>
        <v>-5.155709342560499</v>
      </c>
      <c r="Q57" s="97">
        <f t="shared" ref="Q57:Q61" si="73">N57/K57</f>
        <v>0.95617647058823574</v>
      </c>
      <c r="R57" s="571"/>
      <c r="S57" s="24">
        <v>0.28402777777777777</v>
      </c>
      <c r="T57" s="24">
        <v>0.35486111111111107</v>
      </c>
      <c r="U57" s="92">
        <f>IF(S57=TIME(17,0,0),"",(S57-T56)*24*60)</f>
        <v>5.9999999999999787</v>
      </c>
      <c r="V57" s="94">
        <f t="shared" si="69"/>
        <v>101.99999999999996</v>
      </c>
      <c r="W57" s="13"/>
      <c r="X57" s="13"/>
      <c r="Y57" s="617"/>
      <c r="Z57" s="617"/>
      <c r="AA57" s="11">
        <f t="shared" si="2"/>
        <v>-87.647058823528596</v>
      </c>
      <c r="AB57" s="97">
        <f t="shared" si="56"/>
        <v>0.95617647058823574</v>
      </c>
      <c r="AC57" s="571"/>
    </row>
    <row r="58" spans="1:29" ht="15.75" customHeight="1">
      <c r="A58" s="633" t="s">
        <v>269</v>
      </c>
      <c r="B58" s="26" t="s">
        <v>36</v>
      </c>
      <c r="C58" s="627" t="s">
        <v>75</v>
      </c>
      <c r="D58" s="628"/>
      <c r="E58" s="26">
        <v>54.09</v>
      </c>
      <c r="F58" s="28">
        <v>1499</v>
      </c>
      <c r="G58" s="92">
        <f t="shared" si="66"/>
        <v>81080.91</v>
      </c>
      <c r="H58" s="21" t="s">
        <v>35</v>
      </c>
      <c r="I58" s="95">
        <v>16</v>
      </c>
      <c r="J58" s="23">
        <v>2000</v>
      </c>
      <c r="K58" s="9">
        <f t="shared" si="67"/>
        <v>125</v>
      </c>
      <c r="L58" s="95">
        <v>16</v>
      </c>
      <c r="M58" s="10">
        <f t="shared" si="68"/>
        <v>1913.617021276596</v>
      </c>
      <c r="N58" s="10">
        <f t="shared" si="70"/>
        <v>119.60106382978725</v>
      </c>
      <c r="O58" s="11">
        <f t="shared" si="71"/>
        <v>0</v>
      </c>
      <c r="P58" s="12">
        <f t="shared" si="72"/>
        <v>-5.3989361702127496</v>
      </c>
      <c r="Q58" s="97">
        <f t="shared" si="73"/>
        <v>0.95680851063829797</v>
      </c>
      <c r="R58" s="571"/>
      <c r="S58" s="24">
        <v>0.35902777777777772</v>
      </c>
      <c r="T58" s="24">
        <v>0.39166666666666661</v>
      </c>
      <c r="U58" s="92">
        <f t="shared" ref="U58:U61" si="74">IF(S58=TIME(17,0,0),"",(S58-T57)*24*60)</f>
        <v>5.9999999999999787</v>
      </c>
      <c r="V58" s="94">
        <f t="shared" si="69"/>
        <v>46.999999999999993</v>
      </c>
      <c r="W58" s="13"/>
      <c r="X58" s="13"/>
      <c r="Y58" s="98"/>
      <c r="Z58" s="99"/>
      <c r="AA58" s="11">
        <f t="shared" si="2"/>
        <v>-86.382978723403994</v>
      </c>
      <c r="AB58" s="97">
        <f t="shared" si="56"/>
        <v>0.95680851063829797</v>
      </c>
      <c r="AC58" s="571"/>
    </row>
    <row r="59" spans="1:29" ht="15.75" customHeight="1">
      <c r="A59" s="633" t="s">
        <v>269</v>
      </c>
      <c r="B59" s="26" t="s">
        <v>36</v>
      </c>
      <c r="C59" s="102" t="s">
        <v>76</v>
      </c>
      <c r="D59" s="103"/>
      <c r="E59" s="26">
        <v>55.56</v>
      </c>
      <c r="F59" s="28">
        <v>2248</v>
      </c>
      <c r="G59" s="92">
        <f t="shared" si="66"/>
        <v>124898.88</v>
      </c>
      <c r="H59" s="21" t="s">
        <v>35</v>
      </c>
      <c r="I59" s="95">
        <v>17</v>
      </c>
      <c r="J59" s="23">
        <v>2000</v>
      </c>
      <c r="K59" s="9">
        <f t="shared" si="67"/>
        <v>117.64705882352941</v>
      </c>
      <c r="L59" s="95">
        <v>17</v>
      </c>
      <c r="M59" s="10">
        <f t="shared" si="68"/>
        <v>1926.8571428571406</v>
      </c>
      <c r="N59" s="10">
        <f t="shared" si="70"/>
        <v>113.34453781512592</v>
      </c>
      <c r="O59" s="11">
        <f t="shared" si="71"/>
        <v>0</v>
      </c>
      <c r="P59" s="12">
        <f t="shared" si="72"/>
        <v>-4.3025210084034882</v>
      </c>
      <c r="Q59" s="97">
        <f t="shared" si="73"/>
        <v>0.9634285714285703</v>
      </c>
      <c r="R59" s="571"/>
      <c r="S59" s="24">
        <v>0.70833333333333337</v>
      </c>
      <c r="T59" s="24">
        <v>0.75694444444444453</v>
      </c>
      <c r="U59" s="92" t="str">
        <f t="shared" si="74"/>
        <v/>
      </c>
      <c r="V59" s="94">
        <f t="shared" si="69"/>
        <v>70.000000000000071</v>
      </c>
      <c r="W59" s="13"/>
      <c r="X59" s="13"/>
      <c r="Y59" s="98"/>
      <c r="Z59" s="99"/>
      <c r="AA59" s="11">
        <f t="shared" si="2"/>
        <v>-73.142857142859384</v>
      </c>
      <c r="AB59" s="97">
        <f t="shared" si="56"/>
        <v>0.9634285714285703</v>
      </c>
      <c r="AC59" s="571"/>
    </row>
    <row r="60" spans="1:29" ht="15.75" customHeight="1">
      <c r="A60" s="633" t="s">
        <v>269</v>
      </c>
      <c r="B60" s="26" t="s">
        <v>36</v>
      </c>
      <c r="C60" s="102" t="s">
        <v>77</v>
      </c>
      <c r="D60" s="103"/>
      <c r="E60" s="26">
        <v>55.32</v>
      </c>
      <c r="F60" s="28">
        <v>1848</v>
      </c>
      <c r="G60" s="92">
        <f t="shared" si="66"/>
        <v>102231.36</v>
      </c>
      <c r="H60" s="21" t="s">
        <v>35</v>
      </c>
      <c r="I60" s="95">
        <v>15</v>
      </c>
      <c r="J60" s="23">
        <v>2000</v>
      </c>
      <c r="K60" s="9">
        <f t="shared" si="67"/>
        <v>133.33333333333334</v>
      </c>
      <c r="L60" s="95">
        <v>15</v>
      </c>
      <c r="M60" s="10">
        <f t="shared" si="68"/>
        <v>1911.7241379310358</v>
      </c>
      <c r="N60" s="10">
        <f t="shared" si="70"/>
        <v>127.44827586206905</v>
      </c>
      <c r="O60" s="11">
        <f t="shared" si="71"/>
        <v>0</v>
      </c>
      <c r="P60" s="12">
        <f t="shared" si="72"/>
        <v>-5.8850574712642896</v>
      </c>
      <c r="Q60" s="97">
        <f t="shared" si="73"/>
        <v>0.95586206896551784</v>
      </c>
      <c r="R60" s="571"/>
      <c r="S60" s="24">
        <v>0.76041666666666674</v>
      </c>
      <c r="T60" s="24">
        <v>0.80069444444444449</v>
      </c>
      <c r="U60" s="92">
        <f t="shared" si="74"/>
        <v>4.9999999999999822</v>
      </c>
      <c r="V60" s="94">
        <f t="shared" si="69"/>
        <v>57.999999999999957</v>
      </c>
      <c r="W60" s="13"/>
      <c r="X60" s="13"/>
      <c r="Y60" s="98"/>
      <c r="Z60" s="99"/>
      <c r="AA60" s="11">
        <f t="shared" si="2"/>
        <v>-88.275862068964216</v>
      </c>
      <c r="AB60" s="97">
        <f t="shared" si="56"/>
        <v>0.95586206896551784</v>
      </c>
      <c r="AC60" s="571"/>
    </row>
    <row r="61" spans="1:29" ht="15.75" customHeight="1">
      <c r="A61" s="633" t="s">
        <v>269</v>
      </c>
      <c r="B61" s="26" t="s">
        <v>36</v>
      </c>
      <c r="C61" s="627" t="s">
        <v>78</v>
      </c>
      <c r="D61" s="628"/>
      <c r="E61" s="26">
        <v>57.73</v>
      </c>
      <c r="F61" s="28">
        <v>1223</v>
      </c>
      <c r="G61" s="92">
        <f t="shared" si="66"/>
        <v>70603.789999999994</v>
      </c>
      <c r="H61" s="21" t="s">
        <v>35</v>
      </c>
      <c r="I61" s="95">
        <v>16</v>
      </c>
      <c r="J61" s="23">
        <v>1500</v>
      </c>
      <c r="K61" s="9">
        <f t="shared" si="67"/>
        <v>93.75</v>
      </c>
      <c r="L61" s="95">
        <v>16</v>
      </c>
      <c r="M61" s="10">
        <f t="shared" si="68"/>
        <v>1438.8235294117653</v>
      </c>
      <c r="N61" s="10">
        <f t="shared" si="70"/>
        <v>89.926470588235333</v>
      </c>
      <c r="O61" s="11">
        <f t="shared" si="71"/>
        <v>0</v>
      </c>
      <c r="P61" s="12">
        <f t="shared" si="72"/>
        <v>-3.8235294117646674</v>
      </c>
      <c r="Q61" s="97">
        <f t="shared" si="73"/>
        <v>0.95921568627451026</v>
      </c>
      <c r="R61" s="571"/>
      <c r="S61" s="24">
        <v>0.80625000000000002</v>
      </c>
      <c r="T61" s="24">
        <v>0.84166666666666667</v>
      </c>
      <c r="U61" s="92">
        <f t="shared" si="74"/>
        <v>7.9999999999999716</v>
      </c>
      <c r="V61" s="94">
        <f t="shared" si="69"/>
        <v>50.999999999999979</v>
      </c>
      <c r="W61" s="13"/>
      <c r="X61" s="13"/>
      <c r="Y61" s="621"/>
      <c r="Z61" s="622"/>
      <c r="AA61" s="11">
        <f t="shared" si="2"/>
        <v>-61.176470588234679</v>
      </c>
      <c r="AB61" s="97">
        <f t="shared" si="56"/>
        <v>0.95921568627451026</v>
      </c>
      <c r="AC61" s="571"/>
    </row>
    <row r="62" spans="1:29">
      <c r="A62" s="634" t="s">
        <v>269</v>
      </c>
      <c r="B62" s="26" t="s">
        <v>265</v>
      </c>
      <c r="C62" s="629"/>
      <c r="D62" s="629"/>
      <c r="E62" s="96"/>
      <c r="F62" s="27"/>
      <c r="G62" s="9"/>
      <c r="H62" s="93"/>
      <c r="I62" s="16">
        <v>16.333333333333332</v>
      </c>
      <c r="J62" s="23">
        <v>1916.6666666666667</v>
      </c>
      <c r="K62" s="9">
        <f>J62/I62</f>
        <v>117.34693877551021</v>
      </c>
      <c r="L62" s="16">
        <v>16.333333333333332</v>
      </c>
      <c r="M62" s="10">
        <f>AVERAGE(M56:M61)</f>
        <v>1835.8699054745305</v>
      </c>
      <c r="N62" s="9">
        <f>M62/L62</f>
        <v>112.40019829435901</v>
      </c>
      <c r="O62" s="11">
        <f>L62-I62</f>
        <v>0</v>
      </c>
      <c r="P62" s="12">
        <f>N62-K62</f>
        <v>-4.9467404811511955</v>
      </c>
      <c r="Q62" s="97">
        <f>N62/K62</f>
        <v>0.95784516807366804</v>
      </c>
      <c r="R62" s="571"/>
      <c r="S62" s="25"/>
      <c r="T62" s="24"/>
      <c r="U62" s="9"/>
      <c r="V62" s="94"/>
      <c r="W62" s="9"/>
      <c r="X62" s="9"/>
      <c r="Y62" s="617"/>
      <c r="Z62" s="617"/>
      <c r="AA62" s="11">
        <f t="shared" si="2"/>
        <v>-80.796761192136273</v>
      </c>
      <c r="AB62" s="97">
        <f t="shared" si="56"/>
        <v>0.95784516807366804</v>
      </c>
      <c r="AC62" s="571"/>
    </row>
    <row r="63" spans="1:29" ht="15.75" customHeight="1">
      <c r="A63" s="623" t="s">
        <v>270</v>
      </c>
      <c r="B63" s="93" t="s">
        <v>67</v>
      </c>
      <c r="C63" s="616" t="s">
        <v>79</v>
      </c>
      <c r="D63" s="616"/>
      <c r="E63" s="26">
        <v>26.78</v>
      </c>
      <c r="F63" s="28">
        <v>2817</v>
      </c>
      <c r="G63" s="92">
        <f t="shared" ref="G63:G67" si="75">E63*F63</f>
        <v>75439.260000000009</v>
      </c>
      <c r="H63" s="21" t="s">
        <v>35</v>
      </c>
      <c r="I63" s="95">
        <v>10</v>
      </c>
      <c r="J63" s="23">
        <v>3000</v>
      </c>
      <c r="K63" s="9">
        <f t="shared" ref="K63:K67" si="76">J63/I63</f>
        <v>300</v>
      </c>
      <c r="L63" s="16">
        <v>10</v>
      </c>
      <c r="M63" s="10">
        <f t="shared" ref="M63:M67" si="77">F63/V63*60</f>
        <v>2864.7457627118647</v>
      </c>
      <c r="N63" s="9">
        <f>M63/L63</f>
        <v>286.47457627118649</v>
      </c>
      <c r="O63" s="11">
        <f t="shared" ref="O63:O67" si="78">L63-I63</f>
        <v>0</v>
      </c>
      <c r="P63" s="12">
        <f t="shared" ref="P63:P67" si="79">N63-K63</f>
        <v>-13.525423728813507</v>
      </c>
      <c r="Q63" s="97">
        <f>N63/K63</f>
        <v>0.95491525423728829</v>
      </c>
      <c r="R63" s="571">
        <f>Q68</f>
        <v>0.96076758158130571</v>
      </c>
      <c r="S63" s="24">
        <v>0.20833333333333334</v>
      </c>
      <c r="T63" s="24">
        <v>0.24930555555555556</v>
      </c>
      <c r="U63" s="92"/>
      <c r="V63" s="94">
        <f t="shared" ref="V63:V67" si="80">(T63-S63)*24*60</f>
        <v>58.999999999999993</v>
      </c>
      <c r="W63" s="15"/>
      <c r="X63" s="15"/>
      <c r="Y63" s="617"/>
      <c r="Z63" s="617"/>
      <c r="AA63" s="11">
        <f t="shared" si="2"/>
        <v>-135.2542372881353</v>
      </c>
      <c r="AB63" s="97">
        <f t="shared" si="56"/>
        <v>0.95491525423728818</v>
      </c>
      <c r="AC63" s="571">
        <f>AB68</f>
        <v>0.96076758158130582</v>
      </c>
    </row>
    <row r="64" spans="1:29" ht="15.75" customHeight="1">
      <c r="A64" s="623" t="s">
        <v>270</v>
      </c>
      <c r="B64" s="93" t="s">
        <v>67</v>
      </c>
      <c r="C64" s="616" t="s">
        <v>80</v>
      </c>
      <c r="D64" s="616"/>
      <c r="E64" s="26">
        <v>35.119999999999997</v>
      </c>
      <c r="F64" s="28">
        <v>1307</v>
      </c>
      <c r="G64" s="92">
        <f t="shared" si="75"/>
        <v>45901.84</v>
      </c>
      <c r="H64" s="21" t="s">
        <v>35</v>
      </c>
      <c r="I64" s="95">
        <v>13</v>
      </c>
      <c r="J64" s="23">
        <v>2000</v>
      </c>
      <c r="K64" s="9">
        <f t="shared" si="76"/>
        <v>153.84615384615384</v>
      </c>
      <c r="L64" s="16">
        <v>13</v>
      </c>
      <c r="M64" s="10">
        <f t="shared" si="77"/>
        <v>1912.6829268292677</v>
      </c>
      <c r="N64" s="9">
        <f t="shared" ref="N64:N67" si="81">M64/L64</f>
        <v>147.12945590994366</v>
      </c>
      <c r="O64" s="11">
        <f t="shared" si="78"/>
        <v>0</v>
      </c>
      <c r="P64" s="12">
        <f t="shared" si="79"/>
        <v>-6.7166979362101813</v>
      </c>
      <c r="Q64" s="97">
        <f t="shared" ref="Q64:Q67" si="82">N64/K64</f>
        <v>0.95634146341463377</v>
      </c>
      <c r="R64" s="571"/>
      <c r="S64" s="24">
        <v>0.25486111111111109</v>
      </c>
      <c r="T64" s="24">
        <v>0.28333333333333333</v>
      </c>
      <c r="U64" s="92">
        <f>(S64-T63)*24*60</f>
        <v>7.9999999999999716</v>
      </c>
      <c r="V64" s="94">
        <f t="shared" si="80"/>
        <v>41.000000000000014</v>
      </c>
      <c r="W64" s="92"/>
      <c r="X64" s="92"/>
      <c r="Y64" s="617"/>
      <c r="Z64" s="617"/>
      <c r="AA64" s="11">
        <f t="shared" si="2"/>
        <v>-87.317073170732328</v>
      </c>
      <c r="AB64" s="97">
        <f t="shared" si="56"/>
        <v>0.95634146341463389</v>
      </c>
      <c r="AC64" s="571"/>
    </row>
    <row r="65" spans="1:29" ht="15.75" customHeight="1">
      <c r="A65" s="623" t="s">
        <v>270</v>
      </c>
      <c r="B65" s="93" t="s">
        <v>67</v>
      </c>
      <c r="C65" s="616" t="s">
        <v>81</v>
      </c>
      <c r="D65" s="616"/>
      <c r="E65" s="26">
        <v>35.869999999999997</v>
      </c>
      <c r="F65" s="28">
        <v>2348</v>
      </c>
      <c r="G65" s="92">
        <f t="shared" si="75"/>
        <v>84222.76</v>
      </c>
      <c r="H65" s="21" t="s">
        <v>35</v>
      </c>
      <c r="I65" s="95">
        <v>10</v>
      </c>
      <c r="J65" s="23">
        <v>3000</v>
      </c>
      <c r="K65" s="9">
        <f t="shared" si="76"/>
        <v>300</v>
      </c>
      <c r="L65" s="16">
        <v>10</v>
      </c>
      <c r="M65" s="10">
        <f t="shared" si="77"/>
        <v>2875.1020408163272</v>
      </c>
      <c r="N65" s="9">
        <f t="shared" si="81"/>
        <v>287.51020408163271</v>
      </c>
      <c r="O65" s="11">
        <f t="shared" si="78"/>
        <v>0</v>
      </c>
      <c r="P65" s="12">
        <f t="shared" si="79"/>
        <v>-12.489795918367292</v>
      </c>
      <c r="Q65" s="97">
        <f t="shared" si="82"/>
        <v>0.95836734693877568</v>
      </c>
      <c r="R65" s="571"/>
      <c r="S65" s="24">
        <v>0.28680555555555554</v>
      </c>
      <c r="T65" s="24">
        <v>0.3208333333333333</v>
      </c>
      <c r="U65" s="92">
        <f t="shared" ref="U65:U67" si="83">(S65-T64)*24*60</f>
        <v>4.9999999999999822</v>
      </c>
      <c r="V65" s="94">
        <f t="shared" si="80"/>
        <v>48.999999999999986</v>
      </c>
      <c r="W65" s="92"/>
      <c r="X65" s="92"/>
      <c r="Y65" s="617"/>
      <c r="Z65" s="617"/>
      <c r="AA65" s="11">
        <f t="shared" si="2"/>
        <v>-124.89795918367281</v>
      </c>
      <c r="AB65" s="97">
        <f t="shared" si="56"/>
        <v>0.95836734693877568</v>
      </c>
      <c r="AC65" s="571"/>
    </row>
    <row r="66" spans="1:29" ht="15.75" customHeight="1">
      <c r="A66" s="623" t="s">
        <v>270</v>
      </c>
      <c r="B66" s="93" t="s">
        <v>40</v>
      </c>
      <c r="C66" s="616" t="s">
        <v>82</v>
      </c>
      <c r="D66" s="616"/>
      <c r="E66" s="26">
        <v>26.97</v>
      </c>
      <c r="F66" s="28">
        <v>3466</v>
      </c>
      <c r="G66" s="92">
        <f t="shared" si="75"/>
        <v>93478.01999999999</v>
      </c>
      <c r="H66" s="21" t="s">
        <v>35</v>
      </c>
      <c r="I66" s="95">
        <v>8</v>
      </c>
      <c r="J66" s="23">
        <v>1500</v>
      </c>
      <c r="K66" s="9">
        <f t="shared" si="76"/>
        <v>187.5</v>
      </c>
      <c r="L66" s="16">
        <v>8</v>
      </c>
      <c r="M66" s="10">
        <f t="shared" si="77"/>
        <v>1434.2068965517244</v>
      </c>
      <c r="N66" s="9">
        <f t="shared" si="81"/>
        <v>179.27586206896555</v>
      </c>
      <c r="O66" s="11">
        <f t="shared" si="78"/>
        <v>0</v>
      </c>
      <c r="P66" s="12">
        <f t="shared" si="79"/>
        <v>-8.2241379310344485</v>
      </c>
      <c r="Q66" s="97">
        <f t="shared" si="82"/>
        <v>0.95613793103448297</v>
      </c>
      <c r="R66" s="571"/>
      <c r="S66" s="24">
        <v>0.32499999999999996</v>
      </c>
      <c r="T66" s="24">
        <v>0.42569444444444438</v>
      </c>
      <c r="U66" s="92">
        <f t="shared" si="83"/>
        <v>5.9999999999999787</v>
      </c>
      <c r="V66" s="94">
        <f t="shared" si="80"/>
        <v>144.99999999999997</v>
      </c>
      <c r="W66" s="92"/>
      <c r="X66" s="92"/>
      <c r="Y66" s="617"/>
      <c r="Z66" s="617"/>
      <c r="AA66" s="11">
        <f t="shared" si="2"/>
        <v>-65.793103448275588</v>
      </c>
      <c r="AB66" s="97">
        <f t="shared" si="56"/>
        <v>0.95613793103448297</v>
      </c>
      <c r="AC66" s="571"/>
    </row>
    <row r="67" spans="1:29">
      <c r="A67" s="624" t="s">
        <v>270</v>
      </c>
      <c r="B67" s="93" t="s">
        <v>67</v>
      </c>
      <c r="C67" s="616" t="s">
        <v>83</v>
      </c>
      <c r="D67" s="616"/>
      <c r="E67" s="26">
        <v>35.369999999999997</v>
      </c>
      <c r="F67" s="28">
        <v>1705</v>
      </c>
      <c r="G67" s="92">
        <f t="shared" si="75"/>
        <v>60305.85</v>
      </c>
      <c r="H67" s="21" t="s">
        <v>35</v>
      </c>
      <c r="I67" s="95">
        <v>10</v>
      </c>
      <c r="J67" s="23">
        <v>3000</v>
      </c>
      <c r="K67" s="9">
        <f t="shared" si="76"/>
        <v>300</v>
      </c>
      <c r="L67" s="16">
        <v>10</v>
      </c>
      <c r="M67" s="10">
        <f t="shared" si="77"/>
        <v>2922.8571428571399</v>
      </c>
      <c r="N67" s="9">
        <f t="shared" si="81"/>
        <v>292.28571428571399</v>
      </c>
      <c r="O67" s="11">
        <f t="shared" si="78"/>
        <v>0</v>
      </c>
      <c r="P67" s="12">
        <f t="shared" si="79"/>
        <v>-7.7142857142860066</v>
      </c>
      <c r="Q67" s="97">
        <f t="shared" si="82"/>
        <v>0.97428571428571331</v>
      </c>
      <c r="R67" s="571"/>
      <c r="S67" s="24">
        <v>0.43124999999999991</v>
      </c>
      <c r="T67" s="24">
        <v>0.45555555555555549</v>
      </c>
      <c r="U67" s="92">
        <f t="shared" si="83"/>
        <v>7.9999999999999716</v>
      </c>
      <c r="V67" s="94">
        <f t="shared" si="80"/>
        <v>35.000000000000036</v>
      </c>
      <c r="W67" s="13"/>
      <c r="X67" s="13"/>
      <c r="Y67" s="617"/>
      <c r="Z67" s="617"/>
      <c r="AA67" s="11">
        <f t="shared" si="2"/>
        <v>-77.142857142860066</v>
      </c>
      <c r="AB67" s="97">
        <f t="shared" si="56"/>
        <v>0.97428571428571331</v>
      </c>
      <c r="AC67" s="571"/>
    </row>
    <row r="68" spans="1:29">
      <c r="A68" s="624" t="s">
        <v>270</v>
      </c>
      <c r="B68" s="26" t="s">
        <v>265</v>
      </c>
      <c r="C68" s="629"/>
      <c r="D68" s="629"/>
      <c r="E68" s="96"/>
      <c r="F68" s="27"/>
      <c r="G68" s="9"/>
      <c r="H68" s="93"/>
      <c r="I68" s="16">
        <v>10.199999999999999</v>
      </c>
      <c r="J68" s="23">
        <v>2500</v>
      </c>
      <c r="K68" s="9">
        <f>J68/I68</f>
        <v>245.0980392156863</v>
      </c>
      <c r="L68" s="16">
        <v>10.199999999999999</v>
      </c>
      <c r="M68" s="10">
        <f>AVERAGE(M63:M67)</f>
        <v>2401.9189539532645</v>
      </c>
      <c r="N68" s="9">
        <f>M68/L68</f>
        <v>235.48225038757496</v>
      </c>
      <c r="O68" s="11">
        <f>L68-I68</f>
        <v>0</v>
      </c>
      <c r="P68" s="12">
        <f>N68-K68</f>
        <v>-9.6157888281113344</v>
      </c>
      <c r="Q68" s="97">
        <f>N68/K68</f>
        <v>0.96076758158130571</v>
      </c>
      <c r="R68" s="571"/>
      <c r="S68" s="24"/>
      <c r="T68" s="24"/>
      <c r="U68" s="9"/>
      <c r="V68" s="94"/>
      <c r="W68" s="9"/>
      <c r="X68" s="9"/>
      <c r="Y68" s="617"/>
      <c r="Z68" s="617"/>
      <c r="AA68" s="11">
        <f t="shared" si="2"/>
        <v>-98.081046046735537</v>
      </c>
      <c r="AB68" s="97">
        <f t="shared" si="56"/>
        <v>0.96076758158130582</v>
      </c>
      <c r="AC68" s="571"/>
    </row>
    <row r="69" spans="1:29" ht="15.75" customHeight="1">
      <c r="A69" s="643" t="s">
        <v>271</v>
      </c>
      <c r="B69" s="93" t="s">
        <v>46</v>
      </c>
      <c r="C69" s="616" t="s">
        <v>84</v>
      </c>
      <c r="D69" s="616"/>
      <c r="E69" s="26">
        <v>20.2</v>
      </c>
      <c r="F69" s="93">
        <v>2877</v>
      </c>
      <c r="G69" s="92">
        <f t="shared" ref="G69:G76" si="84">E69*F69</f>
        <v>58115.4</v>
      </c>
      <c r="H69" s="21" t="s">
        <v>35</v>
      </c>
      <c r="I69" s="95">
        <v>19</v>
      </c>
      <c r="J69" s="23">
        <v>2400</v>
      </c>
      <c r="K69" s="9">
        <f t="shared" ref="K69:K71" si="85">J69/I69</f>
        <v>126.31578947368421</v>
      </c>
      <c r="L69" s="16">
        <v>19</v>
      </c>
      <c r="M69" s="10">
        <f>F69/V69*60</f>
        <v>2301.5999999999995</v>
      </c>
      <c r="N69" s="9">
        <f t="shared" ref="N69:N76" si="86">M69/L69</f>
        <v>121.13684210526313</v>
      </c>
      <c r="O69" s="11">
        <f t="shared" ref="O69:O76" si="87">L69-I69</f>
        <v>0</v>
      </c>
      <c r="P69" s="12">
        <f t="shared" ref="P69:P76" si="88">N69-K69</f>
        <v>-5.1789473684210776</v>
      </c>
      <c r="Q69" s="97">
        <f>N69/K69</f>
        <v>0.95899999999999985</v>
      </c>
      <c r="R69" s="571">
        <f>Q77</f>
        <v>0.95492886700237634</v>
      </c>
      <c r="S69" s="24">
        <v>0.125</v>
      </c>
      <c r="T69" s="24">
        <v>0.17708333333333334</v>
      </c>
      <c r="U69" s="15"/>
      <c r="V69" s="94">
        <f t="shared" ref="V69:V76" si="89">(T69-S69)*24*60</f>
        <v>75.000000000000014</v>
      </c>
      <c r="W69" s="13">
        <f>T69</f>
        <v>0.17708333333333334</v>
      </c>
      <c r="X69" s="13">
        <f>S70</f>
        <v>0.19722222222222224</v>
      </c>
      <c r="Y69" s="617"/>
      <c r="Z69" s="617"/>
      <c r="AA69" s="11">
        <f t="shared" ref="AA69:AA77" si="90">M69-J69</f>
        <v>-98.400000000000546</v>
      </c>
      <c r="AB69" s="97">
        <f>M69/J69</f>
        <v>0.95899999999999974</v>
      </c>
      <c r="AC69" s="571">
        <f>AB77</f>
        <v>0.95492886700237645</v>
      </c>
    </row>
    <row r="70" spans="1:29" ht="15.75" customHeight="1">
      <c r="A70" s="643" t="s">
        <v>271</v>
      </c>
      <c r="B70" s="93" t="s">
        <v>46</v>
      </c>
      <c r="C70" s="616" t="s">
        <v>85</v>
      </c>
      <c r="D70" s="616"/>
      <c r="E70" s="26">
        <v>19.02</v>
      </c>
      <c r="F70" s="93">
        <v>6200</v>
      </c>
      <c r="G70" s="92">
        <f t="shared" si="84"/>
        <v>117924</v>
      </c>
      <c r="H70" s="21">
        <v>2</v>
      </c>
      <c r="I70" s="95">
        <v>15</v>
      </c>
      <c r="J70" s="23">
        <v>2400</v>
      </c>
      <c r="K70" s="9">
        <f t="shared" si="85"/>
        <v>160</v>
      </c>
      <c r="L70" s="16">
        <v>15</v>
      </c>
      <c r="M70" s="10">
        <f t="shared" ref="M70:M76" si="91">F70/V70*60</f>
        <v>2282.2085889570553</v>
      </c>
      <c r="N70" s="9">
        <f t="shared" si="86"/>
        <v>152.1472392638037</v>
      </c>
      <c r="O70" s="11">
        <f t="shared" si="87"/>
        <v>0</v>
      </c>
      <c r="P70" s="12">
        <f t="shared" si="88"/>
        <v>-7.8527607361963021</v>
      </c>
      <c r="Q70" s="97">
        <f t="shared" ref="Q70:Q77" si="92">N70/K70</f>
        <v>0.95092024539877307</v>
      </c>
      <c r="R70" s="571"/>
      <c r="S70" s="24">
        <v>0.19722222222222224</v>
      </c>
      <c r="T70" s="24">
        <v>0.31041666666666667</v>
      </c>
      <c r="U70" s="92">
        <f>(S70-T69)*24*60</f>
        <v>29.000000000000018</v>
      </c>
      <c r="V70" s="94">
        <f t="shared" si="89"/>
        <v>162.99999999999997</v>
      </c>
      <c r="W70" s="13"/>
      <c r="X70" s="13"/>
      <c r="Y70" s="617"/>
      <c r="Z70" s="617"/>
      <c r="AA70" s="11">
        <f t="shared" si="90"/>
        <v>-117.79141104294467</v>
      </c>
      <c r="AB70" s="97">
        <f t="shared" ref="AB70:AB77" si="93">M70/J70</f>
        <v>0.95092024539877307</v>
      </c>
      <c r="AC70" s="571"/>
    </row>
    <row r="71" spans="1:29" ht="15.75" customHeight="1">
      <c r="A71" s="643" t="s">
        <v>271</v>
      </c>
      <c r="B71" s="93" t="s">
        <v>46</v>
      </c>
      <c r="C71" s="616" t="s">
        <v>86</v>
      </c>
      <c r="D71" s="616"/>
      <c r="E71" s="26">
        <v>24.25</v>
      </c>
      <c r="F71" s="93">
        <v>3391</v>
      </c>
      <c r="G71" s="92">
        <f t="shared" si="84"/>
        <v>82231.75</v>
      </c>
      <c r="H71" s="21" t="s">
        <v>35</v>
      </c>
      <c r="I71" s="95">
        <v>18</v>
      </c>
      <c r="J71" s="23">
        <v>2400</v>
      </c>
      <c r="K71" s="9">
        <f t="shared" si="85"/>
        <v>133.33333333333334</v>
      </c>
      <c r="L71" s="16">
        <v>18</v>
      </c>
      <c r="M71" s="10">
        <f t="shared" si="91"/>
        <v>2286.067415730337</v>
      </c>
      <c r="N71" s="9">
        <f t="shared" si="86"/>
        <v>127.00374531835206</v>
      </c>
      <c r="O71" s="11">
        <f t="shared" si="87"/>
        <v>0</v>
      </c>
      <c r="P71" s="12">
        <f t="shared" si="88"/>
        <v>-6.3295880149812831</v>
      </c>
      <c r="Q71" s="97">
        <f t="shared" si="92"/>
        <v>0.95252808988764037</v>
      </c>
      <c r="R71" s="571"/>
      <c r="S71" s="24">
        <v>0.31527777777777777</v>
      </c>
      <c r="T71" s="24">
        <v>0.37708333333333333</v>
      </c>
      <c r="U71" s="92">
        <f t="shared" ref="U71:U76" si="94">(S71-T70)*24*60</f>
        <v>6.9999999999999751</v>
      </c>
      <c r="V71" s="94">
        <f t="shared" si="89"/>
        <v>89</v>
      </c>
      <c r="W71" s="13"/>
      <c r="X71" s="13"/>
      <c r="Y71" s="617"/>
      <c r="Z71" s="617"/>
      <c r="AA71" s="11">
        <f t="shared" si="90"/>
        <v>-113.93258426966304</v>
      </c>
      <c r="AB71" s="97">
        <f t="shared" si="93"/>
        <v>0.95252808988764037</v>
      </c>
      <c r="AC71" s="571"/>
    </row>
    <row r="72" spans="1:29" ht="15.75" customHeight="1">
      <c r="A72" s="643" t="s">
        <v>271</v>
      </c>
      <c r="B72" s="93" t="s">
        <v>46</v>
      </c>
      <c r="C72" s="616" t="s">
        <v>87</v>
      </c>
      <c r="D72" s="616"/>
      <c r="E72" s="26">
        <v>20.52</v>
      </c>
      <c r="F72" s="93">
        <v>3200</v>
      </c>
      <c r="G72" s="92">
        <f t="shared" si="84"/>
        <v>65664</v>
      </c>
      <c r="H72" s="21">
        <v>2</v>
      </c>
      <c r="I72" s="95">
        <v>18</v>
      </c>
      <c r="J72" s="23">
        <v>2400</v>
      </c>
      <c r="K72" s="9">
        <f>J72/I72</f>
        <v>133.33333333333334</v>
      </c>
      <c r="L72" s="16">
        <v>18</v>
      </c>
      <c r="M72" s="10">
        <f t="shared" si="91"/>
        <v>2285.7142857142849</v>
      </c>
      <c r="N72" s="9">
        <f t="shared" si="86"/>
        <v>126.98412698412693</v>
      </c>
      <c r="O72" s="11">
        <f t="shared" si="87"/>
        <v>0</v>
      </c>
      <c r="P72" s="12">
        <f t="shared" si="88"/>
        <v>-6.3492063492064119</v>
      </c>
      <c r="Q72" s="97">
        <f t="shared" si="92"/>
        <v>0.95238095238095188</v>
      </c>
      <c r="R72" s="571"/>
      <c r="S72" s="24">
        <v>0.38124999999999998</v>
      </c>
      <c r="T72" s="24">
        <v>0.43958333333333333</v>
      </c>
      <c r="U72" s="92">
        <f t="shared" si="94"/>
        <v>5.9999999999999787</v>
      </c>
      <c r="V72" s="94">
        <f t="shared" si="89"/>
        <v>84.000000000000028</v>
      </c>
      <c r="W72" s="13"/>
      <c r="X72" s="13"/>
      <c r="Y72" s="617"/>
      <c r="Z72" s="617"/>
      <c r="AA72" s="11">
        <f t="shared" si="90"/>
        <v>-114.28571428571513</v>
      </c>
      <c r="AB72" s="97">
        <f t="shared" si="93"/>
        <v>0.952380952380952</v>
      </c>
      <c r="AC72" s="571"/>
    </row>
    <row r="73" spans="1:29" ht="15.75" customHeight="1">
      <c r="A73" s="643" t="s">
        <v>271</v>
      </c>
      <c r="B73" s="93" t="s">
        <v>46</v>
      </c>
      <c r="C73" s="616" t="s">
        <v>88</v>
      </c>
      <c r="D73" s="616"/>
      <c r="E73" s="26">
        <v>24.25</v>
      </c>
      <c r="F73" s="93">
        <v>2950</v>
      </c>
      <c r="G73" s="92">
        <f t="shared" si="84"/>
        <v>71537.5</v>
      </c>
      <c r="H73" s="21">
        <v>2</v>
      </c>
      <c r="I73" s="95">
        <v>17</v>
      </c>
      <c r="J73" s="23">
        <v>2400</v>
      </c>
      <c r="K73" s="9">
        <f t="shared" ref="K73:K77" si="95">J73/I73</f>
        <v>141.1764705882353</v>
      </c>
      <c r="L73" s="16">
        <v>17</v>
      </c>
      <c r="M73" s="10">
        <f t="shared" si="91"/>
        <v>2298.7012987012977</v>
      </c>
      <c r="N73" s="9">
        <f t="shared" si="86"/>
        <v>135.2177234530175</v>
      </c>
      <c r="O73" s="11">
        <f t="shared" si="87"/>
        <v>0</v>
      </c>
      <c r="P73" s="12">
        <f t="shared" si="88"/>
        <v>-5.9587471352178056</v>
      </c>
      <c r="Q73" s="97">
        <f t="shared" si="92"/>
        <v>0.9577922077922072</v>
      </c>
      <c r="R73" s="571"/>
      <c r="S73" s="24">
        <v>0.44513888888888886</v>
      </c>
      <c r="T73" s="24">
        <v>0.49861111111111112</v>
      </c>
      <c r="U73" s="92">
        <f t="shared" si="94"/>
        <v>7.9999999999999716</v>
      </c>
      <c r="V73" s="94">
        <f t="shared" si="89"/>
        <v>77.000000000000043</v>
      </c>
      <c r="W73" s="13">
        <f>T73</f>
        <v>0.49861111111111112</v>
      </c>
      <c r="X73" s="13">
        <f>S74</f>
        <v>0.54097222222222219</v>
      </c>
      <c r="Y73" s="617"/>
      <c r="Z73" s="617"/>
      <c r="AA73" s="11">
        <f t="shared" si="90"/>
        <v>-101.29870129870233</v>
      </c>
      <c r="AB73" s="97">
        <f t="shared" si="93"/>
        <v>0.95779220779220742</v>
      </c>
      <c r="AC73" s="571"/>
    </row>
    <row r="74" spans="1:29" ht="15.75" customHeight="1">
      <c r="A74" s="643" t="s">
        <v>271</v>
      </c>
      <c r="B74" s="93" t="s">
        <v>46</v>
      </c>
      <c r="C74" s="616" t="s">
        <v>85</v>
      </c>
      <c r="D74" s="616"/>
      <c r="E74" s="26">
        <v>19.02</v>
      </c>
      <c r="F74" s="93">
        <v>4950</v>
      </c>
      <c r="G74" s="92">
        <f t="shared" si="84"/>
        <v>94149</v>
      </c>
      <c r="H74" s="21" t="s">
        <v>35</v>
      </c>
      <c r="I74" s="95">
        <v>15</v>
      </c>
      <c r="J74" s="23">
        <v>2400</v>
      </c>
      <c r="K74" s="9">
        <f t="shared" si="95"/>
        <v>160</v>
      </c>
      <c r="L74" s="16">
        <v>15</v>
      </c>
      <c r="M74" s="10">
        <f t="shared" si="91"/>
        <v>2284.6153846153838</v>
      </c>
      <c r="N74" s="9">
        <f t="shared" si="86"/>
        <v>152.30769230769226</v>
      </c>
      <c r="O74" s="11">
        <f t="shared" si="87"/>
        <v>0</v>
      </c>
      <c r="P74" s="12">
        <f t="shared" si="88"/>
        <v>-7.692307692307736</v>
      </c>
      <c r="Q74" s="97">
        <f t="shared" si="92"/>
        <v>0.95192307692307665</v>
      </c>
      <c r="R74" s="571"/>
      <c r="S74" s="24">
        <v>0.54097222222222219</v>
      </c>
      <c r="T74" s="24">
        <v>0.63124999999999998</v>
      </c>
      <c r="U74" s="92">
        <f t="shared" si="94"/>
        <v>60.999999999999943</v>
      </c>
      <c r="V74" s="94">
        <f t="shared" si="89"/>
        <v>130.00000000000003</v>
      </c>
      <c r="W74" s="13"/>
      <c r="X74" s="13"/>
      <c r="Y74" s="617"/>
      <c r="Z74" s="617"/>
      <c r="AA74" s="11">
        <f t="shared" si="90"/>
        <v>-115.38461538461615</v>
      </c>
      <c r="AB74" s="97">
        <f t="shared" si="93"/>
        <v>0.95192307692307665</v>
      </c>
      <c r="AC74" s="571"/>
    </row>
    <row r="75" spans="1:29" ht="15.75" customHeight="1">
      <c r="A75" s="643" t="s">
        <v>271</v>
      </c>
      <c r="B75" s="93" t="s">
        <v>46</v>
      </c>
      <c r="C75" s="627" t="s">
        <v>88</v>
      </c>
      <c r="D75" s="628"/>
      <c r="E75" s="26">
        <v>24.25</v>
      </c>
      <c r="F75" s="93">
        <v>2109</v>
      </c>
      <c r="G75" s="92">
        <f t="shared" si="84"/>
        <v>51143.25</v>
      </c>
      <c r="H75" s="21" t="s">
        <v>35</v>
      </c>
      <c r="I75" s="95">
        <v>17</v>
      </c>
      <c r="J75" s="23">
        <v>2400</v>
      </c>
      <c r="K75" s="9">
        <f t="shared" si="95"/>
        <v>141.1764705882353</v>
      </c>
      <c r="L75" s="16">
        <v>17</v>
      </c>
      <c r="M75" s="10">
        <f t="shared" si="91"/>
        <v>2300.7272727272743</v>
      </c>
      <c r="N75" s="9">
        <f t="shared" si="86"/>
        <v>135.33689839572202</v>
      </c>
      <c r="O75" s="11">
        <f t="shared" si="87"/>
        <v>0</v>
      </c>
      <c r="P75" s="12">
        <f t="shared" si="88"/>
        <v>-5.8395721925132875</v>
      </c>
      <c r="Q75" s="97">
        <f t="shared" si="92"/>
        <v>0.95863636363636417</v>
      </c>
      <c r="R75" s="571"/>
      <c r="S75" s="24">
        <v>0.63680555555555551</v>
      </c>
      <c r="T75" s="24">
        <v>0.67499999999999993</v>
      </c>
      <c r="U75" s="92">
        <f t="shared" si="94"/>
        <v>7.9999999999999716</v>
      </c>
      <c r="V75" s="94">
        <f t="shared" si="89"/>
        <v>54.999999999999964</v>
      </c>
      <c r="W75" s="13"/>
      <c r="X75" s="13"/>
      <c r="Y75" s="621"/>
      <c r="Z75" s="622"/>
      <c r="AA75" s="11">
        <f t="shared" si="90"/>
        <v>-99.27272727272566</v>
      </c>
      <c r="AB75" s="97">
        <f t="shared" si="93"/>
        <v>0.95863636363636429</v>
      </c>
      <c r="AC75" s="571"/>
    </row>
    <row r="76" spans="1:29" ht="15.75" customHeight="1">
      <c r="A76" s="643" t="s">
        <v>271</v>
      </c>
      <c r="B76" s="93" t="s">
        <v>46</v>
      </c>
      <c r="C76" s="627" t="s">
        <v>87</v>
      </c>
      <c r="D76" s="628"/>
      <c r="E76" s="26">
        <v>20.52</v>
      </c>
      <c r="F76" s="93">
        <v>2907</v>
      </c>
      <c r="G76" s="92">
        <f t="shared" si="84"/>
        <v>59651.64</v>
      </c>
      <c r="H76" s="21" t="s">
        <v>35</v>
      </c>
      <c r="I76" s="95">
        <v>18</v>
      </c>
      <c r="J76" s="23">
        <v>2400</v>
      </c>
      <c r="K76" s="9">
        <f t="shared" si="95"/>
        <v>133.33333333333334</v>
      </c>
      <c r="L76" s="16">
        <v>18</v>
      </c>
      <c r="M76" s="10">
        <f t="shared" si="91"/>
        <v>2294.9999999999982</v>
      </c>
      <c r="N76" s="9">
        <f t="shared" si="86"/>
        <v>127.4999999999999</v>
      </c>
      <c r="O76" s="11">
        <f t="shared" si="87"/>
        <v>0</v>
      </c>
      <c r="P76" s="12">
        <f t="shared" si="88"/>
        <v>-5.8333333333334423</v>
      </c>
      <c r="Q76" s="97">
        <f t="shared" si="92"/>
        <v>0.95624999999999916</v>
      </c>
      <c r="R76" s="571"/>
      <c r="S76" s="24">
        <v>0.67916666666666659</v>
      </c>
      <c r="T76" s="24">
        <v>0.7319444444444444</v>
      </c>
      <c r="U76" s="92">
        <f t="shared" si="94"/>
        <v>5.9999999999999787</v>
      </c>
      <c r="V76" s="94">
        <f t="shared" si="89"/>
        <v>76.000000000000057</v>
      </c>
      <c r="W76" s="13"/>
      <c r="X76" s="13"/>
      <c r="Y76" s="621"/>
      <c r="Z76" s="622"/>
      <c r="AA76" s="11">
        <f t="shared" si="90"/>
        <v>-105.00000000000182</v>
      </c>
      <c r="AB76" s="97">
        <f t="shared" si="93"/>
        <v>0.95624999999999927</v>
      </c>
      <c r="AC76" s="571"/>
    </row>
    <row r="77" spans="1:29" ht="16.5" customHeight="1">
      <c r="A77" s="660" t="s">
        <v>271</v>
      </c>
      <c r="B77" s="26" t="s">
        <v>265</v>
      </c>
      <c r="C77" s="629"/>
      <c r="D77" s="629"/>
      <c r="E77" s="96"/>
      <c r="F77" s="27"/>
      <c r="G77" s="9"/>
      <c r="H77" s="93"/>
      <c r="I77" s="16">
        <v>17.125</v>
      </c>
      <c r="J77" s="23">
        <v>2400</v>
      </c>
      <c r="K77" s="9">
        <f t="shared" si="95"/>
        <v>140.14598540145985</v>
      </c>
      <c r="L77" s="16">
        <v>17.125</v>
      </c>
      <c r="M77" s="10">
        <f>AVERAGE(M69:M76)</f>
        <v>2291.8292808057035</v>
      </c>
      <c r="N77" s="9">
        <f>M77/L77</f>
        <v>133.82944705434764</v>
      </c>
      <c r="O77" s="11">
        <f>L77-I77</f>
        <v>0</v>
      </c>
      <c r="P77" s="12">
        <f>N77-K77</f>
        <v>-6.3165383471122141</v>
      </c>
      <c r="Q77" s="97">
        <f t="shared" si="92"/>
        <v>0.95492886700237634</v>
      </c>
      <c r="R77" s="571"/>
      <c r="S77" s="24"/>
      <c r="T77" s="24"/>
      <c r="U77" s="9"/>
      <c r="V77" s="94"/>
      <c r="W77" s="9"/>
      <c r="X77" s="9"/>
      <c r="Y77" s="617"/>
      <c r="Z77" s="617"/>
      <c r="AA77" s="11">
        <f t="shared" si="90"/>
        <v>-108.17071919429645</v>
      </c>
      <c r="AB77" s="97">
        <f t="shared" si="93"/>
        <v>0.95492886700237645</v>
      </c>
      <c r="AC77" s="571"/>
    </row>
    <row r="78" spans="1:29">
      <c r="D78" s="17"/>
      <c r="E78" s="17"/>
    </row>
  </sheetData>
  <mergeCells count="200">
    <mergeCell ref="I1:K2"/>
    <mergeCell ref="L1:N2"/>
    <mergeCell ref="O1:R2"/>
    <mergeCell ref="S1:X2"/>
    <mergeCell ref="Y1:Z2"/>
    <mergeCell ref="AA1:AC2"/>
    <mergeCell ref="R3:R4"/>
    <mergeCell ref="S3:T3"/>
    <mergeCell ref="H3:H4"/>
    <mergeCell ref="I3:I4"/>
    <mergeCell ref="J3:J4"/>
    <mergeCell ref="K3:K4"/>
    <mergeCell ref="L3:L4"/>
    <mergeCell ref="M3:M4"/>
    <mergeCell ref="V3:V4"/>
    <mergeCell ref="W3:X3"/>
    <mergeCell ref="Y3:Z4"/>
    <mergeCell ref="AA3:AA4"/>
    <mergeCell ref="AB3:AB4"/>
    <mergeCell ref="N3:N4"/>
    <mergeCell ref="O3:O4"/>
    <mergeCell ref="P3:P4"/>
    <mergeCell ref="Q3:Q4"/>
    <mergeCell ref="AC9:AC12"/>
    <mergeCell ref="C10:D10"/>
    <mergeCell ref="Y10:Z10"/>
    <mergeCell ref="A3:A4"/>
    <mergeCell ref="B3:B4"/>
    <mergeCell ref="C3:D4"/>
    <mergeCell ref="E3:E4"/>
    <mergeCell ref="F3:F4"/>
    <mergeCell ref="G3:G4"/>
    <mergeCell ref="A9:A12"/>
    <mergeCell ref="C9:D9"/>
    <mergeCell ref="R9:R12"/>
    <mergeCell ref="C11:D11"/>
    <mergeCell ref="AC3:AC4"/>
    <mergeCell ref="A5:A8"/>
    <mergeCell ref="C5:D5"/>
    <mergeCell ref="R5:R8"/>
    <mergeCell ref="Y5:Z5"/>
    <mergeCell ref="AC5:AC8"/>
    <mergeCell ref="C6:D6"/>
    <mergeCell ref="Y6:Z6"/>
    <mergeCell ref="C7:D7"/>
    <mergeCell ref="Y7:Z7"/>
    <mergeCell ref="U3:U4"/>
    <mergeCell ref="Y11:Z11"/>
    <mergeCell ref="C12:D12"/>
    <mergeCell ref="Y12:Z12"/>
    <mergeCell ref="C8:D8"/>
    <mergeCell ref="Y8:Z8"/>
    <mergeCell ref="A13:A20"/>
    <mergeCell ref="C13:D13"/>
    <mergeCell ref="R13:R20"/>
    <mergeCell ref="Y13:Z13"/>
    <mergeCell ref="Y9:Z9"/>
    <mergeCell ref="AC13:AC20"/>
    <mergeCell ref="C14:D14"/>
    <mergeCell ref="Y14:Z14"/>
    <mergeCell ref="C15:D15"/>
    <mergeCell ref="Y15:Z15"/>
    <mergeCell ref="C16:D16"/>
    <mergeCell ref="AC21:AC26"/>
    <mergeCell ref="C22:D22"/>
    <mergeCell ref="Y22:Z22"/>
    <mergeCell ref="C23:D23"/>
    <mergeCell ref="Y23:Z23"/>
    <mergeCell ref="C24:D24"/>
    <mergeCell ref="Y16:Z16"/>
    <mergeCell ref="C17:D17"/>
    <mergeCell ref="Y17:Z17"/>
    <mergeCell ref="Y18:Z18"/>
    <mergeCell ref="Y19:Z19"/>
    <mergeCell ref="C20:D20"/>
    <mergeCell ref="Y20:Z20"/>
    <mergeCell ref="Y24:Z24"/>
    <mergeCell ref="C25:D25"/>
    <mergeCell ref="Y25:Z25"/>
    <mergeCell ref="C26:D26"/>
    <mergeCell ref="Y26:Z26"/>
    <mergeCell ref="A27:A38"/>
    <mergeCell ref="C27:D27"/>
    <mergeCell ref="R27:R38"/>
    <mergeCell ref="Y27:Z27"/>
    <mergeCell ref="Y32:Z32"/>
    <mergeCell ref="A21:A26"/>
    <mergeCell ref="C21:D21"/>
    <mergeCell ref="R21:R26"/>
    <mergeCell ref="Y21:Z21"/>
    <mergeCell ref="AC27:AC38"/>
    <mergeCell ref="C28:D28"/>
    <mergeCell ref="Y28:Z28"/>
    <mergeCell ref="C29:D29"/>
    <mergeCell ref="Y29:Z29"/>
    <mergeCell ref="C30:D30"/>
    <mergeCell ref="Y30:Z30"/>
    <mergeCell ref="C31:D31"/>
    <mergeCell ref="Y31:Z31"/>
    <mergeCell ref="C32:D32"/>
    <mergeCell ref="C36:D36"/>
    <mergeCell ref="Y36:Z36"/>
    <mergeCell ref="C37:D37"/>
    <mergeCell ref="Y37:Z37"/>
    <mergeCell ref="C38:D38"/>
    <mergeCell ref="Y38:Z38"/>
    <mergeCell ref="C33:D33"/>
    <mergeCell ref="Y33:Z33"/>
    <mergeCell ref="C34:D34"/>
    <mergeCell ref="Y34:Z34"/>
    <mergeCell ref="C35:D35"/>
    <mergeCell ref="Y35:Z35"/>
    <mergeCell ref="A39:A48"/>
    <mergeCell ref="C39:D39"/>
    <mergeCell ref="R39:R48"/>
    <mergeCell ref="Y39:Z39"/>
    <mergeCell ref="AC39:AC48"/>
    <mergeCell ref="C40:D40"/>
    <mergeCell ref="Y40:Z40"/>
    <mergeCell ref="C41:D41"/>
    <mergeCell ref="Y41:Z41"/>
    <mergeCell ref="C42:D42"/>
    <mergeCell ref="C46:D46"/>
    <mergeCell ref="Y46:Z46"/>
    <mergeCell ref="C47:D47"/>
    <mergeCell ref="Y47:Z47"/>
    <mergeCell ref="C48:D48"/>
    <mergeCell ref="Y48:Z48"/>
    <mergeCell ref="Y42:Z42"/>
    <mergeCell ref="C43:D43"/>
    <mergeCell ref="Y43:Z43"/>
    <mergeCell ref="C44:D44"/>
    <mergeCell ref="Y44:Z44"/>
    <mergeCell ref="C45:D45"/>
    <mergeCell ref="Y45:Z45"/>
    <mergeCell ref="A49:A55"/>
    <mergeCell ref="C49:D49"/>
    <mergeCell ref="R49:R55"/>
    <mergeCell ref="Y49:Z49"/>
    <mergeCell ref="AC49:AC55"/>
    <mergeCell ref="C50:D50"/>
    <mergeCell ref="Y50:Z50"/>
    <mergeCell ref="C51:D51"/>
    <mergeCell ref="Y51:Z51"/>
    <mergeCell ref="C52:D52"/>
    <mergeCell ref="AC56:AC62"/>
    <mergeCell ref="C57:D57"/>
    <mergeCell ref="Y57:Z57"/>
    <mergeCell ref="C58:D58"/>
    <mergeCell ref="C61:D61"/>
    <mergeCell ref="Y61:Z61"/>
    <mergeCell ref="Y52:Z52"/>
    <mergeCell ref="C53:D53"/>
    <mergeCell ref="Y53:Z53"/>
    <mergeCell ref="C54:D54"/>
    <mergeCell ref="Y54:Z54"/>
    <mergeCell ref="C55:D55"/>
    <mergeCell ref="Y55:Z55"/>
    <mergeCell ref="C62:D62"/>
    <mergeCell ref="Y62:Z62"/>
    <mergeCell ref="A63:A68"/>
    <mergeCell ref="C63:D63"/>
    <mergeCell ref="R63:R68"/>
    <mergeCell ref="Y63:Z63"/>
    <mergeCell ref="Y68:Z68"/>
    <mergeCell ref="A56:A62"/>
    <mergeCell ref="C56:D56"/>
    <mergeCell ref="R56:R62"/>
    <mergeCell ref="Y56:Z56"/>
    <mergeCell ref="AC63:AC68"/>
    <mergeCell ref="C64:D64"/>
    <mergeCell ref="Y64:Z64"/>
    <mergeCell ref="C65:D65"/>
    <mergeCell ref="Y65:Z65"/>
    <mergeCell ref="C66:D66"/>
    <mergeCell ref="Y66:Z66"/>
    <mergeCell ref="C67:D67"/>
    <mergeCell ref="Y67:Z67"/>
    <mergeCell ref="C68:D68"/>
    <mergeCell ref="A69:A77"/>
    <mergeCell ref="C69:D69"/>
    <mergeCell ref="R69:R77"/>
    <mergeCell ref="Y69:Z69"/>
    <mergeCell ref="AC69:AC77"/>
    <mergeCell ref="C70:D70"/>
    <mergeCell ref="Y70:Z70"/>
    <mergeCell ref="C71:D71"/>
    <mergeCell ref="Y71:Z71"/>
    <mergeCell ref="C72:D72"/>
    <mergeCell ref="C76:D76"/>
    <mergeCell ref="Y76:Z76"/>
    <mergeCell ref="C77:D77"/>
    <mergeCell ref="Y77:Z77"/>
    <mergeCell ref="Y72:Z72"/>
    <mergeCell ref="C73:D73"/>
    <mergeCell ref="Y73:Z73"/>
    <mergeCell ref="C74:D74"/>
    <mergeCell ref="Y74:Z74"/>
    <mergeCell ref="C75:D75"/>
    <mergeCell ref="Y75:Z75"/>
  </mergeCells>
  <phoneticPr fontId="3" type="noConversion"/>
  <conditionalFormatting sqref="O66:O74 O77 O5:O9 O12 O38:O63 O21:O34">
    <cfRule type="cellIs" dxfId="86" priority="79" operator="greaterThan">
      <formula>0</formula>
    </cfRule>
  </conditionalFormatting>
  <conditionalFormatting sqref="P5:P7 P66:P67 AA66:AA67 P69:P74 P27:P34 P63 P9 P21:P25 P56:P61 P39:P54 AA69:AA77 AA5:AA12 P12 AA20:AA63">
    <cfRule type="cellIs" dxfId="85" priority="83" operator="lessThan">
      <formula>0</formula>
    </cfRule>
  </conditionalFormatting>
  <conditionalFormatting sqref="AB66:AB67 Q66:Q74 Q77 Q5:Q9 Q38:Q63 AB69:AB77 AB5:AB12 Q12 AB20:AB63 Q21:Q34">
    <cfRule type="cellIs" dxfId="84" priority="80" operator="greaterThan">
      <formula>1</formula>
    </cfRule>
    <cfRule type="cellIs" dxfId="83" priority="81" operator="lessThan">
      <formula>0.8</formula>
    </cfRule>
  </conditionalFormatting>
  <conditionalFormatting sqref="AC13:AC14 R13:R14 AC66 R66:R74 AC20:AC34 R20:R34 R38:R46 AC38:AC46 R77 AC5:AC9 R5:R9 AC48:AC63 R48:R63">
    <cfRule type="cellIs" dxfId="82" priority="85" operator="lessThan">
      <formula>0.8</formula>
    </cfRule>
  </conditionalFormatting>
  <conditionalFormatting sqref="AC49">
    <cfRule type="cellIs" dxfId="81" priority="87" operator="lessThan">
      <formula>0.8</formula>
    </cfRule>
  </conditionalFormatting>
  <conditionalFormatting sqref="AC21:AC25">
    <cfRule type="cellIs" dxfId="80" priority="84" operator="lessThan">
      <formula>0.8</formula>
    </cfRule>
  </conditionalFormatting>
  <conditionalFormatting sqref="AC27">
    <cfRule type="cellIs" dxfId="79" priority="86" operator="lessThan">
      <formula>0.8</formula>
    </cfRule>
  </conditionalFormatting>
  <conditionalFormatting sqref="AC39:AC46">
    <cfRule type="cellIs" dxfId="78" priority="82" operator="lessThan">
      <formula>0.8</formula>
    </cfRule>
  </conditionalFormatting>
  <conditionalFormatting sqref="AA68">
    <cfRule type="cellIs" dxfId="77" priority="78" operator="lessThan">
      <formula>0</formula>
    </cfRule>
  </conditionalFormatting>
  <conditionalFormatting sqref="AB68">
    <cfRule type="cellIs" dxfId="76" priority="76" operator="greaterThan">
      <formula>1</formula>
    </cfRule>
    <cfRule type="cellIs" dxfId="75" priority="77" operator="lessThan">
      <formula>0.8</formula>
    </cfRule>
  </conditionalFormatting>
  <conditionalFormatting sqref="R15 AC15">
    <cfRule type="cellIs" dxfId="74" priority="75" operator="lessThan">
      <formula>0.8</formula>
    </cfRule>
  </conditionalFormatting>
  <conditionalFormatting sqref="O10:O11">
    <cfRule type="cellIs" dxfId="73" priority="71" operator="greaterThan">
      <formula>0</formula>
    </cfRule>
  </conditionalFormatting>
  <conditionalFormatting sqref="P10:P11">
    <cfRule type="cellIs" dxfId="72" priority="74" operator="lessThan">
      <formula>0</formula>
    </cfRule>
  </conditionalFormatting>
  <conditionalFormatting sqref="Q10:Q11">
    <cfRule type="cellIs" dxfId="71" priority="72" operator="greaterThan">
      <formula>1</formula>
    </cfRule>
    <cfRule type="cellIs" dxfId="70" priority="73" operator="lessThan">
      <formula>0.8</formula>
    </cfRule>
  </conditionalFormatting>
  <conditionalFormatting sqref="R47 AC47">
    <cfRule type="cellIs" dxfId="69" priority="70" operator="lessThan">
      <formula>0.8</formula>
    </cfRule>
  </conditionalFormatting>
  <conditionalFormatting sqref="AC47">
    <cfRule type="cellIs" dxfId="68" priority="69" operator="lessThan">
      <formula>0.8</formula>
    </cfRule>
  </conditionalFormatting>
  <conditionalFormatting sqref="O65">
    <cfRule type="cellIs" dxfId="67" priority="64" operator="greaterThan">
      <formula>0</formula>
    </cfRule>
  </conditionalFormatting>
  <conditionalFormatting sqref="P65 AA65">
    <cfRule type="cellIs" dxfId="66" priority="67" operator="lessThan">
      <formula>0</formula>
    </cfRule>
  </conditionalFormatting>
  <conditionalFormatting sqref="Q65 AB65">
    <cfRule type="cellIs" dxfId="65" priority="65" operator="greaterThan">
      <formula>1</formula>
    </cfRule>
    <cfRule type="cellIs" dxfId="64" priority="66" operator="lessThan">
      <formula>0.8</formula>
    </cfRule>
  </conditionalFormatting>
  <conditionalFormatting sqref="R65 AC65">
    <cfRule type="cellIs" dxfId="63" priority="68" operator="lessThan">
      <formula>0.8</formula>
    </cfRule>
  </conditionalFormatting>
  <conditionalFormatting sqref="O35">
    <cfRule type="cellIs" dxfId="62" priority="59" operator="greaterThan">
      <formula>0</formula>
    </cfRule>
  </conditionalFormatting>
  <conditionalFormatting sqref="P35">
    <cfRule type="cellIs" dxfId="61" priority="62" operator="lessThan">
      <formula>0</formula>
    </cfRule>
  </conditionalFormatting>
  <conditionalFormatting sqref="Q35">
    <cfRule type="cellIs" dxfId="60" priority="60" operator="greaterThan">
      <formula>1</formula>
    </cfRule>
    <cfRule type="cellIs" dxfId="59" priority="61" operator="lessThan">
      <formula>0.8</formula>
    </cfRule>
  </conditionalFormatting>
  <conditionalFormatting sqref="R35 AC35">
    <cfRule type="cellIs" dxfId="58" priority="63" operator="lessThan">
      <formula>0.8</formula>
    </cfRule>
  </conditionalFormatting>
  <conditionalFormatting sqref="O75">
    <cfRule type="cellIs" dxfId="57" priority="54" operator="greaterThan">
      <formula>0</formula>
    </cfRule>
  </conditionalFormatting>
  <conditionalFormatting sqref="P75">
    <cfRule type="cellIs" dxfId="56" priority="57" operator="lessThan">
      <formula>0</formula>
    </cfRule>
  </conditionalFormatting>
  <conditionalFormatting sqref="Q75">
    <cfRule type="cellIs" dxfId="55" priority="55" operator="greaterThan">
      <formula>1</formula>
    </cfRule>
    <cfRule type="cellIs" dxfId="54" priority="56" operator="lessThan">
      <formula>0.8</formula>
    </cfRule>
  </conditionalFormatting>
  <conditionalFormatting sqref="R75">
    <cfRule type="cellIs" dxfId="53" priority="58" operator="lessThan">
      <formula>0.8</formula>
    </cfRule>
  </conditionalFormatting>
  <conditionalFormatting sqref="R16:R17 AC16:AC17">
    <cfRule type="cellIs" dxfId="52" priority="53" operator="lessThan">
      <formula>0.8</formula>
    </cfRule>
  </conditionalFormatting>
  <conditionalFormatting sqref="O36">
    <cfRule type="cellIs" dxfId="51" priority="48" operator="greaterThan">
      <formula>0</formula>
    </cfRule>
  </conditionalFormatting>
  <conditionalFormatting sqref="P36">
    <cfRule type="cellIs" dxfId="50" priority="51" operator="lessThan">
      <formula>0</formula>
    </cfRule>
  </conditionalFormatting>
  <conditionalFormatting sqref="Q36">
    <cfRule type="cellIs" dxfId="49" priority="49" operator="greaterThan">
      <formula>1</formula>
    </cfRule>
    <cfRule type="cellIs" dxfId="48" priority="50" operator="lessThan">
      <formula>0.8</formula>
    </cfRule>
  </conditionalFormatting>
  <conditionalFormatting sqref="R36 AC36">
    <cfRule type="cellIs" dxfId="47" priority="52" operator="lessThan">
      <formula>0.8</formula>
    </cfRule>
  </conditionalFormatting>
  <conditionalFormatting sqref="O64">
    <cfRule type="cellIs" dxfId="46" priority="43" operator="greaterThan">
      <formula>0</formula>
    </cfRule>
  </conditionalFormatting>
  <conditionalFormatting sqref="P64 AA64">
    <cfRule type="cellIs" dxfId="45" priority="46" operator="lessThan">
      <formula>0</formula>
    </cfRule>
  </conditionalFormatting>
  <conditionalFormatting sqref="Q64 AB64">
    <cfRule type="cellIs" dxfId="44" priority="44" operator="greaterThan">
      <formula>1</formula>
    </cfRule>
    <cfRule type="cellIs" dxfId="43" priority="45" operator="lessThan">
      <formula>0.8</formula>
    </cfRule>
  </conditionalFormatting>
  <conditionalFormatting sqref="R64 AC64">
    <cfRule type="cellIs" dxfId="42" priority="47" operator="lessThan">
      <formula>0.8</formula>
    </cfRule>
  </conditionalFormatting>
  <conditionalFormatting sqref="AC18 R18">
    <cfRule type="cellIs" dxfId="41" priority="42" operator="lessThan">
      <formula>0.8</formula>
    </cfRule>
  </conditionalFormatting>
  <conditionalFormatting sqref="AC19 R19">
    <cfRule type="cellIs" dxfId="40" priority="41" operator="lessThan">
      <formula>0.8</formula>
    </cfRule>
  </conditionalFormatting>
  <conditionalFormatting sqref="P8">
    <cfRule type="cellIs" dxfId="39" priority="40" operator="lessThan">
      <formula>0</formula>
    </cfRule>
  </conditionalFormatting>
  <conditionalFormatting sqref="P26">
    <cfRule type="cellIs" dxfId="38" priority="39" operator="lessThan">
      <formula>0</formula>
    </cfRule>
  </conditionalFormatting>
  <conditionalFormatting sqref="P38">
    <cfRule type="cellIs" dxfId="37" priority="38" operator="lessThan">
      <formula>0</formula>
    </cfRule>
  </conditionalFormatting>
  <conditionalFormatting sqref="P55">
    <cfRule type="cellIs" dxfId="36" priority="37" operator="lessThan">
      <formula>0</formula>
    </cfRule>
  </conditionalFormatting>
  <conditionalFormatting sqref="P62">
    <cfRule type="cellIs" dxfId="35" priority="36" operator="lessThan">
      <formula>0</formula>
    </cfRule>
  </conditionalFormatting>
  <conditionalFormatting sqref="P68">
    <cfRule type="cellIs" dxfId="34" priority="35" operator="lessThan">
      <formula>0</formula>
    </cfRule>
  </conditionalFormatting>
  <conditionalFormatting sqref="P77">
    <cfRule type="cellIs" dxfId="33" priority="34" operator="lessThan">
      <formula>0</formula>
    </cfRule>
  </conditionalFormatting>
  <conditionalFormatting sqref="O37">
    <cfRule type="cellIs" dxfId="32" priority="29" operator="greaterThan">
      <formula>0</formula>
    </cfRule>
  </conditionalFormatting>
  <conditionalFormatting sqref="P37">
    <cfRule type="cellIs" dxfId="31" priority="32" operator="lessThan">
      <formula>0</formula>
    </cfRule>
  </conditionalFormatting>
  <conditionalFormatting sqref="Q37">
    <cfRule type="cellIs" dxfId="30" priority="30" operator="greaterThan">
      <formula>1</formula>
    </cfRule>
    <cfRule type="cellIs" dxfId="29" priority="31" operator="lessThan">
      <formula>0.8</formula>
    </cfRule>
  </conditionalFormatting>
  <conditionalFormatting sqref="R37 AC37">
    <cfRule type="cellIs" dxfId="28" priority="33" operator="lessThan">
      <formula>0.8</formula>
    </cfRule>
  </conditionalFormatting>
  <conditionalFormatting sqref="O76">
    <cfRule type="cellIs" dxfId="27" priority="24" operator="greaterThan">
      <formula>0</formula>
    </cfRule>
  </conditionalFormatting>
  <conditionalFormatting sqref="P76">
    <cfRule type="cellIs" dxfId="26" priority="27" operator="lessThan">
      <formula>0</formula>
    </cfRule>
  </conditionalFormatting>
  <conditionalFormatting sqref="Q76">
    <cfRule type="cellIs" dxfId="25" priority="25" operator="greaterThan">
      <formula>1</formula>
    </cfRule>
    <cfRule type="cellIs" dxfId="24" priority="26" operator="lessThan">
      <formula>0.8</formula>
    </cfRule>
  </conditionalFormatting>
  <conditionalFormatting sqref="R76">
    <cfRule type="cellIs" dxfId="23" priority="28" operator="lessThan">
      <formula>0.8</formula>
    </cfRule>
  </conditionalFormatting>
  <conditionalFormatting sqref="AA13:AA19">
    <cfRule type="cellIs" dxfId="22" priority="23" operator="lessThan">
      <formula>0</formula>
    </cfRule>
  </conditionalFormatting>
  <conditionalFormatting sqref="AB13:AB19">
    <cfRule type="cellIs" dxfId="21" priority="21" operator="greaterThan">
      <formula>1</formula>
    </cfRule>
    <cfRule type="cellIs" dxfId="20" priority="22" operator="lessThan">
      <formula>0.8</formula>
    </cfRule>
  </conditionalFormatting>
  <conditionalFormatting sqref="O13:O14">
    <cfRule type="cellIs" dxfId="19" priority="17" operator="greaterThan">
      <formula>0</formula>
    </cfRule>
  </conditionalFormatting>
  <conditionalFormatting sqref="P13:P14">
    <cfRule type="cellIs" dxfId="18" priority="20" operator="lessThan">
      <formula>0</formula>
    </cfRule>
  </conditionalFormatting>
  <conditionalFormatting sqref="Q13:Q14">
    <cfRule type="cellIs" dxfId="17" priority="18" operator="greaterThan">
      <formula>1</formula>
    </cfRule>
    <cfRule type="cellIs" dxfId="16" priority="19" operator="lessThan">
      <formula>0.8</formula>
    </cfRule>
  </conditionalFormatting>
  <conditionalFormatting sqref="O15:O16">
    <cfRule type="cellIs" dxfId="15" priority="13" operator="greaterThan">
      <formula>0</formula>
    </cfRule>
  </conditionalFormatting>
  <conditionalFormatting sqref="P15:P16">
    <cfRule type="cellIs" dxfId="14" priority="16" operator="lessThan">
      <formula>0</formula>
    </cfRule>
  </conditionalFormatting>
  <conditionalFormatting sqref="Q15:Q16">
    <cfRule type="cellIs" dxfId="13" priority="14" operator="greaterThan">
      <formula>1</formula>
    </cfRule>
    <cfRule type="cellIs" dxfId="12" priority="15" operator="lessThan">
      <formula>0.8</formula>
    </cfRule>
  </conditionalFormatting>
  <conditionalFormatting sqref="O17:O18">
    <cfRule type="cellIs" dxfId="11" priority="9" operator="greaterThan">
      <formula>0</formula>
    </cfRule>
  </conditionalFormatting>
  <conditionalFormatting sqref="P17:P18">
    <cfRule type="cellIs" dxfId="10" priority="12" operator="lessThan">
      <formula>0</formula>
    </cfRule>
  </conditionalFormatting>
  <conditionalFormatting sqref="Q17:Q18">
    <cfRule type="cellIs" dxfId="9" priority="10" operator="greaterThan">
      <formula>1</formula>
    </cfRule>
    <cfRule type="cellIs" dxfId="8" priority="11" operator="lessThan">
      <formula>0.8</formula>
    </cfRule>
  </conditionalFormatting>
  <conditionalFormatting sqref="O19">
    <cfRule type="cellIs" dxfId="7" priority="5" operator="greaterThan">
      <formula>0</formula>
    </cfRule>
  </conditionalFormatting>
  <conditionalFormatting sqref="P19">
    <cfRule type="cellIs" dxfId="6" priority="8" operator="lessThan">
      <formula>0</formula>
    </cfRule>
  </conditionalFormatting>
  <conditionalFormatting sqref="Q19">
    <cfRule type="cellIs" dxfId="5" priority="6" operator="greaterThan">
      <formula>1</formula>
    </cfRule>
    <cfRule type="cellIs" dxfId="4" priority="7" operator="lessThan">
      <formula>0.8</formula>
    </cfRule>
  </conditionalFormatting>
  <conditionalFormatting sqref="O20">
    <cfRule type="cellIs" dxfId="3" priority="2" operator="greaterThan">
      <formula>0</formula>
    </cfRule>
  </conditionalFormatting>
  <conditionalFormatting sqref="Q20">
    <cfRule type="cellIs" dxfId="2" priority="3" operator="greaterThan">
      <formula>1</formula>
    </cfRule>
    <cfRule type="cellIs" dxfId="1" priority="4" operator="lessThan">
      <formula>0.8</formula>
    </cfRule>
  </conditionalFormatting>
  <conditionalFormatting sqref="P20">
    <cfRule type="cellIs" dxfId="0" priority="1" operator="lessThan">
      <formula>0</formula>
    </cfRule>
  </conditionalFormatting>
  <dataValidations count="1">
    <dataValidation type="list" allowBlank="1" showInputMessage="1" showErrorMessage="1" sqref="Z8 Z67 Y5:Z7 Y68:Z77 Z10:Z63 Y8:Y67">
      <formula1>#REF!</formula1>
    </dataValidation>
  </dataValidations>
  <pageMargins left="0" right="0" top="0" bottom="0" header="0" footer="0"/>
  <pageSetup paperSize="9" scale="11" orientation="landscape" horizontalDpi="300" verticalDpi="300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文件" ma:contentTypeID="0x010100FDA62899FCF77541A2830A96A559C8DA" ma:contentTypeVersion="11" ma:contentTypeDescription="建立新的文件。" ma:contentTypeScope="" ma:versionID="987a786c723dad159831497b62344372">
  <xsd:schema xmlns:xsd="http://www.w3.org/2001/XMLSchema" xmlns:xs="http://www.w3.org/2001/XMLSchema" xmlns:p="http://schemas.microsoft.com/office/2006/metadata/properties" xmlns:ns2="d017f4fe-1359-4419-afdf-e2560bdfb30b" xmlns:ns3="85de06e7-71af-4d71-a190-84eae70d6c46" targetNamespace="http://schemas.microsoft.com/office/2006/metadata/properties" ma:root="true" ma:fieldsID="339e8512b88377d3287bc57911ca593c" ns2:_="" ns3:_="">
    <xsd:import namespace="d017f4fe-1359-4419-afdf-e2560bdfb30b"/>
    <xsd:import namespace="85de06e7-71af-4d71-a190-84eae70d6c46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DateTaken" minOccurs="0"/>
                <xsd:element ref="ns2:lcf76f155ced4ddcb4097134ff3c332f" minOccurs="0"/>
                <xsd:element ref="ns3:TaxCatchAll" minOccurs="0"/>
                <xsd:element ref="ns2:MediaServiceLocation" minOccurs="0"/>
                <xsd:element ref="ns2:MediaServiceOCR" minOccurs="0"/>
                <xsd:element ref="ns2:MediaServiceGenerationTime" minOccurs="0"/>
                <xsd:element ref="ns2:MediaServiceEventHashCode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d017f4fe-1359-4419-afdf-e2560bdfb30b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11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lcf76f155ced4ddcb4097134ff3c332f" ma:index="13" nillable="true" ma:taxonomy="true" ma:internalName="lcf76f155ced4ddcb4097134ff3c332f" ma:taxonomyFieldName="MediaServiceImageTags" ma:displayName="影像標籤" ma:readOnly="false" ma:fieldId="{5cf76f15-5ced-4ddc-b409-7134ff3c332f}" ma:taxonomyMulti="true" ma:sspId="ecabee93-cc04-4b29-9ac7-5286c815f7a8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Location" ma:index="15" nillable="true" ma:displayName="Location" ma:indexed="true" ma:internalName="MediaServiceLocation" ma:readOnly="true">
      <xsd:simpleType>
        <xsd:restriction base="dms:Text"/>
      </xsd:simpleType>
    </xsd:element>
    <xsd:element name="MediaServiceOCR" ma:index="16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7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8" nillable="true" ma:displayName="MediaServiceEventHashCode" ma:hidden="true" ma:internalName="MediaServiceEventHashCode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85de06e7-71af-4d71-a190-84eae70d6c46" elementFormDefault="qualified">
    <xsd:import namespace="http://schemas.microsoft.com/office/2006/documentManagement/types"/>
    <xsd:import namespace="http://schemas.microsoft.com/office/infopath/2007/PartnerControls"/>
    <xsd:element name="TaxCatchAll" ma:index="14" nillable="true" ma:displayName="Taxonomy Catch All Column" ma:hidden="true" ma:list="{6797b0fa-71ef-4af6-bbc5-b4c66286d822}" ma:internalName="TaxCatchAll" ma:showField="CatchAllData" ma:web="85de06e7-71af-4d71-a190-84eae70d6c46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內容類型"/>
        <xsd:element ref="dc:title" minOccurs="0" maxOccurs="1" ma:index="4" ma:displayName="標題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85de06e7-71af-4d71-a190-84eae70d6c46" xsi:nil="true"/>
    <lcf76f155ced4ddcb4097134ff3c332f xmlns="d017f4fe-1359-4419-afdf-e2560bdfb30b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11809E6C-930F-42CF-85F1-4BB2C7A459EA}"/>
</file>

<file path=customXml/itemProps2.xml><?xml version="1.0" encoding="utf-8"?>
<ds:datastoreItem xmlns:ds="http://schemas.openxmlformats.org/officeDocument/2006/customXml" ds:itemID="{5EC48A78-3355-47DA-B2EA-DA698BAAE4EC}"/>
</file>

<file path=customXml/itemProps3.xml><?xml version="1.0" encoding="utf-8"?>
<ds:datastoreItem xmlns:ds="http://schemas.openxmlformats.org/officeDocument/2006/customXml" ds:itemID="{5AF72079-2DCF-4474-9BFF-401F7684D233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62</vt:i4>
      </vt:variant>
    </vt:vector>
  </HeadingPairs>
  <TitlesOfParts>
    <vt:vector size="62" baseType="lpstr">
      <vt:lpstr>1031</vt:lpstr>
      <vt:lpstr>1031 4度C</vt:lpstr>
      <vt:lpstr>1030</vt:lpstr>
      <vt:lpstr>1030 4度C</vt:lpstr>
      <vt:lpstr>1029</vt:lpstr>
      <vt:lpstr>1029 4度C</vt:lpstr>
      <vt:lpstr>1028</vt:lpstr>
      <vt:lpstr>1028 4度C</vt:lpstr>
      <vt:lpstr>1027</vt:lpstr>
      <vt:lpstr>1027 4度C</vt:lpstr>
      <vt:lpstr>1026</vt:lpstr>
      <vt:lpstr>1026 4度C</vt:lpstr>
      <vt:lpstr>1025</vt:lpstr>
      <vt:lpstr>1025 4度C</vt:lpstr>
      <vt:lpstr>1024</vt:lpstr>
      <vt:lpstr>1024 4度C</vt:lpstr>
      <vt:lpstr>1023</vt:lpstr>
      <vt:lpstr>1023 4度C</vt:lpstr>
      <vt:lpstr>1022</vt:lpstr>
      <vt:lpstr>1022 4度C</vt:lpstr>
      <vt:lpstr>1021</vt:lpstr>
      <vt:lpstr>1021 4度C</vt:lpstr>
      <vt:lpstr>1020</vt:lpstr>
      <vt:lpstr>1020 4度C</vt:lpstr>
      <vt:lpstr>1019</vt:lpstr>
      <vt:lpstr>1019 4度C</vt:lpstr>
      <vt:lpstr>1018</vt:lpstr>
      <vt:lpstr>1018 4度C</vt:lpstr>
      <vt:lpstr>1017</vt:lpstr>
      <vt:lpstr>1017 4度C</vt:lpstr>
      <vt:lpstr>1016</vt:lpstr>
      <vt:lpstr>1016 4度C</vt:lpstr>
      <vt:lpstr>1015</vt:lpstr>
      <vt:lpstr>1015 4度C</vt:lpstr>
      <vt:lpstr>1014</vt:lpstr>
      <vt:lpstr>1014 4度C</vt:lpstr>
      <vt:lpstr>1013</vt:lpstr>
      <vt:lpstr>1013 4度C</vt:lpstr>
      <vt:lpstr>1012</vt:lpstr>
      <vt:lpstr>1012 4度C</vt:lpstr>
      <vt:lpstr>1011</vt:lpstr>
      <vt:lpstr>1011 4度C</vt:lpstr>
      <vt:lpstr>1010</vt:lpstr>
      <vt:lpstr>1010 4度C</vt:lpstr>
      <vt:lpstr>1009</vt:lpstr>
      <vt:lpstr>1009 4度C</vt:lpstr>
      <vt:lpstr>1008</vt:lpstr>
      <vt:lpstr>1008 4度C</vt:lpstr>
      <vt:lpstr>1007</vt:lpstr>
      <vt:lpstr>1007 4度C</vt:lpstr>
      <vt:lpstr>1006</vt:lpstr>
      <vt:lpstr>1006 4度C</vt:lpstr>
      <vt:lpstr>1005</vt:lpstr>
      <vt:lpstr>1005 4度C</vt:lpstr>
      <vt:lpstr>1004</vt:lpstr>
      <vt:lpstr>1004 4度C</vt:lpstr>
      <vt:lpstr>1003</vt:lpstr>
      <vt:lpstr>1003 4度C</vt:lpstr>
      <vt:lpstr>1002</vt:lpstr>
      <vt:lpstr>1002 4度C</vt:lpstr>
      <vt:lpstr>1001</vt:lpstr>
      <vt:lpstr>1001 4度C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新豐生管02</dc:creator>
  <cp:lastModifiedBy>新豐生管01</cp:lastModifiedBy>
  <dcterms:created xsi:type="dcterms:W3CDTF">2025-10-02T07:09:09Z</dcterms:created>
  <dcterms:modified xsi:type="dcterms:W3CDTF">2025-11-04T06:33:40Z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0x010100FDA62899FCF77541A2830A96A559C8DA</vt:lpwstr>
  </property>
</Properties>
</file>